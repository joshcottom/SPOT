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imperiallondon-my.sharepoint.com/personal/jcottom_ic_ac_uk/Documents/02-Projects/0034_SPOT/02_Model/SPOT V3/07_MFA/MFA_V1.3.2-C-0126/inputs/"/>
    </mc:Choice>
  </mc:AlternateContent>
  <xr:revisionPtr revIDLastSave="1" documentId="8_{39AB1C50-59C2-46A5-A42D-EF978A0A9EA5}" xr6:coauthVersionLast="47" xr6:coauthVersionMax="47" xr10:uidLastSave="{AB6C58CD-E04A-4CD6-A896-4A7D5BA2A865}"/>
  <bookViews>
    <workbookView xWindow="25695" yWindow="0" windowWidth="26010" windowHeight="20985" tabRatio="767" xr2:uid="{00000000-000D-0000-FFFF-FFFF00000000}"/>
  </bookViews>
  <sheets>
    <sheet name="Summary" sheetId="19" r:id="rId1"/>
    <sheet name="MFA_inputs" sheetId="5" r:id="rId2"/>
    <sheet name="PDFs" sheetId="2" r:id="rId3"/>
    <sheet name="Street_sweep" sheetId="15" r:id="rId4"/>
    <sheet name="Processes" sheetId="3" r:id="rId5"/>
    <sheet name="Coefficients" sheetId="13" r:id="rId6"/>
    <sheet name="Outputs" sheetId="12" r:id="rId7"/>
    <sheet name="Retain_full_munic" sheetId="18" r:id="rId8"/>
  </sheets>
  <definedNames>
    <definedName name="_xlnm._FilterDatabase" localSheetId="1" hidden="1">MFA_inputs!$A$3:$DR$14</definedName>
    <definedName name="_Key1" localSheetId="6" hidden="1">#REF!</definedName>
    <definedName name="_Key1" localSheetId="7" hidden="1">#REF!</definedName>
    <definedName name="_Key1" localSheetId="3" hidden="1">#REF!</definedName>
    <definedName name="_Key1" hidden="1">#REF!</definedName>
    <definedName name="_Order1" hidden="1">255</definedName>
    <definedName name="_Sort" localSheetId="6" hidden="1">#REF!</definedName>
    <definedName name="_Sort" localSheetId="7" hidden="1">#REF!</definedName>
    <definedName name="_Sort" localSheetId="3" hidden="1">#REF!</definedName>
    <definedName name="_Sort" hidden="1">#REF!</definedName>
    <definedName name="Product_A_Name" localSheetId="0">Summary!#REF!</definedName>
    <definedName name="Product_A_Name">#REF!</definedName>
    <definedName name="Product_B_Name" localSheetId="0">Summary!#REF!</definedName>
    <definedName name="Product_B_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G3" i="2"/>
  <c r="H3" i="2"/>
  <c r="I3" i="2"/>
  <c r="J3" i="2"/>
  <c r="G4" i="2"/>
  <c r="H4" i="2"/>
  <c r="I4" i="2"/>
  <c r="J4" i="2"/>
  <c r="G5" i="2"/>
  <c r="H5" i="2"/>
  <c r="I5" i="2"/>
  <c r="J5" i="2"/>
  <c r="G6" i="2"/>
  <c r="H6" i="2"/>
  <c r="I6" i="2"/>
  <c r="J6" i="2"/>
  <c r="G7" i="2"/>
  <c r="H7" i="2"/>
  <c r="I7" i="2"/>
  <c r="J7" i="2"/>
  <c r="G8" i="2"/>
  <c r="H8" i="2"/>
  <c r="I8" i="2"/>
  <c r="J8" i="2"/>
  <c r="G9" i="2"/>
  <c r="H9" i="2"/>
  <c r="I9" i="2"/>
  <c r="J9" i="2"/>
  <c r="G10" i="2"/>
  <c r="H10" i="2"/>
  <c r="I10" i="2"/>
  <c r="F10" i="2" s="1"/>
  <c r="J10" i="2"/>
  <c r="G11" i="2"/>
  <c r="H11" i="2"/>
  <c r="I11" i="2"/>
  <c r="J11" i="2"/>
  <c r="G12" i="2"/>
  <c r="H12" i="2"/>
  <c r="F12" i="2" s="1"/>
  <c r="I12" i="2"/>
  <c r="J12" i="2"/>
  <c r="G13" i="2"/>
  <c r="H13" i="2"/>
  <c r="I13" i="2"/>
  <c r="J13" i="2"/>
  <c r="G14" i="2"/>
  <c r="H14" i="2"/>
  <c r="I14" i="2"/>
  <c r="J14" i="2"/>
  <c r="G15" i="2"/>
  <c r="H15" i="2"/>
  <c r="I15" i="2"/>
  <c r="F15" i="2" s="1"/>
  <c r="J15" i="2"/>
  <c r="G16" i="2"/>
  <c r="H16" i="2"/>
  <c r="I16" i="2"/>
  <c r="J16" i="2"/>
  <c r="G17" i="2"/>
  <c r="H17" i="2"/>
  <c r="F17" i="2" s="1"/>
  <c r="I17" i="2"/>
  <c r="J17" i="2"/>
  <c r="G18" i="2"/>
  <c r="H18" i="2"/>
  <c r="I18" i="2"/>
  <c r="J18" i="2"/>
  <c r="G19" i="2"/>
  <c r="H19" i="2"/>
  <c r="I19" i="2"/>
  <c r="J19" i="2"/>
  <c r="G20" i="2"/>
  <c r="H20" i="2"/>
  <c r="I20" i="2"/>
  <c r="F20" i="2" s="1"/>
  <c r="J20" i="2"/>
  <c r="G21" i="2"/>
  <c r="H21" i="2"/>
  <c r="I21" i="2"/>
  <c r="J21" i="2"/>
  <c r="G22" i="2"/>
  <c r="H22" i="2"/>
  <c r="F22" i="2" s="1"/>
  <c r="I22" i="2"/>
  <c r="J22" i="2"/>
  <c r="G23" i="2"/>
  <c r="H23" i="2"/>
  <c r="I23" i="2"/>
  <c r="J23" i="2"/>
  <c r="G24" i="2"/>
  <c r="H24" i="2"/>
  <c r="I24" i="2"/>
  <c r="J24" i="2"/>
  <c r="G25" i="2"/>
  <c r="H25" i="2"/>
  <c r="I25" i="2"/>
  <c r="F25" i="2" s="1"/>
  <c r="J25" i="2"/>
  <c r="G26" i="2"/>
  <c r="H26" i="2"/>
  <c r="I26" i="2"/>
  <c r="J26" i="2"/>
  <c r="J2" i="2"/>
  <c r="I2" i="2"/>
  <c r="H2" i="2"/>
  <c r="G2" i="2"/>
  <c r="F11" i="2"/>
  <c r="F8" i="2"/>
  <c r="F6" i="2"/>
  <c r="F4" i="2"/>
  <c r="F3" i="2"/>
  <c r="BX4" i="5"/>
  <c r="BX5" i="5"/>
  <c r="BX6" i="5"/>
  <c r="BX7" i="5"/>
  <c r="BX8" i="5"/>
  <c r="BX9" i="5"/>
  <c r="BX10" i="5"/>
  <c r="BX11" i="5"/>
  <c r="BX12" i="5"/>
  <c r="BX13" i="5"/>
  <c r="BX14" i="5"/>
  <c r="BW4" i="5"/>
  <c r="BW5" i="5"/>
  <c r="BW6" i="5"/>
  <c r="BW7" i="5"/>
  <c r="BW8" i="5"/>
  <c r="BW9" i="5"/>
  <c r="BW10" i="5"/>
  <c r="BW11" i="5"/>
  <c r="BW12" i="5"/>
  <c r="BW13" i="5"/>
  <c r="BW14" i="5"/>
  <c r="BG4" i="5"/>
  <c r="BG5" i="5"/>
  <c r="BG6" i="5"/>
  <c r="BG7" i="5"/>
  <c r="BG8" i="5"/>
  <c r="BG9" i="5"/>
  <c r="BG10" i="5"/>
  <c r="BG11" i="5"/>
  <c r="BG12" i="5"/>
  <c r="BG13" i="5"/>
  <c r="BG14" i="5"/>
  <c r="BH4" i="5"/>
  <c r="BH5" i="5"/>
  <c r="BH6" i="5"/>
  <c r="BH7" i="5"/>
  <c r="BH8" i="5"/>
  <c r="BH9" i="5"/>
  <c r="BH10" i="5"/>
  <c r="BH11" i="5"/>
  <c r="BH12" i="5"/>
  <c r="BH13" i="5"/>
  <c r="BH14" i="5"/>
  <c r="BK4" i="5"/>
  <c r="BL4" i="5"/>
  <c r="BM4" i="5"/>
  <c r="BK5" i="5"/>
  <c r="BL5" i="5"/>
  <c r="BM5" i="5"/>
  <c r="BK6" i="5"/>
  <c r="BL6" i="5"/>
  <c r="BM6" i="5"/>
  <c r="BK7" i="5"/>
  <c r="BL7" i="5"/>
  <c r="BM7" i="5"/>
  <c r="BK8" i="5"/>
  <c r="BL8" i="5"/>
  <c r="BM8" i="5"/>
  <c r="BK9" i="5"/>
  <c r="BL9" i="5"/>
  <c r="BM9" i="5"/>
  <c r="BK10" i="5"/>
  <c r="BL10" i="5"/>
  <c r="BM10" i="5"/>
  <c r="BK11" i="5"/>
  <c r="BL11" i="5"/>
  <c r="BM11" i="5"/>
  <c r="BK12" i="5"/>
  <c r="BL12" i="5"/>
  <c r="BM12" i="5"/>
  <c r="BK13" i="5"/>
  <c r="BL13" i="5"/>
  <c r="BM13" i="5"/>
  <c r="BK14" i="5"/>
  <c r="BL14" i="5"/>
  <c r="BM14" i="5"/>
  <c r="CI4" i="5"/>
  <c r="CJ4" i="5"/>
  <c r="CK4" i="5"/>
  <c r="CI5" i="5"/>
  <c r="CJ5" i="5"/>
  <c r="CK5" i="5"/>
  <c r="CI6" i="5"/>
  <c r="CJ6" i="5"/>
  <c r="CK6" i="5"/>
  <c r="CI7" i="5"/>
  <c r="CJ7" i="5"/>
  <c r="CK7" i="5"/>
  <c r="CI8" i="5"/>
  <c r="CJ8" i="5"/>
  <c r="CK8" i="5"/>
  <c r="CI9" i="5"/>
  <c r="CJ9" i="5"/>
  <c r="CK9" i="5"/>
  <c r="CI10" i="5"/>
  <c r="CJ10" i="5"/>
  <c r="CK10" i="5"/>
  <c r="CI11" i="5"/>
  <c r="CJ11" i="5"/>
  <c r="CK11" i="5"/>
  <c r="CI12" i="5"/>
  <c r="CJ12" i="5"/>
  <c r="CK12" i="5"/>
  <c r="CI13" i="5"/>
  <c r="CJ13" i="5"/>
  <c r="CK13" i="5"/>
  <c r="CI14" i="5"/>
  <c r="CJ14" i="5"/>
  <c r="CK14" i="5"/>
  <c r="AY4" i="5"/>
  <c r="AZ4" i="5"/>
  <c r="BA4" i="5"/>
  <c r="AY5" i="5"/>
  <c r="AZ5" i="5"/>
  <c r="BA5" i="5"/>
  <c r="AY6" i="5"/>
  <c r="AZ6" i="5"/>
  <c r="BA6" i="5"/>
  <c r="AY7" i="5"/>
  <c r="AZ7" i="5"/>
  <c r="BA7" i="5"/>
  <c r="AY8" i="5"/>
  <c r="AZ8" i="5"/>
  <c r="BA8" i="5"/>
  <c r="AY9" i="5"/>
  <c r="AZ9" i="5"/>
  <c r="BA9" i="5"/>
  <c r="AY10" i="5"/>
  <c r="AZ10" i="5"/>
  <c r="BA10" i="5"/>
  <c r="AY11" i="5"/>
  <c r="AZ11" i="5"/>
  <c r="BA11" i="5"/>
  <c r="AY12" i="5"/>
  <c r="AZ12" i="5"/>
  <c r="BA12" i="5"/>
  <c r="AY13" i="5"/>
  <c r="AZ13" i="5"/>
  <c r="BA13" i="5"/>
  <c r="AY14" i="5"/>
  <c r="AZ14" i="5"/>
  <c r="BA14" i="5"/>
  <c r="J21" i="15"/>
  <c r="I21" i="15"/>
  <c r="H21" i="15"/>
  <c r="G21" i="15"/>
  <c r="J20" i="15"/>
  <c r="I20" i="15"/>
  <c r="H20" i="15"/>
  <c r="G20" i="15"/>
  <c r="F20" i="15"/>
  <c r="J19" i="15"/>
  <c r="I19" i="15"/>
  <c r="H19" i="15"/>
  <c r="G19" i="15"/>
  <c r="J18" i="15"/>
  <c r="I18" i="15"/>
  <c r="H18" i="15"/>
  <c r="G18" i="15"/>
  <c r="F18" i="15"/>
  <c r="J17" i="15"/>
  <c r="I17" i="15"/>
  <c r="H17" i="15"/>
  <c r="G17" i="15"/>
  <c r="J16" i="15"/>
  <c r="I16" i="15"/>
  <c r="H16" i="15"/>
  <c r="G16" i="15"/>
  <c r="J15" i="15"/>
  <c r="I15" i="15"/>
  <c r="H15" i="15"/>
  <c r="G15" i="15"/>
  <c r="F15" i="15"/>
  <c r="J14" i="15"/>
  <c r="I14" i="15"/>
  <c r="H14" i="15"/>
  <c r="G14" i="15"/>
  <c r="J13" i="15"/>
  <c r="I13" i="15"/>
  <c r="H13" i="15"/>
  <c r="G13" i="15"/>
  <c r="J12" i="15"/>
  <c r="I12" i="15"/>
  <c r="H12" i="15"/>
  <c r="G12" i="15"/>
  <c r="F12" i="15"/>
  <c r="J11" i="15"/>
  <c r="I11" i="15"/>
  <c r="H11" i="15"/>
  <c r="G11" i="15"/>
  <c r="F11" i="15"/>
  <c r="J10" i="15"/>
  <c r="I10" i="15"/>
  <c r="H10" i="15"/>
  <c r="G10" i="15"/>
  <c r="J9" i="15"/>
  <c r="I9" i="15"/>
  <c r="H9" i="15"/>
  <c r="G9" i="15"/>
  <c r="F9" i="15"/>
  <c r="J8" i="15"/>
  <c r="I8" i="15"/>
  <c r="H8" i="15"/>
  <c r="G8" i="15"/>
  <c r="F8" i="15"/>
  <c r="J7" i="15"/>
  <c r="I7" i="15"/>
  <c r="H7" i="15"/>
  <c r="G7" i="15"/>
  <c r="J6" i="15"/>
  <c r="I6" i="15"/>
  <c r="H6" i="15"/>
  <c r="G6" i="15"/>
  <c r="J5" i="15"/>
  <c r="I5" i="15"/>
  <c r="H5" i="15"/>
  <c r="G5" i="15"/>
  <c r="J4" i="15"/>
  <c r="I4" i="15"/>
  <c r="H4" i="15"/>
  <c r="G4" i="15"/>
  <c r="J3" i="15"/>
  <c r="I3" i="15"/>
  <c r="H3" i="15"/>
  <c r="G3" i="15"/>
  <c r="J2" i="15"/>
  <c r="I2" i="15"/>
  <c r="H2" i="15"/>
  <c r="G2" i="15"/>
  <c r="F2" i="15"/>
  <c r="F4" i="15"/>
  <c r="F19" i="15"/>
  <c r="F21" i="15"/>
  <c r="F5" i="15"/>
  <c r="F14" i="15"/>
  <c r="F7" i="15"/>
  <c r="F13" i="15"/>
  <c r="F16" i="15"/>
  <c r="F10" i="15"/>
  <c r="F3" i="15"/>
  <c r="F6" i="15"/>
  <c r="F17" i="15"/>
  <c r="F9" i="2"/>
  <c r="F16" i="2"/>
  <c r="F26" i="2"/>
  <c r="F24" i="2"/>
  <c r="F23" i="2"/>
  <c r="F21" i="2"/>
  <c r="F19" i="2"/>
  <c r="F18" i="2"/>
  <c r="F14" i="2"/>
  <c r="F13" i="2"/>
  <c r="F7" i="2" l="1"/>
  <c r="F5" i="2"/>
</calcChain>
</file>

<file path=xl/sharedStrings.xml><?xml version="1.0" encoding="utf-8"?>
<sst xmlns="http://schemas.openxmlformats.org/spreadsheetml/2006/main" count="25509" uniqueCount="8994">
  <si>
    <t>PDF</t>
  </si>
  <si>
    <t>No_Parameters</t>
  </si>
  <si>
    <t>tP1</t>
  </si>
  <si>
    <t>Beta-PERT</t>
  </si>
  <si>
    <t>P14</t>
  </si>
  <si>
    <t>C1</t>
  </si>
  <si>
    <t>C3</t>
  </si>
  <si>
    <t>C8</t>
  </si>
  <si>
    <t>C9</t>
  </si>
  <si>
    <t>C10</t>
  </si>
  <si>
    <t>C11</t>
  </si>
  <si>
    <t>C12</t>
  </si>
  <si>
    <t>C14</t>
  </si>
  <si>
    <t>C15</t>
  </si>
  <si>
    <t>Normal</t>
  </si>
  <si>
    <t>C16</t>
  </si>
  <si>
    <t>C17a</t>
  </si>
  <si>
    <t>C18a</t>
  </si>
  <si>
    <t>C21a</t>
  </si>
  <si>
    <t>C22a</t>
  </si>
  <si>
    <t>C23aa</t>
  </si>
  <si>
    <t>C23ab</t>
  </si>
  <si>
    <t>C24aa</t>
  </si>
  <si>
    <t>C24ab</t>
  </si>
  <si>
    <t>C27aa</t>
  </si>
  <si>
    <t>C27ab</t>
  </si>
  <si>
    <t>C28aa</t>
  </si>
  <si>
    <t>C28ab</t>
  </si>
  <si>
    <t>Input_ID</t>
  </si>
  <si>
    <t>Input_short_name</t>
  </si>
  <si>
    <t>Input_long_name</t>
  </si>
  <si>
    <t>Dry_recy_inf</t>
  </si>
  <si>
    <t>Unit</t>
  </si>
  <si>
    <t>kg/cap/day</t>
  </si>
  <si>
    <t>Uncollected litter</t>
  </si>
  <si>
    <t>% of MSW generation</t>
  </si>
  <si>
    <t>% of collected MSW</t>
  </si>
  <si>
    <t>Open burning of uncontrolled disposal of MSW</t>
  </si>
  <si>
    <t>Debris emissions from uncontrolled disposal of MSW</t>
  </si>
  <si>
    <t>% of uncontrolled MSW disposed</t>
  </si>
  <si>
    <t>Open_burn_uncol</t>
  </si>
  <si>
    <t>Uncollected MSW open burnt</t>
  </si>
  <si>
    <t>% of uncollected MSW</t>
  </si>
  <si>
    <t>Plastic_litter</t>
  </si>
  <si>
    <t>Plastic in uncollected litter</t>
  </si>
  <si>
    <t>% of uncollected litter</t>
  </si>
  <si>
    <t>Col_emissions</t>
  </si>
  <si>
    <t>Disp_emissions</t>
  </si>
  <si>
    <t>Open_burn_disp</t>
  </si>
  <si>
    <t>Plastic_disp_emissions</t>
  </si>
  <si>
    <t>Plastic in debris emissions from uncontrolled disposal of MSW</t>
  </si>
  <si>
    <t>% of uncontrolled and unburnt MSW disposed</t>
  </si>
  <si>
    <t>% of debris emissions from uncontrolled disposal of MSW</t>
  </si>
  <si>
    <t>Plastic_dry_recy_inf</t>
  </si>
  <si>
    <t>Plastic collected by informal sector</t>
  </si>
  <si>
    <t>Plastic_dry_recy_form</t>
  </si>
  <si>
    <t>% of dry recyclables collected by informal sector</t>
  </si>
  <si>
    <t>Plastic collected by formal sector</t>
  </si>
  <si>
    <t>% of dry recyclables collected by formal sector</t>
  </si>
  <si>
    <t>Rigid_plastic_litter</t>
  </si>
  <si>
    <t>Litter</t>
  </si>
  <si>
    <t>Rigid plastic in uncollected litter</t>
  </si>
  <si>
    <t>Rigid_plastic_disp_emissions</t>
  </si>
  <si>
    <t>Rigid plastic in uncontrolled disposal plastic emissions</t>
  </si>
  <si>
    <t>Rigid_plastic_recy_inf</t>
  </si>
  <si>
    <t>Rigid plastic in plastic collected by informal sector</t>
  </si>
  <si>
    <t>% of uncollected plastic litter</t>
  </si>
  <si>
    <t>% of uncontrlled disposal plastic emissions</t>
  </si>
  <si>
    <t>% of plastic collected by informal sector</t>
  </si>
  <si>
    <t>Sort_loss_rigid_inf</t>
  </si>
  <si>
    <t>Sort_loss_flex_inf</t>
  </si>
  <si>
    <t>Sort_loss_rigid_form</t>
  </si>
  <si>
    <t>Sort_loss_flex_form</t>
  </si>
  <si>
    <t>Rigid plastic sorting losses by informal sector</t>
  </si>
  <si>
    <t>Flexible plastic sorting losses by informal sector</t>
  </si>
  <si>
    <t>Rigid plastic sorting losses by formal sector</t>
  </si>
  <si>
    <t>Flexible plastic sorting losses by formal sector</t>
  </si>
  <si>
    <t>% of rigid plastic collected by informal sector</t>
  </si>
  <si>
    <t>% of flexible plastic collected by informal sector</t>
  </si>
  <si>
    <t>% of rigid plastic collected by formal sector</t>
  </si>
  <si>
    <t>% of flexible plastic collected by formal sector</t>
  </si>
  <si>
    <t>tP2</t>
  </si>
  <si>
    <t>tP3</t>
  </si>
  <si>
    <t>tP4</t>
  </si>
  <si>
    <t>tP5</t>
  </si>
  <si>
    <t>tP8</t>
  </si>
  <si>
    <t>tP9</t>
  </si>
  <si>
    <t>P1</t>
  </si>
  <si>
    <t>P2</t>
  </si>
  <si>
    <t>P3</t>
  </si>
  <si>
    <t>P4</t>
  </si>
  <si>
    <t>P5</t>
  </si>
  <si>
    <t>P6</t>
  </si>
  <si>
    <t>P7</t>
  </si>
  <si>
    <t>P8</t>
  </si>
  <si>
    <t>P9</t>
  </si>
  <si>
    <t>P10</t>
  </si>
  <si>
    <t>P11</t>
  </si>
  <si>
    <t>P13</t>
  </si>
  <si>
    <t>P15</t>
  </si>
  <si>
    <t>P16</t>
  </si>
  <si>
    <t>P17</t>
  </si>
  <si>
    <t>P18</t>
  </si>
  <si>
    <t>P19</t>
  </si>
  <si>
    <t>P20</t>
  </si>
  <si>
    <t>P21</t>
  </si>
  <si>
    <t>P100</t>
  </si>
  <si>
    <t>P2a</t>
  </si>
  <si>
    <t>P2aa</t>
  </si>
  <si>
    <t>P2ab</t>
  </si>
  <si>
    <t>P6a</t>
  </si>
  <si>
    <t>P6aa</t>
  </si>
  <si>
    <t>P6ab</t>
  </si>
  <si>
    <t>P14a</t>
  </si>
  <si>
    <t>P14aa</t>
  </si>
  <si>
    <t>P14ab</t>
  </si>
  <si>
    <t>P15a</t>
  </si>
  <si>
    <t>P15aa</t>
  </si>
  <si>
    <t>P15ab</t>
  </si>
  <si>
    <t>P19a</t>
  </si>
  <si>
    <t>P19aa</t>
  </si>
  <si>
    <t>P19ab</t>
  </si>
  <si>
    <t>P20a</t>
  </si>
  <si>
    <t>P20aa</t>
  </si>
  <si>
    <t>P20ab</t>
  </si>
  <si>
    <t>P22aa</t>
  </si>
  <si>
    <t>P22ab</t>
  </si>
  <si>
    <t>P23aa</t>
  </si>
  <si>
    <t>P23ab</t>
  </si>
  <si>
    <t>P24aa</t>
  </si>
  <si>
    <t>P24ab</t>
  </si>
  <si>
    <t>P25aa</t>
  </si>
  <si>
    <t>P25ab</t>
  </si>
  <si>
    <t>P26aa</t>
  </si>
  <si>
    <t>P26ab</t>
  </si>
  <si>
    <t>P27aa</t>
  </si>
  <si>
    <t>P27ab</t>
  </si>
  <si>
    <t>P28aa</t>
  </si>
  <si>
    <t>P28ab</t>
  </si>
  <si>
    <t>P29aa</t>
  </si>
  <si>
    <t>P29ab</t>
  </si>
  <si>
    <t>P30aa</t>
  </si>
  <si>
    <t>P30ab</t>
  </si>
  <si>
    <t>P31aa</t>
  </si>
  <si>
    <t>P31ab</t>
  </si>
  <si>
    <t>P32aa</t>
  </si>
  <si>
    <t>P32ab</t>
  </si>
  <si>
    <t>P33aa</t>
  </si>
  <si>
    <t>P33ab</t>
  </si>
  <si>
    <t>tP4i</t>
  </si>
  <si>
    <t>Parameter_1</t>
  </si>
  <si>
    <t>Parameter_2</t>
  </si>
  <si>
    <t>Parameter_3</t>
  </si>
  <si>
    <t>Parameter_4</t>
  </si>
  <si>
    <t>Generated_MSW</t>
  </si>
  <si>
    <t>Collected_MSW</t>
  </si>
  <si>
    <t>Generated_MSW_trib</t>
  </si>
  <si>
    <t>Collected_MSW_trib</t>
  </si>
  <si>
    <t>MSW collected (tributary model)</t>
  </si>
  <si>
    <t>MSW generated (tributary model)</t>
  </si>
  <si>
    <t>MSW collected for diposal (tributary model)</t>
  </si>
  <si>
    <t>Dry_recy_form_trib</t>
  </si>
  <si>
    <t>Dry recyclables collected by formal sector (tributary model)</t>
  </si>
  <si>
    <t>Other_recv_trib</t>
  </si>
  <si>
    <t>Incin_trib</t>
  </si>
  <si>
    <t>Treat_recover_trib</t>
  </si>
  <si>
    <t>MSW collected for treatment or recovery (tributary model)</t>
  </si>
  <si>
    <t>Controlled_disp_trib</t>
  </si>
  <si>
    <t>Uncollected_trib</t>
  </si>
  <si>
    <t>Uncontrolled_disp_trib</t>
  </si>
  <si>
    <t>Controlled disposal of MSW (tributary model)</t>
  </si>
  <si>
    <t>Uncollected MSW (tributary model)</t>
  </si>
  <si>
    <t>Uncontrolled disposal of MSW (tributary model)</t>
  </si>
  <si>
    <t>MSW generated</t>
  </si>
  <si>
    <t>Generated_MSW_exc_litter</t>
  </si>
  <si>
    <t>Generated MSW excluding uncollected litter</t>
  </si>
  <si>
    <t>Uncollected MSW</t>
  </si>
  <si>
    <t>Uncollected_MSW</t>
  </si>
  <si>
    <t>Collected MSW</t>
  </si>
  <si>
    <t>Collection system debris emissions</t>
  </si>
  <si>
    <t>Col_deliver</t>
  </si>
  <si>
    <t>Collected and delivered MSW</t>
  </si>
  <si>
    <t>Collected MSW for disposal</t>
  </si>
  <si>
    <t>Treat_recover_MSW</t>
  </si>
  <si>
    <t>Collected MSW for treatment or recovery</t>
  </si>
  <si>
    <t>Uncontrolled_disp</t>
  </si>
  <si>
    <t>Uncontrolled disposal of MSW</t>
  </si>
  <si>
    <t>Controlled_disp</t>
  </si>
  <si>
    <t>Controlled disposal of MSW</t>
  </si>
  <si>
    <t>Other_treat_MSW</t>
  </si>
  <si>
    <t>Dry_recy</t>
  </si>
  <si>
    <t>Collected for dry recycling</t>
  </si>
  <si>
    <t>Informal sector collection for dry recycling</t>
  </si>
  <si>
    <t>Formal sector collection for dry recycling</t>
  </si>
  <si>
    <t>Disp_MSW</t>
  </si>
  <si>
    <t>Disp_MSW_trib</t>
  </si>
  <si>
    <t>Disp_uncontrolled_unburnt</t>
  </si>
  <si>
    <t>Uncontrolled disposal of MSW unburnt</t>
  </si>
  <si>
    <t>Uncontrolled disposal of MSW openly burnt</t>
  </si>
  <si>
    <t>Disp_uncontrolled_burnt</t>
  </si>
  <si>
    <t>Disp_uncontrolled_unburnt_retained</t>
  </si>
  <si>
    <t>Uncontrolled disposal of MSW unburnt and retained</t>
  </si>
  <si>
    <t>Disposal system MSW debris emissions</t>
  </si>
  <si>
    <t>Uncol_unburnt</t>
  </si>
  <si>
    <t>Uncollected MSW unburnt</t>
  </si>
  <si>
    <t>Uncol_burnt</t>
  </si>
  <si>
    <t>Uncollected MSW openly burnt</t>
  </si>
  <si>
    <t>Misman</t>
  </si>
  <si>
    <t>Mismanaged MSW</t>
  </si>
  <si>
    <t>Litter_plastic</t>
  </si>
  <si>
    <t>Uncollected plastic litter</t>
  </si>
  <si>
    <t>Uncollected rigid plastic litter</t>
  </si>
  <si>
    <t>Uncollected flexible plastic litter</t>
  </si>
  <si>
    <t>Col_emissions_plastic</t>
  </si>
  <si>
    <t>Collection system plastic debris emissions</t>
  </si>
  <si>
    <t>Col_emissions_rigid</t>
  </si>
  <si>
    <t>Litter_flex</t>
  </si>
  <si>
    <t>Litter_rigid</t>
  </si>
  <si>
    <t>Col_emissions_flex</t>
  </si>
  <si>
    <t>Collection system rigid plastic debris emissions</t>
  </si>
  <si>
    <t>Collection system flexible plastic debris emissions</t>
  </si>
  <si>
    <t>Dry_recy_inf_plastic</t>
  </si>
  <si>
    <t>Informal sector collection of plastic for dry recycling</t>
  </si>
  <si>
    <t>Informal sector collection of rigid plastic for dry recycling</t>
  </si>
  <si>
    <t>Informal sector collection of flexible plastic for dry recycling</t>
  </si>
  <si>
    <t>Formal sector collection of plastic for dry recycling</t>
  </si>
  <si>
    <t>Formal sector collection of rigid plastic for dry recycling</t>
  </si>
  <si>
    <t>Formal sector collection of flexible plastic for dry recycling</t>
  </si>
  <si>
    <t>Dry_recy_inf_rigid</t>
  </si>
  <si>
    <t>Dry_recy_inf_flex</t>
  </si>
  <si>
    <t>Dry_recy_form_plastic</t>
  </si>
  <si>
    <t>Dry_recy_form_rigid</t>
  </si>
  <si>
    <t>Dry_recy_form_flex</t>
  </si>
  <si>
    <t>Disp_emissions_plastic</t>
  </si>
  <si>
    <t>Disposal system plastic debris emissions</t>
  </si>
  <si>
    <t>Disp_emissions_rigid</t>
  </si>
  <si>
    <t>Disp_emissions_flex</t>
  </si>
  <si>
    <t>Disposal system plastic rigid debris emissions</t>
  </si>
  <si>
    <t>Disposal system plastic flexible debris emissions</t>
  </si>
  <si>
    <t>Uncol_unburnt_plastic</t>
  </si>
  <si>
    <t>Uncol_unburnt_rigid</t>
  </si>
  <si>
    <t>Uncol_unburnt_flex</t>
  </si>
  <si>
    <t xml:space="preserve">Uncollected unburnt plastic </t>
  </si>
  <si>
    <t xml:space="preserve">Uncollected unburnt rigid plastic </t>
  </si>
  <si>
    <t xml:space="preserve">Uncollected unburnt flexible plastic </t>
  </si>
  <si>
    <t>Dry_recy_inf_loss_rigid</t>
  </si>
  <si>
    <t>Dry_recy_inf_loss_flex</t>
  </si>
  <si>
    <t>Sorting losses of rigid plastic from informal collection for dry recycling</t>
  </si>
  <si>
    <t>Sorting losses of flexible plastic from informal collection for dry recycling</t>
  </si>
  <si>
    <t>Dry_recy_inf_sorted_rigid</t>
  </si>
  <si>
    <t>Dry_recy_inf_sorted_flex</t>
  </si>
  <si>
    <t>Sorted rigid plastic from informal collection for dry recycling</t>
  </si>
  <si>
    <t>Sorted flexible plastic from informal collection for dry recycling</t>
  </si>
  <si>
    <t>Dry_recy_form_loss_rigid</t>
  </si>
  <si>
    <t>Dry_recy_form_loss_flex</t>
  </si>
  <si>
    <t>Dry_recy_form_sorted_rigid</t>
  </si>
  <si>
    <t>Dry_recy_form_sorted_flex</t>
  </si>
  <si>
    <t>Sorting losses of rigid plastic from formal collection for dry recycling</t>
  </si>
  <si>
    <t>Sorting losses of flexible plastic from formal collection for dry recycling</t>
  </si>
  <si>
    <t>Sorted rigid plastic from formal collection for dry recycling</t>
  </si>
  <si>
    <t>Sorted flexible plastic from formal collection for dry recycling</t>
  </si>
  <si>
    <t>Dry_recy_inf_loss_mis_rigid</t>
  </si>
  <si>
    <t>Dry_recy_inf_loss_mis_flex</t>
  </si>
  <si>
    <t>Dry_recy_inf_loss_man_rigid</t>
  </si>
  <si>
    <t>Dry_recy_inf_loss_man_flex</t>
  </si>
  <si>
    <t>Mismanaged sorting losses of rigid plastic from informal collection for dry recycling</t>
  </si>
  <si>
    <t>Mismanaged sorting losses of flexible plastic from informal collection for dry recycling</t>
  </si>
  <si>
    <t>Managed sorting losses of rigid plastic from informal collection for dry recycling</t>
  </si>
  <si>
    <t>Managed sorting losses of flexible plastic from informal collection for dry recycling</t>
  </si>
  <si>
    <t>Dry_recy_form_loss_mis_rigid</t>
  </si>
  <si>
    <t>Dry_recy_form_loss_mis_flex</t>
  </si>
  <si>
    <t>Dry_recy_form_loss_man_rigid</t>
  </si>
  <si>
    <t>Dry_recy_form_loss_man_flex</t>
  </si>
  <si>
    <t>Mismanaged sorting losses of rigid plastic from formal collection for dry recycling</t>
  </si>
  <si>
    <t>Mismanaged sorting losses of flexible plastic from formal collection for dry recycling</t>
  </si>
  <si>
    <t>Managed sorting losses of rigid plastic from formal collection for dry recycling</t>
  </si>
  <si>
    <t>Managed sorting losses of flexible plastic from formal collection for dry recycling</t>
  </si>
  <si>
    <t>Dry_recy_inf_loss_mis_burnt_rigid</t>
  </si>
  <si>
    <t>Dry_recy_inf_loss_mis_burnt_flex</t>
  </si>
  <si>
    <t>Dry_recy_inf_loss_mis_unburnt_rigid</t>
  </si>
  <si>
    <t>Dry_recy_inf_loss_mis_unburnt_flex</t>
  </si>
  <si>
    <t>Dry_recy_form_loss_mis_burnt_rigid</t>
  </si>
  <si>
    <t>Dry_recy_form_loss_mis_burnt_flex</t>
  </si>
  <si>
    <t>Dry_recy_form_loss_mis_unburnt_rigid</t>
  </si>
  <si>
    <t>Dry_recy_form_loss_mis_unburnt_flex</t>
  </si>
  <si>
    <t>Informal sector mismanaged sorting losses of rigid plastic open burnt</t>
  </si>
  <si>
    <t>Informal sector mismanaged sorting losses of flexible plastic open burnt</t>
  </si>
  <si>
    <t>Informal sector mismanaged sorting losses of rigid plastic unburnt</t>
  </si>
  <si>
    <t>Informal sector mismanaged sorting losses of flexible plastic unburnt</t>
  </si>
  <si>
    <t>Formal sector mismanaged sorting losses of rigid plastic open burnt</t>
  </si>
  <si>
    <t>Formal sector mismanaged sorting losses of flexible plastic open burnt</t>
  </si>
  <si>
    <t>Formal sector mismanaged sorting losses of rigid plastic unburnt</t>
  </si>
  <si>
    <t>Formal sector mismanaged sorting losses of flexible plastic unburnt</t>
  </si>
  <si>
    <t>Unique_ID</t>
  </si>
  <si>
    <t>NA</t>
  </si>
  <si>
    <t>ISO3</t>
  </si>
  <si>
    <t>Country</t>
  </si>
  <si>
    <t>Name_1</t>
  </si>
  <si>
    <t>Name_2</t>
  </si>
  <si>
    <t>Waste_gen_rate_trib</t>
  </si>
  <si>
    <t>Waste generation rate (tributary model)</t>
  </si>
  <si>
    <t>tC1</t>
  </si>
  <si>
    <t>Col_cov_trib</t>
  </si>
  <si>
    <t>Collection coverage (tributary model)</t>
  </si>
  <si>
    <t>tC2i</t>
  </si>
  <si>
    <t>tC2ii</t>
  </si>
  <si>
    <t>tC2iii</t>
  </si>
  <si>
    <t>% of MSW generated</t>
  </si>
  <si>
    <t>Formal sector collection of MSW for dry recycling (tributary model)</t>
  </si>
  <si>
    <t>% of MSW collected</t>
  </si>
  <si>
    <t>Collected MSW for recovery</t>
  </si>
  <si>
    <t>Collected MSW for incineration</t>
  </si>
  <si>
    <t>Form_dry_recy_trib</t>
  </si>
  <si>
    <t>tC3</t>
  </si>
  <si>
    <t>Plastic_MSW</t>
  </si>
  <si>
    <t>Plastic in MSW</t>
  </si>
  <si>
    <t>% of waste generated</t>
  </si>
  <si>
    <t>Cont_disp_trib</t>
  </si>
  <si>
    <t>% of disposed MSW</t>
  </si>
  <si>
    <t>tP4ii</t>
  </si>
  <si>
    <t>tP4iii</t>
  </si>
  <si>
    <t>Other recovery of MSW (tributary model)</t>
  </si>
  <si>
    <t>Incineration (tributary model)</t>
  </si>
  <si>
    <t>P12i</t>
  </si>
  <si>
    <t>Other treatement of MSW (composting, AD)</t>
  </si>
  <si>
    <t>P12ii</t>
  </si>
  <si>
    <t>Incin</t>
  </si>
  <si>
    <t>Incineration</t>
  </si>
  <si>
    <t>P17a</t>
  </si>
  <si>
    <t>P17aa</t>
  </si>
  <si>
    <t>P17ab</t>
  </si>
  <si>
    <t>Disp_uncontrolled_burnt_plastic</t>
  </si>
  <si>
    <t>Disp_uncontrolled_burnt_rigid</t>
  </si>
  <si>
    <t>Disp_uncontrolled_burnt_flex</t>
  </si>
  <si>
    <t>Uncontrolled disposal of plastic openly burnt</t>
  </si>
  <si>
    <t>Uncontrolled disposal of rigid plastic openly burnt</t>
  </si>
  <si>
    <t>Uncontrolled disposal of flexible plastic openly burnt</t>
  </si>
  <si>
    <t>P21a</t>
  </si>
  <si>
    <t>P21aa</t>
  </si>
  <si>
    <t>P21ab</t>
  </si>
  <si>
    <t>Uncol_burnt_plastic</t>
  </si>
  <si>
    <t>Uncollected plastic openly burnt</t>
  </si>
  <si>
    <t>Uncol_burnt_rigid</t>
  </si>
  <si>
    <t>Uncol_burnt_flex</t>
  </si>
  <si>
    <t>Uncollected rigid plastic openly burnt</t>
  </si>
  <si>
    <t>Uncollected flexible plastic openly burnt</t>
  </si>
  <si>
    <t>Income_level</t>
  </si>
  <si>
    <t>HIC</t>
  </si>
  <si>
    <t>LMC</t>
  </si>
  <si>
    <t>LIC</t>
  </si>
  <si>
    <t>UMC</t>
  </si>
  <si>
    <t>Income_level_ID</t>
  </si>
  <si>
    <t>MSW generation rate</t>
  </si>
  <si>
    <t>% MSW generation</t>
  </si>
  <si>
    <t>Output_ID</t>
  </si>
  <si>
    <t>Output_short_name</t>
  </si>
  <si>
    <t>Output_long_name</t>
  </si>
  <si>
    <t>Plastic_debris_emissions</t>
  </si>
  <si>
    <t>Plastic_emissions</t>
  </si>
  <si>
    <t>People_without_collection</t>
  </si>
  <si>
    <t>People without MSW collection</t>
  </si>
  <si>
    <t>People</t>
  </si>
  <si>
    <t>C2</t>
  </si>
  <si>
    <t>C4</t>
  </si>
  <si>
    <t>C5</t>
  </si>
  <si>
    <t>C6i</t>
  </si>
  <si>
    <t>C6iii</t>
  </si>
  <si>
    <t>C7</t>
  </si>
  <si>
    <t>C13</t>
  </si>
  <si>
    <t>C25aa</t>
  </si>
  <si>
    <t>C25ab</t>
  </si>
  <si>
    <t>C26aa</t>
  </si>
  <si>
    <t>C26ab</t>
  </si>
  <si>
    <t>Uncollected litter as % of generated MSW</t>
  </si>
  <si>
    <t>Uncol_litter_pct</t>
  </si>
  <si>
    <t xml:space="preserve">Collected MSW as % of generated MSW exc. uncollected litter </t>
  </si>
  <si>
    <t>MSW_col_pct</t>
  </si>
  <si>
    <t xml:space="preserve">Debris emissions from collection system as % of collected MSW </t>
  </si>
  <si>
    <t>Collected MSW for recovery as % of collected &amp; delivered MSW</t>
  </si>
  <si>
    <t>MSW_recv_pct</t>
  </si>
  <si>
    <t>Col_sys_deb_em_pct</t>
  </si>
  <si>
    <t xml:space="preserve">Controlled disposal of MSW as % of collected MSW for disposal </t>
  </si>
  <si>
    <t>Cont_disp_pct</t>
  </si>
  <si>
    <t>MSW_recy_pct</t>
  </si>
  <si>
    <t>Collected MSW for dry recycling as % of collected MSW for recovery</t>
  </si>
  <si>
    <t>Comp_pct</t>
  </si>
  <si>
    <t>Composting and AD as % of collected MSW for recovery</t>
  </si>
  <si>
    <t>Incin_pct</t>
  </si>
  <si>
    <t>Incineration as % of collected MSW for recovery</t>
  </si>
  <si>
    <t xml:space="preserve">Collected MSW for dry recycling by formal sector as % of collected MSW for dry recycling </t>
  </si>
  <si>
    <t>Form_dry_recy_pct</t>
  </si>
  <si>
    <t xml:space="preserve">Open burning of uncontrolled disposal of MSW as % of uncontrolled disposal of MSW </t>
  </si>
  <si>
    <t>Disp_open_burn_pct</t>
  </si>
  <si>
    <t xml:space="preserve">Debris emissions from uncontrolled disposal as a % of uncontrolled disposal of MSW unburnt </t>
  </si>
  <si>
    <t>Disp_debris_em_pct</t>
  </si>
  <si>
    <t xml:space="preserve">Uncollected MSW open burnt as % of uncollected MSW </t>
  </si>
  <si>
    <t>Uncol_burnt_pct</t>
  </si>
  <si>
    <t>Plastic in litter as % of uncollected litter</t>
  </si>
  <si>
    <t>Uncol_litter_plas_pct</t>
  </si>
  <si>
    <t xml:space="preserve">Plastic in collection system debris emissions as % of collection system MSW debris emissions </t>
  </si>
  <si>
    <t>Col_sys_deb_em_plas_pct</t>
  </si>
  <si>
    <t xml:space="preserve">Disposal system plastic debris emissions as % of disposal system MSW debris emissions of MSW </t>
  </si>
  <si>
    <t>Disp_debris_em_plas_pct</t>
  </si>
  <si>
    <t xml:space="preserve">Plastic collected by informal sector as % of informal sector collection of MSW for dry recycling </t>
  </si>
  <si>
    <t>Inf_plas_col_pct</t>
  </si>
  <si>
    <t xml:space="preserve">Plastic collected by formal sector as % of formal sector collection of MSW for dry recycling </t>
  </si>
  <si>
    <t>Form_plas_col_pct</t>
  </si>
  <si>
    <t xml:space="preserve">Rigid plastic in uncollected litter as % of uncollected plastic litter </t>
  </si>
  <si>
    <t>Uncol_litter_plas_rig_pct</t>
  </si>
  <si>
    <t xml:space="preserve">Uncollected rigid plastic unburnt as % uncollected plastics unburnt </t>
  </si>
  <si>
    <t>Uncol_unburnt_plas_pct</t>
  </si>
  <si>
    <t>Uncol_unburnt_plas_rig_pct</t>
  </si>
  <si>
    <t xml:space="preserve">Rigid plastic collection system debris emissions as % of collection system plastic debris emissions </t>
  </si>
  <si>
    <t>Col_sys_deb_em_plas_rig_pct</t>
  </si>
  <si>
    <t xml:space="preserve">Disposal system rigid plastic debris emissions as % disposal system plastic debris emissions </t>
  </si>
  <si>
    <t>Disp_debris_em_plas_rig_pct</t>
  </si>
  <si>
    <t xml:space="preserve">Rigid plastic in informal collection for recycling as % of informal sector collection of plastic for dry recycling </t>
  </si>
  <si>
    <t>Inf_plas_rig_col_pct</t>
  </si>
  <si>
    <t>Form_plas_rig_col_pct</t>
  </si>
  <si>
    <t xml:space="preserve">Rigid plastic in formal collection for recycling as % of formal sector collection of plastic for dry recycling </t>
  </si>
  <si>
    <t xml:space="preserve">Informal sector sorting losses of rigid plastic as % of informal collection of rigid plastic for dry recycling </t>
  </si>
  <si>
    <t>Inf_rig_sort_loss_pct</t>
  </si>
  <si>
    <t xml:space="preserve">Informal sector sorting losses of flexible plastic as % of informal collection of flexible plastic for dry recycling </t>
  </si>
  <si>
    <t>Inf_flex_sort_loss_pct</t>
  </si>
  <si>
    <t xml:space="preserve">Formal sector sorting losses of rigid plastic as % of formal collection of rigid plastic for dry recycling </t>
  </si>
  <si>
    <t>Form_rig_sort_loss_pct</t>
  </si>
  <si>
    <t>Form_flex_sort_loss_pct</t>
  </si>
  <si>
    <t>Formal sector sorting losses of flexible plastic as % of formal collection of flexible plastic for dry recycling</t>
  </si>
  <si>
    <t xml:space="preserve">Informal mismanaged sorting losses of rigid plastic as % of sorting losses of rigid plastic from informal collection for dry recycling </t>
  </si>
  <si>
    <t>Inf_rig_mis_sort_loss_pct</t>
  </si>
  <si>
    <t xml:space="preserve">Informal mismanaged sorting losses of flexible plastic as % of sorting losses of flexible plastic from informal collection for dry recycling </t>
  </si>
  <si>
    <t>Inf_flex_mis_sort_loss_pct</t>
  </si>
  <si>
    <t xml:space="preserve">Formal mismanaged sorting losses of rigid plastic as % of sorting losses of rigid plastic from formal collection for dry recycling </t>
  </si>
  <si>
    <t>Formal mismanaged sorting losses of flexible plastic as % of sorting losses of flexible plastic from formal collection for dry recycling</t>
  </si>
  <si>
    <t>Form_rig_mis_sort_loss_pct</t>
  </si>
  <si>
    <t>Form_flex_mis_sort_loss_pct</t>
  </si>
  <si>
    <t xml:space="preserve">Informal mismanaged sorting losses of rigid plastic openly burnt as % of mismanaged sorting losses of rigid plastic from informal collection for dry recycling </t>
  </si>
  <si>
    <t>Inf_rig_mis_sort_loss_burnt_pct</t>
  </si>
  <si>
    <t>Inf_flex_mis_sort_loss_burnt_pct</t>
  </si>
  <si>
    <t>Form_rig_mis_sort_loss_burnt_pct</t>
  </si>
  <si>
    <t>Form_flex_mis_sort_loss_burnt_pct</t>
  </si>
  <si>
    <t xml:space="preserve">Informal mismanaged sorting losses of flexible plastic openly burnt as % of mismanaged sorting losses of flexible plastic from informal collection for dry recycling </t>
  </si>
  <si>
    <t xml:space="preserve">Formal mismanaged sorting losses of rigid plastic openly burnt as % of mismanaged sorting losses of rigid plastic from formal collection for dry recycling </t>
  </si>
  <si>
    <t xml:space="preserve">Formal mismanaged sorting losses of flexible plastic openly burnt as % of mismanaged sorting losses of flexible plastic from formal collection for dry recycling </t>
  </si>
  <si>
    <t>C6ii</t>
  </si>
  <si>
    <t>open_burn_MSW</t>
  </si>
  <si>
    <t>plas_em</t>
  </si>
  <si>
    <t>plas_debris_em</t>
  </si>
  <si>
    <t>plas_litter_em</t>
  </si>
  <si>
    <t>plas_collection_em</t>
  </si>
  <si>
    <t>people_no_col</t>
  </si>
  <si>
    <t>Process_ID</t>
  </si>
  <si>
    <t>Process_short_name</t>
  </si>
  <si>
    <t>Process_long_name</t>
  </si>
  <si>
    <t>Coeff_ID</t>
  </si>
  <si>
    <t>Coeff_short_name</t>
  </si>
  <si>
    <t>Coeff_long_name</t>
  </si>
  <si>
    <t>Controlled disposal of MSW as percentage of MSW generation</t>
  </si>
  <si>
    <t>Controlled disposal of MSW as percentage of MSW disposed</t>
  </si>
  <si>
    <t>WP</t>
  </si>
  <si>
    <t>WPp</t>
  </si>
  <si>
    <t>Num_WP</t>
  </si>
  <si>
    <t>Number of waste pickers</t>
  </si>
  <si>
    <t>WP_prod</t>
  </si>
  <si>
    <t>Waste pickers productivity</t>
  </si>
  <si>
    <t>tonnnes/cap/year</t>
  </si>
  <si>
    <t>C11a</t>
  </si>
  <si>
    <t>C0</t>
  </si>
  <si>
    <t>C0a</t>
  </si>
  <si>
    <t>Rigid plastic in MSW</t>
  </si>
  <si>
    <t>Rigid_plastic_MSW</t>
  </si>
  <si>
    <t>% of plastic generation</t>
  </si>
  <si>
    <t>C14a</t>
  </si>
  <si>
    <t>Uniform</t>
  </si>
  <si>
    <t>Parameter_1_name</t>
  </si>
  <si>
    <t>Parameter_2_name</t>
  </si>
  <si>
    <t>Parameter_3_name</t>
  </si>
  <si>
    <t>Parameter_4_name</t>
  </si>
  <si>
    <t>ID</t>
  </si>
  <si>
    <t>SS_UC_HIC</t>
  </si>
  <si>
    <t>SS_DU_HIC</t>
  </si>
  <si>
    <t>SS_SDU_HIC</t>
  </si>
  <si>
    <t>SS_SU_HIC</t>
  </si>
  <si>
    <t>SS_RU_HIC</t>
  </si>
  <si>
    <t>SS_UC_UMC</t>
  </si>
  <si>
    <t>SS_DU_UMC</t>
  </si>
  <si>
    <t>SS_SDU_UMC</t>
  </si>
  <si>
    <t>SS_SU_UMC</t>
  </si>
  <si>
    <t>SS_RU_UMC</t>
  </si>
  <si>
    <t>SS_UC_LMC</t>
  </si>
  <si>
    <t>SS_DU_LMC</t>
  </si>
  <si>
    <t>SS_SDU_LMC</t>
  </si>
  <si>
    <t>SS_SU_LMC</t>
  </si>
  <si>
    <t>SS_RU_LMC</t>
  </si>
  <si>
    <t>SS_UC_LIC</t>
  </si>
  <si>
    <t>SS_DU_LIC</t>
  </si>
  <si>
    <t>SS_SDU_LIC</t>
  </si>
  <si>
    <t>SS_SU_LIC</t>
  </si>
  <si>
    <t>SS_RU_LIC</t>
  </si>
  <si>
    <t>WP_1</t>
  </si>
  <si>
    <t>WP_2</t>
  </si>
  <si>
    <t>WP_3</t>
  </si>
  <si>
    <t>WPp_1</t>
  </si>
  <si>
    <t>WPp_2</t>
  </si>
  <si>
    <t>C0a_1</t>
  </si>
  <si>
    <t>C0a_2</t>
  </si>
  <si>
    <t>C3i_1</t>
  </si>
  <si>
    <t>C3i_2</t>
  </si>
  <si>
    <t>C3i_3</t>
  </si>
  <si>
    <t>C3i_4</t>
  </si>
  <si>
    <t>C3i</t>
  </si>
  <si>
    <t>Col_emissions_before_sweep</t>
  </si>
  <si>
    <t>Debris emissions from collection system prior to street sweeping</t>
  </si>
  <si>
    <t>C10_1</t>
  </si>
  <si>
    <t>C10_2</t>
  </si>
  <si>
    <t>C11_1</t>
  </si>
  <si>
    <t>C11_2</t>
  </si>
  <si>
    <t>C11_3</t>
  </si>
  <si>
    <t>C11_4</t>
  </si>
  <si>
    <t>C14_1</t>
  </si>
  <si>
    <t>C14_2</t>
  </si>
  <si>
    <t>C14_3</t>
  </si>
  <si>
    <t>C14_4</t>
  </si>
  <si>
    <t>C15_1</t>
  </si>
  <si>
    <t>C15_2</t>
  </si>
  <si>
    <t>C15_3</t>
  </si>
  <si>
    <t>C15_4</t>
  </si>
  <si>
    <t>C16_1</t>
  </si>
  <si>
    <t>C16_2</t>
  </si>
  <si>
    <t>C16_3</t>
  </si>
  <si>
    <t>C16_4</t>
  </si>
  <si>
    <t>C11a_1</t>
  </si>
  <si>
    <t>C11a_2</t>
  </si>
  <si>
    <t>C11a_3</t>
  </si>
  <si>
    <t>C11a_4</t>
  </si>
  <si>
    <t>C14a_1</t>
  </si>
  <si>
    <t>C14a_2</t>
  </si>
  <si>
    <t>C14a_3</t>
  </si>
  <si>
    <t>C14a_4</t>
  </si>
  <si>
    <t>C21a_1</t>
  </si>
  <si>
    <t>C21a_2</t>
  </si>
  <si>
    <t>C23aa_1</t>
  </si>
  <si>
    <t>C23aa_2</t>
  </si>
  <si>
    <t>C23aa_3</t>
  </si>
  <si>
    <t>C23aa_4</t>
  </si>
  <si>
    <t>C23ab_1</t>
  </si>
  <si>
    <t>C23ab_2</t>
  </si>
  <si>
    <t>C23ab_3</t>
  </si>
  <si>
    <t>C23ab_4</t>
  </si>
  <si>
    <t>C24aa_1</t>
  </si>
  <si>
    <t>C24aa_2</t>
  </si>
  <si>
    <t>C24aa_3</t>
  </si>
  <si>
    <t>C24aa_4</t>
  </si>
  <si>
    <t>C24ab_1</t>
  </si>
  <si>
    <t>C24ab_2</t>
  </si>
  <si>
    <t>C24ab_3</t>
  </si>
  <si>
    <t>C24ab_4</t>
  </si>
  <si>
    <t>WP_4</t>
  </si>
  <si>
    <t>Uncol_burnt_plas_pct</t>
  </si>
  <si>
    <t xml:space="preserve">Uncollected plastic burnt as % of uncollected MSW burnt </t>
  </si>
  <si>
    <t>C12a</t>
  </si>
  <si>
    <t>Uncol_burnt_plas_rig_pct</t>
  </si>
  <si>
    <t xml:space="preserve">Uncollected rigid plastic burnt as % uncollected plastics burnt </t>
  </si>
  <si>
    <t>C13a</t>
  </si>
  <si>
    <t>Uncon_disp_burnt_plas_pct</t>
  </si>
  <si>
    <t>Plastic in uncontrolled disposal of MSW burnt as % of uncontrolled diposal of MSW burnt</t>
  </si>
  <si>
    <t>C17</t>
  </si>
  <si>
    <t>Uncon_disp_burnt_plas_rig_pct</t>
  </si>
  <si>
    <t>Rigid plastic in uncontrolled disposal of MSW burnt as % of uncontrolled diposal of plastic burnt</t>
  </si>
  <si>
    <t>Rurality</t>
  </si>
  <si>
    <t>Dense urban</t>
  </si>
  <si>
    <t>Urban centre</t>
  </si>
  <si>
    <t>Semidense urban</t>
  </si>
  <si>
    <t>Suburban</t>
  </si>
  <si>
    <t>Rural</t>
  </si>
  <si>
    <t>C8_1</t>
  </si>
  <si>
    <t>C8_2</t>
  </si>
  <si>
    <t>C8_3</t>
  </si>
  <si>
    <t>C8_4</t>
  </si>
  <si>
    <t>C9_1</t>
  </si>
  <si>
    <t>C9_2</t>
  </si>
  <si>
    <t>C9_3</t>
  </si>
  <si>
    <t>C9_4</t>
  </si>
  <si>
    <t>C18</t>
  </si>
  <si>
    <t>Plastic in MSW as % of MSW generation</t>
  </si>
  <si>
    <t>Rigid plastic in MSW as % of plastic generation</t>
  </si>
  <si>
    <t>Rigid_plastic</t>
  </si>
  <si>
    <t>Plastic in uncollected MSW unburnt as % of uncollected MSW unburnt</t>
  </si>
  <si>
    <t>Unit:</t>
  </si>
  <si>
    <t>Rural_share</t>
  </si>
  <si>
    <t>DEGURBA_L1</t>
  </si>
  <si>
    <t>DEGURBA_L2</t>
  </si>
  <si>
    <t>Corruption_perception_index</t>
  </si>
  <si>
    <t>Year</t>
  </si>
  <si>
    <t>% of munic. population</t>
  </si>
  <si>
    <t>L1 DEGURBA class</t>
  </si>
  <si>
    <t>L2 DEGURBA class</t>
  </si>
  <si>
    <t>pwg</t>
  </si>
  <si>
    <t>Plastic_waste_gen</t>
  </si>
  <si>
    <t>Plastic waste generation</t>
  </si>
  <si>
    <t>% MSW generation exc. uncollected litter</t>
  </si>
  <si>
    <t>Plastic_litter_em</t>
  </si>
  <si>
    <t>Plastic collection system emissions</t>
  </si>
  <si>
    <t>Plastic disposal system emissions</t>
  </si>
  <si>
    <t>wg</t>
  </si>
  <si>
    <t>Waste_gen</t>
  </si>
  <si>
    <t>MSW generation</t>
  </si>
  <si>
    <t>Uncontrolled disposal of MSW as percentage of MSW generation</t>
  </si>
  <si>
    <t>cont_disp_pct_disp</t>
  </si>
  <si>
    <t>col_del_pct_gen</t>
  </si>
  <si>
    <t>cont_disp_pct_gen</t>
  </si>
  <si>
    <t>uncont_disp_pct_gen</t>
  </si>
  <si>
    <t>compost_pct_gen</t>
  </si>
  <si>
    <t>incin_pct_gen</t>
  </si>
  <si>
    <t>recy_pct_gen</t>
  </si>
  <si>
    <t>man_cont_pct_gen</t>
  </si>
  <si>
    <t>open_burn_MSW_pct_gen</t>
  </si>
  <si>
    <t>plas_burn_em</t>
  </si>
  <si>
    <t>plas_debris_em_pct_em</t>
  </si>
  <si>
    <t>plas_burn_em_pct_em</t>
  </si>
  <si>
    <t>Plastic_debris_emissions_pct_emissions</t>
  </si>
  <si>
    <t>Collection_delivered_pct_gen</t>
  </si>
  <si>
    <t>col_cov_pct_gen_exc_lit</t>
  </si>
  <si>
    <t>MSW collected and delivered as percent of total waste generation</t>
  </si>
  <si>
    <t>MSW collection coverage (service coverage) as percent of generation excluding uncollected litter</t>
  </si>
  <si>
    <t>Collection_coverage_pct_gen_exc_litter</t>
  </si>
  <si>
    <t>Controlled_disp_pct_gen</t>
  </si>
  <si>
    <t>Uncontrolled_disp_pct_gen</t>
  </si>
  <si>
    <t>Composting_pct_gen</t>
  </si>
  <si>
    <t>Incineration_pct_gen</t>
  </si>
  <si>
    <t>Recycling_pct_gen</t>
  </si>
  <si>
    <t>Controlled_disp_pct_disp</t>
  </si>
  <si>
    <t>Managed_controlled_facilities_pct_gen</t>
  </si>
  <si>
    <t>MSW managed in controlled facilities (SDG11.6.1)</t>
  </si>
  <si>
    <t>Openly_burnt_plastic_pct_emissions</t>
  </si>
  <si>
    <t>Plastic debris emissions</t>
  </si>
  <si>
    <t>Plastic debris emissions as percentage of plastic emissions</t>
  </si>
  <si>
    <t>Openly burnt plastic emissions as percentage of plastic emissions</t>
  </si>
  <si>
    <t>plas_debris_em_per_cap</t>
  </si>
  <si>
    <t>wg_per_cap</t>
  </si>
  <si>
    <t>Plastic_openly_burned</t>
  </si>
  <si>
    <t>Openly_burned_MSW</t>
  </si>
  <si>
    <t>Openly_burned_MSW_pct_gen</t>
  </si>
  <si>
    <t>MSW openly burned (includes burning of plastic sorting rejects)</t>
  </si>
  <si>
    <t>MSW openly burned as pct of gen (includes burning of plastic sorting rejects)</t>
  </si>
  <si>
    <t>Openly burned plastic emissions</t>
  </si>
  <si>
    <t>Plastic_debris_emissions_per_cap</t>
  </si>
  <si>
    <t>Waste_gen_per_cap</t>
  </si>
  <si>
    <t>Plastic_emissions_per_cap</t>
  </si>
  <si>
    <t>Per capita plastic debris emissions</t>
  </si>
  <si>
    <t>Per capita plastic emissions (debris + openly burned)</t>
  </si>
  <si>
    <t>Plastic emissions (debris + openly burned)</t>
  </si>
  <si>
    <t>plas_uncol_em</t>
  </si>
  <si>
    <t>plas_disp_em</t>
  </si>
  <si>
    <t>plas_recy_em</t>
  </si>
  <si>
    <t>Plastic_collection_system_em</t>
  </si>
  <si>
    <t>Plastic_disposal_system_em</t>
  </si>
  <si>
    <t>Plastic_recycling_system_em</t>
  </si>
  <si>
    <t>Plastic_uncol_waste_em</t>
  </si>
  <si>
    <t>Plastic emissions from uncollected waste</t>
  </si>
  <si>
    <t>Plastic emissions from litter</t>
  </si>
  <si>
    <t>Plastic recycling system emissions</t>
  </si>
  <si>
    <t>plas_litter_em_pct_em</t>
  </si>
  <si>
    <t>Plastic_litter_em_pct_em</t>
  </si>
  <si>
    <t>plas_uncol_em_pct_em</t>
  </si>
  <si>
    <t>plas_collection_em_pct_em</t>
  </si>
  <si>
    <t>plas_disp_em_pct_em</t>
  </si>
  <si>
    <t>plas_recy_em_pct_em</t>
  </si>
  <si>
    <t>Plastic_uncol_waste_em_pct_em</t>
  </si>
  <si>
    <t>Plastic_collection_system_em_pct_em</t>
  </si>
  <si>
    <t>Plastic_disposal_system_em_pct_em</t>
  </si>
  <si>
    <t>Plastic_recycling_system_em_pct_em</t>
  </si>
  <si>
    <t>Plastic emissions from litter as a percentage of plastic emissions</t>
  </si>
  <si>
    <t>Plastic emissions from uncollected waste as a percentage of plastic emissions</t>
  </si>
  <si>
    <t>Plastic collection system emissions as a percentage of plastic emissions</t>
  </si>
  <si>
    <t>Plastic disposal system emissions as a percentage of plastic emissions</t>
  </si>
  <si>
    <t>Plastic recycling system emissions as a percentage of plastic emissions</t>
  </si>
  <si>
    <t>plas_uncol_deb_em_pct_em</t>
  </si>
  <si>
    <t>plas_uncol_ob_em_pct_em</t>
  </si>
  <si>
    <t>plas_disp_deb_em_pct_em</t>
  </si>
  <si>
    <t>plas_disp_ob_em_pct_em</t>
  </si>
  <si>
    <t>plas_inf_deb_em_pct_em</t>
  </si>
  <si>
    <t>plas_inf_ob_em_pct_em</t>
  </si>
  <si>
    <t>plas_form_deb_em_pct_em</t>
  </si>
  <si>
    <t>plas_form_ob_em_pct_em</t>
  </si>
  <si>
    <t>Plastic_uncol_waste_debris_em_pct_em</t>
  </si>
  <si>
    <t>Plastic_uncol_waste_burn_em_pct_em</t>
  </si>
  <si>
    <t>Plastic_disposal_system_debris_em_pct_em</t>
  </si>
  <si>
    <t>Plastic_disposal_system_burn_em_pct_em</t>
  </si>
  <si>
    <t>Plastic_informal_recycling_system_debris_em_pct_em</t>
  </si>
  <si>
    <t>Plastic_informal_recycling_system_burn_em_pct_em</t>
  </si>
  <si>
    <t>Plastic_formal_recycling_system_debris_em_pct_em</t>
  </si>
  <si>
    <t>Plastic_formal_recycling_system_burn_em_pct_em</t>
  </si>
  <si>
    <t>Openly burned plastic emissions from uncollected waste as a percentage of plastic emissions</t>
  </si>
  <si>
    <t>Debris plastic emissions from uncollected waste as a percentage of plastic emissions</t>
  </si>
  <si>
    <t>Debris plastic emissions from disposal system as a percentage of plastic emissions</t>
  </si>
  <si>
    <t>Openly burned plastic emissions from disposal system as a percentage of plastic emissions</t>
  </si>
  <si>
    <t>Debris plastic emissions from informal recycling system emissions as a percentage of plastic emissions</t>
  </si>
  <si>
    <t>Openly burned plastic emissions from informal recycling system emissions as a percentage of plastic emissions</t>
  </si>
  <si>
    <t>Openly burned plastic emissions from formal recycling system emissions as a percentage of plastic emissions</t>
  </si>
  <si>
    <t>Debris plastic emissions from formal recycling system emissions as a percentage of plastic emissions</t>
  </si>
  <si>
    <t>plas_litter_deb_em_pct_em</t>
  </si>
  <si>
    <t>Plastic_litter_debris_em_pct_em</t>
  </si>
  <si>
    <t>Debris plastic emissions from litter as a percentage of plastic emissions</t>
  </si>
  <si>
    <t>plas_collection_deb_em_pct_em</t>
  </si>
  <si>
    <t>Plastic_collection_system_debris_em_pct_em</t>
  </si>
  <si>
    <t>Debris plastic collection system emissions as a percentage of plastic emissions</t>
  </si>
  <si>
    <t>plas_em_per_cap</t>
  </si>
  <si>
    <t>Litter_pct_gen</t>
  </si>
  <si>
    <t>Litter as percentage of MSW generation</t>
  </si>
  <si>
    <t>litter_em_pct_gen</t>
  </si>
  <si>
    <t>uncol_em_pct_gen</t>
  </si>
  <si>
    <t>collection_em_pct_gen</t>
  </si>
  <si>
    <t>Uncollected_waste_pct_gen</t>
  </si>
  <si>
    <t>Collection_emissions_pct_gen</t>
  </si>
  <si>
    <t>Uncollected waste as a percentage of MSW generation</t>
  </si>
  <si>
    <t>Collection system emissions as a percentage of MSW generation</t>
  </si>
  <si>
    <t>recy_form_pct_recy</t>
  </si>
  <si>
    <t>recy_inform_pct_recy</t>
  </si>
  <si>
    <t>Recycling_formal_pct_recy</t>
  </si>
  <si>
    <t>Recycling_informal_pct_recy</t>
  </si>
  <si>
    <t>MSW collection for composting or AD as percentage of MSW generation</t>
  </si>
  <si>
    <t>MSW collection for incineration as percentage of MSW generation</t>
  </si>
  <si>
    <t>MSW collection for dry recycling as percentage of MSW generation</t>
  </si>
  <si>
    <t>MSW formal collection for dry recycling as percentage of collection for recycling</t>
  </si>
  <si>
    <t>MSW informal collection for dry recycling as percentage of collection for recycling</t>
  </si>
  <si>
    <t>% collected for recycling</t>
  </si>
  <si>
    <t>uncont_disp_pct_disp</t>
  </si>
  <si>
    <t>Uncontrolled_disp_pct_disp</t>
  </si>
  <si>
    <t>Uncontrolled disposal of MSW as percentage of MSW disposed</t>
  </si>
  <si>
    <t>plas_burn_em_per_cap</t>
  </si>
  <si>
    <t>rigid_plas_deb_em</t>
  </si>
  <si>
    <t>flex_plas_deb_em</t>
  </si>
  <si>
    <t>rigid_plas_ob_em</t>
  </si>
  <si>
    <t>flex_plas_ob_em</t>
  </si>
  <si>
    <t>rigid_plas_deb_em_pct_em</t>
  </si>
  <si>
    <t>flex_plas_deb_em_pct_em</t>
  </si>
  <si>
    <t>rigid_plas_ob_em_pct_em</t>
  </si>
  <si>
    <t>flex_plas_ob_em_pct_em</t>
  </si>
  <si>
    <t>Rigid_plastic_debris_emissions</t>
  </si>
  <si>
    <t>Flex_plastic_debris_emissions</t>
  </si>
  <si>
    <t>Rigid_plastic_openly_burned_emissions</t>
  </si>
  <si>
    <t>Flex_plastic_openly_burned_emissions</t>
  </si>
  <si>
    <t>Plastic_openly_burned_emissions_per_cap</t>
  </si>
  <si>
    <t>Per capita openly burned plastic</t>
  </si>
  <si>
    <t>Rigid_plastic_debris_emissions_pct_em</t>
  </si>
  <si>
    <t>Flex_plastic_debris_emissions_pct_em</t>
  </si>
  <si>
    <t>Rigid_plastic_openly_burned_emissions_pct_em</t>
  </si>
  <si>
    <t>Flex_plastic_openly_burned_emissions_pct_em</t>
  </si>
  <si>
    <t>Rigid plastic debris emissions</t>
  </si>
  <si>
    <t>Rigid plastic openly burned emissions</t>
  </si>
  <si>
    <t>Flexible plastic debris emissions</t>
  </si>
  <si>
    <t>Flexible plastic openly burned emissions</t>
  </si>
  <si>
    <t>Rigid plastic debris emissions as percentage of plastic emissions</t>
  </si>
  <si>
    <t>Flexible plastic debris emissions as percentage of plastic emissions</t>
  </si>
  <si>
    <t>Rigid plastic openly burned emissions as percentage of plastic emissions</t>
  </si>
  <si>
    <t>Flexible plastic openly burned emissions as percentage of plastic emissions</t>
  </si>
  <si>
    <r>
      <t>t</t>
    </r>
    <r>
      <rPr>
        <sz val="10"/>
        <color theme="1"/>
        <rFont val="Calibri"/>
        <family val="2"/>
      </rPr>
      <t>·</t>
    </r>
    <r>
      <rPr>
        <sz val="10"/>
        <color theme="1"/>
        <rFont val="Arial"/>
        <family val="2"/>
      </rPr>
      <t>y</t>
    </r>
    <r>
      <rPr>
        <vertAlign val="superscript"/>
        <sz val="10"/>
        <color theme="1"/>
        <rFont val="Arial"/>
        <family val="2"/>
      </rPr>
      <t>-1</t>
    </r>
  </si>
  <si>
    <r>
      <t>kg·cap</t>
    </r>
    <r>
      <rPr>
        <vertAlign val="superscript"/>
        <sz val="10"/>
        <color theme="1"/>
        <rFont val="Arial"/>
        <family val="2"/>
      </rPr>
      <t>-1</t>
    </r>
    <r>
      <rPr>
        <sz val="10"/>
        <color theme="1"/>
        <rFont val="Arial"/>
        <family val="2"/>
      </rPr>
      <t>·d</t>
    </r>
    <r>
      <rPr>
        <vertAlign val="superscript"/>
        <sz val="10"/>
        <color theme="1"/>
        <rFont val="Arial"/>
        <family val="2"/>
      </rPr>
      <t>-1</t>
    </r>
  </si>
  <si>
    <t>% MSW disposed</t>
  </si>
  <si>
    <r>
      <t>kg·cap</t>
    </r>
    <r>
      <rPr>
        <vertAlign val="superscript"/>
        <sz val="10"/>
        <color theme="1"/>
        <rFont val="Arial"/>
        <family val="2"/>
      </rPr>
      <t>-1</t>
    </r>
    <r>
      <rPr>
        <sz val="10"/>
        <color theme="1"/>
        <rFont val="Arial"/>
        <family val="2"/>
      </rPr>
      <t>·y</t>
    </r>
    <r>
      <rPr>
        <vertAlign val="superscript"/>
        <sz val="10"/>
        <color theme="1"/>
        <rFont val="Arial"/>
        <family val="2"/>
      </rPr>
      <t>-1</t>
    </r>
  </si>
  <si>
    <t>% plastic emissions</t>
  </si>
  <si>
    <t>Population</t>
  </si>
  <si>
    <t>UCentre_share</t>
  </si>
  <si>
    <t>UCluster_share</t>
  </si>
  <si>
    <t>DUC_share</t>
  </si>
  <si>
    <t>SDUC_share</t>
  </si>
  <si>
    <t>SUrb_share</t>
  </si>
  <si>
    <t>RC_share</t>
  </si>
  <si>
    <t>LDR_share</t>
  </si>
  <si>
    <t>VLDR_share</t>
  </si>
  <si>
    <t>tP1pc_1</t>
  </si>
  <si>
    <t>tP1pc_2</t>
  </si>
  <si>
    <t>tP1pc_3</t>
  </si>
  <si>
    <t>tP1pc_4</t>
  </si>
  <si>
    <t>tC1_1</t>
  </si>
  <si>
    <t>tC1_2</t>
  </si>
  <si>
    <t>tC1_3</t>
  </si>
  <si>
    <t>tC1_4</t>
  </si>
  <si>
    <t>tC2i_1</t>
  </si>
  <si>
    <t>tC2i_2</t>
  </si>
  <si>
    <t>tC2i_3</t>
  </si>
  <si>
    <t>tC2i_4</t>
  </si>
  <si>
    <t>tC2ii_1</t>
  </si>
  <si>
    <t>tC2ii_2</t>
  </si>
  <si>
    <t>tC2ii_3</t>
  </si>
  <si>
    <t>tC2ii_4</t>
  </si>
  <si>
    <t>tC2iii_1</t>
  </si>
  <si>
    <t>tC2iii_2</t>
  </si>
  <si>
    <t>tC2iii_3</t>
  </si>
  <si>
    <t>tC2iii_4</t>
  </si>
  <si>
    <t>tC3_1</t>
  </si>
  <si>
    <t>tC3_2</t>
  </si>
  <si>
    <t>C0_1</t>
  </si>
  <si>
    <t>C0_2</t>
  </si>
  <si>
    <t>C0_3</t>
  </si>
  <si>
    <t>C0_4</t>
  </si>
  <si>
    <t>tP1pc</t>
  </si>
  <si>
    <t>About:</t>
  </si>
  <si>
    <t>How to use this toolkit:</t>
  </si>
  <si>
    <t>Go to:</t>
  </si>
  <si>
    <t>1. MFA Inputs</t>
  </si>
  <si>
    <t>2. PDFs</t>
  </si>
  <si>
    <t>3. Street_sweep</t>
  </si>
  <si>
    <t>4. Processes</t>
  </si>
  <si>
    <t>5. Coefficients</t>
  </si>
  <si>
    <t>6. Outputs</t>
  </si>
  <si>
    <t>Municipality</t>
  </si>
  <si>
    <t>C0a_3</t>
  </si>
  <si>
    <t>C0a_4</t>
  </si>
  <si>
    <t>rigid_pwg</t>
  </si>
  <si>
    <t>Rigid_plastic_waste_gen</t>
  </si>
  <si>
    <t>Rigid plastic waste generation</t>
  </si>
  <si>
    <t>flex_pwg</t>
  </si>
  <si>
    <t>Flex_plastic_waste_gen</t>
  </si>
  <si>
    <t>Flexible plastic waste generation</t>
  </si>
  <si>
    <t>plas_em_pct_pwg</t>
  </si>
  <si>
    <t>Plastic_emissions_pct_plas_waste_gen</t>
  </si>
  <si>
    <t>Plastic emissions as percentage of plastic waste generation</t>
  </si>
  <si>
    <t>% plastic waste generation</t>
  </si>
  <si>
    <t>rigid_plas_em_pct_rigid_pwg</t>
  </si>
  <si>
    <t>Rigid_plastic_emissions_pct_rigid_plas_waste_gen</t>
  </si>
  <si>
    <t>Rigid plastic emissions as percentage of rigid plastic waste generation</t>
  </si>
  <si>
    <t>% rigid plastic waste generation</t>
  </si>
  <si>
    <t>flex_plas_em_pct_flex_pwg</t>
  </si>
  <si>
    <t>Flexible plastic emissions as percentage of flexible plastic waste generation</t>
  </si>
  <si>
    <t>% flexible plastic waste generation</t>
  </si>
  <si>
    <t>pwg_per_cap</t>
  </si>
  <si>
    <t>Plastic_waste_gen_per_cap</t>
  </si>
  <si>
    <t>Plastic waste generation per capita</t>
  </si>
  <si>
    <t>Name_3</t>
  </si>
  <si>
    <t>Name_4</t>
  </si>
  <si>
    <t>tC3_3</t>
  </si>
  <si>
    <t>tC3_4</t>
  </si>
  <si>
    <t>WPp_3</t>
  </si>
  <si>
    <t>WPp_4</t>
  </si>
  <si>
    <t>C10_3</t>
  </si>
  <si>
    <t>C10_4</t>
  </si>
  <si>
    <t>C21a_3</t>
  </si>
  <si>
    <t>C21a_4</t>
  </si>
  <si>
    <t>BRN.1_1</t>
  </si>
  <si>
    <t>BRN</t>
  </si>
  <si>
    <t>Brunei</t>
  </si>
  <si>
    <t>Belait</t>
  </si>
  <si>
    <t>BRN.2_1</t>
  </si>
  <si>
    <t>Brunei and Muara</t>
  </si>
  <si>
    <t>BRN.3_1</t>
  </si>
  <si>
    <t>Temburong</t>
  </si>
  <si>
    <t>BRN.4_1</t>
  </si>
  <si>
    <t>Tutong</t>
  </si>
  <si>
    <t>IDN.1.2_1</t>
  </si>
  <si>
    <t>IDN</t>
  </si>
  <si>
    <t>Indonesia</t>
  </si>
  <si>
    <t>Aceh</t>
  </si>
  <si>
    <t>Aceh Barat</t>
  </si>
  <si>
    <t>IDN.1.1_1</t>
  </si>
  <si>
    <t>Aceh Barat Daya</t>
  </si>
  <si>
    <t>IDN.1.3_1</t>
  </si>
  <si>
    <t>Aceh Besar</t>
  </si>
  <si>
    <t>IDN.1.4_1</t>
  </si>
  <si>
    <t>Aceh Jaya</t>
  </si>
  <si>
    <t>IDN.1.5_1</t>
  </si>
  <si>
    <t>Aceh Selatan</t>
  </si>
  <si>
    <t>IDN.1.6_1</t>
  </si>
  <si>
    <t>Aceh Singkil</t>
  </si>
  <si>
    <t>IDN.1.7_1</t>
  </si>
  <si>
    <t>Aceh Tamiang</t>
  </si>
  <si>
    <t>IDN.1.8_1</t>
  </si>
  <si>
    <t>Aceh Tengah</t>
  </si>
  <si>
    <t>IDN.1.9_1</t>
  </si>
  <si>
    <t>Aceh Tenggara</t>
  </si>
  <si>
    <t>IDN.1.10_1</t>
  </si>
  <si>
    <t>Aceh Timur</t>
  </si>
  <si>
    <t>IDN.1.11_1</t>
  </si>
  <si>
    <t>Aceh Utara</t>
  </si>
  <si>
    <t>IDN.1.12_1</t>
  </si>
  <si>
    <t>Banda Aceh</t>
  </si>
  <si>
    <t>IDN.1.13_1</t>
  </si>
  <si>
    <t>Bener Meriah</t>
  </si>
  <si>
    <t>IDN.1.14_1</t>
  </si>
  <si>
    <t>Bireuen</t>
  </si>
  <si>
    <t>IDN.1.15_1</t>
  </si>
  <si>
    <t>Gayo Lues</t>
  </si>
  <si>
    <t>IDN.1.16_1</t>
  </si>
  <si>
    <t>Langsa</t>
  </si>
  <si>
    <t>IDN.1.17_1</t>
  </si>
  <si>
    <t>Lhokseumawe</t>
  </si>
  <si>
    <t>IDN.1.18_1</t>
  </si>
  <si>
    <t>Nagan Raya</t>
  </si>
  <si>
    <t>IDN.1.20_1</t>
  </si>
  <si>
    <t>Pidie</t>
  </si>
  <si>
    <t>IDN.1.19_1</t>
  </si>
  <si>
    <t>Pidie Jaya</t>
  </si>
  <si>
    <t>IDN.1.21_1</t>
  </si>
  <si>
    <t>Sabang</t>
  </si>
  <si>
    <t>IDN.1.22_1</t>
  </si>
  <si>
    <t>Simeulue</t>
  </si>
  <si>
    <t>IDN.1.23_1</t>
  </si>
  <si>
    <t>Subulussalam</t>
  </si>
  <si>
    <t>IDN.2.1_1</t>
  </si>
  <si>
    <t>Bali</t>
  </si>
  <si>
    <t>Badung</t>
  </si>
  <si>
    <t>IDN.2.2_1</t>
  </si>
  <si>
    <t>Bangli</t>
  </si>
  <si>
    <t>IDN.2.3_1</t>
  </si>
  <si>
    <t>Buleleng</t>
  </si>
  <si>
    <t>IDN.2.4_1</t>
  </si>
  <si>
    <t>Denpasar</t>
  </si>
  <si>
    <t>IDN.2.5_1</t>
  </si>
  <si>
    <t>Gianyar</t>
  </si>
  <si>
    <t>IDN.2.6_1</t>
  </si>
  <si>
    <t>Jembrana</t>
  </si>
  <si>
    <t>IDN.2.7_1</t>
  </si>
  <si>
    <t>Karangasem</t>
  </si>
  <si>
    <t>IDN.2.8_1</t>
  </si>
  <si>
    <t>Klungkung</t>
  </si>
  <si>
    <t>IDN.2.9_1</t>
  </si>
  <si>
    <t>Tabanan</t>
  </si>
  <si>
    <t>IDN.3.4_1</t>
  </si>
  <si>
    <t>Bangka Belitung</t>
  </si>
  <si>
    <t>Bangka</t>
  </si>
  <si>
    <t>IDN.3.1_1</t>
  </si>
  <si>
    <t>Bangka Barat</t>
  </si>
  <si>
    <t>IDN.3.2_1</t>
  </si>
  <si>
    <t>Bangka Selatan</t>
  </si>
  <si>
    <t>IDN.3.3_1</t>
  </si>
  <si>
    <t>Bangka Tengah</t>
  </si>
  <si>
    <t>IDN.3.6_1</t>
  </si>
  <si>
    <t>Belitung</t>
  </si>
  <si>
    <t>IDN.3.5_1</t>
  </si>
  <si>
    <t>Belitung Timur</t>
  </si>
  <si>
    <t>IDN.3.7_1</t>
  </si>
  <si>
    <t>Pangkalpinang</t>
  </si>
  <si>
    <t>IDN.4.1_1</t>
  </si>
  <si>
    <t>Banten</t>
  </si>
  <si>
    <t>Cilegon</t>
  </si>
  <si>
    <t>IDN.4.2_1</t>
  </si>
  <si>
    <t>Kota Serang</t>
  </si>
  <si>
    <t>IDN.4.3_1</t>
  </si>
  <si>
    <t>Kota Tangerang</t>
  </si>
  <si>
    <t>IDN.4.4_1</t>
  </si>
  <si>
    <t>Lebak</t>
  </si>
  <si>
    <t>IDN.4.5_1</t>
  </si>
  <si>
    <t>Pandeglang</t>
  </si>
  <si>
    <t>IDN.4.6_1</t>
  </si>
  <si>
    <t>Serang</t>
  </si>
  <si>
    <t>IDN.4.8_1</t>
  </si>
  <si>
    <t>Tangerang</t>
  </si>
  <si>
    <t>IDN.4.7_1</t>
  </si>
  <si>
    <t>Tangerang Selatan</t>
  </si>
  <si>
    <t>IDN.5.4_1</t>
  </si>
  <si>
    <t>Bengkulu</t>
  </si>
  <si>
    <t>IDN.5.1_1</t>
  </si>
  <si>
    <t>Bengkulu Selatan</t>
  </si>
  <si>
    <t>IDN.5.2_1</t>
  </si>
  <si>
    <t>Bengkulu Tengah</t>
  </si>
  <si>
    <t>IDN.5.3_1</t>
  </si>
  <si>
    <t>Bengkulu Utara</t>
  </si>
  <si>
    <t>IDN.5.5_1</t>
  </si>
  <si>
    <t>Kaur</t>
  </si>
  <si>
    <t>IDN.5.6_1</t>
  </si>
  <si>
    <t>Kepahiang</t>
  </si>
  <si>
    <t>IDN.5.7_1</t>
  </si>
  <si>
    <t>Lebong</t>
  </si>
  <si>
    <t>IDN.5.8_1</t>
  </si>
  <si>
    <t>Mukomuko</t>
  </si>
  <si>
    <t>IDN.5.9_1</t>
  </si>
  <si>
    <t>Rejang Lebong</t>
  </si>
  <si>
    <t>IDN.5.10_1</t>
  </si>
  <si>
    <t>Seluma</t>
  </si>
  <si>
    <t>IDN.6.1_1</t>
  </si>
  <si>
    <t>Gorontalo</t>
  </si>
  <si>
    <t>Boalemo</t>
  </si>
  <si>
    <t>IDN.6.2_1</t>
  </si>
  <si>
    <t>Bone Bolango</t>
  </si>
  <si>
    <t>IDN.6.3_1</t>
  </si>
  <si>
    <t>Danau Limboto</t>
  </si>
  <si>
    <t>IDN.6.5_1</t>
  </si>
  <si>
    <t>IDN.6.4_1</t>
  </si>
  <si>
    <t>Gorontalo Utara</t>
  </si>
  <si>
    <t>IDN.6.6_1</t>
  </si>
  <si>
    <t>Kota Gorontalo</t>
  </si>
  <si>
    <t>IDN.6.7_1</t>
  </si>
  <si>
    <t>Pohuwato</t>
  </si>
  <si>
    <t>IDN.8.1_1</t>
  </si>
  <si>
    <t>Jambi</t>
  </si>
  <si>
    <t>Batang Hari</t>
  </si>
  <si>
    <t>IDN.8.2_1</t>
  </si>
  <si>
    <t>Bungo</t>
  </si>
  <si>
    <t>IDN.8.3_1</t>
  </si>
  <si>
    <t>IDN.8.4_1</t>
  </si>
  <si>
    <t>Kerinci</t>
  </si>
  <si>
    <t>IDN.8.5_1</t>
  </si>
  <si>
    <t>Merangin</t>
  </si>
  <si>
    <t>IDN.8.6_1</t>
  </si>
  <si>
    <t>Muaro Jambi</t>
  </si>
  <si>
    <t>IDN.8.7_1</t>
  </si>
  <si>
    <t>Sarolangun</t>
  </si>
  <si>
    <t>IDN.8.8_1</t>
  </si>
  <si>
    <t>Sungai Penuh</t>
  </si>
  <si>
    <t>IDN.8.9_1</t>
  </si>
  <si>
    <t>Tanjung Jabung B</t>
  </si>
  <si>
    <t>IDN.8.10_1</t>
  </si>
  <si>
    <t>Tanjung Jabung T</t>
  </si>
  <si>
    <t>IDN.8.11_1</t>
  </si>
  <si>
    <t>Tebo</t>
  </si>
  <si>
    <t>IDN.9.2_1</t>
  </si>
  <si>
    <t>Jawa Barat</t>
  </si>
  <si>
    <t>Bandung</t>
  </si>
  <si>
    <t>IDN.9.1_1</t>
  </si>
  <si>
    <t>Bandung Barat</t>
  </si>
  <si>
    <t>IDN.9.3_1</t>
  </si>
  <si>
    <t>Banjar</t>
  </si>
  <si>
    <t>IDN.9.4_1</t>
  </si>
  <si>
    <t>Bekasi</t>
  </si>
  <si>
    <t>IDN.9.5_1</t>
  </si>
  <si>
    <t>Bogor</t>
  </si>
  <si>
    <t>IDN.9.6_1</t>
  </si>
  <si>
    <t>Ciamis</t>
  </si>
  <si>
    <t>IDN.9.7_1</t>
  </si>
  <si>
    <t>Cianjur</t>
  </si>
  <si>
    <t>IDN.9.8_1</t>
  </si>
  <si>
    <t>Cimahi</t>
  </si>
  <si>
    <t>IDN.9.9_1</t>
  </si>
  <si>
    <t>Cirebon</t>
  </si>
  <si>
    <t>IDN.9.10_1</t>
  </si>
  <si>
    <t>Depok</t>
  </si>
  <si>
    <t>IDN.9.11_1</t>
  </si>
  <si>
    <t>Garut</t>
  </si>
  <si>
    <t>IDN.9.12_1</t>
  </si>
  <si>
    <t>Indramayu</t>
  </si>
  <si>
    <t>IDN.9.13_1</t>
  </si>
  <si>
    <t>Karawang</t>
  </si>
  <si>
    <t>IDN.9.14_1</t>
  </si>
  <si>
    <t>Kota Bandung</t>
  </si>
  <si>
    <t>IDN.9.15_1</t>
  </si>
  <si>
    <t>Kota Bekasi</t>
  </si>
  <si>
    <t>IDN.9.16_1</t>
  </si>
  <si>
    <t>Kota Bogor</t>
  </si>
  <si>
    <t>IDN.9.17_1</t>
  </si>
  <si>
    <t>Kota Cirebon</t>
  </si>
  <si>
    <t>IDN.9.18_1</t>
  </si>
  <si>
    <t>Kota Sukabumi</t>
  </si>
  <si>
    <t>IDN.9.19_1</t>
  </si>
  <si>
    <t>Kota Tasikmalaya</t>
  </si>
  <si>
    <t>IDN.9.20_1</t>
  </si>
  <si>
    <t>Kuningan</t>
  </si>
  <si>
    <t>IDN.9.21_1</t>
  </si>
  <si>
    <t>Majalengka</t>
  </si>
  <si>
    <t>IDN.9.22_1</t>
  </si>
  <si>
    <t>Purwakarta</t>
  </si>
  <si>
    <t>IDN.9.23_1</t>
  </si>
  <si>
    <t>Subang</t>
  </si>
  <si>
    <t>IDN.9.24_1</t>
  </si>
  <si>
    <t>Sukabumi</t>
  </si>
  <si>
    <t>IDN.9.25_1</t>
  </si>
  <si>
    <t>Sumedang</t>
  </si>
  <si>
    <t>IDN.9.26_1</t>
  </si>
  <si>
    <t>Tasikmalaya</t>
  </si>
  <si>
    <t>IDN.9.27_1</t>
  </si>
  <si>
    <t>Waduk Cirata</t>
  </si>
  <si>
    <t>IDN.10.1_1</t>
  </si>
  <si>
    <t>Jawa Tengah</t>
  </si>
  <si>
    <t>Banjarnegara</t>
  </si>
  <si>
    <t>IDN.10.2_1</t>
  </si>
  <si>
    <t>Banyumas</t>
  </si>
  <si>
    <t>IDN.10.3_1</t>
  </si>
  <si>
    <t>Batang</t>
  </si>
  <si>
    <t>IDN.10.4_1</t>
  </si>
  <si>
    <t>Blora</t>
  </si>
  <si>
    <t>IDN.10.5_1</t>
  </si>
  <si>
    <t>Boyolali</t>
  </si>
  <si>
    <t>IDN.10.6_1</t>
  </si>
  <si>
    <t>Brebes</t>
  </si>
  <si>
    <t>IDN.10.7_1</t>
  </si>
  <si>
    <t>Cilacap</t>
  </si>
  <si>
    <t>IDN.10.8_1</t>
  </si>
  <si>
    <t>Demak</t>
  </si>
  <si>
    <t>IDN.10.9_1</t>
  </si>
  <si>
    <t>Grobogan</t>
  </si>
  <si>
    <t>IDN.10.10_1</t>
  </si>
  <si>
    <t>Jepara</t>
  </si>
  <si>
    <t>IDN.10.11_1</t>
  </si>
  <si>
    <t>Karanganyar</t>
  </si>
  <si>
    <t>IDN.10.12_1</t>
  </si>
  <si>
    <t>Kebumen</t>
  </si>
  <si>
    <t>IDN.10.13_1</t>
  </si>
  <si>
    <t>Kendal</t>
  </si>
  <si>
    <t>IDN.10.14_1</t>
  </si>
  <si>
    <t>Klaten</t>
  </si>
  <si>
    <t>IDN.10.15_1</t>
  </si>
  <si>
    <t>Kota Magelang</t>
  </si>
  <si>
    <t>IDN.10.16_1</t>
  </si>
  <si>
    <t>Kota Pekalongan</t>
  </si>
  <si>
    <t>IDN.10.17_1</t>
  </si>
  <si>
    <t>Kota Semarang</t>
  </si>
  <si>
    <t>IDN.10.18_1</t>
  </si>
  <si>
    <t>Kota Tegal</t>
  </si>
  <si>
    <t>IDN.10.19_1</t>
  </si>
  <si>
    <t>Kudus</t>
  </si>
  <si>
    <t>IDN.10.20_1</t>
  </si>
  <si>
    <t>Magelang</t>
  </si>
  <si>
    <t>IDN.10.21_1</t>
  </si>
  <si>
    <t>Pati</t>
  </si>
  <si>
    <t>IDN.10.22_1</t>
  </si>
  <si>
    <t>Pekalongan</t>
  </si>
  <si>
    <t>IDN.10.23_1</t>
  </si>
  <si>
    <t>Pemalang</t>
  </si>
  <si>
    <t>IDN.10.24_1</t>
  </si>
  <si>
    <t>Purbalingga</t>
  </si>
  <si>
    <t>IDN.10.25_1</t>
  </si>
  <si>
    <t>Purworejo</t>
  </si>
  <si>
    <t>IDN.10.26_1</t>
  </si>
  <si>
    <t>Rembang</t>
  </si>
  <si>
    <t>IDN.10.27_1</t>
  </si>
  <si>
    <t>Salatiga</t>
  </si>
  <si>
    <t>IDN.10.28_1</t>
  </si>
  <si>
    <t>Semarang</t>
  </si>
  <si>
    <t>IDN.10.29_1</t>
  </si>
  <si>
    <t>Sragen</t>
  </si>
  <si>
    <t>IDN.10.30_1</t>
  </si>
  <si>
    <t>Sukoharjo</t>
  </si>
  <si>
    <t>IDN.10.31_1</t>
  </si>
  <si>
    <t>Surakarta</t>
  </si>
  <si>
    <t>IDN.10.32_1</t>
  </si>
  <si>
    <t>Tegal</t>
  </si>
  <si>
    <t>IDN.10.33_1</t>
  </si>
  <si>
    <t>Temanggung</t>
  </si>
  <si>
    <t>IDN.10.34_1</t>
  </si>
  <si>
    <t>Waduk Kedungombo</t>
  </si>
  <si>
    <t>IDN.10.35_1</t>
  </si>
  <si>
    <t>Wonogiri</t>
  </si>
  <si>
    <t>IDN.10.36_1</t>
  </si>
  <si>
    <t>Wonosobo</t>
  </si>
  <si>
    <t>IDN.11.1_1</t>
  </si>
  <si>
    <t>Jawa Timur</t>
  </si>
  <si>
    <t>Bangkalan</t>
  </si>
  <si>
    <t>IDN.11.2_1</t>
  </si>
  <si>
    <t>Banyuwangi</t>
  </si>
  <si>
    <t>IDN.11.3_1</t>
  </si>
  <si>
    <t>Batu</t>
  </si>
  <si>
    <t>IDN.11.4_1</t>
  </si>
  <si>
    <t>Blitar</t>
  </si>
  <si>
    <t>IDN.11.5_1</t>
  </si>
  <si>
    <t>Bojonegoro</t>
  </si>
  <si>
    <t>IDN.11.6_1</t>
  </si>
  <si>
    <t>Bondowoso</t>
  </si>
  <si>
    <t>IDN.11.7_1</t>
  </si>
  <si>
    <t>Gresik</t>
  </si>
  <si>
    <t>IDN.11.8_1</t>
  </si>
  <si>
    <t>Jember</t>
  </si>
  <si>
    <t>IDN.11.9_1</t>
  </si>
  <si>
    <t>Jombang</t>
  </si>
  <si>
    <t>IDN.11.10_1</t>
  </si>
  <si>
    <t>Kediri</t>
  </si>
  <si>
    <t>IDN.11.11_1</t>
  </si>
  <si>
    <t>Kota Blitar</t>
  </si>
  <si>
    <t>IDN.11.12_1</t>
  </si>
  <si>
    <t>Kota Kediri</t>
  </si>
  <si>
    <t>IDN.11.13_1</t>
  </si>
  <si>
    <t>Kota Madiun</t>
  </si>
  <si>
    <t>IDN.11.14_1</t>
  </si>
  <si>
    <t>Kota Malang</t>
  </si>
  <si>
    <t>IDN.11.15_1</t>
  </si>
  <si>
    <t>Kota Mojokerto</t>
  </si>
  <si>
    <t>IDN.11.16_1</t>
  </si>
  <si>
    <t>Kota Pasuruan</t>
  </si>
  <si>
    <t>IDN.11.17_1</t>
  </si>
  <si>
    <t>Kota Probolinggo</t>
  </si>
  <si>
    <t>IDN.11.18_1</t>
  </si>
  <si>
    <t>Lamongan</t>
  </si>
  <si>
    <t>IDN.11.19_1</t>
  </si>
  <si>
    <t>Lumajang</t>
  </si>
  <si>
    <t>IDN.11.20_1</t>
  </si>
  <si>
    <t>Madiun</t>
  </si>
  <si>
    <t>IDN.11.21_1</t>
  </si>
  <si>
    <t>Magetan</t>
  </si>
  <si>
    <t>IDN.11.22_1</t>
  </si>
  <si>
    <t>Malang</t>
  </si>
  <si>
    <t>IDN.11.23_1</t>
  </si>
  <si>
    <t>Mojokerto</t>
  </si>
  <si>
    <t>IDN.11.24_1</t>
  </si>
  <si>
    <t>Nganjuk</t>
  </si>
  <si>
    <t>IDN.11.25_1</t>
  </si>
  <si>
    <t>Ngawi</t>
  </si>
  <si>
    <t>IDN.11.26_1</t>
  </si>
  <si>
    <t>Pacitan</t>
  </si>
  <si>
    <t>IDN.11.27_1</t>
  </si>
  <si>
    <t>Pamekasan</t>
  </si>
  <si>
    <t>IDN.11.28_1</t>
  </si>
  <si>
    <t>Pasuruan</t>
  </si>
  <si>
    <t>IDN.11.29_1</t>
  </si>
  <si>
    <t>Ponorogo</t>
  </si>
  <si>
    <t>IDN.11.30_1</t>
  </si>
  <si>
    <t>Probolinggo</t>
  </si>
  <si>
    <t>IDN.11.31_1</t>
  </si>
  <si>
    <t>Sampang</t>
  </si>
  <si>
    <t>IDN.11.32_1</t>
  </si>
  <si>
    <t>Sidoarjo</t>
  </si>
  <si>
    <t>IDN.11.33_1</t>
  </si>
  <si>
    <t>Situbondo</t>
  </si>
  <si>
    <t>IDN.11.34_1</t>
  </si>
  <si>
    <t>Sumenep</t>
  </si>
  <si>
    <t>IDN.11.35_1</t>
  </si>
  <si>
    <t>Surabaya</t>
  </si>
  <si>
    <t>IDN.11.36_1</t>
  </si>
  <si>
    <t>Trenggalek</t>
  </si>
  <si>
    <t>IDN.11.37_1</t>
  </si>
  <si>
    <t>Tuban</t>
  </si>
  <si>
    <t>IDN.11.38_1</t>
  </si>
  <si>
    <t>Tulungagung</t>
  </si>
  <si>
    <t>IDN.12.1_1</t>
  </si>
  <si>
    <t>Kalimantan Barat</t>
  </si>
  <si>
    <t>Bengkayang</t>
  </si>
  <si>
    <t>IDN.12.2_1</t>
  </si>
  <si>
    <t>Kapuas Hulu</t>
  </si>
  <si>
    <t>IDN.12.3_1</t>
  </si>
  <si>
    <t>Kayong Utara</t>
  </si>
  <si>
    <t>IDN.12.4_1</t>
  </si>
  <si>
    <t>Ketapang</t>
  </si>
  <si>
    <t>IDN.12.5_1</t>
  </si>
  <si>
    <t>Kota Pontianak</t>
  </si>
  <si>
    <t>IDN.12.6_1</t>
  </si>
  <si>
    <t>Kubu Raya</t>
  </si>
  <si>
    <t>IDN.12.7_1</t>
  </si>
  <si>
    <t>Landak</t>
  </si>
  <si>
    <t>IDN.12.8_1</t>
  </si>
  <si>
    <t>Melawi</t>
  </si>
  <si>
    <t>IDN.12.9_1</t>
  </si>
  <si>
    <t>Pontianak</t>
  </si>
  <si>
    <t>IDN.12.10_1</t>
  </si>
  <si>
    <t>Sambas</t>
  </si>
  <si>
    <t>IDN.12.11_1</t>
  </si>
  <si>
    <t>Sanggau</t>
  </si>
  <si>
    <t>IDN.12.12_1</t>
  </si>
  <si>
    <t>Sekadau</t>
  </si>
  <si>
    <t>IDN.12.13_1</t>
  </si>
  <si>
    <t>Singkawang</t>
  </si>
  <si>
    <t>IDN.12.14_1</t>
  </si>
  <si>
    <t>Sintang</t>
  </si>
  <si>
    <t>IDN.13.1_1</t>
  </si>
  <si>
    <t>Kalimantan Selatan</t>
  </si>
  <si>
    <t>Balangan</t>
  </si>
  <si>
    <t>IDN.13.3_1</t>
  </si>
  <si>
    <t>IDN.13.2_1</t>
  </si>
  <si>
    <t>Banjar Baru</t>
  </si>
  <si>
    <t>IDN.13.4_1</t>
  </si>
  <si>
    <t>Banjarmasin</t>
  </si>
  <si>
    <t>IDN.13.5_1</t>
  </si>
  <si>
    <t>Barito Kuala</t>
  </si>
  <si>
    <t>IDN.13.6_1</t>
  </si>
  <si>
    <t>Hulu Sungai Selatan</t>
  </si>
  <si>
    <t>IDN.13.7_1</t>
  </si>
  <si>
    <t>Hulu Sungai Tengah</t>
  </si>
  <si>
    <t>IDN.13.8_1</t>
  </si>
  <si>
    <t>Hulu Sungai Utara</t>
  </si>
  <si>
    <t>IDN.13.9_1</t>
  </si>
  <si>
    <t>Kota Baru</t>
  </si>
  <si>
    <t>IDN.13.10_1</t>
  </si>
  <si>
    <t>Tabalong</t>
  </si>
  <si>
    <t>IDN.13.11_1</t>
  </si>
  <si>
    <t>Tanah Bumbu</t>
  </si>
  <si>
    <t>IDN.13.12_1</t>
  </si>
  <si>
    <t>Tanah Laut</t>
  </si>
  <si>
    <t>IDN.13.13_1</t>
  </si>
  <si>
    <t>Tapin</t>
  </si>
  <si>
    <t>IDN.14.1_1</t>
  </si>
  <si>
    <t>Kalimantan Tengah</t>
  </si>
  <si>
    <t>Barito Selatan</t>
  </si>
  <si>
    <t>IDN.14.2_1</t>
  </si>
  <si>
    <t>Barito Timur</t>
  </si>
  <si>
    <t>IDN.14.3_1</t>
  </si>
  <si>
    <t>Barito Utara</t>
  </si>
  <si>
    <t>IDN.14.4_1</t>
  </si>
  <si>
    <t>Gunung Mas</t>
  </si>
  <si>
    <t>IDN.14.5_1</t>
  </si>
  <si>
    <t>Kapuas</t>
  </si>
  <si>
    <t>IDN.14.6_1</t>
  </si>
  <si>
    <t>Katingan</t>
  </si>
  <si>
    <t>IDN.14.7_1</t>
  </si>
  <si>
    <t>Kotawaringin Barat</t>
  </si>
  <si>
    <t>IDN.14.8_1</t>
  </si>
  <si>
    <t>Kotawaringin Timur</t>
  </si>
  <si>
    <t>IDN.14.9_1</t>
  </si>
  <si>
    <t>Lamandau</t>
  </si>
  <si>
    <t>IDN.14.10_1</t>
  </si>
  <si>
    <t>Murung Raya</t>
  </si>
  <si>
    <t>IDN.14.11_1</t>
  </si>
  <si>
    <t>Palangka Raya</t>
  </si>
  <si>
    <t>IDN.14.12_1</t>
  </si>
  <si>
    <t>Pulang Pisau</t>
  </si>
  <si>
    <t>IDN.14.13_1</t>
  </si>
  <si>
    <t>Seruyan</t>
  </si>
  <si>
    <t>IDN.14.14_1</t>
  </si>
  <si>
    <t>Sukamara</t>
  </si>
  <si>
    <t>IDN.15.1_1</t>
  </si>
  <si>
    <t>Kalimantan Timur</t>
  </si>
  <si>
    <t>Balikpapan</t>
  </si>
  <si>
    <t>IDN.15.2_1</t>
  </si>
  <si>
    <t>Berau</t>
  </si>
  <si>
    <t>IDN.15.3_1</t>
  </si>
  <si>
    <t>Bontang</t>
  </si>
  <si>
    <t>IDN.15.4_1</t>
  </si>
  <si>
    <t>Bulungan</t>
  </si>
  <si>
    <t>IDN.15.5_1</t>
  </si>
  <si>
    <t>Kutai Barat</t>
  </si>
  <si>
    <t>IDN.15.6_1</t>
  </si>
  <si>
    <t>Kutai Kartanegara</t>
  </si>
  <si>
    <t>IDN.15.7_1</t>
  </si>
  <si>
    <t>Kutai Timur</t>
  </si>
  <si>
    <t>IDN.15.8_1</t>
  </si>
  <si>
    <t>Malinau</t>
  </si>
  <si>
    <t>IDN.15.9_1</t>
  </si>
  <si>
    <t>Nunukan</t>
  </si>
  <si>
    <t>IDN.15.10_1</t>
  </si>
  <si>
    <t>Paser</t>
  </si>
  <si>
    <t>IDN.15.11_1</t>
  </si>
  <si>
    <t>Penajam Paser Utara</t>
  </si>
  <si>
    <t>IDN.15.12_1</t>
  </si>
  <si>
    <t>Samarinda</t>
  </si>
  <si>
    <t>IDN.15.13_1</t>
  </si>
  <si>
    <t>Tana Tidung</t>
  </si>
  <si>
    <t>IDN.15.14_1</t>
  </si>
  <si>
    <t>Tarakan</t>
  </si>
  <si>
    <t>IDN.16.1_1</t>
  </si>
  <si>
    <t>Kepulauan Riau</t>
  </si>
  <si>
    <t>Batam</t>
  </si>
  <si>
    <t>IDN.16.2_1</t>
  </si>
  <si>
    <t>Bintan</t>
  </si>
  <si>
    <t>IDN.16.3_1</t>
  </si>
  <si>
    <t>Karimun</t>
  </si>
  <si>
    <t>IDN.16.4_1</t>
  </si>
  <si>
    <t>Kepulauan Anambas</t>
  </si>
  <si>
    <t>IDN.16.5_1</t>
  </si>
  <si>
    <t>Lingga</t>
  </si>
  <si>
    <t>IDN.16.6_1</t>
  </si>
  <si>
    <t>Natuna</t>
  </si>
  <si>
    <t>IDN.16.7_1</t>
  </si>
  <si>
    <t>Tanjungpinang</t>
  </si>
  <si>
    <t>IDN.17.1_1</t>
  </si>
  <si>
    <t>Lampung</t>
  </si>
  <si>
    <t>Bandar Lampung</t>
  </si>
  <si>
    <t>IDN.17.2_1</t>
  </si>
  <si>
    <t>Lampung Barat</t>
  </si>
  <si>
    <t>IDN.17.3_1</t>
  </si>
  <si>
    <t>Lampung Selatan</t>
  </si>
  <si>
    <t>IDN.17.4_1</t>
  </si>
  <si>
    <t>Lampung Tengah</t>
  </si>
  <si>
    <t>IDN.17.5_1</t>
  </si>
  <si>
    <t>Lampung Timur</t>
  </si>
  <si>
    <t>IDN.17.6_1</t>
  </si>
  <si>
    <t>Lampung Utara</t>
  </si>
  <si>
    <t>IDN.17.7_1</t>
  </si>
  <si>
    <t>Mesuji</t>
  </si>
  <si>
    <t>IDN.17.8_1</t>
  </si>
  <si>
    <t>Metro</t>
  </si>
  <si>
    <t>IDN.17.9_1</t>
  </si>
  <si>
    <t>Pesawaran</t>
  </si>
  <si>
    <t>IDN.17.10_1</t>
  </si>
  <si>
    <t>Pringsewu</t>
  </si>
  <si>
    <t>IDN.17.11_1</t>
  </si>
  <si>
    <t>Tanggamus</t>
  </si>
  <si>
    <t>IDN.17.12_1</t>
  </si>
  <si>
    <t>Tulang Bawang Barat</t>
  </si>
  <si>
    <t>IDN.17.13_1</t>
  </si>
  <si>
    <t>Tulangbawang</t>
  </si>
  <si>
    <t>IDN.17.14_1</t>
  </si>
  <si>
    <t>Way Kanan</t>
  </si>
  <si>
    <t>IDN.19.1_1</t>
  </si>
  <si>
    <t>Maluku</t>
  </si>
  <si>
    <t>Ambon</t>
  </si>
  <si>
    <t>IDN.19.3_1</t>
  </si>
  <si>
    <t>Buru</t>
  </si>
  <si>
    <t>IDN.19.2_1</t>
  </si>
  <si>
    <t>Buru Selatan</t>
  </si>
  <si>
    <t>IDN.19.4_1</t>
  </si>
  <si>
    <t>Kepulauan Aru</t>
  </si>
  <si>
    <t>IDN.19.5_1</t>
  </si>
  <si>
    <t>Maluku Barat Daya</t>
  </si>
  <si>
    <t>IDN.19.6_1</t>
  </si>
  <si>
    <t>Maluku Tengah</t>
  </si>
  <si>
    <t>IDN.19.8_1</t>
  </si>
  <si>
    <t>Maluku Tenggara</t>
  </si>
  <si>
    <t>IDN.19.7_1</t>
  </si>
  <si>
    <t>Maluku Tenggara Barat</t>
  </si>
  <si>
    <t>IDN.19.9_1</t>
  </si>
  <si>
    <t>Seram Bagian Barat</t>
  </si>
  <si>
    <t>IDN.19.10_1</t>
  </si>
  <si>
    <t>Seram Bagian Timur</t>
  </si>
  <si>
    <t>IDN.19.11_1</t>
  </si>
  <si>
    <t>Tual</t>
  </si>
  <si>
    <t>IDN.18.1_1</t>
  </si>
  <si>
    <t>Maluku Utara</t>
  </si>
  <si>
    <t>Halmahera Barat</t>
  </si>
  <si>
    <t>IDN.18.2_1</t>
  </si>
  <si>
    <t>Halmahera Selatan</t>
  </si>
  <si>
    <t>IDN.18.3_1</t>
  </si>
  <si>
    <t>Halmahera Tengah</t>
  </si>
  <si>
    <t>IDN.18.4_1</t>
  </si>
  <si>
    <t>Halmahera Timur</t>
  </si>
  <si>
    <t>IDN.18.5_1</t>
  </si>
  <si>
    <t>Halmahera Utara</t>
  </si>
  <si>
    <t>IDN.18.6_1</t>
  </si>
  <si>
    <t>Kepulauan Sula</t>
  </si>
  <si>
    <t>IDN.18.7_1</t>
  </si>
  <si>
    <t>Pulau Morotai</t>
  </si>
  <si>
    <t>IDN.18.8_1</t>
  </si>
  <si>
    <t>Ternate</t>
  </si>
  <si>
    <t>IDN.18.9_1</t>
  </si>
  <si>
    <t>Tidore Kepulauan</t>
  </si>
  <si>
    <t>IDN.20.1_1</t>
  </si>
  <si>
    <t>Nusa Tenggara Barat</t>
  </si>
  <si>
    <t>Bima</t>
  </si>
  <si>
    <t>IDN.20.2_1</t>
  </si>
  <si>
    <t>Dompu</t>
  </si>
  <si>
    <t>IDN.20.3_1</t>
  </si>
  <si>
    <t>Kota Bima</t>
  </si>
  <si>
    <t>IDN.20.4_1</t>
  </si>
  <si>
    <t>Lombok Barat</t>
  </si>
  <si>
    <t>IDN.20.5_1</t>
  </si>
  <si>
    <t>Lombok Tengah</t>
  </si>
  <si>
    <t>IDN.20.6_1</t>
  </si>
  <si>
    <t>Lombok Timur</t>
  </si>
  <si>
    <t>IDN.20.7_1</t>
  </si>
  <si>
    <t>Lombok Utara</t>
  </si>
  <si>
    <t>IDN.20.8_1</t>
  </si>
  <si>
    <t>Mataram</t>
  </si>
  <si>
    <t>IDN.20.10_1</t>
  </si>
  <si>
    <t>Sumbawa</t>
  </si>
  <si>
    <t>IDN.20.9_1</t>
  </si>
  <si>
    <t>Sumbawa Barat</t>
  </si>
  <si>
    <t>IDN.21.1_1</t>
  </si>
  <si>
    <t>Nusa Tenggara Timur</t>
  </si>
  <si>
    <t>Alor</t>
  </si>
  <si>
    <t>IDN.21.2_1</t>
  </si>
  <si>
    <t>Belu</t>
  </si>
  <si>
    <t>IDN.21.3_1</t>
  </si>
  <si>
    <t>Ende</t>
  </si>
  <si>
    <t>IDN.21.4_1</t>
  </si>
  <si>
    <t>Flores Timur</t>
  </si>
  <si>
    <t>IDN.21.5_1</t>
  </si>
  <si>
    <t>Kota Kupang</t>
  </si>
  <si>
    <t>IDN.21.6_1</t>
  </si>
  <si>
    <t>Kupang</t>
  </si>
  <si>
    <t>IDN.21.7_1</t>
  </si>
  <si>
    <t>Lembata</t>
  </si>
  <si>
    <t>IDN.21.10_1</t>
  </si>
  <si>
    <t>Manggarai</t>
  </si>
  <si>
    <t>IDN.21.8_1</t>
  </si>
  <si>
    <t>Manggarai Barat</t>
  </si>
  <si>
    <t>IDN.21.9_1</t>
  </si>
  <si>
    <t>Manggarai Timur</t>
  </si>
  <si>
    <t>IDN.21.11_1</t>
  </si>
  <si>
    <t>Nagekeo</t>
  </si>
  <si>
    <t>IDN.21.12_1</t>
  </si>
  <si>
    <t>Ngada</t>
  </si>
  <si>
    <t>IDN.21.13_1</t>
  </si>
  <si>
    <t>Rote Ndao</t>
  </si>
  <si>
    <t>IDN.21.14_1</t>
  </si>
  <si>
    <t>Sabu Raijua</t>
  </si>
  <si>
    <t>IDN.21.15_1</t>
  </si>
  <si>
    <t>Sikka</t>
  </si>
  <si>
    <t>IDN.21.17_1</t>
  </si>
  <si>
    <t>Sumba Barat</t>
  </si>
  <si>
    <t>IDN.21.16_1</t>
  </si>
  <si>
    <t>Sumba Barat Daya</t>
  </si>
  <si>
    <t>IDN.21.18_1</t>
  </si>
  <si>
    <t>Sumba Tengah</t>
  </si>
  <si>
    <t>IDN.21.19_1</t>
  </si>
  <si>
    <t>Sumba Timur</t>
  </si>
  <si>
    <t>IDN.21.20_1</t>
  </si>
  <si>
    <t>Timor Tengah Selatan</t>
  </si>
  <si>
    <t>IDN.21.21_1</t>
  </si>
  <si>
    <t>Timor Tengah Utara</t>
  </si>
  <si>
    <t>IDN.23.1_1</t>
  </si>
  <si>
    <t>Papua</t>
  </si>
  <si>
    <t>Asmat</t>
  </si>
  <si>
    <t>IDN.23.2_1</t>
  </si>
  <si>
    <t>Biak Numfor</t>
  </si>
  <si>
    <t>IDN.23.3_1</t>
  </si>
  <si>
    <t>Boven Digoel</t>
  </si>
  <si>
    <t>IDN.23.4_1</t>
  </si>
  <si>
    <t>Deiyai</t>
  </si>
  <si>
    <t>IDN.23.5_1</t>
  </si>
  <si>
    <t>Dogiyai</t>
  </si>
  <si>
    <t>IDN.23.6_1</t>
  </si>
  <si>
    <t>Intan Jaya</t>
  </si>
  <si>
    <t>IDN.23.7_1</t>
  </si>
  <si>
    <t>Jayapura</t>
  </si>
  <si>
    <t>IDN.23.8_1</t>
  </si>
  <si>
    <t>Jayawijaya</t>
  </si>
  <si>
    <t>IDN.23.9_1</t>
  </si>
  <si>
    <t>Keerom</t>
  </si>
  <si>
    <t>IDN.23.10_1</t>
  </si>
  <si>
    <t>Kepulauan Yapen</t>
  </si>
  <si>
    <t>IDN.23.11_1</t>
  </si>
  <si>
    <t>Kota Jayapura</t>
  </si>
  <si>
    <t>IDN.23.12_1</t>
  </si>
  <si>
    <t>Lanny Jaya</t>
  </si>
  <si>
    <t>IDN.23.13_1</t>
  </si>
  <si>
    <t>Mamberamo Raya</t>
  </si>
  <si>
    <t>IDN.23.14_1</t>
  </si>
  <si>
    <t>Mamberamo Tengah</t>
  </si>
  <si>
    <t>IDN.23.15_1</t>
  </si>
  <si>
    <t>Mappi</t>
  </si>
  <si>
    <t>IDN.23.16_1</t>
  </si>
  <si>
    <t>Merauke</t>
  </si>
  <si>
    <t>IDN.23.17_1</t>
  </si>
  <si>
    <t>Mimika</t>
  </si>
  <si>
    <t>IDN.23.18_1</t>
  </si>
  <si>
    <t>Nabire</t>
  </si>
  <si>
    <t>IDN.23.19_1</t>
  </si>
  <si>
    <t>Nduga</t>
  </si>
  <si>
    <t>IDN.23.20_1</t>
  </si>
  <si>
    <t>Paniai</t>
  </si>
  <si>
    <t>IDN.23.21_1</t>
  </si>
  <si>
    <t>Pegunungan Bintang</t>
  </si>
  <si>
    <t>IDN.23.23_1</t>
  </si>
  <si>
    <t>Puncak</t>
  </si>
  <si>
    <t>IDN.23.22_1</t>
  </si>
  <si>
    <t>Puncak Jaya</t>
  </si>
  <si>
    <t>IDN.23.24_1</t>
  </si>
  <si>
    <t>Sarmi</t>
  </si>
  <si>
    <t>IDN.23.25_1</t>
  </si>
  <si>
    <t>Supiori</t>
  </si>
  <si>
    <t>IDN.23.26_1</t>
  </si>
  <si>
    <t>Tolikara</t>
  </si>
  <si>
    <t>IDN.23.27_1</t>
  </si>
  <si>
    <t>Waropen</t>
  </si>
  <si>
    <t>IDN.23.28_1</t>
  </si>
  <si>
    <t>Yahukimo</t>
  </si>
  <si>
    <t>IDN.23.29_1</t>
  </si>
  <si>
    <t>Yalimo</t>
  </si>
  <si>
    <t>IDN.22.1_1</t>
  </si>
  <si>
    <t>Papua Barat</t>
  </si>
  <si>
    <t>Fakfak</t>
  </si>
  <si>
    <t>IDN.22.2_1</t>
  </si>
  <si>
    <t>Kaimana</t>
  </si>
  <si>
    <t>IDN.22.3_1</t>
  </si>
  <si>
    <t>Kota Sorong</t>
  </si>
  <si>
    <t>IDN.22.4_1</t>
  </si>
  <si>
    <t>Manokwari</t>
  </si>
  <si>
    <t>IDN.22.5_1</t>
  </si>
  <si>
    <t>Maybrat</t>
  </si>
  <si>
    <t>IDN.22.6_1</t>
  </si>
  <si>
    <t>Raja Ampat</t>
  </si>
  <si>
    <t>IDN.22.8_1</t>
  </si>
  <si>
    <t>Sorong</t>
  </si>
  <si>
    <t>IDN.22.7_1</t>
  </si>
  <si>
    <t>Sorong Selatan</t>
  </si>
  <si>
    <t>IDN.22.9_1</t>
  </si>
  <si>
    <t>Tambrauw</t>
  </si>
  <si>
    <t>IDN.22.10_1</t>
  </si>
  <si>
    <t>Teluk Bintuni</t>
  </si>
  <si>
    <t>IDN.22.11_1</t>
  </si>
  <si>
    <t>Teluk Wondama</t>
  </si>
  <si>
    <t>IDN.24.1_1</t>
  </si>
  <si>
    <t>Riau</t>
  </si>
  <si>
    <t>Bengkalis</t>
  </si>
  <si>
    <t>IDN.24.2_1</t>
  </si>
  <si>
    <t>Dumai</t>
  </si>
  <si>
    <t>IDN.24.3_1</t>
  </si>
  <si>
    <t>Indragiri Hilir</t>
  </si>
  <si>
    <t>IDN.24.4_1</t>
  </si>
  <si>
    <t>Indragiri Hulu</t>
  </si>
  <si>
    <t>IDN.24.5_1</t>
  </si>
  <si>
    <t>Kampar</t>
  </si>
  <si>
    <t>IDN.24.6_1</t>
  </si>
  <si>
    <t>Kepulauan Meranti</t>
  </si>
  <si>
    <t>IDN.24.7_1</t>
  </si>
  <si>
    <t>Kuantan Singingi</t>
  </si>
  <si>
    <t>IDN.24.8_1</t>
  </si>
  <si>
    <t>Pekanbaru</t>
  </si>
  <si>
    <t>IDN.24.9_1</t>
  </si>
  <si>
    <t>Pelalawan</t>
  </si>
  <si>
    <t>IDN.24.10_1</t>
  </si>
  <si>
    <t>Rokan Hilir</t>
  </si>
  <si>
    <t>IDN.24.11_1</t>
  </si>
  <si>
    <t>Rokan Hulu</t>
  </si>
  <si>
    <t>IDN.24.12_1</t>
  </si>
  <si>
    <t>Siak</t>
  </si>
  <si>
    <t>IDN.25.1_1</t>
  </si>
  <si>
    <t>Sulawesi Barat</t>
  </si>
  <si>
    <t>Majene</t>
  </si>
  <si>
    <t>IDN.25.2_1</t>
  </si>
  <si>
    <t>Mamasa</t>
  </si>
  <si>
    <t>IDN.25.4_1</t>
  </si>
  <si>
    <t>Mamuju</t>
  </si>
  <si>
    <t>IDN.25.3_1</t>
  </si>
  <si>
    <t>Mamuju Utara</t>
  </si>
  <si>
    <t>IDN.25.5_1</t>
  </si>
  <si>
    <t>Polewali Mandar</t>
  </si>
  <si>
    <t>IDN.26.1_1</t>
  </si>
  <si>
    <t>Sulawesi Selatan</t>
  </si>
  <si>
    <t>Bantaeng</t>
  </si>
  <si>
    <t>IDN.26.2_1</t>
  </si>
  <si>
    <t>Barru</t>
  </si>
  <si>
    <t>IDN.26.3_1</t>
  </si>
  <si>
    <t>Bone</t>
  </si>
  <si>
    <t>IDN.26.4_1</t>
  </si>
  <si>
    <t>Bulukumba</t>
  </si>
  <si>
    <t>IDN.26.5_1</t>
  </si>
  <si>
    <t>Enrekang</t>
  </si>
  <si>
    <t>IDN.26.6_1</t>
  </si>
  <si>
    <t>Gowa</t>
  </si>
  <si>
    <t>IDN.26.7_1</t>
  </si>
  <si>
    <t>Jeneponto</t>
  </si>
  <si>
    <t>IDN.26.8_1</t>
  </si>
  <si>
    <t>Kepulauan Selayar</t>
  </si>
  <si>
    <t>IDN.26.11_1</t>
  </si>
  <si>
    <t>Luwu</t>
  </si>
  <si>
    <t>IDN.26.9_1</t>
  </si>
  <si>
    <t>Luwu Timur</t>
  </si>
  <si>
    <t>IDN.26.10_1</t>
  </si>
  <si>
    <t>Luwu Utara</t>
  </si>
  <si>
    <t>IDN.26.12_1</t>
  </si>
  <si>
    <t>Makassar</t>
  </si>
  <si>
    <t>IDN.26.13_1</t>
  </si>
  <si>
    <t>Maros</t>
  </si>
  <si>
    <t>IDN.26.14_1</t>
  </si>
  <si>
    <t>Palopo</t>
  </si>
  <si>
    <t>IDN.26.15_1</t>
  </si>
  <si>
    <t>Pangkajene Dan Kepulauan</t>
  </si>
  <si>
    <t>IDN.26.16_1</t>
  </si>
  <si>
    <t>Parepare</t>
  </si>
  <si>
    <t>IDN.26.17_1</t>
  </si>
  <si>
    <t>Pinrang</t>
  </si>
  <si>
    <t>IDN.26.18_1</t>
  </si>
  <si>
    <t>Sidenreng Rappang</t>
  </si>
  <si>
    <t>IDN.26.19_1</t>
  </si>
  <si>
    <t>Sinjai</t>
  </si>
  <si>
    <t>IDN.26.20_1</t>
  </si>
  <si>
    <t>Soppeng</t>
  </si>
  <si>
    <t>IDN.26.21_1</t>
  </si>
  <si>
    <t>Takalar</t>
  </si>
  <si>
    <t>IDN.26.22_1</t>
  </si>
  <si>
    <t>Tana Toraja</t>
  </si>
  <si>
    <t>IDN.26.23_1</t>
  </si>
  <si>
    <t>Toraja Utara</t>
  </si>
  <si>
    <t>IDN.26.24_1</t>
  </si>
  <si>
    <t>Wajo</t>
  </si>
  <si>
    <t>IDN.27.2_1</t>
  </si>
  <si>
    <t>Sulawesi Tengah</t>
  </si>
  <si>
    <t>Banggai</t>
  </si>
  <si>
    <t>IDN.27.1_1</t>
  </si>
  <si>
    <t>Banggai Kepulauan</t>
  </si>
  <si>
    <t>IDN.27.3_1</t>
  </si>
  <si>
    <t>Buol</t>
  </si>
  <si>
    <t>IDN.27.4_1</t>
  </si>
  <si>
    <t>Donggala</t>
  </si>
  <si>
    <t>IDN.27.5_1</t>
  </si>
  <si>
    <t>Morowali</t>
  </si>
  <si>
    <t>IDN.27.6_1</t>
  </si>
  <si>
    <t>Palu</t>
  </si>
  <si>
    <t>IDN.27.7_1</t>
  </si>
  <si>
    <t>Parigi Moutong</t>
  </si>
  <si>
    <t>IDN.27.8_1</t>
  </si>
  <si>
    <t>Poso</t>
  </si>
  <si>
    <t>IDN.27.9_1</t>
  </si>
  <si>
    <t>Sigi</t>
  </si>
  <si>
    <t>IDN.27.10_1</t>
  </si>
  <si>
    <t>Tojo Una-Una</t>
  </si>
  <si>
    <t>IDN.27.11_1</t>
  </si>
  <si>
    <t>Toli-Toli</t>
  </si>
  <si>
    <t>IDN.28.1_1</t>
  </si>
  <si>
    <t>Sulawesi Tenggara</t>
  </si>
  <si>
    <t>Bau-Bau</t>
  </si>
  <si>
    <t>IDN.28.2_1</t>
  </si>
  <si>
    <t>Bombana</t>
  </si>
  <si>
    <t>IDN.28.4_1</t>
  </si>
  <si>
    <t>Buton</t>
  </si>
  <si>
    <t>IDN.28.3_1</t>
  </si>
  <si>
    <t>Buton Utara</t>
  </si>
  <si>
    <t>IDN.28.5_1</t>
  </si>
  <si>
    <t>Kendari</t>
  </si>
  <si>
    <t>IDN.28.7_1</t>
  </si>
  <si>
    <t>Kolaka</t>
  </si>
  <si>
    <t>IDN.28.6_1</t>
  </si>
  <si>
    <t>Kolaka Utara</t>
  </si>
  <si>
    <t>IDN.28.10_1</t>
  </si>
  <si>
    <t>Konawe</t>
  </si>
  <si>
    <t>IDN.28.8_1</t>
  </si>
  <si>
    <t>Konawe Selatan</t>
  </si>
  <si>
    <t>IDN.28.9_1</t>
  </si>
  <si>
    <t>Konawe Utara</t>
  </si>
  <si>
    <t>IDN.28.11_1</t>
  </si>
  <si>
    <t>Muna</t>
  </si>
  <si>
    <t>IDN.28.12_1</t>
  </si>
  <si>
    <t>Wakatobi</t>
  </si>
  <si>
    <t>IDN.29.1_1</t>
  </si>
  <si>
    <t>Sulawesi Utara</t>
  </si>
  <si>
    <t>Bitung</t>
  </si>
  <si>
    <t>IDN.29.5_1</t>
  </si>
  <si>
    <t>Bolaang Mongondow</t>
  </si>
  <si>
    <t>IDN.29.2_1</t>
  </si>
  <si>
    <t>Bolaang Mongondow Selatan</t>
  </si>
  <si>
    <t>IDN.29.3_1</t>
  </si>
  <si>
    <t>Bolaang Mongondow Timur</t>
  </si>
  <si>
    <t>IDN.29.4_1</t>
  </si>
  <si>
    <t>Bolaang Mongondow Utara</t>
  </si>
  <si>
    <t>IDN.29.6_1</t>
  </si>
  <si>
    <t>Kepulauan Sangihe</t>
  </si>
  <si>
    <t>IDN.29.7_1</t>
  </si>
  <si>
    <t>Kepulauan Talaud</t>
  </si>
  <si>
    <t>IDN.29.8_1</t>
  </si>
  <si>
    <t>Kotamobagu</t>
  </si>
  <si>
    <t>IDN.29.9_1</t>
  </si>
  <si>
    <t>Manado</t>
  </si>
  <si>
    <t>IDN.29.13_1</t>
  </si>
  <si>
    <t>Minahasa</t>
  </si>
  <si>
    <t>IDN.29.10_1</t>
  </si>
  <si>
    <t>Minahasa Selatan</t>
  </si>
  <si>
    <t>IDN.29.11_1</t>
  </si>
  <si>
    <t>Minahasa Tenggara</t>
  </si>
  <si>
    <t>IDN.29.12_1</t>
  </si>
  <si>
    <t>Minahasa Utara</t>
  </si>
  <si>
    <t>IDN.29.14_1</t>
  </si>
  <si>
    <t>Siau Tagulandang Biaro</t>
  </si>
  <si>
    <t>IDN.29.15_1</t>
  </si>
  <si>
    <t>Tomohon</t>
  </si>
  <si>
    <t>IDN.30.1_1</t>
  </si>
  <si>
    <t>Sumatera Barat</t>
  </si>
  <si>
    <t>Agam</t>
  </si>
  <si>
    <t>IDN.30.2_1</t>
  </si>
  <si>
    <t>Bukittinggi</t>
  </si>
  <si>
    <t>IDN.30.3_1</t>
  </si>
  <si>
    <t>Danau</t>
  </si>
  <si>
    <t>IDN.30.4_1</t>
  </si>
  <si>
    <t>Dharmasraya</t>
  </si>
  <si>
    <t>IDN.30.5_1</t>
  </si>
  <si>
    <t>Kepulauan Mentawai</t>
  </si>
  <si>
    <t>IDN.30.6_1</t>
  </si>
  <si>
    <t>Kota Solok</t>
  </si>
  <si>
    <t>IDN.30.7_1</t>
  </si>
  <si>
    <t>Lima Puluh Kota</t>
  </si>
  <si>
    <t>IDN.30.10_1</t>
  </si>
  <si>
    <t>Padang</t>
  </si>
  <si>
    <t>IDN.30.8_1</t>
  </si>
  <si>
    <t>Padang Panjang</t>
  </si>
  <si>
    <t>IDN.30.9_1</t>
  </si>
  <si>
    <t>Padang Pariaman</t>
  </si>
  <si>
    <t>IDN.30.11_1</t>
  </si>
  <si>
    <t>Pariaman</t>
  </si>
  <si>
    <t>IDN.30.13_1</t>
  </si>
  <si>
    <t>Pasaman</t>
  </si>
  <si>
    <t>IDN.30.12_1</t>
  </si>
  <si>
    <t>Pasaman Barat</t>
  </si>
  <si>
    <t>IDN.30.14_1</t>
  </si>
  <si>
    <t>Payakumbuh</t>
  </si>
  <si>
    <t>IDN.30.15_1</t>
  </si>
  <si>
    <t>Pesisir Selatan</t>
  </si>
  <si>
    <t>IDN.30.16_1</t>
  </si>
  <si>
    <t>Sawahlunto</t>
  </si>
  <si>
    <t>IDN.30.17_1</t>
  </si>
  <si>
    <t>Sijunjung</t>
  </si>
  <si>
    <t>IDN.30.19_1</t>
  </si>
  <si>
    <t>Solok</t>
  </si>
  <si>
    <t>IDN.30.18_1</t>
  </si>
  <si>
    <t>Solok Selatan</t>
  </si>
  <si>
    <t>IDN.30.20_1</t>
  </si>
  <si>
    <t>Tanah Datar</t>
  </si>
  <si>
    <t>IDN.31.1_1</t>
  </si>
  <si>
    <t>Sumatera Selatan</t>
  </si>
  <si>
    <t>Banyu Asin</t>
  </si>
  <si>
    <t>IDN.31.2_1</t>
  </si>
  <si>
    <t>Empat Lawang</t>
  </si>
  <si>
    <t>IDN.31.3_1</t>
  </si>
  <si>
    <t>Lahat</t>
  </si>
  <si>
    <t>IDN.31.4_1</t>
  </si>
  <si>
    <t>Lubuklinggau</t>
  </si>
  <si>
    <t>IDN.31.5_1</t>
  </si>
  <si>
    <t>Muara Enim</t>
  </si>
  <si>
    <t>IDN.31.6_1</t>
  </si>
  <si>
    <t>Musi Banyuasin</t>
  </si>
  <si>
    <t>IDN.31.7_1</t>
  </si>
  <si>
    <t>Musi Rawas</t>
  </si>
  <si>
    <t>IDN.31.8_1</t>
  </si>
  <si>
    <t>Ogan Ilir</t>
  </si>
  <si>
    <t>IDN.31.9_1</t>
  </si>
  <si>
    <t>Ogan Komering Ilir</t>
  </si>
  <si>
    <t>IDN.31.12_1</t>
  </si>
  <si>
    <t>Ogan Komering Ulu</t>
  </si>
  <si>
    <t>IDN.31.10_1</t>
  </si>
  <si>
    <t>Ogan Komering Ulu Selatan</t>
  </si>
  <si>
    <t>IDN.31.11_1</t>
  </si>
  <si>
    <t>Ogan Komering Ulu Timur</t>
  </si>
  <si>
    <t>IDN.31.13_1</t>
  </si>
  <si>
    <t>Pagar Alam</t>
  </si>
  <si>
    <t>IDN.31.14_1</t>
  </si>
  <si>
    <t>Palembang</t>
  </si>
  <si>
    <t>IDN.31.15_1</t>
  </si>
  <si>
    <t>Prabumulih</t>
  </si>
  <si>
    <t>IDN.32.1_1</t>
  </si>
  <si>
    <t>Sumatera Utara</t>
  </si>
  <si>
    <t>Asahan</t>
  </si>
  <si>
    <t>IDN.32.2_1</t>
  </si>
  <si>
    <t>Batu Bara</t>
  </si>
  <si>
    <t>IDN.32.3_1</t>
  </si>
  <si>
    <t>Dairi</t>
  </si>
  <si>
    <t>IDN.32.4_1</t>
  </si>
  <si>
    <t>Deli Serdang</t>
  </si>
  <si>
    <t>IDN.32.5_1</t>
  </si>
  <si>
    <t>Gunungsitoli</t>
  </si>
  <si>
    <t>IDN.32.6_1</t>
  </si>
  <si>
    <t>Humbang Hasundutan</t>
  </si>
  <si>
    <t>IDN.32.7_1</t>
  </si>
  <si>
    <t>Karo</t>
  </si>
  <si>
    <t>IDN.32.8_1</t>
  </si>
  <si>
    <t>Kota Binjai</t>
  </si>
  <si>
    <t>IDN.32.9_1</t>
  </si>
  <si>
    <t>Kota Medan</t>
  </si>
  <si>
    <t>IDN.32.10_1</t>
  </si>
  <si>
    <t>Kota Tanjungbalai</t>
  </si>
  <si>
    <t>IDN.32.13_1</t>
  </si>
  <si>
    <t>Labuhanbatu</t>
  </si>
  <si>
    <t>IDN.32.11_1</t>
  </si>
  <si>
    <t>Labuhanbatu Selatan</t>
  </si>
  <si>
    <t>IDN.32.12_1</t>
  </si>
  <si>
    <t>Labuhanbatu Utara</t>
  </si>
  <si>
    <t>IDN.32.14_1</t>
  </si>
  <si>
    <t>Lake Toba</t>
  </si>
  <si>
    <t>IDN.32.15_1</t>
  </si>
  <si>
    <t>Langkat</t>
  </si>
  <si>
    <t>IDN.32.16_1</t>
  </si>
  <si>
    <t>Mandailing Natal</t>
  </si>
  <si>
    <t>IDN.32.20_1</t>
  </si>
  <si>
    <t>Nias</t>
  </si>
  <si>
    <t>IDN.32.17_1</t>
  </si>
  <si>
    <t>Nias Barat</t>
  </si>
  <si>
    <t>IDN.32.18_1</t>
  </si>
  <si>
    <t>Nias Selatan</t>
  </si>
  <si>
    <t>IDN.32.19_1</t>
  </si>
  <si>
    <t>Nias Utara</t>
  </si>
  <si>
    <t>IDN.32.22_1</t>
  </si>
  <si>
    <t>Padang Lawas</t>
  </si>
  <si>
    <t>IDN.32.21_1</t>
  </si>
  <si>
    <t>Padang Lawas Utara</t>
  </si>
  <si>
    <t>IDN.32.23_1</t>
  </si>
  <si>
    <t>Padangsidimpuan</t>
  </si>
  <si>
    <t>IDN.32.24_1</t>
  </si>
  <si>
    <t>Pakpak Barat</t>
  </si>
  <si>
    <t>IDN.32.25_1</t>
  </si>
  <si>
    <t>Pematangsiantar</t>
  </si>
  <si>
    <t>IDN.32.26_1</t>
  </si>
  <si>
    <t>Samosir</t>
  </si>
  <si>
    <t>IDN.32.27_1</t>
  </si>
  <si>
    <t>Serdang Bedagai</t>
  </si>
  <si>
    <t>IDN.32.28_1</t>
  </si>
  <si>
    <t>Sibolga</t>
  </si>
  <si>
    <t>IDN.32.29_1</t>
  </si>
  <si>
    <t>Simalungun</t>
  </si>
  <si>
    <t>IDN.32.30_1</t>
  </si>
  <si>
    <t>Tapanuli Selatan</t>
  </si>
  <si>
    <t>IDN.32.31_1</t>
  </si>
  <si>
    <t>Tapanuli Tengah</t>
  </si>
  <si>
    <t>IDN.32.32_1</t>
  </si>
  <si>
    <t>Tapanuli Utara</t>
  </si>
  <si>
    <t>IDN.32.33_1</t>
  </si>
  <si>
    <t>Tebingtinggi</t>
  </si>
  <si>
    <t>IDN.32.34_1</t>
  </si>
  <si>
    <t>Toba Samosir</t>
  </si>
  <si>
    <t>IDN.33.1_1</t>
  </si>
  <si>
    <t>Yogyakarta</t>
  </si>
  <si>
    <t>Bantul</t>
  </si>
  <si>
    <t>IDN.33.2_1</t>
  </si>
  <si>
    <t>Gunung Kidul</t>
  </si>
  <si>
    <t>IDN.33.3_1</t>
  </si>
  <si>
    <t>Kota Yogyakarta</t>
  </si>
  <si>
    <t>IDN.33.4_1</t>
  </si>
  <si>
    <t>Kulon Progo</t>
  </si>
  <si>
    <t>IDN.33.5_1</t>
  </si>
  <si>
    <t>Sleman</t>
  </si>
  <si>
    <t>IDN.7_1</t>
  </si>
  <si>
    <t>Jakarta Raya</t>
  </si>
  <si>
    <t>KHM.1.1_1</t>
  </si>
  <si>
    <t>KHM</t>
  </si>
  <si>
    <t>Cambodia</t>
  </si>
  <si>
    <t>Bântéay Méanchey</t>
  </si>
  <si>
    <t>Malai</t>
  </si>
  <si>
    <t>KHM.1.2_1</t>
  </si>
  <si>
    <t>Mongkol Borei</t>
  </si>
  <si>
    <t>KHM.1.3_1</t>
  </si>
  <si>
    <t>Ou Chrov</t>
  </si>
  <si>
    <t>KHM.1.4_1</t>
  </si>
  <si>
    <t>Phnum Srok</t>
  </si>
  <si>
    <t>KHM.1.5_1</t>
  </si>
  <si>
    <t>Preah Netr Preah</t>
  </si>
  <si>
    <t>KHM.1.6_1</t>
  </si>
  <si>
    <t>Serei Saophoan</t>
  </si>
  <si>
    <t>KHM.1.7_1</t>
  </si>
  <si>
    <t>Svay Chek</t>
  </si>
  <si>
    <t>KHM.1.8_1</t>
  </si>
  <si>
    <t>Thma Puok</t>
  </si>
  <si>
    <t>KHM.2.1_1</t>
  </si>
  <si>
    <t>Batdâmbâng</t>
  </si>
  <si>
    <t>Aek Phnum</t>
  </si>
  <si>
    <t>KHM.2.2_1</t>
  </si>
  <si>
    <t>Banan</t>
  </si>
  <si>
    <t>KHM.2.3_1</t>
  </si>
  <si>
    <t>Bat Dambang</t>
  </si>
  <si>
    <t>KHM.2.4_1</t>
  </si>
  <si>
    <t>Bavel</t>
  </si>
  <si>
    <t>KHM.2.5_1</t>
  </si>
  <si>
    <t>Moung Ruessei</t>
  </si>
  <si>
    <t>KHM.2.6_1</t>
  </si>
  <si>
    <t>Phnum Proek</t>
  </si>
  <si>
    <t>KHM.2.7_1</t>
  </si>
  <si>
    <t>Rotanak Mondol</t>
  </si>
  <si>
    <t>KHM.2.8_1</t>
  </si>
  <si>
    <t>Samlout</t>
  </si>
  <si>
    <t>KHM.2.9_1</t>
  </si>
  <si>
    <t>Sangkae</t>
  </si>
  <si>
    <t>KHM.2.10_1</t>
  </si>
  <si>
    <t>Svay Pao</t>
  </si>
  <si>
    <t>KHM.3.1_1</t>
  </si>
  <si>
    <t>Kâmpóng Cham</t>
  </si>
  <si>
    <t>Batheay</t>
  </si>
  <si>
    <t>KHM.3.2_1</t>
  </si>
  <si>
    <t>Chamkar Leu</t>
  </si>
  <si>
    <t>KHM.3.3_1</t>
  </si>
  <si>
    <t>Cheung Prey</t>
  </si>
  <si>
    <t>KHM.3.4_1</t>
  </si>
  <si>
    <t>Kampong Cham</t>
  </si>
  <si>
    <t>KHM.3.5_1</t>
  </si>
  <si>
    <t>Kampong Siem</t>
  </si>
  <si>
    <t>KHM.3.6_1</t>
  </si>
  <si>
    <t>Kang Meas</t>
  </si>
  <si>
    <t>KHM.3.7_1</t>
  </si>
  <si>
    <t>Kaoh Soutin</t>
  </si>
  <si>
    <t>KHM.3.8_1</t>
  </si>
  <si>
    <t>Prey Chhor</t>
  </si>
  <si>
    <t>KHM.3.9_1</t>
  </si>
  <si>
    <t>Srei Santhor</t>
  </si>
  <si>
    <t>KHM.3.10_1</t>
  </si>
  <si>
    <t>Stueng Trang</t>
  </si>
  <si>
    <t>KHM.4.1_1</t>
  </si>
  <si>
    <t>Kâmpóng Chhnang</t>
  </si>
  <si>
    <t>Baribour</t>
  </si>
  <si>
    <t>KHM.4.2_1</t>
  </si>
  <si>
    <t>Chol Kiri</t>
  </si>
  <si>
    <t>KHM.4.3_1</t>
  </si>
  <si>
    <t>Kampong Chhnang</t>
  </si>
  <si>
    <t>KHM.4.4_1</t>
  </si>
  <si>
    <t>Kampong Leaeng</t>
  </si>
  <si>
    <t>KHM.4.5_1</t>
  </si>
  <si>
    <t>Kampong Tralach</t>
  </si>
  <si>
    <t>KHM.4.6_1</t>
  </si>
  <si>
    <t>Rolea B'ier</t>
  </si>
  <si>
    <t>KHM.4.7_1</t>
  </si>
  <si>
    <t>Sameakki Mean Chey</t>
  </si>
  <si>
    <t>KHM.4.8_1</t>
  </si>
  <si>
    <t>Tuek Phos</t>
  </si>
  <si>
    <t>KHM.5.1_1</t>
  </si>
  <si>
    <t>Kâmpóng Spœ</t>
  </si>
  <si>
    <t>Aoral</t>
  </si>
  <si>
    <t>KHM.5.2_1</t>
  </si>
  <si>
    <t>Basedth</t>
  </si>
  <si>
    <t>KHM.5.3_1</t>
  </si>
  <si>
    <t>Chbar Mon</t>
  </si>
  <si>
    <t>KHM.5.4_1</t>
  </si>
  <si>
    <t>Kong Pisei</t>
  </si>
  <si>
    <t>KHM.5.5_1</t>
  </si>
  <si>
    <t>Odongk</t>
  </si>
  <si>
    <t>KHM.5.6_1</t>
  </si>
  <si>
    <t>Phnum Sruoch</t>
  </si>
  <si>
    <t>KHM.5.7_1</t>
  </si>
  <si>
    <t>Samraong Tong</t>
  </si>
  <si>
    <t>KHM.5.8_1</t>
  </si>
  <si>
    <t>Thpong</t>
  </si>
  <si>
    <t>KHM.6.1_1</t>
  </si>
  <si>
    <t>Kâmpóng Thum</t>
  </si>
  <si>
    <t>Baray</t>
  </si>
  <si>
    <t>KHM.6.2_1</t>
  </si>
  <si>
    <t>Kampong Svay</t>
  </si>
  <si>
    <t>KHM.6.3_1</t>
  </si>
  <si>
    <t>Prasat Balangk</t>
  </si>
  <si>
    <t>KHM.6.4_1</t>
  </si>
  <si>
    <t>Prasat Sambour</t>
  </si>
  <si>
    <t>KHM.6.5_1</t>
  </si>
  <si>
    <t>Sandan</t>
  </si>
  <si>
    <t>KHM.6.6_1</t>
  </si>
  <si>
    <t>Santuk</t>
  </si>
  <si>
    <t>KHM.6.7_1</t>
  </si>
  <si>
    <t>Stoung</t>
  </si>
  <si>
    <t>KHM.6.8_1</t>
  </si>
  <si>
    <t>Stueng Saen</t>
  </si>
  <si>
    <t>KHM.7.1_1</t>
  </si>
  <si>
    <t>Kâmpôt</t>
  </si>
  <si>
    <t>Angkor Chey</t>
  </si>
  <si>
    <t>KHM.7.2_1</t>
  </si>
  <si>
    <t>Banteay Meas</t>
  </si>
  <si>
    <t>KHM.7.3_1</t>
  </si>
  <si>
    <t>Chhuk</t>
  </si>
  <si>
    <t>KHM.7.4_1</t>
  </si>
  <si>
    <t>Chum Kiri</t>
  </si>
  <si>
    <t>KHM.7.5_1</t>
  </si>
  <si>
    <t>Dang Tong</t>
  </si>
  <si>
    <t>KHM.7.6_1</t>
  </si>
  <si>
    <t>Kampong Bay</t>
  </si>
  <si>
    <t>KHM.7.7_1</t>
  </si>
  <si>
    <t>Kampong Trach</t>
  </si>
  <si>
    <t>KHM.7.8_1</t>
  </si>
  <si>
    <t>Kampot</t>
  </si>
  <si>
    <t>KHM.8.1_1</t>
  </si>
  <si>
    <t>Kândal</t>
  </si>
  <si>
    <t>Angk Snuol</t>
  </si>
  <si>
    <t>KHM.8.2_1</t>
  </si>
  <si>
    <t>Kandal Stueng</t>
  </si>
  <si>
    <t>KHM.8.3_1</t>
  </si>
  <si>
    <t>Kaoh Thum</t>
  </si>
  <si>
    <t>KHM.8.4_1</t>
  </si>
  <si>
    <t>Khsach Kandal</t>
  </si>
  <si>
    <t>KHM.8.5_1</t>
  </si>
  <si>
    <t>Kien Svay</t>
  </si>
  <si>
    <t>KHM.8.6_1</t>
  </si>
  <si>
    <t>Leuk Daek</t>
  </si>
  <si>
    <t>KHM.8.7_1</t>
  </si>
  <si>
    <t>Lvea Aem</t>
  </si>
  <si>
    <t>KHM.8.8_1</t>
  </si>
  <si>
    <t>Mukh Kampul</t>
  </si>
  <si>
    <t>KHM.8.9_1</t>
  </si>
  <si>
    <t>Ponhea Lueu</t>
  </si>
  <si>
    <t>KHM.8.10_1</t>
  </si>
  <si>
    <t>S'ang</t>
  </si>
  <si>
    <t>KHM.8.11_1</t>
  </si>
  <si>
    <t>Ta Khmau</t>
  </si>
  <si>
    <t>KHM.9.1_1</t>
  </si>
  <si>
    <t>Kaôh Kong</t>
  </si>
  <si>
    <t>Botum Sakor</t>
  </si>
  <si>
    <t>KHM.9.2_1</t>
  </si>
  <si>
    <t>Kampong Seila</t>
  </si>
  <si>
    <t>KHM.9.3_1</t>
  </si>
  <si>
    <t>Kaoh Kong</t>
  </si>
  <si>
    <t>KHM.9.4_1</t>
  </si>
  <si>
    <t>Kiri Sakor</t>
  </si>
  <si>
    <t>KHM.9.5_1</t>
  </si>
  <si>
    <t>Mondol Seima</t>
  </si>
  <si>
    <t>KHM.9.6_1</t>
  </si>
  <si>
    <t>Smach Mean Chey</t>
  </si>
  <si>
    <t>KHM.9.7_1</t>
  </si>
  <si>
    <t>Srae Ambel</t>
  </si>
  <si>
    <t>KHM.9.8_1</t>
  </si>
  <si>
    <t>Thma Bang</t>
  </si>
  <si>
    <t>KHM.10.1_1</t>
  </si>
  <si>
    <t>Kep</t>
  </si>
  <si>
    <t>Kaeb</t>
  </si>
  <si>
    <t>KHM.11.1_1</t>
  </si>
  <si>
    <t>Krâchéh</t>
  </si>
  <si>
    <t>Chhloung</t>
  </si>
  <si>
    <t>KHM.11.2_1</t>
  </si>
  <si>
    <t>Kracheh</t>
  </si>
  <si>
    <t>KHM.11.3_1</t>
  </si>
  <si>
    <t>Preaek Prasab</t>
  </si>
  <si>
    <t>KHM.11.4_1</t>
  </si>
  <si>
    <t>Sambour</t>
  </si>
  <si>
    <t>KHM.11.5_1</t>
  </si>
  <si>
    <t>Snuol</t>
  </si>
  <si>
    <t>KHM.12.1_1</t>
  </si>
  <si>
    <t>Krong Pailin</t>
  </si>
  <si>
    <t>Pailin</t>
  </si>
  <si>
    <t>KHM.12.2_1</t>
  </si>
  <si>
    <t>Sala Krau</t>
  </si>
  <si>
    <t>KHM.14.1_1</t>
  </si>
  <si>
    <t>Môndól Kiri</t>
  </si>
  <si>
    <t>Kaev Seima</t>
  </si>
  <si>
    <t>KHM.14.2_1</t>
  </si>
  <si>
    <t>Kaoh Nheaek</t>
  </si>
  <si>
    <t>KHM.14.3_1</t>
  </si>
  <si>
    <t>Ou Reang</t>
  </si>
  <si>
    <t>KHM.14.4_1</t>
  </si>
  <si>
    <t>Pechr Chenda</t>
  </si>
  <si>
    <t>KHM.14.5_1</t>
  </si>
  <si>
    <t>Saen Monourom</t>
  </si>
  <si>
    <t>KHM.15.1_1</t>
  </si>
  <si>
    <t>Otdar Mean Chey</t>
  </si>
  <si>
    <t>Anlong Veaeng</t>
  </si>
  <si>
    <t>KHM.15.2_1</t>
  </si>
  <si>
    <t>Banteay Ampil</t>
  </si>
  <si>
    <t>KHM.15.3_1</t>
  </si>
  <si>
    <t>Chong Kal</t>
  </si>
  <si>
    <t>KHM.15.4_1</t>
  </si>
  <si>
    <t>Samraong</t>
  </si>
  <si>
    <t>KHM.17.1_1</t>
  </si>
  <si>
    <t>Pouthisat</t>
  </si>
  <si>
    <t>Bakan</t>
  </si>
  <si>
    <t>KHM.17.2_1</t>
  </si>
  <si>
    <t>Kandieng</t>
  </si>
  <si>
    <t>KHM.17.3_1</t>
  </si>
  <si>
    <t>Krakor</t>
  </si>
  <si>
    <t>KHM.17.4_1</t>
  </si>
  <si>
    <t>Phnum Kravanh</t>
  </si>
  <si>
    <t>KHM.17.5_1</t>
  </si>
  <si>
    <t>Sampov Meas</t>
  </si>
  <si>
    <t>KHM.17.6_1</t>
  </si>
  <si>
    <t>Veal Veaeng</t>
  </si>
  <si>
    <t>KHM.18.1_1</t>
  </si>
  <si>
    <t>Preah Vihéar</t>
  </si>
  <si>
    <t>Chey Saen</t>
  </si>
  <si>
    <t>KHM.18.2_1</t>
  </si>
  <si>
    <t>Chhaeb</t>
  </si>
  <si>
    <t>KHM.18.3_1</t>
  </si>
  <si>
    <t>Choam Khsant</t>
  </si>
  <si>
    <t>KHM.18.4_1</t>
  </si>
  <si>
    <t>Kuleaen</t>
  </si>
  <si>
    <t>KHM.18.5_1</t>
  </si>
  <si>
    <t>Rovieng</t>
  </si>
  <si>
    <t>KHM.18.6_1</t>
  </si>
  <si>
    <t>Sangkom Thmei</t>
  </si>
  <si>
    <t>KHM.18.7_1</t>
  </si>
  <si>
    <t>Tbaeng Mean chey</t>
  </si>
  <si>
    <t>KHM.19.1_1</t>
  </si>
  <si>
    <t>Prey Vêng</t>
  </si>
  <si>
    <t>Ba Phnum</t>
  </si>
  <si>
    <t>KHM.19.2_1</t>
  </si>
  <si>
    <t>Kamchay Mear</t>
  </si>
  <si>
    <t>KHM.19.3_1</t>
  </si>
  <si>
    <t>Kampong Leav</t>
  </si>
  <si>
    <t>KHM.19.4_1</t>
  </si>
  <si>
    <t>Kampong Trabaek</t>
  </si>
  <si>
    <t>KHM.19.5_1</t>
  </si>
  <si>
    <t>Kanhchriech</t>
  </si>
  <si>
    <t>KHM.19.6_1</t>
  </si>
  <si>
    <t>Me Sang</t>
  </si>
  <si>
    <t>KHM.19.7_1</t>
  </si>
  <si>
    <t>Pea Reang</t>
  </si>
  <si>
    <t>KHM.19.8_1</t>
  </si>
  <si>
    <t>Peam Chor</t>
  </si>
  <si>
    <t>KHM.19.9_1</t>
  </si>
  <si>
    <t>Peam Ro</t>
  </si>
  <si>
    <t>KHM.19.10_1</t>
  </si>
  <si>
    <t>Preah Sdach</t>
  </si>
  <si>
    <t>KHM.19.11_1</t>
  </si>
  <si>
    <t>Prey Veaeng</t>
  </si>
  <si>
    <t>KHM.19.12_1</t>
  </si>
  <si>
    <t>Sithor Kandal</t>
  </si>
  <si>
    <t>KHM.20.1_1</t>
  </si>
  <si>
    <t>Rôtânôkiri</t>
  </si>
  <si>
    <t>Andoung Meas</t>
  </si>
  <si>
    <t>KHM.20.2_1</t>
  </si>
  <si>
    <t>Ban Lung</t>
  </si>
  <si>
    <t>KHM.20.3_1</t>
  </si>
  <si>
    <t>Bar Kaev</t>
  </si>
  <si>
    <t>KHM.20.4_1</t>
  </si>
  <si>
    <t>Koun Mom</t>
  </si>
  <si>
    <t>KHM.20.5_1</t>
  </si>
  <si>
    <t>Lumphat</t>
  </si>
  <si>
    <t>KHM.20.6_1</t>
  </si>
  <si>
    <t>Ou Chum</t>
  </si>
  <si>
    <t>KHM.20.7_1</t>
  </si>
  <si>
    <t>Ou Ya Dav</t>
  </si>
  <si>
    <t>KHM.20.8_1</t>
  </si>
  <si>
    <t>Ta Veaeng</t>
  </si>
  <si>
    <t>KHM.20.9_1</t>
  </si>
  <si>
    <t>Veun Sai</t>
  </si>
  <si>
    <t>KHM.21.1_1</t>
  </si>
  <si>
    <t>Siemréab</t>
  </si>
  <si>
    <t>Angkor Chum</t>
  </si>
  <si>
    <t>KHM.21.2_1</t>
  </si>
  <si>
    <t>Angkor Thum</t>
  </si>
  <si>
    <t>KHM.21.3_1</t>
  </si>
  <si>
    <t>Banteay Srei</t>
  </si>
  <si>
    <t>KHM.21.4_1</t>
  </si>
  <si>
    <t>Chi Kraeng</t>
  </si>
  <si>
    <t>KHM.21.5_1</t>
  </si>
  <si>
    <t>Kralanh</t>
  </si>
  <si>
    <t>KHM.21.6_1</t>
  </si>
  <si>
    <t>Prasat Bakong</t>
  </si>
  <si>
    <t>KHM.21.7_1</t>
  </si>
  <si>
    <t>Puok</t>
  </si>
  <si>
    <t>KHM.21.8_1</t>
  </si>
  <si>
    <t>Siem Reab</t>
  </si>
  <si>
    <t>KHM.21.9_1</t>
  </si>
  <si>
    <t>Soutr Nikom</t>
  </si>
  <si>
    <t>KHM.21.10_1</t>
  </si>
  <si>
    <t>Srei Snam</t>
  </si>
  <si>
    <t>KHM.21.11_1</t>
  </si>
  <si>
    <t>Svay Leu</t>
  </si>
  <si>
    <t>KHM.21.12_1</t>
  </si>
  <si>
    <t>Varin</t>
  </si>
  <si>
    <t>KHM.22.1_1</t>
  </si>
  <si>
    <t>Stœng Trêng</t>
  </si>
  <si>
    <t>Sesan</t>
  </si>
  <si>
    <t>KHM.22.2_1</t>
  </si>
  <si>
    <t>Siem Bouk</t>
  </si>
  <si>
    <t>KHM.22.3_1</t>
  </si>
  <si>
    <t>Siem Pang</t>
  </si>
  <si>
    <t>KHM.22.4_1</t>
  </si>
  <si>
    <t>Stueng Traeng</t>
  </si>
  <si>
    <t>KHM.22.5_1</t>
  </si>
  <si>
    <t>Thala Barivat</t>
  </si>
  <si>
    <t>KHM.23.1_1</t>
  </si>
  <si>
    <t>Svay Rieng</t>
  </si>
  <si>
    <t>Chantrea</t>
  </si>
  <si>
    <t>KHM.23.2_1</t>
  </si>
  <si>
    <t>Kampong Rou</t>
  </si>
  <si>
    <t>KHM.23.3_1</t>
  </si>
  <si>
    <t>Romeas Haek</t>
  </si>
  <si>
    <t>KHM.23.4_1</t>
  </si>
  <si>
    <t>Rumduol</t>
  </si>
  <si>
    <t>KHM.23.5_1</t>
  </si>
  <si>
    <t>Svay Chrum</t>
  </si>
  <si>
    <t>KHM.23.6_1</t>
  </si>
  <si>
    <t>KHM.23.7_1</t>
  </si>
  <si>
    <t>Svay Teab</t>
  </si>
  <si>
    <t>KHM.24.1_1</t>
  </si>
  <si>
    <t>Takêv</t>
  </si>
  <si>
    <t>Angkor Borei</t>
  </si>
  <si>
    <t>KHM.24.2_1</t>
  </si>
  <si>
    <t>Bati</t>
  </si>
  <si>
    <t>KHM.24.3_1</t>
  </si>
  <si>
    <t>Bourei Cholsar</t>
  </si>
  <si>
    <t>KHM.24.4_1</t>
  </si>
  <si>
    <t>Doun Kaev</t>
  </si>
  <si>
    <t>KHM.24.5_1</t>
  </si>
  <si>
    <t>Kaoh Andaet</t>
  </si>
  <si>
    <t>KHM.24.6_1</t>
  </si>
  <si>
    <t>Kiri Vong</t>
  </si>
  <si>
    <t>KHM.24.7_1</t>
  </si>
  <si>
    <t>Prey Kabbas</t>
  </si>
  <si>
    <t>KHM.24.8_1</t>
  </si>
  <si>
    <t>KHM.24.9_1</t>
  </si>
  <si>
    <t>Tram Kak</t>
  </si>
  <si>
    <t>KHM.24.10_1</t>
  </si>
  <si>
    <t>Treang</t>
  </si>
  <si>
    <t>KHM.25.1_1</t>
  </si>
  <si>
    <t>Tbong Khmum</t>
  </si>
  <si>
    <t>Dambae</t>
  </si>
  <si>
    <t>KHM.25.2_1</t>
  </si>
  <si>
    <t>KHM.25.3_1</t>
  </si>
  <si>
    <t>Krouch Chhmar</t>
  </si>
  <si>
    <t>KHM.25.4_1</t>
  </si>
  <si>
    <t>Memot</t>
  </si>
  <si>
    <t>KHM.25.5_1</t>
  </si>
  <si>
    <t>Ou Reang Ov</t>
  </si>
  <si>
    <t>KHM.25.6_1</t>
  </si>
  <si>
    <t>Ponhea Kraek</t>
  </si>
  <si>
    <t>KHM.25.7_1</t>
  </si>
  <si>
    <t>Tboung Khmum</t>
  </si>
  <si>
    <t>KHM.16_1</t>
  </si>
  <si>
    <t>Phnom Penh</t>
  </si>
  <si>
    <t>KHM.13_1</t>
  </si>
  <si>
    <t>Krong Preah Sihanouk</t>
  </si>
  <si>
    <t>LAO.1_1</t>
  </si>
  <si>
    <t>LAO</t>
  </si>
  <si>
    <t>Laos</t>
  </si>
  <si>
    <t>Attapu</t>
  </si>
  <si>
    <t>LAO.2_1</t>
  </si>
  <si>
    <t>Bokeo</t>
  </si>
  <si>
    <t>LAO.3_1</t>
  </si>
  <si>
    <t>Bolikhamxai</t>
  </si>
  <si>
    <t>LAO.4_1</t>
  </si>
  <si>
    <t>Champasak</t>
  </si>
  <si>
    <t>LAO.5_1</t>
  </si>
  <si>
    <t>Houaphan</t>
  </si>
  <si>
    <t>LAO.6_1</t>
  </si>
  <si>
    <t>Khammouan</t>
  </si>
  <si>
    <t>LAO.7_1</t>
  </si>
  <si>
    <t>Louang Namtha</t>
  </si>
  <si>
    <t>LAO.8_1</t>
  </si>
  <si>
    <t>Louangphrabang</t>
  </si>
  <si>
    <t>LAO.9_1</t>
  </si>
  <si>
    <t>Oudômxai</t>
  </si>
  <si>
    <t>LAO.10_1</t>
  </si>
  <si>
    <t>Phôngsali</t>
  </si>
  <si>
    <t>LAO.11_1</t>
  </si>
  <si>
    <t>Saravan</t>
  </si>
  <si>
    <t>LAO.12_1</t>
  </si>
  <si>
    <t>Savannakhét</t>
  </si>
  <si>
    <t>LAO.14_1</t>
  </si>
  <si>
    <t>Vientiane</t>
  </si>
  <si>
    <t>LAO.13_1</t>
  </si>
  <si>
    <t>Vientiane [prefecture]</t>
  </si>
  <si>
    <t>LAO.15_1</t>
  </si>
  <si>
    <t>Xaignabouri</t>
  </si>
  <si>
    <t>LAO.16_1</t>
  </si>
  <si>
    <t>Xaisômboun</t>
  </si>
  <si>
    <t>LAO.17_1</t>
  </si>
  <si>
    <t>Xékong</t>
  </si>
  <si>
    <t>LAO.18_1</t>
  </si>
  <si>
    <t>Xiangkhoang</t>
  </si>
  <si>
    <t>MMR.1.1_1</t>
  </si>
  <si>
    <t>MMR</t>
  </si>
  <si>
    <t>Myanmar</t>
  </si>
  <si>
    <t>Ayeyarwady</t>
  </si>
  <si>
    <t>Bassein</t>
  </si>
  <si>
    <t>MMR.1.2_1</t>
  </si>
  <si>
    <t>Hinthada</t>
  </si>
  <si>
    <t>MMR.1.3_1</t>
  </si>
  <si>
    <t>Maubin</t>
  </si>
  <si>
    <t>MMR.1.4_1</t>
  </si>
  <si>
    <t>Myoungmya</t>
  </si>
  <si>
    <t>MMR.1.5_1</t>
  </si>
  <si>
    <t>Pharpon</t>
  </si>
  <si>
    <t>MMR.2.1_1</t>
  </si>
  <si>
    <t>Bago</t>
  </si>
  <si>
    <t>Pegu</t>
  </si>
  <si>
    <t>MMR.2.2_1</t>
  </si>
  <si>
    <t>Pyay</t>
  </si>
  <si>
    <t>MMR.2.3_1</t>
  </si>
  <si>
    <t>Taungoo</t>
  </si>
  <si>
    <t>MMR.2.4_1</t>
  </si>
  <si>
    <t>Thayarwady</t>
  </si>
  <si>
    <t>MMR.3.1_1</t>
  </si>
  <si>
    <t>Chin</t>
  </si>
  <si>
    <t>Mindat</t>
  </si>
  <si>
    <t>MMR.3.2_1</t>
  </si>
  <si>
    <t>Palam</t>
  </si>
  <si>
    <t>MMR.4.1_1</t>
  </si>
  <si>
    <t>Kachin</t>
  </si>
  <si>
    <t>Bhamo</t>
  </si>
  <si>
    <t>MMR.4.2_1</t>
  </si>
  <si>
    <t>Myitkyina</t>
  </si>
  <si>
    <t>MMR.4.3_1</t>
  </si>
  <si>
    <t>Putao</t>
  </si>
  <si>
    <t>MMR.5.1_1</t>
  </si>
  <si>
    <t>Kayah</t>
  </si>
  <si>
    <t>Bawlake</t>
  </si>
  <si>
    <t>MMR.5.2_1</t>
  </si>
  <si>
    <t>Loikaw</t>
  </si>
  <si>
    <t>MMR.6.1_1</t>
  </si>
  <si>
    <t>Kayin</t>
  </si>
  <si>
    <t>Hpa-an</t>
  </si>
  <si>
    <t>MMR.6.2_1</t>
  </si>
  <si>
    <t>Kawkareik</t>
  </si>
  <si>
    <t>MMR.6.3_1</t>
  </si>
  <si>
    <t>Myawady</t>
  </si>
  <si>
    <t>MMR.7.1_1</t>
  </si>
  <si>
    <t>Magway</t>
  </si>
  <si>
    <t>Magwe Minbu</t>
  </si>
  <si>
    <t>MMR.7.2_1</t>
  </si>
  <si>
    <t>Minbu</t>
  </si>
  <si>
    <t>MMR.7.3_1</t>
  </si>
  <si>
    <t>Pakokku</t>
  </si>
  <si>
    <t>MMR.7.4_1</t>
  </si>
  <si>
    <t>Thayetmyo</t>
  </si>
  <si>
    <t>MMR.8.1_1</t>
  </si>
  <si>
    <t>Mandalay</t>
  </si>
  <si>
    <t>Kyaukse</t>
  </si>
  <si>
    <t>MMR.8.2_1</t>
  </si>
  <si>
    <t>MMR.8.3_1</t>
  </si>
  <si>
    <t>Meiktila</t>
  </si>
  <si>
    <t>MMR.8.4_1</t>
  </si>
  <si>
    <t>Myingyan</t>
  </si>
  <si>
    <t>MMR.8.5_1</t>
  </si>
  <si>
    <t>Pyin-Oo-Lwin</t>
  </si>
  <si>
    <t>MMR.8.6_1</t>
  </si>
  <si>
    <t>Yamethin</t>
  </si>
  <si>
    <t>MMR.9.1_1</t>
  </si>
  <si>
    <t>Mon</t>
  </si>
  <si>
    <t>Mawlamyine</t>
  </si>
  <si>
    <t>MMR.9.2_1</t>
  </si>
  <si>
    <t>Thaton</t>
  </si>
  <si>
    <t>MMR.10.1_1</t>
  </si>
  <si>
    <t>Naypyitaw</t>
  </si>
  <si>
    <t>MMR.11.1_1</t>
  </si>
  <si>
    <t>Rakhine</t>
  </si>
  <si>
    <t>Buthidaung</t>
  </si>
  <si>
    <t>MMR.11.2_1</t>
  </si>
  <si>
    <t>Kyaunkpyu</t>
  </si>
  <si>
    <t>MMR.11.3_1</t>
  </si>
  <si>
    <t>Maungtaw</t>
  </si>
  <si>
    <t>MMR.11.4_1</t>
  </si>
  <si>
    <t>Sittwe</t>
  </si>
  <si>
    <t>MMR.11.5_1</t>
  </si>
  <si>
    <t>Thandwe</t>
  </si>
  <si>
    <t>MMR.12.1_1</t>
  </si>
  <si>
    <t>Sagaing</t>
  </si>
  <si>
    <t>Hkamti</t>
  </si>
  <si>
    <t>MMR.12.2_1</t>
  </si>
  <si>
    <t>Kalemyo</t>
  </si>
  <si>
    <t>MMR.12.3_1</t>
  </si>
  <si>
    <t>Katha</t>
  </si>
  <si>
    <t>MMR.12.4_1</t>
  </si>
  <si>
    <t>Mawleik</t>
  </si>
  <si>
    <t>MMR.12.5_1</t>
  </si>
  <si>
    <t>Monywa</t>
  </si>
  <si>
    <t>MMR.12.6_1</t>
  </si>
  <si>
    <t>MMR.12.7_1</t>
  </si>
  <si>
    <t>Shwebo</t>
  </si>
  <si>
    <t>MMR.12.8_1</t>
  </si>
  <si>
    <t>Tamu</t>
  </si>
  <si>
    <t>MMR.13.1_1</t>
  </si>
  <si>
    <t>Shan</t>
  </si>
  <si>
    <t>Kengtung</t>
  </si>
  <si>
    <t>MMR.13.2_1</t>
  </si>
  <si>
    <t>Kunlong</t>
  </si>
  <si>
    <t>MMR.13.3_1</t>
  </si>
  <si>
    <t>Kyaukme</t>
  </si>
  <si>
    <t>MMR.13.4_1</t>
  </si>
  <si>
    <t>Lasho</t>
  </si>
  <si>
    <t>MMR.13.5_1</t>
  </si>
  <si>
    <t>Lauking</t>
  </si>
  <si>
    <t>MMR.13.6_1</t>
  </si>
  <si>
    <t>Loilen</t>
  </si>
  <si>
    <t>MMR.13.7_1</t>
  </si>
  <si>
    <t>Mongphat</t>
  </si>
  <si>
    <t>MMR.13.8_1</t>
  </si>
  <si>
    <t>Mongsat</t>
  </si>
  <si>
    <t>MMR.13.9_1</t>
  </si>
  <si>
    <t>Muse</t>
  </si>
  <si>
    <t>MMR.13.10_1</t>
  </si>
  <si>
    <t>Tarchilaik</t>
  </si>
  <si>
    <t>MMR.13.11_1</t>
  </si>
  <si>
    <t>Taunggye</t>
  </si>
  <si>
    <t>MMR.14.1_1</t>
  </si>
  <si>
    <t>Tanintharyi</t>
  </si>
  <si>
    <t>Dawei</t>
  </si>
  <si>
    <t>MMR.14.2_1</t>
  </si>
  <si>
    <t>Kawthoung</t>
  </si>
  <si>
    <t>MMR.14.3_1</t>
  </si>
  <si>
    <t>Mergui</t>
  </si>
  <si>
    <t>MMR.15.1_MERGED</t>
  </si>
  <si>
    <t>Yangon</t>
  </si>
  <si>
    <t>MMR.15.2_1</t>
  </si>
  <si>
    <t>Yangon-N</t>
  </si>
  <si>
    <t>MMR.15.3_1</t>
  </si>
  <si>
    <t>Yangon-S</t>
  </si>
  <si>
    <t>MYS.1.1_1</t>
  </si>
  <si>
    <t>MYS</t>
  </si>
  <si>
    <t>Malaysia</t>
  </si>
  <si>
    <t>Johor</t>
  </si>
  <si>
    <t>Batu Pahat</t>
  </si>
  <si>
    <t>MYS.1.2_1</t>
  </si>
  <si>
    <t>Johor Baharu</t>
  </si>
  <si>
    <t>MYS.1.3_1</t>
  </si>
  <si>
    <t>Keluang</t>
  </si>
  <si>
    <t>MYS.1.4_1</t>
  </si>
  <si>
    <t>Kota Tinggi</t>
  </si>
  <si>
    <t>MYS.1.5_1</t>
  </si>
  <si>
    <t>Kulaijaya</t>
  </si>
  <si>
    <t>MYS.1.6_1</t>
  </si>
  <si>
    <t>Ledang</t>
  </si>
  <si>
    <t>MYS.1.7_1</t>
  </si>
  <si>
    <t>Mersing</t>
  </si>
  <si>
    <t>MYS.1.8_1</t>
  </si>
  <si>
    <t>Muar</t>
  </si>
  <si>
    <t>MYS.1.9_1</t>
  </si>
  <si>
    <t>Pontian</t>
  </si>
  <si>
    <t>MYS.1.10_1</t>
  </si>
  <si>
    <t>Segamat</t>
  </si>
  <si>
    <t>MYS.2.1_1</t>
  </si>
  <si>
    <t>Kedah</t>
  </si>
  <si>
    <t>Baling</t>
  </si>
  <si>
    <t>MYS.2.2_1</t>
  </si>
  <si>
    <t>Bandar Baharu</t>
  </si>
  <si>
    <t>MYS.2.3_1</t>
  </si>
  <si>
    <t>Kota Setar</t>
  </si>
  <si>
    <t>MYS.2.4_1</t>
  </si>
  <si>
    <t>Kuala Muda</t>
  </si>
  <si>
    <t>MYS.2.5_1</t>
  </si>
  <si>
    <t>Kubang Pasu</t>
  </si>
  <si>
    <t>MYS.2.6_1</t>
  </si>
  <si>
    <t>Kulim</t>
  </si>
  <si>
    <t>MYS.2.7_1</t>
  </si>
  <si>
    <t>Langkawi</t>
  </si>
  <si>
    <t>MYS.2.8_1</t>
  </si>
  <si>
    <t>Padang Terap</t>
  </si>
  <si>
    <t>MYS.2.9_1</t>
  </si>
  <si>
    <t>Pendang</t>
  </si>
  <si>
    <t>MYS.2.10_1</t>
  </si>
  <si>
    <t>Pokok Sena</t>
  </si>
  <si>
    <t>MYS.2.11_1</t>
  </si>
  <si>
    <t>Sik</t>
  </si>
  <si>
    <t>MYS.2.12_1</t>
  </si>
  <si>
    <t>Yan</t>
  </si>
  <si>
    <t>MYS.3.1_1</t>
  </si>
  <si>
    <t>Kelantan</t>
  </si>
  <si>
    <t>Bachok</t>
  </si>
  <si>
    <t>MYS.3.2_1</t>
  </si>
  <si>
    <t>Gua Musang</t>
  </si>
  <si>
    <t>MYS.3.3_1</t>
  </si>
  <si>
    <t>Jeli</t>
  </si>
  <si>
    <t>MYS.3.4_1</t>
  </si>
  <si>
    <t>Kota Bharu</t>
  </si>
  <si>
    <t>MYS.3.5_1</t>
  </si>
  <si>
    <t>Kuala Krai</t>
  </si>
  <si>
    <t>MYS.3.6_1</t>
  </si>
  <si>
    <t>Machang</t>
  </si>
  <si>
    <t>MYS.3.7_1</t>
  </si>
  <si>
    <t>Pasir Mas</t>
  </si>
  <si>
    <t>MYS.3.8_1</t>
  </si>
  <si>
    <t>Pasir Putih</t>
  </si>
  <si>
    <t>MYS.3.9_1</t>
  </si>
  <si>
    <t>Tanah Merah</t>
  </si>
  <si>
    <t>MYS.3.10_1</t>
  </si>
  <si>
    <t>Tumpat</t>
  </si>
  <si>
    <t>MYS.4.1_1</t>
  </si>
  <si>
    <t>Kuala Lumpur</t>
  </si>
  <si>
    <t>MYS.5.1_1</t>
  </si>
  <si>
    <t>Labuan</t>
  </si>
  <si>
    <t>MYS.6.1_1</t>
  </si>
  <si>
    <t>Melaka</t>
  </si>
  <si>
    <t>Alor Gajah</t>
  </si>
  <si>
    <t>MYS.6.2_1</t>
  </si>
  <si>
    <t>Jasin</t>
  </si>
  <si>
    <t>MYS.6.3_1</t>
  </si>
  <si>
    <t>Melaka Tengah</t>
  </si>
  <si>
    <t>MYS.7.1_1</t>
  </si>
  <si>
    <t>Negeri Sembilan</t>
  </si>
  <si>
    <t>Jelebu</t>
  </si>
  <si>
    <t>MYS.7.2_1</t>
  </si>
  <si>
    <t>Jempol</t>
  </si>
  <si>
    <t>MYS.7.3_1</t>
  </si>
  <si>
    <t>Kuala Pilah</t>
  </si>
  <si>
    <t>MYS.7.4_1</t>
  </si>
  <si>
    <t>Port Dickson</t>
  </si>
  <si>
    <t>MYS.7.5_1</t>
  </si>
  <si>
    <t>Rembau</t>
  </si>
  <si>
    <t>MYS.7.6_1</t>
  </si>
  <si>
    <t>Seremban</t>
  </si>
  <si>
    <t>MYS.7.7_1</t>
  </si>
  <si>
    <t>Tampin</t>
  </si>
  <si>
    <t>MYS.8.1_1</t>
  </si>
  <si>
    <t>Pahang</t>
  </si>
  <si>
    <t>Bentong</t>
  </si>
  <si>
    <t>MYS.8.2_1</t>
  </si>
  <si>
    <t>Bera</t>
  </si>
  <si>
    <t>MYS.8.3_1</t>
  </si>
  <si>
    <t>Cameron Highlands</t>
  </si>
  <si>
    <t>MYS.8.4_1</t>
  </si>
  <si>
    <t>Jerantut</t>
  </si>
  <si>
    <t>MYS.8.5_1</t>
  </si>
  <si>
    <t>Kuantan</t>
  </si>
  <si>
    <t>MYS.8.6_1</t>
  </si>
  <si>
    <t>Lipis</t>
  </si>
  <si>
    <t>MYS.8.7_1</t>
  </si>
  <si>
    <t>Maran</t>
  </si>
  <si>
    <t>MYS.8.8_1</t>
  </si>
  <si>
    <t>Pekan</t>
  </si>
  <si>
    <t>MYS.8.9_1</t>
  </si>
  <si>
    <t>Raub</t>
  </si>
  <si>
    <t>MYS.8.10_1</t>
  </si>
  <si>
    <t>Rompin</t>
  </si>
  <si>
    <t>MYS.8.11_1</t>
  </si>
  <si>
    <t>Temerloh</t>
  </si>
  <si>
    <t>MYS.9.1_1</t>
  </si>
  <si>
    <t>Perak</t>
  </si>
  <si>
    <t>Batang Padang</t>
  </si>
  <si>
    <t>MYS.9.2_1</t>
  </si>
  <si>
    <t>Hilir Perak</t>
  </si>
  <si>
    <t>MYS.9.3_1</t>
  </si>
  <si>
    <t>Hulu Perak</t>
  </si>
  <si>
    <t>MYS.9.4_1</t>
  </si>
  <si>
    <t>MYS.9.5_1</t>
  </si>
  <si>
    <t>Kerian</t>
  </si>
  <si>
    <t>MYS.9.6_1</t>
  </si>
  <si>
    <t>Kinta</t>
  </si>
  <si>
    <t>MYS.9.7_1</t>
  </si>
  <si>
    <t>Kuala Kangsar</t>
  </si>
  <si>
    <t>MYS.9.8_1</t>
  </si>
  <si>
    <t>Larut and Matang</t>
  </si>
  <si>
    <t>MYS.9.9_1</t>
  </si>
  <si>
    <t>Manjung</t>
  </si>
  <si>
    <t>MYS.9.10_1</t>
  </si>
  <si>
    <t>Perak Tengah</t>
  </si>
  <si>
    <t>MYS.10.1_1</t>
  </si>
  <si>
    <t>Perlis</t>
  </si>
  <si>
    <t>MYS.11.1_1</t>
  </si>
  <si>
    <t>Pulau Pinang</t>
  </si>
  <si>
    <t>Barat Daya</t>
  </si>
  <si>
    <t>MYS.11.2_1</t>
  </si>
  <si>
    <t>Seberang Perai Selatan</t>
  </si>
  <si>
    <t>MYS.11.3_1</t>
  </si>
  <si>
    <t>Seberang Perai Tengah</t>
  </si>
  <si>
    <t>MYS.11.4_1</t>
  </si>
  <si>
    <t>Seberang Perai Utara</t>
  </si>
  <si>
    <t>MYS.11.5_1</t>
  </si>
  <si>
    <t>Timur Laut</t>
  </si>
  <si>
    <t>MYS.12.1_1</t>
  </si>
  <si>
    <t>Putrajaya</t>
  </si>
  <si>
    <t>MYS.13.1_1</t>
  </si>
  <si>
    <t>Sabah</t>
  </si>
  <si>
    <t>Beaufort</t>
  </si>
  <si>
    <t>MYS.13.2_1</t>
  </si>
  <si>
    <t>Beluran</t>
  </si>
  <si>
    <t>MYS.13.3_1</t>
  </si>
  <si>
    <t>Keningau</t>
  </si>
  <si>
    <t>MYS.13.4_1</t>
  </si>
  <si>
    <t>Kinabatangan</t>
  </si>
  <si>
    <t>MYS.13.5_1</t>
  </si>
  <si>
    <t>Kota Belud</t>
  </si>
  <si>
    <t>MYS.13.6_1</t>
  </si>
  <si>
    <t>Kota Kinabalu</t>
  </si>
  <si>
    <t>MYS.13.7_1</t>
  </si>
  <si>
    <t>Kota Marudu</t>
  </si>
  <si>
    <t>MYS.13.8_1</t>
  </si>
  <si>
    <t>Kuala Penyu</t>
  </si>
  <si>
    <t>MYS.13.9_1</t>
  </si>
  <si>
    <t>Kudat</t>
  </si>
  <si>
    <t>MYS.13.10_1</t>
  </si>
  <si>
    <t>Kunak</t>
  </si>
  <si>
    <t>MYS.13.11_1</t>
  </si>
  <si>
    <t>Lahad Datu</t>
  </si>
  <si>
    <t>MYS.13.12_1</t>
  </si>
  <si>
    <t>Nabawan</t>
  </si>
  <si>
    <t>MYS.13.13_1</t>
  </si>
  <si>
    <t>Papar</t>
  </si>
  <si>
    <t>MYS.13.14_1</t>
  </si>
  <si>
    <t>Penampang</t>
  </si>
  <si>
    <t>MYS.13.15_1</t>
  </si>
  <si>
    <t>Pitas</t>
  </si>
  <si>
    <t>MYS.13.16_1</t>
  </si>
  <si>
    <t>Putatan</t>
  </si>
  <si>
    <t>MYS.13.17_1</t>
  </si>
  <si>
    <t>Ranau</t>
  </si>
  <si>
    <t>MYS.13.18_1</t>
  </si>
  <si>
    <t>Sandakan</t>
  </si>
  <si>
    <t>MYS.13.19_1</t>
  </si>
  <si>
    <t>Semporna</t>
  </si>
  <si>
    <t>MYS.13.20_1</t>
  </si>
  <si>
    <t>Sipitang</t>
  </si>
  <si>
    <t>MYS.13.21_1</t>
  </si>
  <si>
    <t>Tambunan</t>
  </si>
  <si>
    <t>MYS.13.22_1</t>
  </si>
  <si>
    <t>Tawau</t>
  </si>
  <si>
    <t>MYS.13.23_1</t>
  </si>
  <si>
    <t>Tenom</t>
  </si>
  <si>
    <t>MYS.13.24_1</t>
  </si>
  <si>
    <t>Tongod</t>
  </si>
  <si>
    <t>MYS.13.25_1</t>
  </si>
  <si>
    <t>Tuaran</t>
  </si>
  <si>
    <t>MYS.14.1_1</t>
  </si>
  <si>
    <t>Sarawak</t>
  </si>
  <si>
    <t>Asajaya</t>
  </si>
  <si>
    <t>MYS.14.2_1</t>
  </si>
  <si>
    <t>Bau</t>
  </si>
  <si>
    <t>MYS.14.3_1</t>
  </si>
  <si>
    <t>Belaga</t>
  </si>
  <si>
    <t>MYS.14.4_1</t>
  </si>
  <si>
    <t>Betong</t>
  </si>
  <si>
    <t>MYS.14.5_1</t>
  </si>
  <si>
    <t>Bintulu</t>
  </si>
  <si>
    <t>MYS.14.6_1</t>
  </si>
  <si>
    <t>Dalat</t>
  </si>
  <si>
    <t>MYS.14.7_1</t>
  </si>
  <si>
    <t>Daro</t>
  </si>
  <si>
    <t>MYS.14.8_1</t>
  </si>
  <si>
    <t>Julau</t>
  </si>
  <si>
    <t>MYS.14.9_1</t>
  </si>
  <si>
    <t>Kanowit</t>
  </si>
  <si>
    <t>MYS.14.10_1</t>
  </si>
  <si>
    <t>Kapit</t>
  </si>
  <si>
    <t>MYS.14.11_1</t>
  </si>
  <si>
    <t>Kuching</t>
  </si>
  <si>
    <t>MYS.14.12_1</t>
  </si>
  <si>
    <t>Lawas</t>
  </si>
  <si>
    <t>MYS.14.13_1</t>
  </si>
  <si>
    <t>Limbang</t>
  </si>
  <si>
    <t>MYS.14.14_1</t>
  </si>
  <si>
    <t>Lubok Antu</t>
  </si>
  <si>
    <t>MYS.14.15_1</t>
  </si>
  <si>
    <t>Lundu</t>
  </si>
  <si>
    <t>MYS.14.16_1</t>
  </si>
  <si>
    <t>Marudi</t>
  </si>
  <si>
    <t>MYS.14.17_1</t>
  </si>
  <si>
    <t>Matu</t>
  </si>
  <si>
    <t>MYS.14.18_1</t>
  </si>
  <si>
    <t>Meradong</t>
  </si>
  <si>
    <t>MYS.14.19_1</t>
  </si>
  <si>
    <t>Miri</t>
  </si>
  <si>
    <t>MYS.14.20_1</t>
  </si>
  <si>
    <t>Mukah</t>
  </si>
  <si>
    <t>MYS.14.21_1</t>
  </si>
  <si>
    <t>Pakan</t>
  </si>
  <si>
    <t>MYS.14.22_1</t>
  </si>
  <si>
    <t>Samarahan</t>
  </si>
  <si>
    <t>MYS.14.23_1</t>
  </si>
  <si>
    <t>Saratok</t>
  </si>
  <si>
    <t>MYS.14.24_1</t>
  </si>
  <si>
    <t>Sarikei</t>
  </si>
  <si>
    <t>MYS.14.25_1</t>
  </si>
  <si>
    <t>Selangau</t>
  </si>
  <si>
    <t>MYS.14.26_1</t>
  </si>
  <si>
    <t>Serian</t>
  </si>
  <si>
    <t>MYS.14.27_1</t>
  </si>
  <si>
    <t>Sibu</t>
  </si>
  <si>
    <t>MYS.14.28_1</t>
  </si>
  <si>
    <t>Simunjan</t>
  </si>
  <si>
    <t>MYS.14.29_1</t>
  </si>
  <si>
    <t>Song</t>
  </si>
  <si>
    <t>MYS.14.30_1</t>
  </si>
  <si>
    <t>Sri Aman</t>
  </si>
  <si>
    <t>MYS.14.31_1</t>
  </si>
  <si>
    <t>Tatau</t>
  </si>
  <si>
    <t>MYS.15.1_1</t>
  </si>
  <si>
    <t>Selangor</t>
  </si>
  <si>
    <t>Gombak</t>
  </si>
  <si>
    <t>MYS.15.2_1</t>
  </si>
  <si>
    <t>Hulu Langat</t>
  </si>
  <si>
    <t>MYS.15.3_1</t>
  </si>
  <si>
    <t>Hulu Selangor</t>
  </si>
  <si>
    <t>MYS.15.4_1</t>
  </si>
  <si>
    <t>Klang</t>
  </si>
  <si>
    <t>MYS.15.5_1</t>
  </si>
  <si>
    <t>Kuala Langat</t>
  </si>
  <si>
    <t>MYS.15.6_1</t>
  </si>
  <si>
    <t>Kuala Selangor</t>
  </si>
  <si>
    <t>MYS.15.7_1</t>
  </si>
  <si>
    <t>Petaling</t>
  </si>
  <si>
    <t>MYS.15.8_1</t>
  </si>
  <si>
    <t>Sabak Bernam</t>
  </si>
  <si>
    <t>MYS.15.9_1</t>
  </si>
  <si>
    <t>Sepang</t>
  </si>
  <si>
    <t>MYS.16.1_1</t>
  </si>
  <si>
    <t>Trengganu</t>
  </si>
  <si>
    <t>Besut</t>
  </si>
  <si>
    <t>MYS.16.2_1</t>
  </si>
  <si>
    <t>Dungun</t>
  </si>
  <si>
    <t>MYS.16.3_1</t>
  </si>
  <si>
    <t>Hulu Terengganu</t>
  </si>
  <si>
    <t>MYS.16.4_1</t>
  </si>
  <si>
    <t>Kemaman</t>
  </si>
  <si>
    <t>MYS.16.5_1</t>
  </si>
  <si>
    <t>Kuala Terengganu</t>
  </si>
  <si>
    <t>MYS.16.6_1</t>
  </si>
  <si>
    <t>Marang</t>
  </si>
  <si>
    <t>MYS.16.7_1</t>
  </si>
  <si>
    <t>Setiu</t>
  </si>
  <si>
    <t>PHL.1.1_1</t>
  </si>
  <si>
    <t>PHL</t>
  </si>
  <si>
    <t>Philippines</t>
  </si>
  <si>
    <t>Abra</t>
  </si>
  <si>
    <t>Bangued</t>
  </si>
  <si>
    <t>PHL.1.2_1</t>
  </si>
  <si>
    <t>Boliney</t>
  </si>
  <si>
    <t>PHL.1.3_1</t>
  </si>
  <si>
    <t>Bucay</t>
  </si>
  <si>
    <t>PHL.1.4_1</t>
  </si>
  <si>
    <t>Bucloc</t>
  </si>
  <si>
    <t>PHL.1.5_1</t>
  </si>
  <si>
    <t>Daguioman</t>
  </si>
  <si>
    <t>PHL.1.6_1</t>
  </si>
  <si>
    <t>Danglas</t>
  </si>
  <si>
    <t>PHL.1.7_1</t>
  </si>
  <si>
    <t>Dolores</t>
  </si>
  <si>
    <t>PHL.1.8_1</t>
  </si>
  <si>
    <t>La Paz</t>
  </si>
  <si>
    <t>PHL.1.9_1</t>
  </si>
  <si>
    <t>Lacub</t>
  </si>
  <si>
    <t>PHL.1.10_1</t>
  </si>
  <si>
    <t>Lagangilang</t>
  </si>
  <si>
    <t>PHL.1.11_1</t>
  </si>
  <si>
    <t>Lagayan</t>
  </si>
  <si>
    <t>PHL.1.12_1</t>
  </si>
  <si>
    <t>Langiden</t>
  </si>
  <si>
    <t>PHL.1.13_1</t>
  </si>
  <si>
    <t>Licuan-Baay</t>
  </si>
  <si>
    <t>PHL.1.14_1</t>
  </si>
  <si>
    <t>Luba</t>
  </si>
  <si>
    <t>PHL.1.15_1</t>
  </si>
  <si>
    <t>Malibcong</t>
  </si>
  <si>
    <t>PHL.1.16_1</t>
  </si>
  <si>
    <t>Manabo</t>
  </si>
  <si>
    <t>PHL.1.17_1</t>
  </si>
  <si>
    <t>Peñarrubia</t>
  </si>
  <si>
    <t>PHL.1.18_1</t>
  </si>
  <si>
    <t>Pidigan</t>
  </si>
  <si>
    <t>PHL.1.19_1</t>
  </si>
  <si>
    <t>Pilar</t>
  </si>
  <si>
    <t>PHL.1.20_1</t>
  </si>
  <si>
    <t>Sallapadan</t>
  </si>
  <si>
    <t>PHL.1.21_1</t>
  </si>
  <si>
    <t>San Isidro</t>
  </si>
  <si>
    <t>PHL.1.22_1</t>
  </si>
  <si>
    <t>San Juan</t>
  </si>
  <si>
    <t>PHL.1.23_1</t>
  </si>
  <si>
    <t>San Quintin</t>
  </si>
  <si>
    <t>PHL.1.24_1</t>
  </si>
  <si>
    <t>Tayum</t>
  </si>
  <si>
    <t>PHL.1.25_1</t>
  </si>
  <si>
    <t>Tineg</t>
  </si>
  <si>
    <t>PHL.1.26_1</t>
  </si>
  <si>
    <t>Tubo</t>
  </si>
  <si>
    <t>PHL.1.27_1</t>
  </si>
  <si>
    <t>Villaviciosa</t>
  </si>
  <si>
    <t>PHL.2.1_1</t>
  </si>
  <si>
    <t>Agusan del Norte</t>
  </si>
  <si>
    <t>Buenavista</t>
  </si>
  <si>
    <t>PHL.2.2_1</t>
  </si>
  <si>
    <t>Butuan City</t>
  </si>
  <si>
    <t>PHL.2.3_1</t>
  </si>
  <si>
    <t>Cabadbaran City</t>
  </si>
  <si>
    <t>PHL.2.4_1</t>
  </si>
  <si>
    <t>Carmen</t>
  </si>
  <si>
    <t>PHL.2.5_1</t>
  </si>
  <si>
    <t>Jabonga</t>
  </si>
  <si>
    <t>PHL.2.6_1</t>
  </si>
  <si>
    <t>Kitcharao</t>
  </si>
  <si>
    <t>PHL.2.7_1</t>
  </si>
  <si>
    <t>Las Nieves</t>
  </si>
  <si>
    <t>PHL.2.8_1</t>
  </si>
  <si>
    <t>Magallanes</t>
  </si>
  <si>
    <t>PHL.2.9_1</t>
  </si>
  <si>
    <t>Mainit Lake</t>
  </si>
  <si>
    <t>PHL.2.10_1</t>
  </si>
  <si>
    <t>Nasipit</t>
  </si>
  <si>
    <t>PHL.2.11_1</t>
  </si>
  <si>
    <t>Remedios T. Romualdez</t>
  </si>
  <si>
    <t>PHL.2.12_1</t>
  </si>
  <si>
    <t>Santiago</t>
  </si>
  <si>
    <t>PHL.2.13_1</t>
  </si>
  <si>
    <t>Tubay</t>
  </si>
  <si>
    <t>PHL.3.1_1</t>
  </si>
  <si>
    <t>Agusan del Sur</t>
  </si>
  <si>
    <t>Bayugan City</t>
  </si>
  <si>
    <t>PHL.3.2_1</t>
  </si>
  <si>
    <t>Bunawan</t>
  </si>
  <si>
    <t>PHL.3.3_1</t>
  </si>
  <si>
    <t>Esperanza</t>
  </si>
  <si>
    <t>PHL.3.4_1</t>
  </si>
  <si>
    <t>PHL.3.5_1</t>
  </si>
  <si>
    <t>Loreto</t>
  </si>
  <si>
    <t>PHL.3.6_1</t>
  </si>
  <si>
    <t>Prosperidad</t>
  </si>
  <si>
    <t>PHL.3.7_1</t>
  </si>
  <si>
    <t>Rosario</t>
  </si>
  <si>
    <t>PHL.3.8_1</t>
  </si>
  <si>
    <t>San Francisco</t>
  </si>
  <si>
    <t>PHL.3.9_1</t>
  </si>
  <si>
    <t>San Luis</t>
  </si>
  <si>
    <t>PHL.3.10_1</t>
  </si>
  <si>
    <t>Santa Josefa</t>
  </si>
  <si>
    <t>PHL.3.11_1</t>
  </si>
  <si>
    <t>Sibagat</t>
  </si>
  <si>
    <t>PHL.3.12_1</t>
  </si>
  <si>
    <t>Talacogon</t>
  </si>
  <si>
    <t>PHL.3.13_1</t>
  </si>
  <si>
    <t>Trento</t>
  </si>
  <si>
    <t>PHL.3.14_1</t>
  </si>
  <si>
    <t>Veruela</t>
  </si>
  <si>
    <t>PHL.4.1_1</t>
  </si>
  <si>
    <t>Aklan</t>
  </si>
  <si>
    <t>Altavas</t>
  </si>
  <si>
    <t>PHL.4.2_1</t>
  </si>
  <si>
    <t>Balete</t>
  </si>
  <si>
    <t>PHL.4.3_1</t>
  </si>
  <si>
    <t>Banga</t>
  </si>
  <si>
    <t>PHL.4.4_1</t>
  </si>
  <si>
    <t>Batan</t>
  </si>
  <si>
    <t>PHL.4.5_1</t>
  </si>
  <si>
    <t>Buruanga</t>
  </si>
  <si>
    <t>PHL.4.6_1</t>
  </si>
  <si>
    <t>Ibajay</t>
  </si>
  <si>
    <t>PHL.4.7_1</t>
  </si>
  <si>
    <t>Kalibo</t>
  </si>
  <si>
    <t>PHL.4.8_1</t>
  </si>
  <si>
    <t>Lezo</t>
  </si>
  <si>
    <t>PHL.4.9_1</t>
  </si>
  <si>
    <t>Libacao</t>
  </si>
  <si>
    <t>PHL.4.10_1</t>
  </si>
  <si>
    <t>Madalag</t>
  </si>
  <si>
    <t>PHL.4.11_1</t>
  </si>
  <si>
    <t>Makato</t>
  </si>
  <si>
    <t>PHL.4.12_1</t>
  </si>
  <si>
    <t>Malay</t>
  </si>
  <si>
    <t>PHL.4.13_1</t>
  </si>
  <si>
    <t>Malinao</t>
  </si>
  <si>
    <t>PHL.4.14_1</t>
  </si>
  <si>
    <t>Nabas</t>
  </si>
  <si>
    <t>PHL.4.15_1</t>
  </si>
  <si>
    <t>New Washington</t>
  </si>
  <si>
    <t>PHL.4.16_1</t>
  </si>
  <si>
    <t>Numancia</t>
  </si>
  <si>
    <t>PHL.4.17_1</t>
  </si>
  <si>
    <t>Tangalan</t>
  </si>
  <si>
    <t>PHL.5.1_1</t>
  </si>
  <si>
    <t>Albay</t>
  </si>
  <si>
    <t>Bacacay</t>
  </si>
  <si>
    <t>PHL.5.2_1</t>
  </si>
  <si>
    <t>Bato Lake</t>
  </si>
  <si>
    <t>PHL.5.3_1</t>
  </si>
  <si>
    <t>Camalig</t>
  </si>
  <si>
    <t>PHL.5.4_1</t>
  </si>
  <si>
    <t>Daraga</t>
  </si>
  <si>
    <t>PHL.5.5_1</t>
  </si>
  <si>
    <t>Guinobatan</t>
  </si>
  <si>
    <t>PHL.5.6_1</t>
  </si>
  <si>
    <t>Jovellar</t>
  </si>
  <si>
    <t>PHL.5.7_1</t>
  </si>
  <si>
    <t>Legazpi City</t>
  </si>
  <si>
    <t>PHL.5.8_1</t>
  </si>
  <si>
    <t>Libon</t>
  </si>
  <si>
    <t>PHL.5.9_1</t>
  </si>
  <si>
    <t>Ligao City</t>
  </si>
  <si>
    <t>PHL.5.10_1</t>
  </si>
  <si>
    <t>Malilipot</t>
  </si>
  <si>
    <t>PHL.5.11_1</t>
  </si>
  <si>
    <t>PHL.5.12_1</t>
  </si>
  <si>
    <t>Manito</t>
  </si>
  <si>
    <t>PHL.5.13_1</t>
  </si>
  <si>
    <t>Oas</t>
  </si>
  <si>
    <t>PHL.5.14_1</t>
  </si>
  <si>
    <t>Pio Duran</t>
  </si>
  <si>
    <t>PHL.5.15_1</t>
  </si>
  <si>
    <t>Polangui</t>
  </si>
  <si>
    <t>PHL.5.16_1</t>
  </si>
  <si>
    <t>Rapu-Rapu</t>
  </si>
  <si>
    <t>PHL.5.17_1</t>
  </si>
  <si>
    <t>Santo Domingo</t>
  </si>
  <si>
    <t>PHL.5.18_1</t>
  </si>
  <si>
    <t>Tabaco City</t>
  </si>
  <si>
    <t>PHL.5.19_1</t>
  </si>
  <si>
    <t>Tiwi</t>
  </si>
  <si>
    <t>PHL.6.1_1</t>
  </si>
  <si>
    <t>Antique</t>
  </si>
  <si>
    <t>Anini-Y</t>
  </si>
  <si>
    <t>PHL.6.2_1</t>
  </si>
  <si>
    <t>Barbaza</t>
  </si>
  <si>
    <t>PHL.6.3_1</t>
  </si>
  <si>
    <t>Belison</t>
  </si>
  <si>
    <t>PHL.6.4_1</t>
  </si>
  <si>
    <t>Bugasong</t>
  </si>
  <si>
    <t>PHL.6.5_1</t>
  </si>
  <si>
    <t>Caluya</t>
  </si>
  <si>
    <t>PHL.6.6_1</t>
  </si>
  <si>
    <t>Culasi</t>
  </si>
  <si>
    <t>PHL.6.7_1</t>
  </si>
  <si>
    <t>Hamtic</t>
  </si>
  <si>
    <t>PHL.6.8_1</t>
  </si>
  <si>
    <t>Laua-An</t>
  </si>
  <si>
    <t>PHL.6.9_1</t>
  </si>
  <si>
    <t>Libertad</t>
  </si>
  <si>
    <t>PHL.6.10_1</t>
  </si>
  <si>
    <t>Pandan</t>
  </si>
  <si>
    <t>PHL.6.11_1</t>
  </si>
  <si>
    <t>Patnongon</t>
  </si>
  <si>
    <t>PHL.6.12_1</t>
  </si>
  <si>
    <t>San Jose</t>
  </si>
  <si>
    <t>PHL.6.13_1</t>
  </si>
  <si>
    <t>San Remigio</t>
  </si>
  <si>
    <t>PHL.6.14_1</t>
  </si>
  <si>
    <t>Sebaste</t>
  </si>
  <si>
    <t>PHL.6.15_1</t>
  </si>
  <si>
    <t>Sibalom</t>
  </si>
  <si>
    <t>PHL.6.16_1</t>
  </si>
  <si>
    <t>Tibiao</t>
  </si>
  <si>
    <t>PHL.6.17_1</t>
  </si>
  <si>
    <t>Tobias Fornier</t>
  </si>
  <si>
    <t>PHL.6.18_1</t>
  </si>
  <si>
    <t>Valderrama</t>
  </si>
  <si>
    <t>PHL.7.1_1</t>
  </si>
  <si>
    <t>Apayao</t>
  </si>
  <si>
    <t>Calanasan</t>
  </si>
  <si>
    <t>PHL.7.2_1</t>
  </si>
  <si>
    <t>Conner</t>
  </si>
  <si>
    <t>PHL.7.3_1</t>
  </si>
  <si>
    <t>Flora</t>
  </si>
  <si>
    <t>PHL.7.4_1</t>
  </si>
  <si>
    <t>Kabugao</t>
  </si>
  <si>
    <t>PHL.7.5_1</t>
  </si>
  <si>
    <t>Luna</t>
  </si>
  <si>
    <t>PHL.7.6_1</t>
  </si>
  <si>
    <t>Pudtol</t>
  </si>
  <si>
    <t>PHL.7.7_1</t>
  </si>
  <si>
    <t>Santa Marcela</t>
  </si>
  <si>
    <t>PHL.8.1_1</t>
  </si>
  <si>
    <t>Aurora</t>
  </si>
  <si>
    <t>Baler</t>
  </si>
  <si>
    <t>PHL.8.2_1</t>
  </si>
  <si>
    <t>Casiguran</t>
  </si>
  <si>
    <t>PHL.8.3_1</t>
  </si>
  <si>
    <t>Dilasag</t>
  </si>
  <si>
    <t>PHL.8.4_1</t>
  </si>
  <si>
    <t>Dinalungan</t>
  </si>
  <si>
    <t>PHL.8.5_1</t>
  </si>
  <si>
    <t>Dingalan</t>
  </si>
  <si>
    <t>PHL.8.6_1</t>
  </si>
  <si>
    <t>Dipaculao</t>
  </si>
  <si>
    <t>PHL.8.7_1</t>
  </si>
  <si>
    <t>Maria Aurora</t>
  </si>
  <si>
    <t>PHL.8.8_1</t>
  </si>
  <si>
    <t>PHL.9.1_1</t>
  </si>
  <si>
    <t>Basilan</t>
  </si>
  <si>
    <t>Akbar</t>
  </si>
  <si>
    <t>PHL.9.2_1</t>
  </si>
  <si>
    <t>Al-Barka</t>
  </si>
  <si>
    <t>PHL.9.3_1</t>
  </si>
  <si>
    <t>Hadji Mohammad Ajul</t>
  </si>
  <si>
    <t>PHL.9.4_1</t>
  </si>
  <si>
    <t>Isabela City</t>
  </si>
  <si>
    <t>PHL.9.5_1</t>
  </si>
  <si>
    <t>Lamitan City</t>
  </si>
  <si>
    <t>PHL.9.6_1</t>
  </si>
  <si>
    <t>Lantawan</t>
  </si>
  <si>
    <t>PHL.9.7_1</t>
  </si>
  <si>
    <t>Maluso</t>
  </si>
  <si>
    <t>PHL.9.8_1</t>
  </si>
  <si>
    <t>Sumisip</t>
  </si>
  <si>
    <t>PHL.9.9_1</t>
  </si>
  <si>
    <t>Tipo-Tipo</t>
  </si>
  <si>
    <t>PHL.9.10_1</t>
  </si>
  <si>
    <t>Tuburan</t>
  </si>
  <si>
    <t>PHL.9.11_1</t>
  </si>
  <si>
    <t>Ungkaya Pukan</t>
  </si>
  <si>
    <t>PHL.10.1_1</t>
  </si>
  <si>
    <t>Bataan</t>
  </si>
  <si>
    <t>Abucay</t>
  </si>
  <si>
    <t>PHL.10.2_1</t>
  </si>
  <si>
    <t>Bagac</t>
  </si>
  <si>
    <t>PHL.10.3_1</t>
  </si>
  <si>
    <t>Balanga City</t>
  </si>
  <si>
    <t>PHL.10.4_1</t>
  </si>
  <si>
    <t>Dinalupihan</t>
  </si>
  <si>
    <t>PHL.10.5_1</t>
  </si>
  <si>
    <t>Hermosa</t>
  </si>
  <si>
    <t>PHL.10.6_1</t>
  </si>
  <si>
    <t>Limay</t>
  </si>
  <si>
    <t>PHL.10.7_1</t>
  </si>
  <si>
    <t>Mariveles</t>
  </si>
  <si>
    <t>PHL.10.8_1</t>
  </si>
  <si>
    <t>Morong</t>
  </si>
  <si>
    <t>PHL.10.9_1</t>
  </si>
  <si>
    <t>Orani</t>
  </si>
  <si>
    <t>PHL.10.10_1</t>
  </si>
  <si>
    <t>Orion</t>
  </si>
  <si>
    <t>PHL.10.11_1</t>
  </si>
  <si>
    <t>PHL.10.12_1</t>
  </si>
  <si>
    <t>Samal</t>
  </si>
  <si>
    <t>PHL.11.1_1</t>
  </si>
  <si>
    <t>Batanes</t>
  </si>
  <si>
    <t>Basco</t>
  </si>
  <si>
    <t>PHL.11.2_1</t>
  </si>
  <si>
    <t>Itbayat</t>
  </si>
  <si>
    <t>PHL.11.3_1</t>
  </si>
  <si>
    <t>Ivana</t>
  </si>
  <si>
    <t>PHL.11.4_1</t>
  </si>
  <si>
    <t>Mahatao</t>
  </si>
  <si>
    <t>PHL.11.5_1</t>
  </si>
  <si>
    <t>Sabtang</t>
  </si>
  <si>
    <t>PHL.11.6_1</t>
  </si>
  <si>
    <t>Uyugan</t>
  </si>
  <si>
    <t>PHL.12.1_1</t>
  </si>
  <si>
    <t>Batangas</t>
  </si>
  <si>
    <t>Agoncillo</t>
  </si>
  <si>
    <t>PHL.12.2_1</t>
  </si>
  <si>
    <t>Alitagtag</t>
  </si>
  <si>
    <t>PHL.12.3_1</t>
  </si>
  <si>
    <t>Balayan</t>
  </si>
  <si>
    <t>PHL.12.4_1</t>
  </si>
  <si>
    <t>PHL.12.5_1</t>
  </si>
  <si>
    <t>Batangas City</t>
  </si>
  <si>
    <t>PHL.12.6_1</t>
  </si>
  <si>
    <t>Bauan</t>
  </si>
  <si>
    <t>PHL.12.7_1</t>
  </si>
  <si>
    <t>Calaca</t>
  </si>
  <si>
    <t>PHL.12.8_1</t>
  </si>
  <si>
    <t>Calatagan</t>
  </si>
  <si>
    <t>PHL.12.9_1</t>
  </si>
  <si>
    <t>Cuenca</t>
  </si>
  <si>
    <t>PHL.12.10_1</t>
  </si>
  <si>
    <t>Ibaan</t>
  </si>
  <si>
    <t>PHL.12.11_1</t>
  </si>
  <si>
    <t>Laurel</t>
  </si>
  <si>
    <t>PHL.12.12_1</t>
  </si>
  <si>
    <t>Lemery</t>
  </si>
  <si>
    <t>PHL.12.13_1</t>
  </si>
  <si>
    <t>Lian</t>
  </si>
  <si>
    <t>PHL.12.14_1</t>
  </si>
  <si>
    <t>Lipa City</t>
  </si>
  <si>
    <t>PHL.12.15_1</t>
  </si>
  <si>
    <t>Lobo</t>
  </si>
  <si>
    <t>PHL.12.16_1</t>
  </si>
  <si>
    <t>Mabini</t>
  </si>
  <si>
    <t>PHL.12.17_1</t>
  </si>
  <si>
    <t>Malvar</t>
  </si>
  <si>
    <t>PHL.12.18_1</t>
  </si>
  <si>
    <t>Mataas Na Kahoy</t>
  </si>
  <si>
    <t>PHL.12.19_1</t>
  </si>
  <si>
    <t>Nasugbu</t>
  </si>
  <si>
    <t>PHL.12.20_1</t>
  </si>
  <si>
    <t>Padre Garcia</t>
  </si>
  <si>
    <t>PHL.12.21_1</t>
  </si>
  <si>
    <t>PHL.12.22_1</t>
  </si>
  <si>
    <t>PHL.12.23_1</t>
  </si>
  <si>
    <t>PHL.12.24_1</t>
  </si>
  <si>
    <t>PHL.12.25_1</t>
  </si>
  <si>
    <t>San Nicolas</t>
  </si>
  <si>
    <t>PHL.12.26_1</t>
  </si>
  <si>
    <t>San Pascual</t>
  </si>
  <si>
    <t>PHL.12.27_1</t>
  </si>
  <si>
    <t>Santa Teresita</t>
  </si>
  <si>
    <t>PHL.12.28_1</t>
  </si>
  <si>
    <t>Santo Tomas</t>
  </si>
  <si>
    <t>PHL.12.30_1</t>
  </si>
  <si>
    <t>Taal</t>
  </si>
  <si>
    <t>PHL.12.29_1</t>
  </si>
  <si>
    <t>Taal lake</t>
  </si>
  <si>
    <t>PHL.12.31_1</t>
  </si>
  <si>
    <t>Talisay</t>
  </si>
  <si>
    <t>PHL.12.32_1</t>
  </si>
  <si>
    <t>Tanauan City</t>
  </si>
  <si>
    <t>PHL.12.33_1</t>
  </si>
  <si>
    <t>Taysan</t>
  </si>
  <si>
    <t>PHL.12.34_1</t>
  </si>
  <si>
    <t>Tingloy</t>
  </si>
  <si>
    <t>PHL.12.35_1</t>
  </si>
  <si>
    <t>Tuy</t>
  </si>
  <si>
    <t>PHL.13.1_1</t>
  </si>
  <si>
    <t>Benguet</t>
  </si>
  <si>
    <t>Atok</t>
  </si>
  <si>
    <t>PHL.13.2_1</t>
  </si>
  <si>
    <t>Baguio City</t>
  </si>
  <si>
    <t>PHL.13.3_1</t>
  </si>
  <si>
    <t>Bakun</t>
  </si>
  <si>
    <t>PHL.13.4_1</t>
  </si>
  <si>
    <t>Bokod</t>
  </si>
  <si>
    <t>PHL.13.5_1</t>
  </si>
  <si>
    <t>Buguias</t>
  </si>
  <si>
    <t>PHL.13.6_1</t>
  </si>
  <si>
    <t>Itogon</t>
  </si>
  <si>
    <t>PHL.13.7_1</t>
  </si>
  <si>
    <t>Kabayan</t>
  </si>
  <si>
    <t>PHL.13.8_1</t>
  </si>
  <si>
    <t>Kapangan</t>
  </si>
  <si>
    <t>PHL.13.9_1</t>
  </si>
  <si>
    <t>Kibungan</t>
  </si>
  <si>
    <t>PHL.13.10_1</t>
  </si>
  <si>
    <t>La Trinidad</t>
  </si>
  <si>
    <t>PHL.13.11_1</t>
  </si>
  <si>
    <t>Mankayan</t>
  </si>
  <si>
    <t>PHL.13.12_1</t>
  </si>
  <si>
    <t>Sablan</t>
  </si>
  <si>
    <t>PHL.13.13_1</t>
  </si>
  <si>
    <t>Tuba</t>
  </si>
  <si>
    <t>PHL.13.14_1</t>
  </si>
  <si>
    <t>Tublay</t>
  </si>
  <si>
    <t>PHL.14.1_1</t>
  </si>
  <si>
    <t>Biliran</t>
  </si>
  <si>
    <t>Almeria</t>
  </si>
  <si>
    <t>PHL.14.2_1</t>
  </si>
  <si>
    <t>PHL.14.3_1</t>
  </si>
  <si>
    <t>Cabucgayan</t>
  </si>
  <si>
    <t>PHL.14.4_1</t>
  </si>
  <si>
    <t>Caibiran</t>
  </si>
  <si>
    <t>PHL.14.5_1</t>
  </si>
  <si>
    <t>Culaba</t>
  </si>
  <si>
    <t>PHL.14.6_1</t>
  </si>
  <si>
    <t>Kawayan</t>
  </si>
  <si>
    <t>PHL.14.7_1</t>
  </si>
  <si>
    <t>Maripipi</t>
  </si>
  <si>
    <t>PHL.14.8_1</t>
  </si>
  <si>
    <t>Naval</t>
  </si>
  <si>
    <t>PHL.15.1_1</t>
  </si>
  <si>
    <t>Bohol</t>
  </si>
  <si>
    <t>Albuquerque</t>
  </si>
  <si>
    <t>PHL.15.2_1</t>
  </si>
  <si>
    <t>Alicia</t>
  </si>
  <si>
    <t>PHL.15.3_1</t>
  </si>
  <si>
    <t>Anda</t>
  </si>
  <si>
    <t>PHL.15.4_1</t>
  </si>
  <si>
    <t>Antequera</t>
  </si>
  <si>
    <t>PHL.15.5_1</t>
  </si>
  <si>
    <t>Baclayon</t>
  </si>
  <si>
    <t>PHL.15.6_1</t>
  </si>
  <si>
    <t>Balilihan</t>
  </si>
  <si>
    <t>PHL.15.7_1</t>
  </si>
  <si>
    <t>Batuan</t>
  </si>
  <si>
    <t>PHL.15.8_1</t>
  </si>
  <si>
    <t>Bien Unido</t>
  </si>
  <si>
    <t>PHL.15.9_1</t>
  </si>
  <si>
    <t>Bilar</t>
  </si>
  <si>
    <t>PHL.15.10_1</t>
  </si>
  <si>
    <t>PHL.15.11_1</t>
  </si>
  <si>
    <t>Calape</t>
  </si>
  <si>
    <t>PHL.15.12_1</t>
  </si>
  <si>
    <t>Candijay</t>
  </si>
  <si>
    <t>PHL.15.13_1</t>
  </si>
  <si>
    <t>PHL.15.14_1</t>
  </si>
  <si>
    <t>Catigbian</t>
  </si>
  <si>
    <t>PHL.15.15_1</t>
  </si>
  <si>
    <t>Clarin</t>
  </si>
  <si>
    <t>PHL.15.16_1</t>
  </si>
  <si>
    <t>Corella</t>
  </si>
  <si>
    <t>PHL.15.17_1</t>
  </si>
  <si>
    <t>Cortes</t>
  </si>
  <si>
    <t>PHL.15.18_1</t>
  </si>
  <si>
    <t>Dagohoy</t>
  </si>
  <si>
    <t>PHL.15.19_1</t>
  </si>
  <si>
    <t>Danao</t>
  </si>
  <si>
    <t>PHL.15.20_1</t>
  </si>
  <si>
    <t>Dauis</t>
  </si>
  <si>
    <t>PHL.15.21_1</t>
  </si>
  <si>
    <t>Dimiao</t>
  </si>
  <si>
    <t>PHL.15.22_1</t>
  </si>
  <si>
    <t>Duero</t>
  </si>
  <si>
    <t>PHL.15.23_1</t>
  </si>
  <si>
    <t>Garcia Hernandez</t>
  </si>
  <si>
    <t>PHL.15.24_1</t>
  </si>
  <si>
    <t>Guindulman</t>
  </si>
  <si>
    <t>PHL.15.25_1</t>
  </si>
  <si>
    <t>Inabanga</t>
  </si>
  <si>
    <t>PHL.15.26_1</t>
  </si>
  <si>
    <t>Jagna</t>
  </si>
  <si>
    <t>PHL.15.27_1</t>
  </si>
  <si>
    <t>Jetafe</t>
  </si>
  <si>
    <t>PHL.15.28_1</t>
  </si>
  <si>
    <t>Lila</t>
  </si>
  <si>
    <t>PHL.15.29_1</t>
  </si>
  <si>
    <t>Loay</t>
  </si>
  <si>
    <t>PHL.15.30_1</t>
  </si>
  <si>
    <t>Loboc</t>
  </si>
  <si>
    <t>PHL.15.31_1</t>
  </si>
  <si>
    <t>Loon</t>
  </si>
  <si>
    <t>PHL.15.32_1</t>
  </si>
  <si>
    <t>PHL.15.33_1</t>
  </si>
  <si>
    <t>Maribojoc</t>
  </si>
  <si>
    <t>PHL.15.34_1</t>
  </si>
  <si>
    <t>Panglao</t>
  </si>
  <si>
    <t>PHL.15.35_1</t>
  </si>
  <si>
    <t>PHL.15.36_1</t>
  </si>
  <si>
    <t>Pres. Carlos P. Garcia</t>
  </si>
  <si>
    <t>PHL.15.37_1</t>
  </si>
  <si>
    <t>Sagbayan</t>
  </si>
  <si>
    <t>PHL.15.38_1</t>
  </si>
  <si>
    <t>PHL.15.39_1</t>
  </si>
  <si>
    <t>San Miguel</t>
  </si>
  <si>
    <t>PHL.15.40_1</t>
  </si>
  <si>
    <t>Sevilla</t>
  </si>
  <si>
    <t>PHL.15.41_1</t>
  </si>
  <si>
    <t>Sierra Bullones</t>
  </si>
  <si>
    <t>PHL.15.42_1</t>
  </si>
  <si>
    <t>Sikatuna</t>
  </si>
  <si>
    <t>PHL.15.43_1</t>
  </si>
  <si>
    <t>Tagbilaran City</t>
  </si>
  <si>
    <t>PHL.15.44_1</t>
  </si>
  <si>
    <t>Talibon</t>
  </si>
  <si>
    <t>PHL.15.45_1</t>
  </si>
  <si>
    <t>Trinidad</t>
  </si>
  <si>
    <t>PHL.15.46_1</t>
  </si>
  <si>
    <t>Tubigon</t>
  </si>
  <si>
    <t>PHL.15.47_1</t>
  </si>
  <si>
    <t>Ubay</t>
  </si>
  <si>
    <t>PHL.15.48_1</t>
  </si>
  <si>
    <t>Valencia</t>
  </si>
  <si>
    <t>PHL.16.1_1</t>
  </si>
  <si>
    <t>Bukidnon</t>
  </si>
  <si>
    <t>Baungon</t>
  </si>
  <si>
    <t>PHL.16.2_1</t>
  </si>
  <si>
    <t>Cabanglasan</t>
  </si>
  <si>
    <t>PHL.16.3_1</t>
  </si>
  <si>
    <t>Damulog</t>
  </si>
  <si>
    <t>PHL.16.4_1</t>
  </si>
  <si>
    <t>Dangcagan</t>
  </si>
  <si>
    <t>PHL.16.5_1</t>
  </si>
  <si>
    <t>Don Carlos</t>
  </si>
  <si>
    <t>PHL.16.6_1</t>
  </si>
  <si>
    <t>Impasug-Ong</t>
  </si>
  <si>
    <t>PHL.16.7_1</t>
  </si>
  <si>
    <t>Kadingilan</t>
  </si>
  <si>
    <t>PHL.16.8_1</t>
  </si>
  <si>
    <t>Kalilangan</t>
  </si>
  <si>
    <t>PHL.16.9_1</t>
  </si>
  <si>
    <t>Kibawe</t>
  </si>
  <si>
    <t>PHL.16.10_1</t>
  </si>
  <si>
    <t>Kitaotao</t>
  </si>
  <si>
    <t>PHL.16.11_1</t>
  </si>
  <si>
    <t>Lantapan</t>
  </si>
  <si>
    <t>PHL.16.12_1</t>
  </si>
  <si>
    <t>Libona</t>
  </si>
  <si>
    <t>PHL.16.13_1</t>
  </si>
  <si>
    <t>Malaybalay City</t>
  </si>
  <si>
    <t>PHL.16.14_1</t>
  </si>
  <si>
    <t>Malitbog</t>
  </si>
  <si>
    <t>PHL.16.15_1</t>
  </si>
  <si>
    <t>Manolo Fortich</t>
  </si>
  <si>
    <t>PHL.16.16_1</t>
  </si>
  <si>
    <t>Maramag</t>
  </si>
  <si>
    <t>PHL.16.17_1</t>
  </si>
  <si>
    <t>Pangantucan</t>
  </si>
  <si>
    <t>PHL.16.18_1</t>
  </si>
  <si>
    <t>Quezon</t>
  </si>
  <si>
    <t>PHL.16.19_1</t>
  </si>
  <si>
    <t>San Fernando</t>
  </si>
  <si>
    <t>PHL.16.20_1</t>
  </si>
  <si>
    <t>Sumilao</t>
  </si>
  <si>
    <t>PHL.16.21_1</t>
  </si>
  <si>
    <t>Talakag</t>
  </si>
  <si>
    <t>PHL.16.22_1</t>
  </si>
  <si>
    <t>Valencia City</t>
  </si>
  <si>
    <t>PHL.17.1_1</t>
  </si>
  <si>
    <t>Bulacan</t>
  </si>
  <si>
    <t>Angat</t>
  </si>
  <si>
    <t>PHL.17.2_1</t>
  </si>
  <si>
    <t>Balagtas</t>
  </si>
  <si>
    <t>PHL.17.3_1</t>
  </si>
  <si>
    <t>Baliuag</t>
  </si>
  <si>
    <t>PHL.17.4_1</t>
  </si>
  <si>
    <t>Bocaue</t>
  </si>
  <si>
    <t>PHL.17.5_1</t>
  </si>
  <si>
    <t>PHL.17.6_1</t>
  </si>
  <si>
    <t>Bustos</t>
  </si>
  <si>
    <t>PHL.17.7_1</t>
  </si>
  <si>
    <t>Calumpit</t>
  </si>
  <si>
    <t>PHL.17.8_1</t>
  </si>
  <si>
    <t>Doña Remedios Trinidad</t>
  </si>
  <si>
    <t>PHL.17.9_1</t>
  </si>
  <si>
    <t>Guiguinto</t>
  </si>
  <si>
    <t>PHL.17.10_1</t>
  </si>
  <si>
    <t>Hagonoy</t>
  </si>
  <si>
    <t>PHL.17.11_1</t>
  </si>
  <si>
    <t>Malolos City</t>
  </si>
  <si>
    <t>PHL.17.12_1</t>
  </si>
  <si>
    <t>Marilao</t>
  </si>
  <si>
    <t>PHL.17.13_1</t>
  </si>
  <si>
    <t>Meycauayan City</t>
  </si>
  <si>
    <t>PHL.17.14_1</t>
  </si>
  <si>
    <t>Norzagaray</t>
  </si>
  <si>
    <t>PHL.17.15_1</t>
  </si>
  <si>
    <t>Obando</t>
  </si>
  <si>
    <t>PHL.17.16_1</t>
  </si>
  <si>
    <t>Pandi</t>
  </si>
  <si>
    <t>PHL.17.17_1</t>
  </si>
  <si>
    <t>Paombong</t>
  </si>
  <si>
    <t>PHL.17.18_1</t>
  </si>
  <si>
    <t>Plaridel</t>
  </si>
  <si>
    <t>PHL.17.19_1</t>
  </si>
  <si>
    <t>Pulilan</t>
  </si>
  <si>
    <t>PHL.17.20_1</t>
  </si>
  <si>
    <t>San Ildefonso</t>
  </si>
  <si>
    <t>PHL.17.21_1</t>
  </si>
  <si>
    <t>San Jose del Monte City</t>
  </si>
  <si>
    <t>PHL.17.22_1</t>
  </si>
  <si>
    <t>PHL.17.23_1</t>
  </si>
  <si>
    <t>San Rafael</t>
  </si>
  <si>
    <t>PHL.17.24_1</t>
  </si>
  <si>
    <t>Santa Maria</t>
  </si>
  <si>
    <t>PHL.18.1_1</t>
  </si>
  <si>
    <t>Cagayan</t>
  </si>
  <si>
    <t>Abulug</t>
  </si>
  <si>
    <t>PHL.18.2_1</t>
  </si>
  <si>
    <t>Alcala</t>
  </si>
  <si>
    <t>PHL.18.3_1</t>
  </si>
  <si>
    <t>Allacapan</t>
  </si>
  <si>
    <t>PHL.18.4_1</t>
  </si>
  <si>
    <t>Amulung</t>
  </si>
  <si>
    <t>PHL.18.5_1</t>
  </si>
  <si>
    <t>Aparri</t>
  </si>
  <si>
    <t>PHL.18.6_1</t>
  </si>
  <si>
    <t>Baggao</t>
  </si>
  <si>
    <t>PHL.18.7_1</t>
  </si>
  <si>
    <t>Ballesteros</t>
  </si>
  <si>
    <t>PHL.18.8_1</t>
  </si>
  <si>
    <t>Buguey</t>
  </si>
  <si>
    <t>PHL.18.9_1</t>
  </si>
  <si>
    <t>Calayan</t>
  </si>
  <si>
    <t>PHL.18.10_1</t>
  </si>
  <si>
    <t>Camalaniugan</t>
  </si>
  <si>
    <t>PHL.18.11_1</t>
  </si>
  <si>
    <t>Claveria</t>
  </si>
  <si>
    <t>PHL.18.12_1</t>
  </si>
  <si>
    <t>Enrile</t>
  </si>
  <si>
    <t>PHL.18.13_1</t>
  </si>
  <si>
    <t>Gattaran</t>
  </si>
  <si>
    <t>PHL.18.14_1</t>
  </si>
  <si>
    <t>Gonzaga</t>
  </si>
  <si>
    <t>PHL.18.15_1</t>
  </si>
  <si>
    <t>Iguig</t>
  </si>
  <si>
    <t>PHL.18.16_1</t>
  </si>
  <si>
    <t>Lal-Lo</t>
  </si>
  <si>
    <t>PHL.18.17_1</t>
  </si>
  <si>
    <t>Lasam</t>
  </si>
  <si>
    <t>PHL.18.18_1</t>
  </si>
  <si>
    <t>Pamplona</t>
  </si>
  <si>
    <t>PHL.18.19_1</t>
  </si>
  <si>
    <t>Peñablanca</t>
  </si>
  <si>
    <t>PHL.18.20_1</t>
  </si>
  <si>
    <t>Piat</t>
  </si>
  <si>
    <t>PHL.18.21_1</t>
  </si>
  <si>
    <t>Rizal</t>
  </si>
  <si>
    <t>PHL.18.22_1</t>
  </si>
  <si>
    <t>Sanchez-Mira</t>
  </si>
  <si>
    <t>PHL.18.23_1</t>
  </si>
  <si>
    <t>Santa Ana</t>
  </si>
  <si>
    <t>PHL.18.24_1</t>
  </si>
  <si>
    <t>Santa Praxedes</t>
  </si>
  <si>
    <t>PHL.18.25_1</t>
  </si>
  <si>
    <t>PHL.18.26_1</t>
  </si>
  <si>
    <t>Santo Niño</t>
  </si>
  <si>
    <t>PHL.18.27_1</t>
  </si>
  <si>
    <t>Solana</t>
  </si>
  <si>
    <t>PHL.18.28_1</t>
  </si>
  <si>
    <t>Tuao</t>
  </si>
  <si>
    <t>PHL.18.29_1</t>
  </si>
  <si>
    <t>Tuguegarao City</t>
  </si>
  <si>
    <t>PHL.19.1_1</t>
  </si>
  <si>
    <t>Camarines Norte</t>
  </si>
  <si>
    <t>Basud</t>
  </si>
  <si>
    <t>PHL.19.2_1</t>
  </si>
  <si>
    <t>Capalonga</t>
  </si>
  <si>
    <t>PHL.19.3_1</t>
  </si>
  <si>
    <t>Daet</t>
  </si>
  <si>
    <t>PHL.19.4_1</t>
  </si>
  <si>
    <t>Jose Panganiban</t>
  </si>
  <si>
    <t>PHL.19.5_1</t>
  </si>
  <si>
    <t>Labo</t>
  </si>
  <si>
    <t>PHL.19.6_1</t>
  </si>
  <si>
    <t>Mercedes</t>
  </si>
  <si>
    <t>PHL.19.7_1</t>
  </si>
  <si>
    <t>Paracale</t>
  </si>
  <si>
    <t>PHL.19.8_1</t>
  </si>
  <si>
    <t>San Lorenzo Ruiz</t>
  </si>
  <si>
    <t>PHL.19.9_1</t>
  </si>
  <si>
    <t>San Vicente</t>
  </si>
  <si>
    <t>PHL.19.10_1</t>
  </si>
  <si>
    <t>Santa Elena</t>
  </si>
  <si>
    <t>PHL.19.11_1</t>
  </si>
  <si>
    <t>PHL.19.12_1</t>
  </si>
  <si>
    <t>Vinzons</t>
  </si>
  <si>
    <t>PHL.20.1_1</t>
  </si>
  <si>
    <t>Camarines Sur</t>
  </si>
  <si>
    <t>Baao</t>
  </si>
  <si>
    <t>PHL.20.2_1</t>
  </si>
  <si>
    <t>Balatan</t>
  </si>
  <si>
    <t>PHL.20.4_1</t>
  </si>
  <si>
    <t>Bato</t>
  </si>
  <si>
    <t>PHL.20.3_1</t>
  </si>
  <si>
    <t>PHL.20.5_1</t>
  </si>
  <si>
    <t>Bombon</t>
  </si>
  <si>
    <t>PHL.20.7_1</t>
  </si>
  <si>
    <t>Buhi</t>
  </si>
  <si>
    <t>PHL.20.6_1</t>
  </si>
  <si>
    <t>Buhi Lake</t>
  </si>
  <si>
    <t>PHL.20.8_1</t>
  </si>
  <si>
    <t>Bula</t>
  </si>
  <si>
    <t>PHL.20.9_1</t>
  </si>
  <si>
    <t>Cabusao</t>
  </si>
  <si>
    <t>PHL.20.10_1</t>
  </si>
  <si>
    <t>Calabanga</t>
  </si>
  <si>
    <t>PHL.20.11_1</t>
  </si>
  <si>
    <t>Camaligan</t>
  </si>
  <si>
    <t>PHL.20.12_1</t>
  </si>
  <si>
    <t>Canaman</t>
  </si>
  <si>
    <t>PHL.20.13_1</t>
  </si>
  <si>
    <t>Caramoan</t>
  </si>
  <si>
    <t>PHL.20.14_1</t>
  </si>
  <si>
    <t>Del Gallego</t>
  </si>
  <si>
    <t>PHL.20.15_1</t>
  </si>
  <si>
    <t>Gainza</t>
  </si>
  <si>
    <t>PHL.20.16_1</t>
  </si>
  <si>
    <t>Garchitorena</t>
  </si>
  <si>
    <t>PHL.20.17_1</t>
  </si>
  <si>
    <t>Goa</t>
  </si>
  <si>
    <t>PHL.20.18_1</t>
  </si>
  <si>
    <t>Iriga City</t>
  </si>
  <si>
    <t>PHL.20.19_1</t>
  </si>
  <si>
    <t>Lagonoy</t>
  </si>
  <si>
    <t>PHL.20.20_1</t>
  </si>
  <si>
    <t>Libmanan</t>
  </si>
  <si>
    <t>PHL.20.21_1</t>
  </si>
  <si>
    <t>Lupi</t>
  </si>
  <si>
    <t>PHL.20.22_1</t>
  </si>
  <si>
    <t>Magarao</t>
  </si>
  <si>
    <t>PHL.20.23_1</t>
  </si>
  <si>
    <t>Milaor</t>
  </si>
  <si>
    <t>PHL.20.24_1</t>
  </si>
  <si>
    <t>Minalabac</t>
  </si>
  <si>
    <t>PHL.20.25_1</t>
  </si>
  <si>
    <t>Nabua</t>
  </si>
  <si>
    <t>PHL.20.26_1</t>
  </si>
  <si>
    <t>Naga City</t>
  </si>
  <si>
    <t>PHL.20.27_1</t>
  </si>
  <si>
    <t>Ocampo</t>
  </si>
  <si>
    <t>PHL.20.28_1</t>
  </si>
  <si>
    <t>PHL.20.29_1</t>
  </si>
  <si>
    <t>Pasacao</t>
  </si>
  <si>
    <t>PHL.20.30_1</t>
  </si>
  <si>
    <t>Pili</t>
  </si>
  <si>
    <t>PHL.20.31_1</t>
  </si>
  <si>
    <t>Presentacion</t>
  </si>
  <si>
    <t>PHL.20.32_1</t>
  </si>
  <si>
    <t>Ragay</t>
  </si>
  <si>
    <t>PHL.20.33_1</t>
  </si>
  <si>
    <t>Sagnay</t>
  </si>
  <si>
    <t>PHL.20.34_1</t>
  </si>
  <si>
    <t>PHL.20.35_1</t>
  </si>
  <si>
    <t>PHL.20.36_1</t>
  </si>
  <si>
    <t>Sipocot</t>
  </si>
  <si>
    <t>PHL.20.37_1</t>
  </si>
  <si>
    <t>Siruma</t>
  </si>
  <si>
    <t>PHL.20.38_1</t>
  </si>
  <si>
    <t>Tigaon</t>
  </si>
  <si>
    <t>PHL.20.39_1</t>
  </si>
  <si>
    <t>Tinambac</t>
  </si>
  <si>
    <t>PHL.21.1_1</t>
  </si>
  <si>
    <t>Camiguin</t>
  </si>
  <si>
    <t>Catarman</t>
  </si>
  <si>
    <t>PHL.21.2_1</t>
  </si>
  <si>
    <t>Guinsiliban</t>
  </si>
  <si>
    <t>PHL.21.3_1</t>
  </si>
  <si>
    <t>Mahinog</t>
  </si>
  <si>
    <t>PHL.21.4_1</t>
  </si>
  <si>
    <t>Mambajao</t>
  </si>
  <si>
    <t>PHL.21.5_1</t>
  </si>
  <si>
    <t>Sagay</t>
  </si>
  <si>
    <t>PHL.22.1_1</t>
  </si>
  <si>
    <t>Capiz</t>
  </si>
  <si>
    <t>Cuartero</t>
  </si>
  <si>
    <t>PHL.22.2_1</t>
  </si>
  <si>
    <t>Dao</t>
  </si>
  <si>
    <t>PHL.22.3_1</t>
  </si>
  <si>
    <t>Dumalag</t>
  </si>
  <si>
    <t>PHL.22.4_1</t>
  </si>
  <si>
    <t>Dumarao</t>
  </si>
  <si>
    <t>PHL.22.5_1</t>
  </si>
  <si>
    <t>Ivisan</t>
  </si>
  <si>
    <t>PHL.22.6_1</t>
  </si>
  <si>
    <t>Jamindan</t>
  </si>
  <si>
    <t>PHL.22.7_1</t>
  </si>
  <si>
    <t>Ma-Ayon</t>
  </si>
  <si>
    <t>PHL.22.8_1</t>
  </si>
  <si>
    <t>Mambusao</t>
  </si>
  <si>
    <t>PHL.22.9_1</t>
  </si>
  <si>
    <t>Panay</t>
  </si>
  <si>
    <t>PHL.22.10_1</t>
  </si>
  <si>
    <t>Panitan</t>
  </si>
  <si>
    <t>PHL.22.11_1</t>
  </si>
  <si>
    <t>PHL.22.12_1</t>
  </si>
  <si>
    <t>Pontevedra</t>
  </si>
  <si>
    <t>PHL.22.13_1</t>
  </si>
  <si>
    <t>President Roxas</t>
  </si>
  <si>
    <t>PHL.22.14_1</t>
  </si>
  <si>
    <t>Roxas City</t>
  </si>
  <si>
    <t>PHL.22.15_1</t>
  </si>
  <si>
    <t>Sapi-An</t>
  </si>
  <si>
    <t>PHL.22.16_1</t>
  </si>
  <si>
    <t>Sigma</t>
  </si>
  <si>
    <t>PHL.22.17_1</t>
  </si>
  <si>
    <t>Tapaz</t>
  </si>
  <si>
    <t>PHL.23.1_1</t>
  </si>
  <si>
    <t>Catanduanes</t>
  </si>
  <si>
    <t>Bagamanoc</t>
  </si>
  <si>
    <t>PHL.23.2_1</t>
  </si>
  <si>
    <t>Baras</t>
  </si>
  <si>
    <t>PHL.23.3_1</t>
  </si>
  <si>
    <t>PHL.23.4_1</t>
  </si>
  <si>
    <t>Caramoran</t>
  </si>
  <si>
    <t>PHL.23.5_1</t>
  </si>
  <si>
    <t>Gigmoto</t>
  </si>
  <si>
    <t>PHL.23.6_1</t>
  </si>
  <si>
    <t>PHL.23.7_1</t>
  </si>
  <si>
    <t>Panganiban</t>
  </si>
  <si>
    <t>PHL.23.8_1</t>
  </si>
  <si>
    <t>San Andres</t>
  </si>
  <si>
    <t>PHL.23.9_1</t>
  </si>
  <si>
    <t>PHL.23.10_1</t>
  </si>
  <si>
    <t>Viga</t>
  </si>
  <si>
    <t>PHL.23.11_1</t>
  </si>
  <si>
    <t>Virac</t>
  </si>
  <si>
    <t>PHL.24.1_1</t>
  </si>
  <si>
    <t>Cavite</t>
  </si>
  <si>
    <t>Alfonso</t>
  </si>
  <si>
    <t>PHL.24.2_1</t>
  </si>
  <si>
    <t>Amadeo</t>
  </si>
  <si>
    <t>PHL.24.3_1</t>
  </si>
  <si>
    <t>Bacoor</t>
  </si>
  <si>
    <t>PHL.24.4_1</t>
  </si>
  <si>
    <t>Carmona</t>
  </si>
  <si>
    <t>PHL.24.5_1</t>
  </si>
  <si>
    <t>Cavite City</t>
  </si>
  <si>
    <t>PHL.24.6_1</t>
  </si>
  <si>
    <t>Dasmariñas</t>
  </si>
  <si>
    <t>PHL.24.7_1</t>
  </si>
  <si>
    <t>General Emilio Aguinaldo</t>
  </si>
  <si>
    <t>PHL.24.8_1</t>
  </si>
  <si>
    <t>General Mariano Alvarez</t>
  </si>
  <si>
    <t>PHL.24.9_1</t>
  </si>
  <si>
    <t>General Trias</t>
  </si>
  <si>
    <t>PHL.24.10_1</t>
  </si>
  <si>
    <t>Imus</t>
  </si>
  <si>
    <t>PHL.24.11_1</t>
  </si>
  <si>
    <t>Indang</t>
  </si>
  <si>
    <t>PHL.24.12_1</t>
  </si>
  <si>
    <t>Kawit</t>
  </si>
  <si>
    <t>PHL.24.13_1</t>
  </si>
  <si>
    <t>PHL.24.14_1</t>
  </si>
  <si>
    <t>Maragondon</t>
  </si>
  <si>
    <t>PHL.24.15_1</t>
  </si>
  <si>
    <t>Mendez</t>
  </si>
  <si>
    <t>PHL.24.16_1</t>
  </si>
  <si>
    <t>Naic</t>
  </si>
  <si>
    <t>PHL.24.17_1</t>
  </si>
  <si>
    <t>Noveleta</t>
  </si>
  <si>
    <t>PHL.24.18_1</t>
  </si>
  <si>
    <t>PHL.24.19_1</t>
  </si>
  <si>
    <t>Silang</t>
  </si>
  <si>
    <t>PHL.24.20_1</t>
  </si>
  <si>
    <t>Tagaytay City</t>
  </si>
  <si>
    <t>PHL.24.21_1</t>
  </si>
  <si>
    <t>Tanza</t>
  </si>
  <si>
    <t>PHL.24.22_1</t>
  </si>
  <si>
    <t>PHL.24.23_1</t>
  </si>
  <si>
    <t>Trece Martires City</t>
  </si>
  <si>
    <t>PHL.25.1_1</t>
  </si>
  <si>
    <t>Cebu</t>
  </si>
  <si>
    <t>Alcantara</t>
  </si>
  <si>
    <t>PHL.25.2_1</t>
  </si>
  <si>
    <t>Alcoy</t>
  </si>
  <si>
    <t>PHL.25.3_1</t>
  </si>
  <si>
    <t>Alegria</t>
  </si>
  <si>
    <t>PHL.25.4_1</t>
  </si>
  <si>
    <t>Aloguinsan</t>
  </si>
  <si>
    <t>PHL.25.5_1</t>
  </si>
  <si>
    <t>Argao</t>
  </si>
  <si>
    <t>PHL.25.6_1</t>
  </si>
  <si>
    <t>Asturias</t>
  </si>
  <si>
    <t>PHL.25.7_1</t>
  </si>
  <si>
    <t>Badian</t>
  </si>
  <si>
    <t>PHL.25.8_1</t>
  </si>
  <si>
    <t>Balamban</t>
  </si>
  <si>
    <t>PHL.25.9_1</t>
  </si>
  <si>
    <t>Bantayan</t>
  </si>
  <si>
    <t>PHL.25.10_1</t>
  </si>
  <si>
    <t>Barili</t>
  </si>
  <si>
    <t>PHL.25.11_1</t>
  </si>
  <si>
    <t>Bogo City</t>
  </si>
  <si>
    <t>PHL.25.12_1</t>
  </si>
  <si>
    <t>Boljoon</t>
  </si>
  <si>
    <t>PHL.25.13_1</t>
  </si>
  <si>
    <t>Borbon</t>
  </si>
  <si>
    <t>PHL.25.14_1</t>
  </si>
  <si>
    <t>Carcar</t>
  </si>
  <si>
    <t>PHL.25.15_1</t>
  </si>
  <si>
    <t>PHL.25.16_1</t>
  </si>
  <si>
    <t>Catmon</t>
  </si>
  <si>
    <t>PHL.25.17_1</t>
  </si>
  <si>
    <t>Cebu City</t>
  </si>
  <si>
    <t>PHL.25.18_1</t>
  </si>
  <si>
    <t>Compostela</t>
  </si>
  <si>
    <t>PHL.25.19_1</t>
  </si>
  <si>
    <t>Consolacion</t>
  </si>
  <si>
    <t>PHL.25.20_1</t>
  </si>
  <si>
    <t>Cordoba</t>
  </si>
  <si>
    <t>PHL.25.21_1</t>
  </si>
  <si>
    <t>Daanbantayan</t>
  </si>
  <si>
    <t>PHL.25.22_1</t>
  </si>
  <si>
    <t>Dalaguete</t>
  </si>
  <si>
    <t>PHL.25.23_1</t>
  </si>
  <si>
    <t>Danao City</t>
  </si>
  <si>
    <t>PHL.25.24_1</t>
  </si>
  <si>
    <t>Danao Lake</t>
  </si>
  <si>
    <t>PHL.25.25_1</t>
  </si>
  <si>
    <t>Dumanjug</t>
  </si>
  <si>
    <t>PHL.25.26_1</t>
  </si>
  <si>
    <t>Ginatilan</t>
  </si>
  <si>
    <t>PHL.25.27_1</t>
  </si>
  <si>
    <t>Lapu-Lapu City</t>
  </si>
  <si>
    <t>PHL.25.28_1</t>
  </si>
  <si>
    <t>Liloan</t>
  </si>
  <si>
    <t>PHL.25.29_1</t>
  </si>
  <si>
    <t>Madridejos</t>
  </si>
  <si>
    <t>PHL.25.30_1</t>
  </si>
  <si>
    <t>Malabuyoc</t>
  </si>
  <si>
    <t>PHL.25.31_1</t>
  </si>
  <si>
    <t>Mandaue City</t>
  </si>
  <si>
    <t>PHL.25.32_1</t>
  </si>
  <si>
    <t>Medellin</t>
  </si>
  <si>
    <t>PHL.25.33_1</t>
  </si>
  <si>
    <t>Minglanilla</t>
  </si>
  <si>
    <t>PHL.25.34_1</t>
  </si>
  <si>
    <t>Moalboal</t>
  </si>
  <si>
    <t>PHL.25.35_1</t>
  </si>
  <si>
    <t>PHL.25.36_1</t>
  </si>
  <si>
    <t>Oslob</t>
  </si>
  <si>
    <t>PHL.25.37_1</t>
  </si>
  <si>
    <t>PHL.25.38_1</t>
  </si>
  <si>
    <t>Pinamungahan</t>
  </si>
  <si>
    <t>PHL.25.39_1</t>
  </si>
  <si>
    <t>Poro</t>
  </si>
  <si>
    <t>PHL.25.40_1</t>
  </si>
  <si>
    <t>Ronda</t>
  </si>
  <si>
    <t>PHL.25.41_1</t>
  </si>
  <si>
    <t>Samboan</t>
  </si>
  <si>
    <t>PHL.25.42_1</t>
  </si>
  <si>
    <t>PHL.25.43_1</t>
  </si>
  <si>
    <t>PHL.25.44_1</t>
  </si>
  <si>
    <t>PHL.25.45_1</t>
  </si>
  <si>
    <t>Santa Fe</t>
  </si>
  <si>
    <t>PHL.25.46_1</t>
  </si>
  <si>
    <t>Santander</t>
  </si>
  <si>
    <t>PHL.25.47_1</t>
  </si>
  <si>
    <t>Sibonga</t>
  </si>
  <si>
    <t>PHL.25.48_1</t>
  </si>
  <si>
    <t>Sogod</t>
  </si>
  <si>
    <t>PHL.25.49_1</t>
  </si>
  <si>
    <t>Tabogon</t>
  </si>
  <si>
    <t>PHL.25.50_1</t>
  </si>
  <si>
    <t>Tabuelan</t>
  </si>
  <si>
    <t>PHL.25.51_1</t>
  </si>
  <si>
    <t>Talisay City</t>
  </si>
  <si>
    <t>PHL.25.52_1</t>
  </si>
  <si>
    <t>Toledo City</t>
  </si>
  <si>
    <t>PHL.25.53_1</t>
  </si>
  <si>
    <t>PHL.25.54_1</t>
  </si>
  <si>
    <t>Tudela</t>
  </si>
  <si>
    <t>PHL.26.1_1</t>
  </si>
  <si>
    <t>Compostela Valley</t>
  </si>
  <si>
    <t>PHL.26.2_1</t>
  </si>
  <si>
    <t>Laak</t>
  </si>
  <si>
    <t>PHL.26.3_1</t>
  </si>
  <si>
    <t>PHL.26.4_1</t>
  </si>
  <si>
    <t>Maco</t>
  </si>
  <si>
    <t>PHL.26.5_1</t>
  </si>
  <si>
    <t>Maragusan</t>
  </si>
  <si>
    <t>PHL.26.6_1</t>
  </si>
  <si>
    <t>Mawab</t>
  </si>
  <si>
    <t>PHL.26.7_1</t>
  </si>
  <si>
    <t>Monkayo</t>
  </si>
  <si>
    <t>PHL.26.8_1</t>
  </si>
  <si>
    <t>Montevista</t>
  </si>
  <si>
    <t>PHL.26.9_1</t>
  </si>
  <si>
    <t>Nabunturan</t>
  </si>
  <si>
    <t>PHL.26.10_1</t>
  </si>
  <si>
    <t>New Bataan</t>
  </si>
  <si>
    <t>PHL.26.11_1</t>
  </si>
  <si>
    <t>Pantukan</t>
  </si>
  <si>
    <t>PHL.27.1_1</t>
  </si>
  <si>
    <t>Davao del Norte</t>
  </si>
  <si>
    <t>Asuncion</t>
  </si>
  <si>
    <t>PHL.27.2_1</t>
  </si>
  <si>
    <t>Braulio E. Dujali</t>
  </si>
  <si>
    <t>PHL.27.3_1</t>
  </si>
  <si>
    <t>PHL.27.4_1</t>
  </si>
  <si>
    <t>Kapalong</t>
  </si>
  <si>
    <t>PHL.27.5_1</t>
  </si>
  <si>
    <t>New Corella</t>
  </si>
  <si>
    <t>PHL.27.6_1</t>
  </si>
  <si>
    <t>Panabo City</t>
  </si>
  <si>
    <t>PHL.27.7_1</t>
  </si>
  <si>
    <t>Samal City</t>
  </si>
  <si>
    <t>PHL.27.8_1</t>
  </si>
  <si>
    <t>PHL.27.9_1</t>
  </si>
  <si>
    <t>PHL.27.10_1</t>
  </si>
  <si>
    <t>Tagum City</t>
  </si>
  <si>
    <t>PHL.27.11_1</t>
  </si>
  <si>
    <t>Talaingod</t>
  </si>
  <si>
    <t>PHL.28.1_1</t>
  </si>
  <si>
    <t>Davao del Sur</t>
  </si>
  <si>
    <t>Bansalan</t>
  </si>
  <si>
    <t>PHL.28.2_1</t>
  </si>
  <si>
    <t>Davao City</t>
  </si>
  <si>
    <t>PHL.28.3_1</t>
  </si>
  <si>
    <t>Digos City</t>
  </si>
  <si>
    <t>PHL.28.4_1</t>
  </si>
  <si>
    <t>Don Marcelino</t>
  </si>
  <si>
    <t>PHL.28.5_1</t>
  </si>
  <si>
    <t>PHL.28.6_1</t>
  </si>
  <si>
    <t>Jose Abad Santos</t>
  </si>
  <si>
    <t>PHL.28.7_1</t>
  </si>
  <si>
    <t>Kiblawan</t>
  </si>
  <si>
    <t>PHL.28.8_1</t>
  </si>
  <si>
    <t>Magsaysay</t>
  </si>
  <si>
    <t>PHL.28.9_1</t>
  </si>
  <si>
    <t>Malalag</t>
  </si>
  <si>
    <t>PHL.28.10_1</t>
  </si>
  <si>
    <t>Malita</t>
  </si>
  <si>
    <t>PHL.28.11_1</t>
  </si>
  <si>
    <t>Matanao</t>
  </si>
  <si>
    <t>PHL.28.12_1</t>
  </si>
  <si>
    <t>Padada</t>
  </si>
  <si>
    <t>PHL.28.13_1</t>
  </si>
  <si>
    <t>Santa Cruz</t>
  </si>
  <si>
    <t>PHL.28.14_1</t>
  </si>
  <si>
    <t>PHL.28.15_1</t>
  </si>
  <si>
    <t>Sarangani</t>
  </si>
  <si>
    <t>PHL.28.16_1</t>
  </si>
  <si>
    <t>Sulop</t>
  </si>
  <si>
    <t>PHL.29.1_1</t>
  </si>
  <si>
    <t>Davao Oriental</t>
  </si>
  <si>
    <t>Baganga</t>
  </si>
  <si>
    <t>PHL.29.2_1</t>
  </si>
  <si>
    <t>Banaybanay</t>
  </si>
  <si>
    <t>PHL.29.3_1</t>
  </si>
  <si>
    <t>Boston</t>
  </si>
  <si>
    <t>PHL.29.4_1</t>
  </si>
  <si>
    <t>Caraga</t>
  </si>
  <si>
    <t>PHL.29.5_1</t>
  </si>
  <si>
    <t>Cateel</t>
  </si>
  <si>
    <t>PHL.29.6_1</t>
  </si>
  <si>
    <t>Governor Generoso</t>
  </si>
  <si>
    <t>PHL.29.7_1</t>
  </si>
  <si>
    <t>Lupon</t>
  </si>
  <si>
    <t>PHL.29.8_1</t>
  </si>
  <si>
    <t>Manay</t>
  </si>
  <si>
    <t>PHL.29.9_1</t>
  </si>
  <si>
    <t>Mati City</t>
  </si>
  <si>
    <t>PHL.29.10_1</t>
  </si>
  <si>
    <t>PHL.29.11_1</t>
  </si>
  <si>
    <t>Tarragona</t>
  </si>
  <si>
    <t>PHL.30.1_1</t>
  </si>
  <si>
    <t>Dinagat Islands</t>
  </si>
  <si>
    <t>Basilisa</t>
  </si>
  <si>
    <t>PHL.30.2_1</t>
  </si>
  <si>
    <t>Cagdianao</t>
  </si>
  <si>
    <t>PHL.30.3_1</t>
  </si>
  <si>
    <t>Dinagat</t>
  </si>
  <si>
    <t>PHL.30.4_1</t>
  </si>
  <si>
    <t>Libjo</t>
  </si>
  <si>
    <t>PHL.30.5_1</t>
  </si>
  <si>
    <t>PHL.30.6_1</t>
  </si>
  <si>
    <t>PHL.30.7_1</t>
  </si>
  <si>
    <t>Tubajon</t>
  </si>
  <si>
    <t>PHL.31.1_1</t>
  </si>
  <si>
    <t>Eastern Samar</t>
  </si>
  <si>
    <t>Arteche</t>
  </si>
  <si>
    <t>PHL.31.2_1</t>
  </si>
  <si>
    <t>Balangiga</t>
  </si>
  <si>
    <t>PHL.31.3_1</t>
  </si>
  <si>
    <t>Balangkayan</t>
  </si>
  <si>
    <t>PHL.31.4_1</t>
  </si>
  <si>
    <t>Borongan City</t>
  </si>
  <si>
    <t>PHL.31.5_1</t>
  </si>
  <si>
    <t>Can-Avid</t>
  </si>
  <si>
    <t>PHL.31.6_1</t>
  </si>
  <si>
    <t>PHL.31.7_1</t>
  </si>
  <si>
    <t>General Macarthur</t>
  </si>
  <si>
    <t>PHL.31.8_1</t>
  </si>
  <si>
    <t>Giporlos</t>
  </si>
  <si>
    <t>PHL.31.9_1</t>
  </si>
  <si>
    <t>Guiuan</t>
  </si>
  <si>
    <t>PHL.31.10_1</t>
  </si>
  <si>
    <t>Hernani</t>
  </si>
  <si>
    <t>PHL.31.11_1</t>
  </si>
  <si>
    <t>Jipapad</t>
  </si>
  <si>
    <t>PHL.31.12_1</t>
  </si>
  <si>
    <t>Lawaan</t>
  </si>
  <si>
    <t>PHL.31.13_1</t>
  </si>
  <si>
    <t>Llorente</t>
  </si>
  <si>
    <t>PHL.31.14_1</t>
  </si>
  <si>
    <t>Maslog</t>
  </si>
  <si>
    <t>PHL.31.15_1</t>
  </si>
  <si>
    <t>Maydolong</t>
  </si>
  <si>
    <t>PHL.31.16_1</t>
  </si>
  <si>
    <t>PHL.31.17_1</t>
  </si>
  <si>
    <t>Oras</t>
  </si>
  <si>
    <t>PHL.31.18_1</t>
  </si>
  <si>
    <t>Quinapondan</t>
  </si>
  <si>
    <t>PHL.31.19_1</t>
  </si>
  <si>
    <t>Salcedo</t>
  </si>
  <si>
    <t>PHL.31.20_1</t>
  </si>
  <si>
    <t>San Julian</t>
  </si>
  <si>
    <t>PHL.31.21_1</t>
  </si>
  <si>
    <t>San Policarpo</t>
  </si>
  <si>
    <t>PHL.31.22_1</t>
  </si>
  <si>
    <t>Sulat</t>
  </si>
  <si>
    <t>PHL.31.23_1</t>
  </si>
  <si>
    <t>Taft</t>
  </si>
  <si>
    <t>PHL.32.1_1</t>
  </si>
  <si>
    <t>Guimaras</t>
  </si>
  <si>
    <t>PHL.32.2_1</t>
  </si>
  <si>
    <t>Jordan</t>
  </si>
  <si>
    <t>PHL.32.3_1</t>
  </si>
  <si>
    <t>Nueva Valencia</t>
  </si>
  <si>
    <t>PHL.32.4_1</t>
  </si>
  <si>
    <t>San Lorenzo</t>
  </si>
  <si>
    <t>PHL.32.5_1</t>
  </si>
  <si>
    <t>Sibunag</t>
  </si>
  <si>
    <t>PHL.33.1_1</t>
  </si>
  <si>
    <t>Ifugao</t>
  </si>
  <si>
    <t>Aguinaldo</t>
  </si>
  <si>
    <t>PHL.33.2_1</t>
  </si>
  <si>
    <t>Alfonso Lista</t>
  </si>
  <si>
    <t>PHL.33.3_1</t>
  </si>
  <si>
    <t>Asipulo</t>
  </si>
  <si>
    <t>PHL.33.4_1</t>
  </si>
  <si>
    <t>Banaue</t>
  </si>
  <si>
    <t>PHL.33.5_1</t>
  </si>
  <si>
    <t>Hingyon</t>
  </si>
  <si>
    <t>PHL.33.6_1</t>
  </si>
  <si>
    <t>Hungduan</t>
  </si>
  <si>
    <t>PHL.33.7_1</t>
  </si>
  <si>
    <t>Kiangan</t>
  </si>
  <si>
    <t>PHL.33.8_1</t>
  </si>
  <si>
    <t>Lagawe</t>
  </si>
  <si>
    <t>PHL.33.9_1</t>
  </si>
  <si>
    <t>Lamut</t>
  </si>
  <si>
    <t>PHL.33.10_1</t>
  </si>
  <si>
    <t>Mayoyao</t>
  </si>
  <si>
    <t>PHL.33.11_1</t>
  </si>
  <si>
    <t>Tinoc</t>
  </si>
  <si>
    <t>PHL.34.1_1</t>
  </si>
  <si>
    <t>Ilocos Norte</t>
  </si>
  <si>
    <t>Adams</t>
  </si>
  <si>
    <t>PHL.34.2_1</t>
  </si>
  <si>
    <t>Bacarra</t>
  </si>
  <si>
    <t>PHL.34.3_1</t>
  </si>
  <si>
    <t>Badoc</t>
  </si>
  <si>
    <t>PHL.34.4_1</t>
  </si>
  <si>
    <t>Bangui</t>
  </si>
  <si>
    <t>PHL.34.5_1</t>
  </si>
  <si>
    <t>Banna</t>
  </si>
  <si>
    <t>PHL.34.6_1</t>
  </si>
  <si>
    <t>Batac City</t>
  </si>
  <si>
    <t>PHL.34.7_1</t>
  </si>
  <si>
    <t>Burgos</t>
  </si>
  <si>
    <t>PHL.34.8_1</t>
  </si>
  <si>
    <t>Carasi</t>
  </si>
  <si>
    <t>PHL.34.9_1</t>
  </si>
  <si>
    <t>Currimao</t>
  </si>
  <si>
    <t>PHL.34.10_1</t>
  </si>
  <si>
    <t>Dingras</t>
  </si>
  <si>
    <t>PHL.34.11_1</t>
  </si>
  <si>
    <t>Dumalneg</t>
  </si>
  <si>
    <t>PHL.34.12_1</t>
  </si>
  <si>
    <t>Laoag City</t>
  </si>
  <si>
    <t>PHL.34.13_1</t>
  </si>
  <si>
    <t>Marcos</t>
  </si>
  <si>
    <t>PHL.34.14_1</t>
  </si>
  <si>
    <t>Nueva Era</t>
  </si>
  <si>
    <t>PHL.34.15_1</t>
  </si>
  <si>
    <t>Pagudpud</t>
  </si>
  <si>
    <t>PHL.34.17_1</t>
  </si>
  <si>
    <t>Paoay</t>
  </si>
  <si>
    <t>PHL.34.16_1</t>
  </si>
  <si>
    <t>Paoay Lake</t>
  </si>
  <si>
    <t>PHL.34.18_1</t>
  </si>
  <si>
    <t>Pasuquin</t>
  </si>
  <si>
    <t>PHL.34.19_1</t>
  </si>
  <si>
    <t>Piddig</t>
  </si>
  <si>
    <t>PHL.34.20_1</t>
  </si>
  <si>
    <t>Pinili</t>
  </si>
  <si>
    <t>PHL.34.21_1</t>
  </si>
  <si>
    <t>PHL.34.22_1</t>
  </si>
  <si>
    <t>Sarrat</t>
  </si>
  <si>
    <t>PHL.34.23_1</t>
  </si>
  <si>
    <t>Solsona</t>
  </si>
  <si>
    <t>PHL.34.24_1</t>
  </si>
  <si>
    <t>Vintar</t>
  </si>
  <si>
    <t>PHL.35.1_1</t>
  </si>
  <si>
    <t>Ilocos Sur</t>
  </si>
  <si>
    <t>Alilem</t>
  </si>
  <si>
    <t>PHL.35.2_1</t>
  </si>
  <si>
    <t>Banayoyo</t>
  </si>
  <si>
    <t>PHL.35.3_1</t>
  </si>
  <si>
    <t>Bantay</t>
  </si>
  <si>
    <t>PHL.35.4_1</t>
  </si>
  <si>
    <t>PHL.35.5_1</t>
  </si>
  <si>
    <t>Cabugao</t>
  </si>
  <si>
    <t>PHL.35.6_1</t>
  </si>
  <si>
    <t>Candon City</t>
  </si>
  <si>
    <t>PHL.35.7_1</t>
  </si>
  <si>
    <t>Caoayan</t>
  </si>
  <si>
    <t>PHL.35.8_1</t>
  </si>
  <si>
    <t>Cervantes</t>
  </si>
  <si>
    <t>PHL.35.9_1</t>
  </si>
  <si>
    <t>Galimuyod</t>
  </si>
  <si>
    <t>PHL.35.10_1</t>
  </si>
  <si>
    <t>Gregorio Del Pilar</t>
  </si>
  <si>
    <t>PHL.35.11_1</t>
  </si>
  <si>
    <t>Lidlidda</t>
  </si>
  <si>
    <t>PHL.35.12_1</t>
  </si>
  <si>
    <t>Magsingal</t>
  </si>
  <si>
    <t>PHL.35.13_1</t>
  </si>
  <si>
    <t>Nagbukel</t>
  </si>
  <si>
    <t>PHL.35.14_1</t>
  </si>
  <si>
    <t>Narvacan</t>
  </si>
  <si>
    <t>PHL.35.15_1</t>
  </si>
  <si>
    <t>Quirino</t>
  </si>
  <si>
    <t>PHL.35.16_1</t>
  </si>
  <si>
    <t>PHL.35.17_1</t>
  </si>
  <si>
    <t>San Emilio</t>
  </si>
  <si>
    <t>PHL.35.18_1</t>
  </si>
  <si>
    <t>San Esteban</t>
  </si>
  <si>
    <t>PHL.35.19_1</t>
  </si>
  <si>
    <t>PHL.35.20_1</t>
  </si>
  <si>
    <t>PHL.35.21_1</t>
  </si>
  <si>
    <t>PHL.35.26_1</t>
  </si>
  <si>
    <t>Santa</t>
  </si>
  <si>
    <t>PHL.35.22_1</t>
  </si>
  <si>
    <t>Santa Catalina</t>
  </si>
  <si>
    <t>PHL.35.23_1</t>
  </si>
  <si>
    <t>PHL.35.24_1</t>
  </si>
  <si>
    <t>Santa Lucia</t>
  </si>
  <si>
    <t>PHL.35.25_1</t>
  </si>
  <si>
    <t>PHL.35.27_1</t>
  </si>
  <si>
    <t>PHL.35.28_1</t>
  </si>
  <si>
    <t>PHL.35.29_1</t>
  </si>
  <si>
    <t>Sigay</t>
  </si>
  <si>
    <t>PHL.35.30_1</t>
  </si>
  <si>
    <t>Sinait</t>
  </si>
  <si>
    <t>PHL.35.31_1</t>
  </si>
  <si>
    <t>Sugpon</t>
  </si>
  <si>
    <t>PHL.35.32_1</t>
  </si>
  <si>
    <t>Suyo</t>
  </si>
  <si>
    <t>PHL.35.33_1</t>
  </si>
  <si>
    <t>Tagudin</t>
  </si>
  <si>
    <t>PHL.35.34_1</t>
  </si>
  <si>
    <t>Vigan City</t>
  </si>
  <si>
    <t>PHL.36.1_1</t>
  </si>
  <si>
    <t>Iloilo</t>
  </si>
  <si>
    <t>Ajuy</t>
  </si>
  <si>
    <t>PHL.36.2_1</t>
  </si>
  <si>
    <t>Alimodian</t>
  </si>
  <si>
    <t>PHL.36.3_1</t>
  </si>
  <si>
    <t>Anilao</t>
  </si>
  <si>
    <t>PHL.36.4_1</t>
  </si>
  <si>
    <t>Badiangan</t>
  </si>
  <si>
    <t>PHL.36.5_1</t>
  </si>
  <si>
    <t>Balasan</t>
  </si>
  <si>
    <t>PHL.36.6_1</t>
  </si>
  <si>
    <t>Banate</t>
  </si>
  <si>
    <t>PHL.36.7_1</t>
  </si>
  <si>
    <t>Barotac Nuevo</t>
  </si>
  <si>
    <t>PHL.36.8_1</t>
  </si>
  <si>
    <t>Barotac Viejo</t>
  </si>
  <si>
    <t>PHL.36.9_1</t>
  </si>
  <si>
    <t>Batad</t>
  </si>
  <si>
    <t>PHL.36.10_1</t>
  </si>
  <si>
    <t>Bingawan</t>
  </si>
  <si>
    <t>PHL.36.11_1</t>
  </si>
  <si>
    <t>Cabatuan</t>
  </si>
  <si>
    <t>PHL.36.12_1</t>
  </si>
  <si>
    <t>Calinog</t>
  </si>
  <si>
    <t>PHL.36.13_1</t>
  </si>
  <si>
    <t>Carles</t>
  </si>
  <si>
    <t>PHL.36.14_1</t>
  </si>
  <si>
    <t>Concepcion</t>
  </si>
  <si>
    <t>PHL.36.15_1</t>
  </si>
  <si>
    <t>Dingle</t>
  </si>
  <si>
    <t>PHL.36.16_1</t>
  </si>
  <si>
    <t>Duenas</t>
  </si>
  <si>
    <t>PHL.36.17_1</t>
  </si>
  <si>
    <t>Dumangas</t>
  </si>
  <si>
    <t>PHL.36.18_1</t>
  </si>
  <si>
    <t>Estancia</t>
  </si>
  <si>
    <t>PHL.36.19_1</t>
  </si>
  <si>
    <t>Guimbal</t>
  </si>
  <si>
    <t>PHL.36.20_1</t>
  </si>
  <si>
    <t>Igbaras</t>
  </si>
  <si>
    <t>PHL.36.21_1</t>
  </si>
  <si>
    <t>Iloilo City</t>
  </si>
  <si>
    <t>PHL.36.22_1</t>
  </si>
  <si>
    <t>Janiuay</t>
  </si>
  <si>
    <t>PHL.36.23_1</t>
  </si>
  <si>
    <t>Lambunao</t>
  </si>
  <si>
    <t>PHL.36.24_1</t>
  </si>
  <si>
    <t>Leganes</t>
  </si>
  <si>
    <t>PHL.36.25_1</t>
  </si>
  <si>
    <t>PHL.36.26_1</t>
  </si>
  <si>
    <t>Leon</t>
  </si>
  <si>
    <t>PHL.36.27_1</t>
  </si>
  <si>
    <t>Maasin</t>
  </si>
  <si>
    <t>PHL.36.28_1</t>
  </si>
  <si>
    <t>Miagao</t>
  </si>
  <si>
    <t>PHL.36.29_1</t>
  </si>
  <si>
    <t>Mina</t>
  </si>
  <si>
    <t>PHL.36.30_1</t>
  </si>
  <si>
    <t>New Lucena</t>
  </si>
  <si>
    <t>PHL.36.31_1</t>
  </si>
  <si>
    <t>Oton</t>
  </si>
  <si>
    <t>PHL.36.32_1</t>
  </si>
  <si>
    <t>Passi City</t>
  </si>
  <si>
    <t>PHL.36.33_1</t>
  </si>
  <si>
    <t>Pavia</t>
  </si>
  <si>
    <t>PHL.36.34_1</t>
  </si>
  <si>
    <t>Pototan</t>
  </si>
  <si>
    <t>PHL.36.35_1</t>
  </si>
  <si>
    <t>San Dionisio</t>
  </si>
  <si>
    <t>PHL.36.36_1</t>
  </si>
  <si>
    <t>San Enrique</t>
  </si>
  <si>
    <t>PHL.36.37_1</t>
  </si>
  <si>
    <t>San Joaquin</t>
  </si>
  <si>
    <t>PHL.36.38_1</t>
  </si>
  <si>
    <t>PHL.36.39_1</t>
  </si>
  <si>
    <t>PHL.36.40_1</t>
  </si>
  <si>
    <t>Santa Barbara</t>
  </si>
  <si>
    <t>PHL.36.41_1</t>
  </si>
  <si>
    <t>Sara</t>
  </si>
  <si>
    <t>PHL.36.42_1</t>
  </si>
  <si>
    <t>Tigbauan</t>
  </si>
  <si>
    <t>PHL.36.43_1</t>
  </si>
  <si>
    <t>Tubungan</t>
  </si>
  <si>
    <t>PHL.36.44_1</t>
  </si>
  <si>
    <t>Zarraga</t>
  </si>
  <si>
    <t>PHL.37.1_1</t>
  </si>
  <si>
    <t>Isabela</t>
  </si>
  <si>
    <t>PHL.37.2_1</t>
  </si>
  <si>
    <t>Angadanan</t>
  </si>
  <si>
    <t>PHL.37.3_1</t>
  </si>
  <si>
    <t>PHL.37.4_1</t>
  </si>
  <si>
    <t>Benito Soliven</t>
  </si>
  <si>
    <t>PHL.37.5_1</t>
  </si>
  <si>
    <t>PHL.37.6_1</t>
  </si>
  <si>
    <t>Cabagan</t>
  </si>
  <si>
    <t>PHL.37.7_1</t>
  </si>
  <si>
    <t>PHL.37.8_1</t>
  </si>
  <si>
    <t>Cauayan City</t>
  </si>
  <si>
    <t>PHL.37.9_1</t>
  </si>
  <si>
    <t>Cordon</t>
  </si>
  <si>
    <t>PHL.37.10_1</t>
  </si>
  <si>
    <t>Delfin Albano</t>
  </si>
  <si>
    <t>PHL.37.11_1</t>
  </si>
  <si>
    <t>Dinapigue</t>
  </si>
  <si>
    <t>PHL.37.12_1</t>
  </si>
  <si>
    <t>Divilacan</t>
  </si>
  <si>
    <t>PHL.37.13_1</t>
  </si>
  <si>
    <t>Echague</t>
  </si>
  <si>
    <t>PHL.37.14_1</t>
  </si>
  <si>
    <t>Gamu</t>
  </si>
  <si>
    <t>PHL.37.15_1</t>
  </si>
  <si>
    <t>Ilagan</t>
  </si>
  <si>
    <t>PHL.37.16_1</t>
  </si>
  <si>
    <t>Jones</t>
  </si>
  <si>
    <t>PHL.37.17_1</t>
  </si>
  <si>
    <t>PHL.37.18_1</t>
  </si>
  <si>
    <t>Maconacon</t>
  </si>
  <si>
    <t>PHL.37.19_1</t>
  </si>
  <si>
    <t>Mallig</t>
  </si>
  <si>
    <t>PHL.37.20_1</t>
  </si>
  <si>
    <t>Naguilian</t>
  </si>
  <si>
    <t>PHL.37.21_1</t>
  </si>
  <si>
    <t>Palanan</t>
  </si>
  <si>
    <t>PHL.37.22_1</t>
  </si>
  <si>
    <t>PHL.37.23_1</t>
  </si>
  <si>
    <t>PHL.37.24_1</t>
  </si>
  <si>
    <t>Ramon</t>
  </si>
  <si>
    <t>PHL.37.25_1</t>
  </si>
  <si>
    <t>Reina Mercedes</t>
  </si>
  <si>
    <t>PHL.37.26_1</t>
  </si>
  <si>
    <t>Roxas</t>
  </si>
  <si>
    <t>PHL.37.27_1</t>
  </si>
  <si>
    <t>San Agustin</t>
  </si>
  <si>
    <t>PHL.37.28_1</t>
  </si>
  <si>
    <t>San Guillermo</t>
  </si>
  <si>
    <t>PHL.37.29_1</t>
  </si>
  <si>
    <t>PHL.37.30_1</t>
  </si>
  <si>
    <t>San Manuel</t>
  </si>
  <si>
    <t>PHL.37.31_1</t>
  </si>
  <si>
    <t>San Mariano</t>
  </si>
  <si>
    <t>PHL.37.32_1</t>
  </si>
  <si>
    <t>San Mateo</t>
  </si>
  <si>
    <t>PHL.37.33_1</t>
  </si>
  <si>
    <t>San Pablo</t>
  </si>
  <si>
    <t>PHL.37.34_1</t>
  </si>
  <si>
    <t>PHL.37.35_1</t>
  </si>
  <si>
    <t>Santiago City</t>
  </si>
  <si>
    <t>PHL.37.36_1</t>
  </si>
  <si>
    <t>PHL.37.37_1</t>
  </si>
  <si>
    <t>Tumauini</t>
  </si>
  <si>
    <t>PHL.38.1_1</t>
  </si>
  <si>
    <t>Kalinga</t>
  </si>
  <si>
    <t>Balbalan</t>
  </si>
  <si>
    <t>PHL.38.2_1</t>
  </si>
  <si>
    <t>Lubuagan</t>
  </si>
  <si>
    <t>PHL.38.3_1</t>
  </si>
  <si>
    <t>Pasil</t>
  </si>
  <si>
    <t>PHL.38.4_1</t>
  </si>
  <si>
    <t>Pinukpuk</t>
  </si>
  <si>
    <t>PHL.38.5_1</t>
  </si>
  <si>
    <t>PHL.38.6_1</t>
  </si>
  <si>
    <t>Tabuk City</t>
  </si>
  <si>
    <t>PHL.38.7_1</t>
  </si>
  <si>
    <t>Tanudan</t>
  </si>
  <si>
    <t>PHL.38.8_1</t>
  </si>
  <si>
    <t>Tinglayan</t>
  </si>
  <si>
    <t>PHL.39.1_1</t>
  </si>
  <si>
    <t>La Union</t>
  </si>
  <si>
    <t>Agoo</t>
  </si>
  <si>
    <t>PHL.39.2_1</t>
  </si>
  <si>
    <t>Aringay</t>
  </si>
  <si>
    <t>PHL.39.3_1</t>
  </si>
  <si>
    <t>Bacnotan</t>
  </si>
  <si>
    <t>PHL.39.4_1</t>
  </si>
  <si>
    <t>Bagulin</t>
  </si>
  <si>
    <t>PHL.39.5_1</t>
  </si>
  <si>
    <t>Balaoan</t>
  </si>
  <si>
    <t>PHL.39.6_1</t>
  </si>
  <si>
    <t>Bangar</t>
  </si>
  <si>
    <t>PHL.39.7_1</t>
  </si>
  <si>
    <t>Bauang</t>
  </si>
  <si>
    <t>PHL.39.8_1</t>
  </si>
  <si>
    <t>PHL.39.9_1</t>
  </si>
  <si>
    <t>Caba</t>
  </si>
  <si>
    <t>PHL.39.10_1</t>
  </si>
  <si>
    <t>PHL.39.11_1</t>
  </si>
  <si>
    <t>PHL.39.12_1</t>
  </si>
  <si>
    <t>Pugo</t>
  </si>
  <si>
    <t>PHL.39.13_1</t>
  </si>
  <si>
    <t>PHL.39.14_1</t>
  </si>
  <si>
    <t>San Fernando City</t>
  </si>
  <si>
    <t>PHL.39.15_1</t>
  </si>
  <si>
    <t>San Gabriel</t>
  </si>
  <si>
    <t>PHL.39.16_1</t>
  </si>
  <si>
    <t>PHL.39.17_1</t>
  </si>
  <si>
    <t>PHL.39.18_1</t>
  </si>
  <si>
    <t>Santol</t>
  </si>
  <si>
    <t>PHL.39.19_1</t>
  </si>
  <si>
    <t>Sudipen</t>
  </si>
  <si>
    <t>PHL.39.20_1</t>
  </si>
  <si>
    <t>Tubao</t>
  </si>
  <si>
    <t>PHL.40.1_1</t>
  </si>
  <si>
    <t>Laguna</t>
  </si>
  <si>
    <t>Alaminos</t>
  </si>
  <si>
    <t>PHL.40.2_1</t>
  </si>
  <si>
    <t>Bay</t>
  </si>
  <si>
    <t>PHL.40.3_1</t>
  </si>
  <si>
    <t>Biñan</t>
  </si>
  <si>
    <t>PHL.40.4_1</t>
  </si>
  <si>
    <t>Cabuyao</t>
  </si>
  <si>
    <t>PHL.40.5_1</t>
  </si>
  <si>
    <t>Calamba City</t>
  </si>
  <si>
    <t>PHL.40.6_1</t>
  </si>
  <si>
    <t>Calauan</t>
  </si>
  <si>
    <t>PHL.40.7_1</t>
  </si>
  <si>
    <t>Cavinti</t>
  </si>
  <si>
    <t>PHL.40.8_1</t>
  </si>
  <si>
    <t>Famy</t>
  </si>
  <si>
    <t>PHL.40.9_1</t>
  </si>
  <si>
    <t>Kalayaan</t>
  </si>
  <si>
    <t>PHL.40.10_1</t>
  </si>
  <si>
    <t>Kalibato Lake</t>
  </si>
  <si>
    <t>PHL.40.11_1</t>
  </si>
  <si>
    <t>Laguna lake</t>
  </si>
  <si>
    <t>PHL.40.12_1</t>
  </si>
  <si>
    <t>Liliw</t>
  </si>
  <si>
    <t>PHL.40.13_1</t>
  </si>
  <si>
    <t>Los Baños</t>
  </si>
  <si>
    <t>PHL.40.14_1</t>
  </si>
  <si>
    <t>Luisiana</t>
  </si>
  <si>
    <t>PHL.40.15_1</t>
  </si>
  <si>
    <t>Lumban</t>
  </si>
  <si>
    <t>PHL.40.16_1</t>
  </si>
  <si>
    <t>Mabitac</t>
  </si>
  <si>
    <t>PHL.40.17_1</t>
  </si>
  <si>
    <t>Magdalena</t>
  </si>
  <si>
    <t>PHL.40.18_1</t>
  </si>
  <si>
    <t>Majayjay</t>
  </si>
  <si>
    <t>PHL.40.19_1</t>
  </si>
  <si>
    <t>Nagcarlan</t>
  </si>
  <si>
    <t>PHL.40.20_1</t>
  </si>
  <si>
    <t>Paete</t>
  </si>
  <si>
    <t>PHL.40.21_1</t>
  </si>
  <si>
    <t>Pagsanjan</t>
  </si>
  <si>
    <t>PHL.40.22_1</t>
  </si>
  <si>
    <t>Pakil</t>
  </si>
  <si>
    <t>PHL.40.23_1</t>
  </si>
  <si>
    <t>Palakpakin Lake</t>
  </si>
  <si>
    <t>PHL.40.24_1</t>
  </si>
  <si>
    <t>Pangil</t>
  </si>
  <si>
    <t>PHL.40.25_1</t>
  </si>
  <si>
    <t>Pila</t>
  </si>
  <si>
    <t>PHL.40.26_1</t>
  </si>
  <si>
    <t>PHL.40.27_1</t>
  </si>
  <si>
    <t>Sampaloc Lake</t>
  </si>
  <si>
    <t>PHL.40.28_1</t>
  </si>
  <si>
    <t>San Pablo City</t>
  </si>
  <si>
    <t>PHL.40.29_1</t>
  </si>
  <si>
    <t>San Pedro</t>
  </si>
  <si>
    <t>PHL.40.30_1</t>
  </si>
  <si>
    <t>PHL.40.31_1</t>
  </si>
  <si>
    <t>PHL.40.32_1</t>
  </si>
  <si>
    <t>Santa Rosa City</t>
  </si>
  <si>
    <t>PHL.40.33_1</t>
  </si>
  <si>
    <t>Siniloan</t>
  </si>
  <si>
    <t>PHL.40.34_1</t>
  </si>
  <si>
    <t>Victoria</t>
  </si>
  <si>
    <t>PHL.40.35_1</t>
  </si>
  <si>
    <t>Waterbody</t>
  </si>
  <si>
    <t>PHL.41.1_1</t>
  </si>
  <si>
    <t>Lanao del Norte</t>
  </si>
  <si>
    <t>Bacolod</t>
  </si>
  <si>
    <t>PHL.41.2_1</t>
  </si>
  <si>
    <t>Baloi</t>
  </si>
  <si>
    <t>PHL.41.3_1</t>
  </si>
  <si>
    <t>Baroy</t>
  </si>
  <si>
    <t>PHL.41.4_1</t>
  </si>
  <si>
    <t>Iligan City</t>
  </si>
  <si>
    <t>PHL.41.5_1</t>
  </si>
  <si>
    <t>Kapatagan</t>
  </si>
  <si>
    <t>PHL.41.6_1</t>
  </si>
  <si>
    <t>Kauswagan</t>
  </si>
  <si>
    <t>PHL.41.7_1</t>
  </si>
  <si>
    <t>Kolambugan</t>
  </si>
  <si>
    <t>PHL.41.8_1</t>
  </si>
  <si>
    <t>Lala</t>
  </si>
  <si>
    <t>PHL.41.9_1</t>
  </si>
  <si>
    <t>Linamon</t>
  </si>
  <si>
    <t>PHL.41.10_1</t>
  </si>
  <si>
    <t>PHL.41.11_1</t>
  </si>
  <si>
    <t>Maigo</t>
  </si>
  <si>
    <t>PHL.41.12_1</t>
  </si>
  <si>
    <t>Matungao</t>
  </si>
  <si>
    <t>PHL.41.13_1</t>
  </si>
  <si>
    <t>Munai</t>
  </si>
  <si>
    <t>PHL.41.14_1</t>
  </si>
  <si>
    <t>Nunungan</t>
  </si>
  <si>
    <t>PHL.41.15_1</t>
  </si>
  <si>
    <t>Pantao Ragat</t>
  </si>
  <si>
    <t>PHL.41.16_1</t>
  </si>
  <si>
    <t>Pantar</t>
  </si>
  <si>
    <t>PHL.41.17_1</t>
  </si>
  <si>
    <t>Poona Piagapo</t>
  </si>
  <si>
    <t>PHL.41.18_1</t>
  </si>
  <si>
    <t>Salvador</t>
  </si>
  <si>
    <t>PHL.41.19_1</t>
  </si>
  <si>
    <t>Sapad</t>
  </si>
  <si>
    <t>PHL.41.20_1</t>
  </si>
  <si>
    <t>Sultan Naga Dimaporo</t>
  </si>
  <si>
    <t>PHL.41.21_1</t>
  </si>
  <si>
    <t>Tagoloan</t>
  </si>
  <si>
    <t>PHL.41.22_1</t>
  </si>
  <si>
    <t>Tangcal</t>
  </si>
  <si>
    <t>PHL.41.23_1</t>
  </si>
  <si>
    <t>Tubod</t>
  </si>
  <si>
    <t>PHL.42.1_1</t>
  </si>
  <si>
    <t>Lanao del Sur</t>
  </si>
  <si>
    <t>Bacolod Kalawi</t>
  </si>
  <si>
    <t>PHL.42.2_1</t>
  </si>
  <si>
    <t>Balabagan</t>
  </si>
  <si>
    <t>PHL.42.3_1</t>
  </si>
  <si>
    <t>Balindong</t>
  </si>
  <si>
    <t>PHL.42.4_1</t>
  </si>
  <si>
    <t>Bayang</t>
  </si>
  <si>
    <t>PHL.42.5_1</t>
  </si>
  <si>
    <t>Binidayan</t>
  </si>
  <si>
    <t>PHL.42.6_1</t>
  </si>
  <si>
    <t>Buadiposo-Buntong</t>
  </si>
  <si>
    <t>PHL.42.7_1</t>
  </si>
  <si>
    <t>Bubong</t>
  </si>
  <si>
    <t>PHL.42.8_1</t>
  </si>
  <si>
    <t>Bumbaran</t>
  </si>
  <si>
    <t>PHL.42.9_1</t>
  </si>
  <si>
    <t>Butig</t>
  </si>
  <si>
    <t>PHL.42.10_1</t>
  </si>
  <si>
    <t>Calanogas</t>
  </si>
  <si>
    <t>PHL.42.11_1</t>
  </si>
  <si>
    <t>Dapao Lake</t>
  </si>
  <si>
    <t>PHL.42.12_1</t>
  </si>
  <si>
    <t>Ditsaan-Ramain</t>
  </si>
  <si>
    <t>PHL.42.13_1</t>
  </si>
  <si>
    <t>Ganassi</t>
  </si>
  <si>
    <t>PHL.42.14_1</t>
  </si>
  <si>
    <t>Kapai</t>
  </si>
  <si>
    <t>PHL.42.15_1</t>
  </si>
  <si>
    <t>PHL.42.16_1</t>
  </si>
  <si>
    <t>Lanao Lake</t>
  </si>
  <si>
    <t>PHL.42.17_1</t>
  </si>
  <si>
    <t>Lumba-Bayabao</t>
  </si>
  <si>
    <t>PHL.42.18_1</t>
  </si>
  <si>
    <t>Lumbaca Unayan</t>
  </si>
  <si>
    <t>PHL.42.19_1</t>
  </si>
  <si>
    <t>Lumbatan</t>
  </si>
  <si>
    <t>PHL.42.20_1</t>
  </si>
  <si>
    <t>Lumbayanague</t>
  </si>
  <si>
    <t>PHL.42.21_1</t>
  </si>
  <si>
    <t>Madalum</t>
  </si>
  <si>
    <t>PHL.42.22_1</t>
  </si>
  <si>
    <t>Madamba</t>
  </si>
  <si>
    <t>PHL.42.23_1</t>
  </si>
  <si>
    <t>Maguing</t>
  </si>
  <si>
    <t>PHL.42.24_1</t>
  </si>
  <si>
    <t>Malabang</t>
  </si>
  <si>
    <t>PHL.42.25_1</t>
  </si>
  <si>
    <t>Marantao</t>
  </si>
  <si>
    <t>PHL.42.26_1</t>
  </si>
  <si>
    <t>Marawi City</t>
  </si>
  <si>
    <t>PHL.42.27_1</t>
  </si>
  <si>
    <t>Marogong</t>
  </si>
  <si>
    <t>PHL.42.28_1</t>
  </si>
  <si>
    <t>Masiu</t>
  </si>
  <si>
    <t>PHL.42.29_1</t>
  </si>
  <si>
    <t>Mulondo</t>
  </si>
  <si>
    <t>PHL.42.30_1</t>
  </si>
  <si>
    <t>Pagayawan</t>
  </si>
  <si>
    <t>PHL.42.31_1</t>
  </si>
  <si>
    <t>Piagapo</t>
  </si>
  <si>
    <t>PHL.42.32_1</t>
  </si>
  <si>
    <t>Picong</t>
  </si>
  <si>
    <t>PHL.42.33_1</t>
  </si>
  <si>
    <t>Poona Bayabao</t>
  </si>
  <si>
    <t>PHL.42.34_1</t>
  </si>
  <si>
    <t>Pualas</t>
  </si>
  <si>
    <t>PHL.42.35_1</t>
  </si>
  <si>
    <t>Saguiaran</t>
  </si>
  <si>
    <t>PHL.42.36_1</t>
  </si>
  <si>
    <t>Sultan Dumalondong</t>
  </si>
  <si>
    <t>PHL.42.37_1</t>
  </si>
  <si>
    <t>Tagoloan II</t>
  </si>
  <si>
    <t>PHL.42.38_1</t>
  </si>
  <si>
    <t>Tamparan</t>
  </si>
  <si>
    <t>PHL.42.39_1</t>
  </si>
  <si>
    <t>Taraka</t>
  </si>
  <si>
    <t>PHL.42.40_1</t>
  </si>
  <si>
    <t>Tubaran</t>
  </si>
  <si>
    <t>PHL.42.41_1</t>
  </si>
  <si>
    <t>Tugaya</t>
  </si>
  <si>
    <t>PHL.42.42_1</t>
  </si>
  <si>
    <t>Wao</t>
  </si>
  <si>
    <t>PHL.43.1_1</t>
  </si>
  <si>
    <t>Leyte</t>
  </si>
  <si>
    <t>Abuyog</t>
  </si>
  <si>
    <t>PHL.43.2_1</t>
  </si>
  <si>
    <t>Alangalang</t>
  </si>
  <si>
    <t>PHL.43.3_1</t>
  </si>
  <si>
    <t>Albuera</t>
  </si>
  <si>
    <t>PHL.43.4_1</t>
  </si>
  <si>
    <t>Babatngon</t>
  </si>
  <si>
    <t>PHL.43.5_1</t>
  </si>
  <si>
    <t>Barugo</t>
  </si>
  <si>
    <t>PHL.43.6_1</t>
  </si>
  <si>
    <t>PHL.43.7_1</t>
  </si>
  <si>
    <t>Baybay City</t>
  </si>
  <si>
    <t>PHL.43.8_1</t>
  </si>
  <si>
    <t>Burauen</t>
  </si>
  <si>
    <t>PHL.43.9_1</t>
  </si>
  <si>
    <t>Calubian</t>
  </si>
  <si>
    <t>PHL.43.10_1</t>
  </si>
  <si>
    <t>Capoocan</t>
  </si>
  <si>
    <t>PHL.43.11_1</t>
  </si>
  <si>
    <t>Carigara</t>
  </si>
  <si>
    <t>PHL.43.12_1</t>
  </si>
  <si>
    <t>Dagami</t>
  </si>
  <si>
    <t>PHL.43.13_1</t>
  </si>
  <si>
    <t>Dulag</t>
  </si>
  <si>
    <t>PHL.43.14_1</t>
  </si>
  <si>
    <t>Hilongos</t>
  </si>
  <si>
    <t>PHL.43.15_1</t>
  </si>
  <si>
    <t>Hindang</t>
  </si>
  <si>
    <t>PHL.43.16_1</t>
  </si>
  <si>
    <t>Inopacan</t>
  </si>
  <si>
    <t>PHL.43.17_1</t>
  </si>
  <si>
    <t>Isabel</t>
  </si>
  <si>
    <t>PHL.43.18_1</t>
  </si>
  <si>
    <t>Jaro</t>
  </si>
  <si>
    <t>PHL.43.19_1</t>
  </si>
  <si>
    <t>Javier</t>
  </si>
  <si>
    <t>PHL.43.20_1</t>
  </si>
  <si>
    <t>Julita</t>
  </si>
  <si>
    <t>PHL.43.21_1</t>
  </si>
  <si>
    <t>Kananga</t>
  </si>
  <si>
    <t>PHL.43.22_1</t>
  </si>
  <si>
    <t>PHL.43.23_1</t>
  </si>
  <si>
    <t>PHL.43.24_1</t>
  </si>
  <si>
    <t>Macarthur</t>
  </si>
  <si>
    <t>PHL.43.25_1</t>
  </si>
  <si>
    <t>Mahaplag</t>
  </si>
  <si>
    <t>PHL.43.26_1</t>
  </si>
  <si>
    <t>Matag-Ob</t>
  </si>
  <si>
    <t>PHL.43.27_1</t>
  </si>
  <si>
    <t>Matalom</t>
  </si>
  <si>
    <t>PHL.43.28_1</t>
  </si>
  <si>
    <t>Mayorga</t>
  </si>
  <si>
    <t>PHL.43.29_1</t>
  </si>
  <si>
    <t>Merida</t>
  </si>
  <si>
    <t>PHL.43.30_1</t>
  </si>
  <si>
    <t>Ormoc City</t>
  </si>
  <si>
    <t>PHL.43.31_1</t>
  </si>
  <si>
    <t>Palo</t>
  </si>
  <si>
    <t>PHL.43.32_1</t>
  </si>
  <si>
    <t>Palompon</t>
  </si>
  <si>
    <t>PHL.43.33_1</t>
  </si>
  <si>
    <t>Pastrana</t>
  </si>
  <si>
    <t>PHL.43.34_1</t>
  </si>
  <si>
    <t>PHL.43.35_1</t>
  </si>
  <si>
    <t>PHL.43.36_1</t>
  </si>
  <si>
    <t>PHL.43.37_1</t>
  </si>
  <si>
    <t>Tabango</t>
  </si>
  <si>
    <t>PHL.43.38_1</t>
  </si>
  <si>
    <t>Tabontabon</t>
  </si>
  <si>
    <t>PHL.43.39_1</t>
  </si>
  <si>
    <t>Tacloban City</t>
  </si>
  <si>
    <t>PHL.43.40_1</t>
  </si>
  <si>
    <t>Tanauan</t>
  </si>
  <si>
    <t>PHL.43.41_1</t>
  </si>
  <si>
    <t>Tolosa</t>
  </si>
  <si>
    <t>PHL.43.42_1</t>
  </si>
  <si>
    <t>Tunga</t>
  </si>
  <si>
    <t>PHL.43.43_1</t>
  </si>
  <si>
    <t>Villaba</t>
  </si>
  <si>
    <t>PHL.44.1_1</t>
  </si>
  <si>
    <t>Maguindanao</t>
  </si>
  <si>
    <t>Ampatuan</t>
  </si>
  <si>
    <t>PHL.44.2_1</t>
  </si>
  <si>
    <t>Barira</t>
  </si>
  <si>
    <t>PHL.44.3_1</t>
  </si>
  <si>
    <t>Buldon</t>
  </si>
  <si>
    <t>PHL.44.5_1</t>
  </si>
  <si>
    <t>Buluan</t>
  </si>
  <si>
    <t>PHL.44.4_1</t>
  </si>
  <si>
    <t>Buluan Lake</t>
  </si>
  <si>
    <t>PHL.44.6_1</t>
  </si>
  <si>
    <t>Cotabato City</t>
  </si>
  <si>
    <t>PHL.44.7_1</t>
  </si>
  <si>
    <t>Datu Abdullah Sanki</t>
  </si>
  <si>
    <t>PHL.44.8_1</t>
  </si>
  <si>
    <t>Datu Anggal Midtimbang</t>
  </si>
  <si>
    <t>PHL.44.9_1</t>
  </si>
  <si>
    <t>Datu Blah T. Sinsuat</t>
  </si>
  <si>
    <t>PHL.44.10_1</t>
  </si>
  <si>
    <t>Datu Odin Sinsuat</t>
  </si>
  <si>
    <t>PHL.44.11_1</t>
  </si>
  <si>
    <t>Datu Paglas</t>
  </si>
  <si>
    <t>PHL.44.12_1</t>
  </si>
  <si>
    <t>Datu Piang</t>
  </si>
  <si>
    <t>PHL.44.13_1</t>
  </si>
  <si>
    <t>Datu Saudi-Ampatuan</t>
  </si>
  <si>
    <t>PHL.44.14_1</t>
  </si>
  <si>
    <t>Datu Unsay</t>
  </si>
  <si>
    <t>PHL.44.15_1</t>
  </si>
  <si>
    <t>Gen. S. K. Pendatun</t>
  </si>
  <si>
    <t>PHL.44.16_1</t>
  </si>
  <si>
    <t>Guindulungan</t>
  </si>
  <si>
    <t>PHL.44.17_1</t>
  </si>
  <si>
    <t>Kabuntalan</t>
  </si>
  <si>
    <t>PHL.44.18_1</t>
  </si>
  <si>
    <t>Mamasapano</t>
  </si>
  <si>
    <t>PHL.44.19_1</t>
  </si>
  <si>
    <t>Mangudadatu</t>
  </si>
  <si>
    <t>PHL.44.20_1</t>
  </si>
  <si>
    <t>Matanog</t>
  </si>
  <si>
    <t>PHL.44.21_1</t>
  </si>
  <si>
    <t>Northern Kabuntalan</t>
  </si>
  <si>
    <t>PHL.44.22_1</t>
  </si>
  <si>
    <t>Pagagawan</t>
  </si>
  <si>
    <t>PHL.44.23_1</t>
  </si>
  <si>
    <t>Pagalungan</t>
  </si>
  <si>
    <t>PHL.44.24_1</t>
  </si>
  <si>
    <t>Paglat</t>
  </si>
  <si>
    <t>PHL.44.25_1</t>
  </si>
  <si>
    <t>Pandag</t>
  </si>
  <si>
    <t>PHL.44.26_1</t>
  </si>
  <si>
    <t>Parang</t>
  </si>
  <si>
    <t>PHL.44.27_1</t>
  </si>
  <si>
    <t>Rajah Buayan</t>
  </si>
  <si>
    <t>PHL.44.28_1</t>
  </si>
  <si>
    <t>Shariff Aguak</t>
  </si>
  <si>
    <t>PHL.44.29_1</t>
  </si>
  <si>
    <t>South Upi</t>
  </si>
  <si>
    <t>PHL.44.30_1</t>
  </si>
  <si>
    <t>Sultan Kudarat</t>
  </si>
  <si>
    <t>PHL.44.31_1</t>
  </si>
  <si>
    <t>Sultan Mastura</t>
  </si>
  <si>
    <t>PHL.44.32_1</t>
  </si>
  <si>
    <t>Sultan Sa Barongis</t>
  </si>
  <si>
    <t>PHL.44.33_1</t>
  </si>
  <si>
    <t>Talayan</t>
  </si>
  <si>
    <t>PHL.44.34_1</t>
  </si>
  <si>
    <t>Talitay</t>
  </si>
  <si>
    <t>PHL.44.35_1</t>
  </si>
  <si>
    <t>Upi</t>
  </si>
  <si>
    <t>PHL.45.1_1</t>
  </si>
  <si>
    <t>Marinduque</t>
  </si>
  <si>
    <t>Boac</t>
  </si>
  <si>
    <t>PHL.45.2_1</t>
  </si>
  <si>
    <t>PHL.45.3_1</t>
  </si>
  <si>
    <t>Gasan</t>
  </si>
  <si>
    <t>PHL.45.4_1</t>
  </si>
  <si>
    <t>Mogpog</t>
  </si>
  <si>
    <t>PHL.45.5_1</t>
  </si>
  <si>
    <t>PHL.45.6_1</t>
  </si>
  <si>
    <t>Torrijos</t>
  </si>
  <si>
    <t>PHL.46.1_1</t>
  </si>
  <si>
    <t>Masbate</t>
  </si>
  <si>
    <t>Aroroy</t>
  </si>
  <si>
    <t>PHL.46.2_1</t>
  </si>
  <si>
    <t>Baleno</t>
  </si>
  <si>
    <t>PHL.46.3_1</t>
  </si>
  <si>
    <t>Balud</t>
  </si>
  <si>
    <t>PHL.46.4_1</t>
  </si>
  <si>
    <t>PHL.46.5_1</t>
  </si>
  <si>
    <t>Cataingan</t>
  </si>
  <si>
    <t>PHL.46.6_1</t>
  </si>
  <si>
    <t>Cawayan</t>
  </si>
  <si>
    <t>PHL.46.7_1</t>
  </si>
  <si>
    <t>PHL.46.8_1</t>
  </si>
  <si>
    <t>Dimasalang</t>
  </si>
  <si>
    <t>PHL.46.9_1</t>
  </si>
  <si>
    <t>PHL.46.10_1</t>
  </si>
  <si>
    <t>Mandaon</t>
  </si>
  <si>
    <t>PHL.46.11_1</t>
  </si>
  <si>
    <t>Masbate City</t>
  </si>
  <si>
    <t>PHL.46.12_1</t>
  </si>
  <si>
    <t>Milagros</t>
  </si>
  <si>
    <t>PHL.46.13_1</t>
  </si>
  <si>
    <t>Mobo</t>
  </si>
  <si>
    <t>PHL.46.14_1</t>
  </si>
  <si>
    <t>Monreal</t>
  </si>
  <si>
    <t>PHL.46.15_1</t>
  </si>
  <si>
    <t>Palanas</t>
  </si>
  <si>
    <t>PHL.46.16_1</t>
  </si>
  <si>
    <t>Pio V. Corpuz</t>
  </si>
  <si>
    <t>PHL.46.17_1</t>
  </si>
  <si>
    <t>Placer</t>
  </si>
  <si>
    <t>PHL.46.18_1</t>
  </si>
  <si>
    <t>PHL.46.19_1</t>
  </si>
  <si>
    <t>San Jacinto</t>
  </si>
  <si>
    <t>PHL.46.20_1</t>
  </si>
  <si>
    <t>PHL.46.21_1</t>
  </si>
  <si>
    <t>Uson</t>
  </si>
  <si>
    <t>PHL.47.1_1</t>
  </si>
  <si>
    <t>Metropolitan Manila</t>
  </si>
  <si>
    <t>Kalookan City</t>
  </si>
  <si>
    <t>PHL.47.2_1</t>
  </si>
  <si>
    <t>Las Piñas</t>
  </si>
  <si>
    <t>PHL.47.3_1</t>
  </si>
  <si>
    <t>Makati City</t>
  </si>
  <si>
    <t>PHL.47.4_1</t>
  </si>
  <si>
    <t>Malabon</t>
  </si>
  <si>
    <t>PHL.47.5_1</t>
  </si>
  <si>
    <t>Mandaluyong</t>
  </si>
  <si>
    <t>PHL.47.6_1</t>
  </si>
  <si>
    <t>Manila</t>
  </si>
  <si>
    <t>PHL.47.7_1</t>
  </si>
  <si>
    <t>Marikina</t>
  </si>
  <si>
    <t>PHL.47.8_1</t>
  </si>
  <si>
    <t>Muntinlupa</t>
  </si>
  <si>
    <t>PHL.47.9_1</t>
  </si>
  <si>
    <t>Navotas</t>
  </si>
  <si>
    <t>PHL.47.10_1</t>
  </si>
  <si>
    <t>Parañaque</t>
  </si>
  <si>
    <t>PHL.47.11_1</t>
  </si>
  <si>
    <t>Pasay City</t>
  </si>
  <si>
    <t>PHL.47.12_1</t>
  </si>
  <si>
    <t>Pasig City</t>
  </si>
  <si>
    <t>PHL.47.13_1</t>
  </si>
  <si>
    <t>Pateros</t>
  </si>
  <si>
    <t>PHL.47.14_1</t>
  </si>
  <si>
    <t>Quezon City</t>
  </si>
  <si>
    <t>PHL.47.15_1</t>
  </si>
  <si>
    <t>PHL.47.16_1</t>
  </si>
  <si>
    <t>Taguig</t>
  </si>
  <si>
    <t>PHL.47.17_1</t>
  </si>
  <si>
    <t>Valenzuela</t>
  </si>
  <si>
    <t>PHL.48.1_1</t>
  </si>
  <si>
    <t>Misamis Occidental</t>
  </si>
  <si>
    <t>Aloran</t>
  </si>
  <si>
    <t>PHL.48.2_1</t>
  </si>
  <si>
    <t>Baliangao</t>
  </si>
  <si>
    <t>PHL.48.3_1</t>
  </si>
  <si>
    <t>Bonifacio</t>
  </si>
  <si>
    <t>PHL.48.4_1</t>
  </si>
  <si>
    <t>Calamba</t>
  </si>
  <si>
    <t>PHL.48.5_1</t>
  </si>
  <si>
    <t>PHL.48.6_1</t>
  </si>
  <si>
    <t>PHL.48.7_1</t>
  </si>
  <si>
    <t>Don Victoriano Chiongbian</t>
  </si>
  <si>
    <t>PHL.48.8_1</t>
  </si>
  <si>
    <t>Jimenez</t>
  </si>
  <si>
    <t>PHL.48.9_1</t>
  </si>
  <si>
    <t>Lopez Jaena</t>
  </si>
  <si>
    <t>PHL.48.10_1</t>
  </si>
  <si>
    <t>Oroquieta City</t>
  </si>
  <si>
    <t>PHL.48.11_1</t>
  </si>
  <si>
    <t>Ozamis City</t>
  </si>
  <si>
    <t>PHL.48.12_1</t>
  </si>
  <si>
    <t>Panaon</t>
  </si>
  <si>
    <t>PHL.48.13_1</t>
  </si>
  <si>
    <t>PHL.48.14_1</t>
  </si>
  <si>
    <t>Sapang Dalaga</t>
  </si>
  <si>
    <t>PHL.48.15_1</t>
  </si>
  <si>
    <t>Sinacaban</t>
  </si>
  <si>
    <t>PHL.48.16_1</t>
  </si>
  <si>
    <t>Tangub City</t>
  </si>
  <si>
    <t>PHL.48.17_1</t>
  </si>
  <si>
    <t>PHL.49.1_1</t>
  </si>
  <si>
    <t>Misamis Oriental</t>
  </si>
  <si>
    <t>Alubijid</t>
  </si>
  <si>
    <t>PHL.49.2_1</t>
  </si>
  <si>
    <t>Balingasag</t>
  </si>
  <si>
    <t>PHL.49.3_1</t>
  </si>
  <si>
    <t>Balingoan</t>
  </si>
  <si>
    <t>PHL.49.4_1</t>
  </si>
  <si>
    <t>Binuangan</t>
  </si>
  <si>
    <t>PHL.49.5_1</t>
  </si>
  <si>
    <t>Cagayan de Oro City</t>
  </si>
  <si>
    <t>PHL.49.6_1</t>
  </si>
  <si>
    <t>PHL.49.7_1</t>
  </si>
  <si>
    <t>El Salvador City</t>
  </si>
  <si>
    <t>PHL.49.8_1</t>
  </si>
  <si>
    <t>Gingoog City</t>
  </si>
  <si>
    <t>PHL.49.9_1</t>
  </si>
  <si>
    <t>Gitagum</t>
  </si>
  <si>
    <t>PHL.49.10_1</t>
  </si>
  <si>
    <t>Initao</t>
  </si>
  <si>
    <t>PHL.49.11_1</t>
  </si>
  <si>
    <t>Jasaan</t>
  </si>
  <si>
    <t>PHL.49.12_1</t>
  </si>
  <si>
    <t>Kinoguitan</t>
  </si>
  <si>
    <t>PHL.49.13_1</t>
  </si>
  <si>
    <t>Lagonglong</t>
  </si>
  <si>
    <t>PHL.49.14_1</t>
  </si>
  <si>
    <t>Laguindingan</t>
  </si>
  <si>
    <t>PHL.49.15_1</t>
  </si>
  <si>
    <t>PHL.49.16_1</t>
  </si>
  <si>
    <t>Lugait</t>
  </si>
  <si>
    <t>PHL.49.17_1</t>
  </si>
  <si>
    <t>PHL.49.18_1</t>
  </si>
  <si>
    <t>Manticao</t>
  </si>
  <si>
    <t>PHL.49.19_1</t>
  </si>
  <si>
    <t>Medina</t>
  </si>
  <si>
    <t>PHL.49.20_1</t>
  </si>
  <si>
    <t>Naawan</t>
  </si>
  <si>
    <t>PHL.49.21_1</t>
  </si>
  <si>
    <t>Opol</t>
  </si>
  <si>
    <t>PHL.49.22_1</t>
  </si>
  <si>
    <t>Salay</t>
  </si>
  <si>
    <t>PHL.49.23_1</t>
  </si>
  <si>
    <t>Sugbongcogon</t>
  </si>
  <si>
    <t>PHL.49.24_1</t>
  </si>
  <si>
    <t>PHL.49.25_1</t>
  </si>
  <si>
    <t>Talisayan</t>
  </si>
  <si>
    <t>PHL.49.26_1</t>
  </si>
  <si>
    <t>Villanueva</t>
  </si>
  <si>
    <t>PHL.50.1_1</t>
  </si>
  <si>
    <t>Mountain Province</t>
  </si>
  <si>
    <t>Barlig</t>
  </si>
  <si>
    <t>PHL.50.2_1</t>
  </si>
  <si>
    <t>Bauko</t>
  </si>
  <si>
    <t>PHL.50.3_1</t>
  </si>
  <si>
    <t>Besao</t>
  </si>
  <si>
    <t>PHL.50.4_1</t>
  </si>
  <si>
    <t>Bontoc</t>
  </si>
  <si>
    <t>PHL.50.5_1</t>
  </si>
  <si>
    <t>Natonin</t>
  </si>
  <si>
    <t>PHL.50.6_1</t>
  </si>
  <si>
    <t>Paracelis</t>
  </si>
  <si>
    <t>PHL.50.7_1</t>
  </si>
  <si>
    <t>Sabangan</t>
  </si>
  <si>
    <t>PHL.50.8_1</t>
  </si>
  <si>
    <t>Sadanga</t>
  </si>
  <si>
    <t>PHL.50.9_1</t>
  </si>
  <si>
    <t>Sagada</t>
  </si>
  <si>
    <t>PHL.50.10_1</t>
  </si>
  <si>
    <t>Tadian</t>
  </si>
  <si>
    <t>PHL.51.1_1</t>
  </si>
  <si>
    <t>Negros Occidental</t>
  </si>
  <si>
    <t>Bacolod City</t>
  </si>
  <si>
    <t>PHL.51.2_1</t>
  </si>
  <si>
    <t>Bago City</t>
  </si>
  <si>
    <t>PHL.51.3_1</t>
  </si>
  <si>
    <t>Binalbagan</t>
  </si>
  <si>
    <t>PHL.51.4_1</t>
  </si>
  <si>
    <t>Cadiz City</t>
  </si>
  <si>
    <t>PHL.51.5_1</t>
  </si>
  <si>
    <t>Calatrava</t>
  </si>
  <si>
    <t>PHL.51.6_1</t>
  </si>
  <si>
    <t>Candoni</t>
  </si>
  <si>
    <t>PHL.51.7_1</t>
  </si>
  <si>
    <t>Cauayan</t>
  </si>
  <si>
    <t>PHL.51.8_1</t>
  </si>
  <si>
    <t>Enrique B. Magalona</t>
  </si>
  <si>
    <t>PHL.51.9_1</t>
  </si>
  <si>
    <t>Escalante City</t>
  </si>
  <si>
    <t>PHL.51.10_1</t>
  </si>
  <si>
    <t>Himamaylan City</t>
  </si>
  <si>
    <t>PHL.51.11_1</t>
  </si>
  <si>
    <t>Hinigaran</t>
  </si>
  <si>
    <t>PHL.51.12_1</t>
  </si>
  <si>
    <t>Hinoba-An</t>
  </si>
  <si>
    <t>PHL.51.13_1</t>
  </si>
  <si>
    <t>Ilog</t>
  </si>
  <si>
    <t>PHL.51.14_1</t>
  </si>
  <si>
    <t>PHL.51.15_1</t>
  </si>
  <si>
    <t>Kabankalan City</t>
  </si>
  <si>
    <t>PHL.51.16_1</t>
  </si>
  <si>
    <t>La Carlota City</t>
  </si>
  <si>
    <t>PHL.51.17_1</t>
  </si>
  <si>
    <t>La Castellana</t>
  </si>
  <si>
    <t>PHL.51.18_1</t>
  </si>
  <si>
    <t>Manapla</t>
  </si>
  <si>
    <t>PHL.51.19_1</t>
  </si>
  <si>
    <t>Moises Padilla</t>
  </si>
  <si>
    <t>PHL.51.20_1</t>
  </si>
  <si>
    <t>Murcia</t>
  </si>
  <si>
    <t>PHL.51.21_1</t>
  </si>
  <si>
    <t>PHL.51.22_1</t>
  </si>
  <si>
    <t>Pulupandan</t>
  </si>
  <si>
    <t>PHL.51.23_1</t>
  </si>
  <si>
    <t>Sagay City</t>
  </si>
  <si>
    <t>PHL.51.24_1</t>
  </si>
  <si>
    <t>Salvador Benedicto</t>
  </si>
  <si>
    <t>PHL.51.25_1</t>
  </si>
  <si>
    <t>San Carlos City</t>
  </si>
  <si>
    <t>PHL.51.26_1</t>
  </si>
  <si>
    <t>PHL.51.27_1</t>
  </si>
  <si>
    <t>Silay City</t>
  </si>
  <si>
    <t>PHL.51.28_1</t>
  </si>
  <si>
    <t>Sipalay City</t>
  </si>
  <si>
    <t>PHL.51.29_1</t>
  </si>
  <si>
    <t>PHL.51.30_1</t>
  </si>
  <si>
    <t>Toboso</t>
  </si>
  <si>
    <t>PHL.51.31_1</t>
  </si>
  <si>
    <t>Valladolid</t>
  </si>
  <si>
    <t>PHL.51.32_1</t>
  </si>
  <si>
    <t>Victorias City</t>
  </si>
  <si>
    <t>PHL.52.1_1</t>
  </si>
  <si>
    <t>Negros Oriental</t>
  </si>
  <si>
    <t>Amlan</t>
  </si>
  <si>
    <t>PHL.52.2_1</t>
  </si>
  <si>
    <t>Ayungon</t>
  </si>
  <si>
    <t>PHL.52.3_1</t>
  </si>
  <si>
    <t>Bacong</t>
  </si>
  <si>
    <t>PHL.52.4_1</t>
  </si>
  <si>
    <t>Bais City</t>
  </si>
  <si>
    <t>PHL.52.5_1</t>
  </si>
  <si>
    <t>Basay</t>
  </si>
  <si>
    <t>PHL.52.6_1</t>
  </si>
  <si>
    <t>Bayawan City</t>
  </si>
  <si>
    <t>PHL.52.7_1</t>
  </si>
  <si>
    <t>Bindoy</t>
  </si>
  <si>
    <t>PHL.52.8_1</t>
  </si>
  <si>
    <t>Canlaon City</t>
  </si>
  <si>
    <t>PHL.52.9_1</t>
  </si>
  <si>
    <t>Dauin</t>
  </si>
  <si>
    <t>PHL.52.10_1</t>
  </si>
  <si>
    <t>Dumaguete City</t>
  </si>
  <si>
    <t>PHL.52.11_1</t>
  </si>
  <si>
    <t>Guihulngan City</t>
  </si>
  <si>
    <t>PHL.52.12_1</t>
  </si>
  <si>
    <t>Jimalalud</t>
  </si>
  <si>
    <t>PHL.52.13_1</t>
  </si>
  <si>
    <t>La Libertad</t>
  </si>
  <si>
    <t>PHL.52.14_1</t>
  </si>
  <si>
    <t>Mabinay</t>
  </si>
  <si>
    <t>PHL.52.15_1</t>
  </si>
  <si>
    <t>Manjuyod</t>
  </si>
  <si>
    <t>PHL.52.16_1</t>
  </si>
  <si>
    <t>PHL.52.17_1</t>
  </si>
  <si>
    <t>PHL.52.18_1</t>
  </si>
  <si>
    <t>PHL.52.19_1</t>
  </si>
  <si>
    <t>Siaton</t>
  </si>
  <si>
    <t>PHL.52.20_1</t>
  </si>
  <si>
    <t>Sibulan</t>
  </si>
  <si>
    <t>PHL.52.21_1</t>
  </si>
  <si>
    <t>Tanjay City</t>
  </si>
  <si>
    <t>PHL.52.22_1</t>
  </si>
  <si>
    <t>Tayasan</t>
  </si>
  <si>
    <t>PHL.52.23_1</t>
  </si>
  <si>
    <t>PHL.52.24_1</t>
  </si>
  <si>
    <t>Vallehermoso</t>
  </si>
  <si>
    <t>PHL.52.25_1</t>
  </si>
  <si>
    <t>Zamboanguita</t>
  </si>
  <si>
    <t>PHL.53.1_1</t>
  </si>
  <si>
    <t>North Cotabato</t>
  </si>
  <si>
    <t>Alamada</t>
  </si>
  <si>
    <t>PHL.53.2_1</t>
  </si>
  <si>
    <t>Aleosan</t>
  </si>
  <si>
    <t>PHL.53.3_1</t>
  </si>
  <si>
    <t>Antipas</t>
  </si>
  <si>
    <t>PHL.53.4_1</t>
  </si>
  <si>
    <t>Arakan</t>
  </si>
  <si>
    <t>PHL.53.5_1</t>
  </si>
  <si>
    <t>Banisilan</t>
  </si>
  <si>
    <t>PHL.53.6_1</t>
  </si>
  <si>
    <t>PHL.53.7_1</t>
  </si>
  <si>
    <t>Kabacan</t>
  </si>
  <si>
    <t>PHL.53.8_1</t>
  </si>
  <si>
    <t>Kidapawan City</t>
  </si>
  <si>
    <t>PHL.53.9_1</t>
  </si>
  <si>
    <t>Libungan</t>
  </si>
  <si>
    <t>PHL.53.10_1</t>
  </si>
  <si>
    <t>M'Lang</t>
  </si>
  <si>
    <t>PHL.53.11_1</t>
  </si>
  <si>
    <t>Magpet</t>
  </si>
  <si>
    <t>PHL.53.12_1</t>
  </si>
  <si>
    <t>Makilala</t>
  </si>
  <si>
    <t>PHL.53.13_1</t>
  </si>
  <si>
    <t>Matalam</t>
  </si>
  <si>
    <t>PHL.53.14_1</t>
  </si>
  <si>
    <t>Midsayap</t>
  </si>
  <si>
    <t>PHL.53.15_1</t>
  </si>
  <si>
    <t>Pigkawayan</t>
  </si>
  <si>
    <t>PHL.53.16_1</t>
  </si>
  <si>
    <t>Pikit</t>
  </si>
  <si>
    <t>PHL.53.17_1</t>
  </si>
  <si>
    <t>PHL.53.18_1</t>
  </si>
  <si>
    <t>Tulunan</t>
  </si>
  <si>
    <t>PHL.54.1_1</t>
  </si>
  <si>
    <t>Northern Samar</t>
  </si>
  <si>
    <t>Allen</t>
  </si>
  <si>
    <t>PHL.54.2_1</t>
  </si>
  <si>
    <t>Biri</t>
  </si>
  <si>
    <t>PHL.54.3_1</t>
  </si>
  <si>
    <t>Bobon</t>
  </si>
  <si>
    <t>PHL.54.4_1</t>
  </si>
  <si>
    <t>Capul</t>
  </si>
  <si>
    <t>PHL.54.5_1</t>
  </si>
  <si>
    <t>PHL.54.6_1</t>
  </si>
  <si>
    <t>Catubig</t>
  </si>
  <si>
    <t>PHL.54.7_1</t>
  </si>
  <si>
    <t>Gamay</t>
  </si>
  <si>
    <t>PHL.54.8_1</t>
  </si>
  <si>
    <t>Laoang</t>
  </si>
  <si>
    <t>PHL.54.9_1</t>
  </si>
  <si>
    <t>Lapinig</t>
  </si>
  <si>
    <t>PHL.54.10_1</t>
  </si>
  <si>
    <t>Las Navas</t>
  </si>
  <si>
    <t>PHL.54.11_1</t>
  </si>
  <si>
    <t>Lavezares</t>
  </si>
  <si>
    <t>PHL.54.12_1</t>
  </si>
  <si>
    <t>Lope de Vega</t>
  </si>
  <si>
    <t>PHL.54.13_1</t>
  </si>
  <si>
    <t>Mapanas</t>
  </si>
  <si>
    <t>PHL.54.14_1</t>
  </si>
  <si>
    <t>Mondragon</t>
  </si>
  <si>
    <t>PHL.54.15_1</t>
  </si>
  <si>
    <t>Palapag</t>
  </si>
  <si>
    <t>PHL.54.16_1</t>
  </si>
  <si>
    <t>Pambujan</t>
  </si>
  <si>
    <t>PHL.54.17_1</t>
  </si>
  <si>
    <t>PHL.54.18_1</t>
  </si>
  <si>
    <t>San Antonio</t>
  </si>
  <si>
    <t>PHL.54.19_1</t>
  </si>
  <si>
    <t>PHL.54.20_1</t>
  </si>
  <si>
    <t>PHL.54.21_1</t>
  </si>
  <si>
    <t>San Roque</t>
  </si>
  <si>
    <t>PHL.54.22_1</t>
  </si>
  <si>
    <t>PHL.54.23_1</t>
  </si>
  <si>
    <t>Silvino Lobos</t>
  </si>
  <si>
    <t>PHL.54.24_1</t>
  </si>
  <si>
    <t>PHL.55.1_1</t>
  </si>
  <si>
    <t>Nueva Ecija</t>
  </si>
  <si>
    <t>Aliaga</t>
  </si>
  <si>
    <t>PHL.55.2_1</t>
  </si>
  <si>
    <t>Bongabon</t>
  </si>
  <si>
    <t>PHL.55.3_1</t>
  </si>
  <si>
    <t>Cabanatuan City</t>
  </si>
  <si>
    <t>PHL.55.4_1</t>
  </si>
  <si>
    <t>Cabiao</t>
  </si>
  <si>
    <t>PHL.55.5_1</t>
  </si>
  <si>
    <t>Carranglan</t>
  </si>
  <si>
    <t>PHL.55.6_1</t>
  </si>
  <si>
    <t>Cuyapo</t>
  </si>
  <si>
    <t>PHL.55.7_1</t>
  </si>
  <si>
    <t>Gabaldon</t>
  </si>
  <si>
    <t>PHL.55.8_1</t>
  </si>
  <si>
    <t>Gapan City</t>
  </si>
  <si>
    <t>PHL.55.9_1</t>
  </si>
  <si>
    <t>General Mamerto Natividad</t>
  </si>
  <si>
    <t>PHL.55.10_1</t>
  </si>
  <si>
    <t>General Tinio</t>
  </si>
  <si>
    <t>PHL.55.11_1</t>
  </si>
  <si>
    <t>Guimba</t>
  </si>
  <si>
    <t>PHL.55.12_1</t>
  </si>
  <si>
    <t>Jaen</t>
  </si>
  <si>
    <t>PHL.55.13_1</t>
  </si>
  <si>
    <t>Laur</t>
  </si>
  <si>
    <t>PHL.55.14_1</t>
  </si>
  <si>
    <t>Licab</t>
  </si>
  <si>
    <t>PHL.55.15_1</t>
  </si>
  <si>
    <t>Llanera</t>
  </si>
  <si>
    <t>PHL.55.16_1</t>
  </si>
  <si>
    <t>Lupao</t>
  </si>
  <si>
    <t>PHL.55.17_1</t>
  </si>
  <si>
    <t>Muñoz City</t>
  </si>
  <si>
    <t>PHL.55.18_1</t>
  </si>
  <si>
    <t>Nampicuan</t>
  </si>
  <si>
    <t>PHL.55.19_1</t>
  </si>
  <si>
    <t>Palayan City</t>
  </si>
  <si>
    <t>PHL.55.20_1</t>
  </si>
  <si>
    <t>Pantabangan</t>
  </si>
  <si>
    <t>PHL.55.21_1</t>
  </si>
  <si>
    <t>Peñaranda</t>
  </si>
  <si>
    <t>PHL.55.22_1</t>
  </si>
  <si>
    <t>PHL.55.23_1</t>
  </si>
  <si>
    <t>PHL.55.24_1</t>
  </si>
  <si>
    <t>PHL.55.25_1</t>
  </si>
  <si>
    <t>PHL.55.26_1</t>
  </si>
  <si>
    <t>San Jose City</t>
  </si>
  <si>
    <t>PHL.55.27_1</t>
  </si>
  <si>
    <t>San Leonardo</t>
  </si>
  <si>
    <t>PHL.55.28_1</t>
  </si>
  <si>
    <t>Santa Rosa</t>
  </si>
  <si>
    <t>PHL.55.29_1</t>
  </si>
  <si>
    <t>PHL.55.30_1</t>
  </si>
  <si>
    <t>Talavera</t>
  </si>
  <si>
    <t>PHL.55.31_1</t>
  </si>
  <si>
    <t>Talugtug</t>
  </si>
  <si>
    <t>PHL.55.32_1</t>
  </si>
  <si>
    <t>Zaragoza</t>
  </si>
  <si>
    <t>PHL.56.1_1</t>
  </si>
  <si>
    <t>Nueva Vizcaya</t>
  </si>
  <si>
    <t>Alfonso Castaneda</t>
  </si>
  <si>
    <t>PHL.56.2_1</t>
  </si>
  <si>
    <t>Ambaguio</t>
  </si>
  <si>
    <t>PHL.56.3_1</t>
  </si>
  <si>
    <t>Aritao</t>
  </si>
  <si>
    <t>PHL.56.4_1</t>
  </si>
  <si>
    <t>Bagabag</t>
  </si>
  <si>
    <t>PHL.56.5_1</t>
  </si>
  <si>
    <t>Bambang</t>
  </si>
  <si>
    <t>PHL.56.6_1</t>
  </si>
  <si>
    <t>Bayombong</t>
  </si>
  <si>
    <t>PHL.56.7_1</t>
  </si>
  <si>
    <t>Diadi</t>
  </si>
  <si>
    <t>PHL.56.8_1</t>
  </si>
  <si>
    <t>Dupax Del Norte</t>
  </si>
  <si>
    <t>PHL.56.9_1</t>
  </si>
  <si>
    <t>Dupax Del Sur</t>
  </si>
  <si>
    <t>PHL.56.10_1</t>
  </si>
  <si>
    <t>Kasibu</t>
  </si>
  <si>
    <t>PHL.56.11_1</t>
  </si>
  <si>
    <t>Kayapa</t>
  </si>
  <si>
    <t>PHL.56.12_1</t>
  </si>
  <si>
    <t>PHL.56.13_1</t>
  </si>
  <si>
    <t>PHL.56.14_1</t>
  </si>
  <si>
    <t>Solano</t>
  </si>
  <si>
    <t>PHL.56.15_1</t>
  </si>
  <si>
    <t>Villaverde</t>
  </si>
  <si>
    <t>PHL.57.1_1</t>
  </si>
  <si>
    <t>Occidental Mindoro</t>
  </si>
  <si>
    <t>Abra de Ilog</t>
  </si>
  <si>
    <t>PHL.57.2_1</t>
  </si>
  <si>
    <t>Calintaan</t>
  </si>
  <si>
    <t>PHL.57.3_1</t>
  </si>
  <si>
    <t>Looc</t>
  </si>
  <si>
    <t>PHL.57.4_1</t>
  </si>
  <si>
    <t>Lubang</t>
  </si>
  <si>
    <t>PHL.57.5_1</t>
  </si>
  <si>
    <t>PHL.57.6_1</t>
  </si>
  <si>
    <t>Mamburao</t>
  </si>
  <si>
    <t>PHL.57.7_1</t>
  </si>
  <si>
    <t>Paluan</t>
  </si>
  <si>
    <t>PHL.57.8_1</t>
  </si>
  <si>
    <t>PHL.57.9_1</t>
  </si>
  <si>
    <t>Sablayan</t>
  </si>
  <si>
    <t>PHL.57.10_1</t>
  </si>
  <si>
    <t>PHL.57.11_1</t>
  </si>
  <si>
    <t>PHL.58.1_1</t>
  </si>
  <si>
    <t>Oriental Mindoro</t>
  </si>
  <si>
    <t>Baco</t>
  </si>
  <si>
    <t>PHL.58.2_1</t>
  </si>
  <si>
    <t>Bansud</t>
  </si>
  <si>
    <t>PHL.58.3_1</t>
  </si>
  <si>
    <t>Bongabong</t>
  </si>
  <si>
    <t>PHL.58.4_1</t>
  </si>
  <si>
    <t>Bulalacao</t>
  </si>
  <si>
    <t>PHL.58.5_1</t>
  </si>
  <si>
    <t>Calapan City</t>
  </si>
  <si>
    <t>PHL.58.6_1</t>
  </si>
  <si>
    <t>Gloria</t>
  </si>
  <si>
    <t>PHL.58.7_1</t>
  </si>
  <si>
    <t>Mansalay</t>
  </si>
  <si>
    <t>PHL.58.9_1</t>
  </si>
  <si>
    <t>Naujan</t>
  </si>
  <si>
    <t>PHL.58.8_1</t>
  </si>
  <si>
    <t>Naujan Lake</t>
  </si>
  <si>
    <t>PHL.58.10_1</t>
  </si>
  <si>
    <t>Pinamalayan</t>
  </si>
  <si>
    <t>PHL.58.11_1</t>
  </si>
  <si>
    <t>Pola</t>
  </si>
  <si>
    <t>PHL.58.12_1</t>
  </si>
  <si>
    <t>Puerto Galera</t>
  </si>
  <si>
    <t>PHL.58.13_1</t>
  </si>
  <si>
    <t>PHL.58.14_1</t>
  </si>
  <si>
    <t>San Teodoro</t>
  </si>
  <si>
    <t>PHL.58.15_1</t>
  </si>
  <si>
    <t>Socorro</t>
  </si>
  <si>
    <t>PHL.58.16_1</t>
  </si>
  <si>
    <t>PHL.59.1_1</t>
  </si>
  <si>
    <t>Palawan</t>
  </si>
  <si>
    <t>Aborlan</t>
  </si>
  <si>
    <t>PHL.59.2_1</t>
  </si>
  <si>
    <t>Agutaya</t>
  </si>
  <si>
    <t>PHL.59.3_1</t>
  </si>
  <si>
    <t>Araceli</t>
  </si>
  <si>
    <t>PHL.59.4_1</t>
  </si>
  <si>
    <t>Balabac</t>
  </si>
  <si>
    <t>PHL.59.5_1</t>
  </si>
  <si>
    <t>Bataraza</t>
  </si>
  <si>
    <t>PHL.59.6_1</t>
  </si>
  <si>
    <t>Brooke's Point</t>
  </si>
  <si>
    <t>PHL.59.7_1</t>
  </si>
  <si>
    <t>Busuanga</t>
  </si>
  <si>
    <t>PHL.59.8_1</t>
  </si>
  <si>
    <t>Cagayancillo</t>
  </si>
  <si>
    <t>PHL.59.9_1</t>
  </si>
  <si>
    <t>Coron</t>
  </si>
  <si>
    <t>PHL.59.10_1</t>
  </si>
  <si>
    <t>Culion</t>
  </si>
  <si>
    <t>PHL.59.11_1</t>
  </si>
  <si>
    <t>Cuyo</t>
  </si>
  <si>
    <t>PHL.59.12_1</t>
  </si>
  <si>
    <t>Dumaran</t>
  </si>
  <si>
    <t>PHL.59.13_1</t>
  </si>
  <si>
    <t>El Nido</t>
  </si>
  <si>
    <t>PHL.59.14_1</t>
  </si>
  <si>
    <t>Linapacan</t>
  </si>
  <si>
    <t>PHL.59.15_1</t>
  </si>
  <si>
    <t>PHL.59.16_1</t>
  </si>
  <si>
    <t>Narra</t>
  </si>
  <si>
    <t>PHL.59.17_1</t>
  </si>
  <si>
    <t>Puerto Princesa City</t>
  </si>
  <si>
    <t>PHL.59.18_1</t>
  </si>
  <si>
    <t>PHL.59.19_1</t>
  </si>
  <si>
    <t>PHL.59.20_1</t>
  </si>
  <si>
    <t>PHL.59.21_1</t>
  </si>
  <si>
    <t>PHL.59.22_1</t>
  </si>
  <si>
    <t>Sofronio Espanola</t>
  </si>
  <si>
    <t>PHL.59.23_1</t>
  </si>
  <si>
    <t>Taytay</t>
  </si>
  <si>
    <t>PHL.60.1_1</t>
  </si>
  <si>
    <t>Pampanga</t>
  </si>
  <si>
    <t>Angeles City</t>
  </si>
  <si>
    <t>PHL.60.2_1</t>
  </si>
  <si>
    <t>Apalit</t>
  </si>
  <si>
    <t>PHL.60.3_1</t>
  </si>
  <si>
    <t>Arayat</t>
  </si>
  <si>
    <t>PHL.60.4_1</t>
  </si>
  <si>
    <t>Bacolor</t>
  </si>
  <si>
    <t>PHL.60.5_1</t>
  </si>
  <si>
    <t>Candaba</t>
  </si>
  <si>
    <t>PHL.60.6_1</t>
  </si>
  <si>
    <t>Floridablanca</t>
  </si>
  <si>
    <t>PHL.60.7_1</t>
  </si>
  <si>
    <t>Guagua</t>
  </si>
  <si>
    <t>PHL.60.8_1</t>
  </si>
  <si>
    <t>Lubao</t>
  </si>
  <si>
    <t>PHL.60.9_1</t>
  </si>
  <si>
    <t>Mabalacat</t>
  </si>
  <si>
    <t>PHL.60.10_1</t>
  </si>
  <si>
    <t>Macabebe</t>
  </si>
  <si>
    <t>PHL.60.11_1</t>
  </si>
  <si>
    <t>Magalang</t>
  </si>
  <si>
    <t>PHL.60.12_1</t>
  </si>
  <si>
    <t>Masantol</t>
  </si>
  <si>
    <t>PHL.60.13_1</t>
  </si>
  <si>
    <t>Mexico</t>
  </si>
  <si>
    <t>PHL.60.14_1</t>
  </si>
  <si>
    <t>Minalin</t>
  </si>
  <si>
    <t>PHL.60.15_1</t>
  </si>
  <si>
    <t>Porac</t>
  </si>
  <si>
    <t>PHL.60.16_1</t>
  </si>
  <si>
    <t>PHL.60.17_1</t>
  </si>
  <si>
    <t>PHL.60.18_1</t>
  </si>
  <si>
    <t>San Simon</t>
  </si>
  <si>
    <t>PHL.60.19_1</t>
  </si>
  <si>
    <t>PHL.60.20_1</t>
  </si>
  <si>
    <t>Santa Rita</t>
  </si>
  <si>
    <t>PHL.60.21_1</t>
  </si>
  <si>
    <t>PHL.60.22_1</t>
  </si>
  <si>
    <t>Sasmuan</t>
  </si>
  <si>
    <t>PHL.61.1_1</t>
  </si>
  <si>
    <t>Pangasinan</t>
  </si>
  <si>
    <t>Agno</t>
  </si>
  <si>
    <t>PHL.61.2_1</t>
  </si>
  <si>
    <t>Aguilar</t>
  </si>
  <si>
    <t>PHL.61.3_1</t>
  </si>
  <si>
    <t>Alaminos City</t>
  </si>
  <si>
    <t>PHL.61.4_1</t>
  </si>
  <si>
    <t>PHL.61.5_1</t>
  </si>
  <si>
    <t>PHL.61.6_1</t>
  </si>
  <si>
    <t>Asingan</t>
  </si>
  <si>
    <t>PHL.61.7_1</t>
  </si>
  <si>
    <t>Balungao</t>
  </si>
  <si>
    <t>PHL.61.8_1</t>
  </si>
  <si>
    <t>Bani</t>
  </si>
  <si>
    <t>PHL.61.9_1</t>
  </si>
  <si>
    <t>Basista</t>
  </si>
  <si>
    <t>PHL.61.10_1</t>
  </si>
  <si>
    <t>Bautista</t>
  </si>
  <si>
    <t>PHL.61.11_1</t>
  </si>
  <si>
    <t>Bayambang</t>
  </si>
  <si>
    <t>PHL.61.12_1</t>
  </si>
  <si>
    <t>Binalonan</t>
  </si>
  <si>
    <t>PHL.61.13_1</t>
  </si>
  <si>
    <t>Binmaley</t>
  </si>
  <si>
    <t>PHL.61.14_1</t>
  </si>
  <si>
    <t>Bolinao</t>
  </si>
  <si>
    <t>PHL.61.15_1</t>
  </si>
  <si>
    <t>Bugallon</t>
  </si>
  <si>
    <t>PHL.61.16_1</t>
  </si>
  <si>
    <t>PHL.61.17_1</t>
  </si>
  <si>
    <t>Calasiao</t>
  </si>
  <si>
    <t>PHL.61.18_1</t>
  </si>
  <si>
    <t>Dagupan City</t>
  </si>
  <si>
    <t>PHL.61.19_1</t>
  </si>
  <si>
    <t>Dasol</t>
  </si>
  <si>
    <t>PHL.61.20_1</t>
  </si>
  <si>
    <t>Infanta</t>
  </si>
  <si>
    <t>PHL.61.21_1</t>
  </si>
  <si>
    <t>Labrador</t>
  </si>
  <si>
    <t>PHL.61.22_1</t>
  </si>
  <si>
    <t>Laoac</t>
  </si>
  <si>
    <t>PHL.61.23_1</t>
  </si>
  <si>
    <t>Lingayen</t>
  </si>
  <si>
    <t>PHL.61.24_1</t>
  </si>
  <si>
    <t>PHL.61.25_1</t>
  </si>
  <si>
    <t>Malasiqui</t>
  </si>
  <si>
    <t>PHL.61.26_1</t>
  </si>
  <si>
    <t>Manaoag</t>
  </si>
  <si>
    <t>PHL.61.27_1</t>
  </si>
  <si>
    <t>Mangaldan</t>
  </si>
  <si>
    <t>PHL.61.28_1</t>
  </si>
  <si>
    <t>Mangatarem</t>
  </si>
  <si>
    <t>PHL.61.29_1</t>
  </si>
  <si>
    <t>Mapandan</t>
  </si>
  <si>
    <t>PHL.61.30_1</t>
  </si>
  <si>
    <t>Natividad</t>
  </si>
  <si>
    <t>PHL.61.31_1</t>
  </si>
  <si>
    <t>Pozzorubio</t>
  </si>
  <si>
    <t>PHL.61.32_1</t>
  </si>
  <si>
    <t>Rosales</t>
  </si>
  <si>
    <t>PHL.61.33_1</t>
  </si>
  <si>
    <t>PHL.61.34_1</t>
  </si>
  <si>
    <t>San Fabian</t>
  </si>
  <si>
    <t>PHL.61.35_1</t>
  </si>
  <si>
    <t>PHL.61.36_1</t>
  </si>
  <si>
    <t>PHL.61.37_1</t>
  </si>
  <si>
    <t>PHL.61.38_1</t>
  </si>
  <si>
    <t>PHL.61.39_1</t>
  </si>
  <si>
    <t>PHL.61.40_1</t>
  </si>
  <si>
    <t>PHL.61.41_1</t>
  </si>
  <si>
    <t>PHL.61.42_1</t>
  </si>
  <si>
    <t>Sison</t>
  </si>
  <si>
    <t>PHL.61.43_1</t>
  </si>
  <si>
    <t>Sual</t>
  </si>
  <si>
    <t>PHL.61.44_1</t>
  </si>
  <si>
    <t>Tayug</t>
  </si>
  <si>
    <t>PHL.61.45_1</t>
  </si>
  <si>
    <t>Umingan</t>
  </si>
  <si>
    <t>PHL.61.46_1</t>
  </si>
  <si>
    <t>Urbiztondo</t>
  </si>
  <si>
    <t>PHL.61.47_1</t>
  </si>
  <si>
    <t>Urdaneta City</t>
  </si>
  <si>
    <t>PHL.61.48_1</t>
  </si>
  <si>
    <t>Villasis</t>
  </si>
  <si>
    <t>PHL.62.1_1</t>
  </si>
  <si>
    <t>Agdangan</t>
  </si>
  <si>
    <t>PHL.62.2_1</t>
  </si>
  <si>
    <t>Alabat</t>
  </si>
  <si>
    <t>PHL.62.3_1</t>
  </si>
  <si>
    <t>Atimonan</t>
  </si>
  <si>
    <t>PHL.62.4_1</t>
  </si>
  <si>
    <t>PHL.62.5_1</t>
  </si>
  <si>
    <t>Burdeos</t>
  </si>
  <si>
    <t>PHL.62.6_1</t>
  </si>
  <si>
    <t>Calauag</t>
  </si>
  <si>
    <t>PHL.62.7_1</t>
  </si>
  <si>
    <t>Candelaria</t>
  </si>
  <si>
    <t>PHL.62.8_1</t>
  </si>
  <si>
    <t>Catanauan</t>
  </si>
  <si>
    <t>PHL.62.9_1</t>
  </si>
  <si>
    <t>PHL.62.10_1</t>
  </si>
  <si>
    <t>General Luna</t>
  </si>
  <si>
    <t>PHL.62.11_1</t>
  </si>
  <si>
    <t>General Nakar</t>
  </si>
  <si>
    <t>PHL.62.12_1</t>
  </si>
  <si>
    <t>Guinayangan</t>
  </si>
  <si>
    <t>PHL.62.13_1</t>
  </si>
  <si>
    <t>Gumaca</t>
  </si>
  <si>
    <t>PHL.62.14_1</t>
  </si>
  <si>
    <t>Hinunangan</t>
  </si>
  <si>
    <t>PHL.62.15_1</t>
  </si>
  <si>
    <t>PHL.62.16_1</t>
  </si>
  <si>
    <t>Jomalig</t>
  </si>
  <si>
    <t>PHL.62.17_1</t>
  </si>
  <si>
    <t>Lopez</t>
  </si>
  <si>
    <t>PHL.62.18_1</t>
  </si>
  <si>
    <t>Lucban</t>
  </si>
  <si>
    <t>PHL.62.19_1</t>
  </si>
  <si>
    <t>Lucena City</t>
  </si>
  <si>
    <t>PHL.62.20_1</t>
  </si>
  <si>
    <t>Macalelon</t>
  </si>
  <si>
    <t>PHL.62.21_1</t>
  </si>
  <si>
    <t>Mauban</t>
  </si>
  <si>
    <t>PHL.62.22_1</t>
  </si>
  <si>
    <t>Mulanay</t>
  </si>
  <si>
    <t>PHL.62.23_1</t>
  </si>
  <si>
    <t>Padre Burgos</t>
  </si>
  <si>
    <t>PHL.62.24_1</t>
  </si>
  <si>
    <t>Pagbilao</t>
  </si>
  <si>
    <t>PHL.62.25_1</t>
  </si>
  <si>
    <t>Panukulan</t>
  </si>
  <si>
    <t>PHL.62.26_1</t>
  </si>
  <si>
    <t>Patnanungan</t>
  </si>
  <si>
    <t>PHL.62.27_1</t>
  </si>
  <si>
    <t>Perez</t>
  </si>
  <si>
    <t>PHL.62.28_1</t>
  </si>
  <si>
    <t>Pitogo</t>
  </si>
  <si>
    <t>PHL.62.29_1</t>
  </si>
  <si>
    <t>PHL.62.30_1</t>
  </si>
  <si>
    <t>Polillo</t>
  </si>
  <si>
    <t>PHL.62.31_1</t>
  </si>
  <si>
    <t>PHL.62.32_1</t>
  </si>
  <si>
    <t>Real</t>
  </si>
  <si>
    <t>PHL.62.33_1</t>
  </si>
  <si>
    <t>Sampaloc</t>
  </si>
  <si>
    <t>PHL.62.34_1</t>
  </si>
  <si>
    <t>PHL.62.35_1</t>
  </si>
  <si>
    <t>PHL.62.36_1</t>
  </si>
  <si>
    <t>PHL.62.37_1</t>
  </si>
  <si>
    <t>San Narciso</t>
  </si>
  <si>
    <t>PHL.62.38_1</t>
  </si>
  <si>
    <t>Sariaya</t>
  </si>
  <si>
    <t>PHL.62.39_1</t>
  </si>
  <si>
    <t>Tagkawayan</t>
  </si>
  <si>
    <t>PHL.62.40_1</t>
  </si>
  <si>
    <t>Tayabas City</t>
  </si>
  <si>
    <t>PHL.62.41_1</t>
  </si>
  <si>
    <t>Tiaong</t>
  </si>
  <si>
    <t>PHL.62.42_1</t>
  </si>
  <si>
    <t>Unisan</t>
  </si>
  <si>
    <t>PHL.63.1_1</t>
  </si>
  <si>
    <t>Aglipay</t>
  </si>
  <si>
    <t>PHL.63.2_1</t>
  </si>
  <si>
    <t>Cabarroguis</t>
  </si>
  <si>
    <t>PHL.63.3_1</t>
  </si>
  <si>
    <t>Diffun</t>
  </si>
  <si>
    <t>PHL.63.4_1</t>
  </si>
  <si>
    <t>Maddela</t>
  </si>
  <si>
    <t>PHL.63.5_1</t>
  </si>
  <si>
    <t>Nagtipunan</t>
  </si>
  <si>
    <t>PHL.63.6_1</t>
  </si>
  <si>
    <t>Saguday</t>
  </si>
  <si>
    <t>PHL.64.1_1</t>
  </si>
  <si>
    <t>Angono</t>
  </si>
  <si>
    <t>PHL.64.2_1</t>
  </si>
  <si>
    <t>Antipolo City</t>
  </si>
  <si>
    <t>PHL.64.3_1</t>
  </si>
  <si>
    <t>PHL.64.4_1</t>
  </si>
  <si>
    <t>Binangonan</t>
  </si>
  <si>
    <t>PHL.64.5_1</t>
  </si>
  <si>
    <t>Cainta</t>
  </si>
  <si>
    <t>PHL.64.6_1</t>
  </si>
  <si>
    <t>Cardona</t>
  </si>
  <si>
    <t>PHL.64.7_1</t>
  </si>
  <si>
    <t>Jala-Jala</t>
  </si>
  <si>
    <t>PHL.64.8_1</t>
  </si>
  <si>
    <t>PHL.64.9_1</t>
  </si>
  <si>
    <t>Pililla</t>
  </si>
  <si>
    <t>PHL.64.10_1</t>
  </si>
  <si>
    <t>Rodriguez</t>
  </si>
  <si>
    <t>PHL.64.11_1</t>
  </si>
  <si>
    <t>PHL.64.12_1</t>
  </si>
  <si>
    <t>Tanay</t>
  </si>
  <si>
    <t>PHL.64.13_1</t>
  </si>
  <si>
    <t>PHL.64.14_1</t>
  </si>
  <si>
    <t>Teresa</t>
  </si>
  <si>
    <t>PHL.65.1_1</t>
  </si>
  <si>
    <t>Romblon</t>
  </si>
  <si>
    <t>PHL.65.2_1</t>
  </si>
  <si>
    <t>Banton</t>
  </si>
  <si>
    <t>PHL.65.3_1</t>
  </si>
  <si>
    <t>Cajidiocan</t>
  </si>
  <si>
    <t>PHL.65.4_1</t>
  </si>
  <si>
    <t>PHL.65.5_1</t>
  </si>
  <si>
    <t>PHL.65.6_1</t>
  </si>
  <si>
    <t>Corcuera</t>
  </si>
  <si>
    <t>PHL.65.7_1</t>
  </si>
  <si>
    <t>Ferrol</t>
  </si>
  <si>
    <t>PHL.65.8_1</t>
  </si>
  <si>
    <t>PHL.65.9_1</t>
  </si>
  <si>
    <t>Magdiwang</t>
  </si>
  <si>
    <t>PHL.65.10_1</t>
  </si>
  <si>
    <t>Odiongan</t>
  </si>
  <si>
    <t>PHL.65.11_1</t>
  </si>
  <si>
    <t>PHL.65.12_1</t>
  </si>
  <si>
    <t>PHL.65.13_1</t>
  </si>
  <si>
    <t>PHL.65.14_1</t>
  </si>
  <si>
    <t>PHL.65.15_1</t>
  </si>
  <si>
    <t>PHL.65.16_1</t>
  </si>
  <si>
    <t>PHL.65.17_1</t>
  </si>
  <si>
    <t>PHL.66.1_1</t>
  </si>
  <si>
    <t>Samar</t>
  </si>
  <si>
    <t>Almagro</t>
  </si>
  <si>
    <t>PHL.66.2_1</t>
  </si>
  <si>
    <t>Basey</t>
  </si>
  <si>
    <t>PHL.66.3_1</t>
  </si>
  <si>
    <t>Calbayog City</t>
  </si>
  <si>
    <t>PHL.66.4_1</t>
  </si>
  <si>
    <t>Calbiga</t>
  </si>
  <si>
    <t>PHL.66.5_1</t>
  </si>
  <si>
    <t>Catbalogan City</t>
  </si>
  <si>
    <t>PHL.66.6_1</t>
  </si>
  <si>
    <t>Daram</t>
  </si>
  <si>
    <t>PHL.66.7_1</t>
  </si>
  <si>
    <t>Gandara</t>
  </si>
  <si>
    <t>PHL.66.8_1</t>
  </si>
  <si>
    <t>Hinabangan</t>
  </si>
  <si>
    <t>PHL.66.9_1</t>
  </si>
  <si>
    <t>Jiabong</t>
  </si>
  <si>
    <t>PHL.66.10_1</t>
  </si>
  <si>
    <t>Marabut</t>
  </si>
  <si>
    <t>PHL.66.11_1</t>
  </si>
  <si>
    <t>Matuguinao</t>
  </si>
  <si>
    <t>PHL.66.12_1</t>
  </si>
  <si>
    <t>Motiong</t>
  </si>
  <si>
    <t>PHL.66.13_1</t>
  </si>
  <si>
    <t>Pagsanghan</t>
  </si>
  <si>
    <t>PHL.66.14_1</t>
  </si>
  <si>
    <t>Paranas</t>
  </si>
  <si>
    <t>PHL.66.15_1</t>
  </si>
  <si>
    <t>Pinabacdao</t>
  </si>
  <si>
    <t>PHL.66.16_1</t>
  </si>
  <si>
    <t>San Jorge</t>
  </si>
  <si>
    <t>PHL.66.17_1</t>
  </si>
  <si>
    <t>San Jose de Buan</t>
  </si>
  <si>
    <t>PHL.66.18_1</t>
  </si>
  <si>
    <t>San Sebastian</t>
  </si>
  <si>
    <t>PHL.66.19_1</t>
  </si>
  <si>
    <t>Santa Margarita</t>
  </si>
  <si>
    <t>PHL.66.20_1</t>
  </si>
  <si>
    <t>PHL.66.21_1</t>
  </si>
  <si>
    <t>Santo Nino</t>
  </si>
  <si>
    <t>PHL.66.22_1</t>
  </si>
  <si>
    <t>Tagapul-An</t>
  </si>
  <si>
    <t>PHL.66.23_1</t>
  </si>
  <si>
    <t>Talalora</t>
  </si>
  <si>
    <t>PHL.66.24_1</t>
  </si>
  <si>
    <t>Tarangnan</t>
  </si>
  <si>
    <t>PHL.66.25_1</t>
  </si>
  <si>
    <t>Villareal</t>
  </si>
  <si>
    <t>PHL.66.26_1</t>
  </si>
  <si>
    <t>Zumarraga</t>
  </si>
  <si>
    <t>PHL.67.1_1</t>
  </si>
  <si>
    <t>Alabel</t>
  </si>
  <si>
    <t>PHL.67.2_1</t>
  </si>
  <si>
    <t>Glan</t>
  </si>
  <si>
    <t>PHL.67.3_1</t>
  </si>
  <si>
    <t>Kiamba</t>
  </si>
  <si>
    <t>PHL.67.4_1</t>
  </si>
  <si>
    <t>Maasim</t>
  </si>
  <si>
    <t>PHL.67.5_1</t>
  </si>
  <si>
    <t>Maitum</t>
  </si>
  <si>
    <t>PHL.67.6_1</t>
  </si>
  <si>
    <t>Malapatan</t>
  </si>
  <si>
    <t>PHL.67.7_1</t>
  </si>
  <si>
    <t>Malungon</t>
  </si>
  <si>
    <t>PHL.68.1_1</t>
  </si>
  <si>
    <t>Siquijor</t>
  </si>
  <si>
    <t>Enrique Villanueva</t>
  </si>
  <si>
    <t>PHL.68.2_1</t>
  </si>
  <si>
    <t>Larena</t>
  </si>
  <si>
    <t>PHL.68.3_1</t>
  </si>
  <si>
    <t>Lazi</t>
  </si>
  <si>
    <t>PHL.68.4_1</t>
  </si>
  <si>
    <t>Maria</t>
  </si>
  <si>
    <t>PHL.68.5_1</t>
  </si>
  <si>
    <t>PHL.68.6_1</t>
  </si>
  <si>
    <t>PHL.69.1_1</t>
  </si>
  <si>
    <t>Sorsogon</t>
  </si>
  <si>
    <t>Barcelona</t>
  </si>
  <si>
    <t>PHL.69.2_1</t>
  </si>
  <si>
    <t>Bulan</t>
  </si>
  <si>
    <t>PHL.69.3_1</t>
  </si>
  <si>
    <t>Bulusan</t>
  </si>
  <si>
    <t>PHL.69.4_1</t>
  </si>
  <si>
    <t>PHL.69.5_1</t>
  </si>
  <si>
    <t>Castilla</t>
  </si>
  <si>
    <t>PHL.69.6_1</t>
  </si>
  <si>
    <t>Donsol</t>
  </si>
  <si>
    <t>PHL.69.7_1</t>
  </si>
  <si>
    <t>Gubat</t>
  </si>
  <si>
    <t>PHL.69.8_1</t>
  </si>
  <si>
    <t>Irosin</t>
  </si>
  <si>
    <t>PHL.69.9_1</t>
  </si>
  <si>
    <t>Juban</t>
  </si>
  <si>
    <t>PHL.69.10_1</t>
  </si>
  <si>
    <t>PHL.69.11_1</t>
  </si>
  <si>
    <t>Matnog</t>
  </si>
  <si>
    <t>PHL.69.12_1</t>
  </si>
  <si>
    <t>PHL.69.13_1</t>
  </si>
  <si>
    <t>Prieto Diaz</t>
  </si>
  <si>
    <t>PHL.69.14_1</t>
  </si>
  <si>
    <t>Santa Magdalena</t>
  </si>
  <si>
    <t>PHL.69.15_1</t>
  </si>
  <si>
    <t>Sorsogon City</t>
  </si>
  <si>
    <t>PHL.70.1_1</t>
  </si>
  <si>
    <t>South Cotabato</t>
  </si>
  <si>
    <t>PHL.70.2_1</t>
  </si>
  <si>
    <t>General Santos City</t>
  </si>
  <si>
    <t>PHL.70.3_1</t>
  </si>
  <si>
    <t>Koronadal City</t>
  </si>
  <si>
    <t>PHL.70.4_1</t>
  </si>
  <si>
    <t>Lake Sebu</t>
  </si>
  <si>
    <t>PHL.70.5_1</t>
  </si>
  <si>
    <t>Norala</t>
  </si>
  <si>
    <t>PHL.70.6_1</t>
  </si>
  <si>
    <t>Polomolok</t>
  </si>
  <si>
    <t>PHL.70.7_1</t>
  </si>
  <si>
    <t>PHL.70.8_1</t>
  </si>
  <si>
    <t>Surallah</t>
  </si>
  <si>
    <t>PHL.70.9_1</t>
  </si>
  <si>
    <t>T'Boli</t>
  </si>
  <si>
    <t>PHL.70.10_1</t>
  </si>
  <si>
    <t>Tampakan</t>
  </si>
  <si>
    <t>PHL.70.11_1</t>
  </si>
  <si>
    <t>Tantangan</t>
  </si>
  <si>
    <t>PHL.70.12_1</t>
  </si>
  <si>
    <t>Tupi</t>
  </si>
  <si>
    <t>PHL.71.1_1</t>
  </si>
  <si>
    <t>Southern Leyte</t>
  </si>
  <si>
    <t>Anahawan</t>
  </si>
  <si>
    <t>PHL.71.2_1</t>
  </si>
  <si>
    <t>PHL.71.3_1</t>
  </si>
  <si>
    <t>PHL.71.4_1</t>
  </si>
  <si>
    <t>Hinundayan</t>
  </si>
  <si>
    <t>PHL.71.5_1</t>
  </si>
  <si>
    <t>Libagon</t>
  </si>
  <si>
    <t>PHL.71.6_1</t>
  </si>
  <si>
    <t>PHL.71.7_1</t>
  </si>
  <si>
    <t>Limasawa</t>
  </si>
  <si>
    <t>PHL.71.8_1</t>
  </si>
  <si>
    <t>Maasin City</t>
  </si>
  <si>
    <t>PHL.71.9_1</t>
  </si>
  <si>
    <t>Macrohon</t>
  </si>
  <si>
    <t>PHL.71.10_1</t>
  </si>
  <si>
    <t>PHL.71.11_1</t>
  </si>
  <si>
    <t>PHL.71.12_1</t>
  </si>
  <si>
    <t>Pintuyan</t>
  </si>
  <si>
    <t>PHL.71.13_1</t>
  </si>
  <si>
    <t>Saint Bernard</t>
  </si>
  <si>
    <t>PHL.71.14_1</t>
  </si>
  <si>
    <t>PHL.71.15_1</t>
  </si>
  <si>
    <t>PHL.71.16_1</t>
  </si>
  <si>
    <t>San Ricardo</t>
  </si>
  <si>
    <t>PHL.71.17_1</t>
  </si>
  <si>
    <t>Silago</t>
  </si>
  <si>
    <t>PHL.71.18_1</t>
  </si>
  <si>
    <t>PHL.71.19_1</t>
  </si>
  <si>
    <t>Tomas Oppus</t>
  </si>
  <si>
    <t>PHL.72.1_1</t>
  </si>
  <si>
    <t>Bagumbayan</t>
  </si>
  <si>
    <t>PHL.72.2_1</t>
  </si>
  <si>
    <t>PHL.72.3_1</t>
  </si>
  <si>
    <t>Columbio</t>
  </si>
  <si>
    <t>PHL.72.4_1</t>
  </si>
  <si>
    <t>PHL.72.5_1</t>
  </si>
  <si>
    <t>Isulan</t>
  </si>
  <si>
    <t>PHL.72.6_1</t>
  </si>
  <si>
    <t>Kalamansig</t>
  </si>
  <si>
    <t>PHL.72.7_1</t>
  </si>
  <si>
    <t>Lambayong</t>
  </si>
  <si>
    <t>PHL.72.8_1</t>
  </si>
  <si>
    <t>PHL.72.9_1</t>
  </si>
  <si>
    <t>Lutayan</t>
  </si>
  <si>
    <t>PHL.72.10_1</t>
  </si>
  <si>
    <t>Palimbang</t>
  </si>
  <si>
    <t>PHL.72.11_1</t>
  </si>
  <si>
    <t>President Quirino</t>
  </si>
  <si>
    <t>PHL.72.12_1</t>
  </si>
  <si>
    <t>Sen. Ninoy Aquino</t>
  </si>
  <si>
    <t>PHL.72.13_1</t>
  </si>
  <si>
    <t>Tacurong City</t>
  </si>
  <si>
    <t>PHL.73.1_1</t>
  </si>
  <si>
    <t>Sulu</t>
  </si>
  <si>
    <t>Hadji Panglima Tahil</t>
  </si>
  <si>
    <t>PHL.73.2_1</t>
  </si>
  <si>
    <t>Indanan</t>
  </si>
  <si>
    <t>PHL.73.3_1</t>
  </si>
  <si>
    <t>Jolo</t>
  </si>
  <si>
    <t>PHL.73.4_1</t>
  </si>
  <si>
    <t>Kalingalan Caluang</t>
  </si>
  <si>
    <t>PHL.73.5_1</t>
  </si>
  <si>
    <t>Lugus</t>
  </si>
  <si>
    <t>PHL.73.6_1</t>
  </si>
  <si>
    <t>Luuk</t>
  </si>
  <si>
    <t>PHL.73.7_1</t>
  </si>
  <si>
    <t>Maimbung</t>
  </si>
  <si>
    <t>PHL.73.8_1</t>
  </si>
  <si>
    <t>Old Panamao</t>
  </si>
  <si>
    <t>PHL.73.9_1</t>
  </si>
  <si>
    <t>Pandami</t>
  </si>
  <si>
    <t>PHL.73.10_1</t>
  </si>
  <si>
    <t>Panglima Estino</t>
  </si>
  <si>
    <t>PHL.73.11_1</t>
  </si>
  <si>
    <t>Pangutaran</t>
  </si>
  <si>
    <t>PHL.73.12_1</t>
  </si>
  <si>
    <t>PHL.73.13_1</t>
  </si>
  <si>
    <t>Pata</t>
  </si>
  <si>
    <t>PHL.73.14_1</t>
  </si>
  <si>
    <t>Patikul</t>
  </si>
  <si>
    <t>PHL.73.15_1</t>
  </si>
  <si>
    <t>Siasi</t>
  </si>
  <si>
    <t>PHL.73.16_1</t>
  </si>
  <si>
    <t>Talipao</t>
  </si>
  <si>
    <t>PHL.73.17_1</t>
  </si>
  <si>
    <t>Tapul</t>
  </si>
  <si>
    <t>PHL.73.18_1</t>
  </si>
  <si>
    <t>Tongkil</t>
  </si>
  <si>
    <t>PHL.74.1_1</t>
  </si>
  <si>
    <t>Surigao del Norte</t>
  </si>
  <si>
    <t>PHL.74.2_1</t>
  </si>
  <si>
    <t>Bacuag</t>
  </si>
  <si>
    <t>PHL.74.3_1</t>
  </si>
  <si>
    <t>PHL.74.4_1</t>
  </si>
  <si>
    <t>Claver</t>
  </si>
  <si>
    <t>PHL.74.5_1</t>
  </si>
  <si>
    <t>Dapa</t>
  </si>
  <si>
    <t>PHL.74.6_1</t>
  </si>
  <si>
    <t>Del Carmen</t>
  </si>
  <si>
    <t>PHL.74.7_1</t>
  </si>
  <si>
    <t>PHL.74.8_1</t>
  </si>
  <si>
    <t>Gigaquit</t>
  </si>
  <si>
    <t>PHL.74.10_1</t>
  </si>
  <si>
    <t>Mainit</t>
  </si>
  <si>
    <t>PHL.74.9_1</t>
  </si>
  <si>
    <t>PHL.74.11_1</t>
  </si>
  <si>
    <t>Malimono</t>
  </si>
  <si>
    <t>PHL.74.12_1</t>
  </si>
  <si>
    <t>PHL.74.13_1</t>
  </si>
  <si>
    <t>PHL.74.14_1</t>
  </si>
  <si>
    <t>San Benito</t>
  </si>
  <si>
    <t>PHL.74.15_1</t>
  </si>
  <si>
    <t>PHL.74.16_1</t>
  </si>
  <si>
    <t>PHL.74.17_1</t>
  </si>
  <si>
    <t>Santa Monica</t>
  </si>
  <si>
    <t>PHL.74.18_1</t>
  </si>
  <si>
    <t>PHL.74.19_1</t>
  </si>
  <si>
    <t>PHL.74.20_1</t>
  </si>
  <si>
    <t>Surigao City</t>
  </si>
  <si>
    <t>PHL.74.21_1</t>
  </si>
  <si>
    <t>Tagana-An</t>
  </si>
  <si>
    <t>PHL.74.22_1</t>
  </si>
  <si>
    <t>PHL.75.1_1</t>
  </si>
  <si>
    <t>Surigao del Sur</t>
  </si>
  <si>
    <t>Barobo</t>
  </si>
  <si>
    <t>PHL.75.2_1</t>
  </si>
  <si>
    <t>Bayabas</t>
  </si>
  <si>
    <t>PHL.75.3_1</t>
  </si>
  <si>
    <t>Bislig City</t>
  </si>
  <si>
    <t>PHL.75.4_1</t>
  </si>
  <si>
    <t>Cagwait</t>
  </si>
  <si>
    <t>PHL.75.5_1</t>
  </si>
  <si>
    <t>Cantilan</t>
  </si>
  <si>
    <t>PHL.75.6_1</t>
  </si>
  <si>
    <t>PHL.75.7_1</t>
  </si>
  <si>
    <t>Carrascal</t>
  </si>
  <si>
    <t>PHL.75.8_1</t>
  </si>
  <si>
    <t>PHL.75.9_1</t>
  </si>
  <si>
    <t>Hinatuan</t>
  </si>
  <si>
    <t>PHL.75.10_1</t>
  </si>
  <si>
    <t>Lanuza</t>
  </si>
  <si>
    <t>PHL.75.11_1</t>
  </si>
  <si>
    <t>Lianga</t>
  </si>
  <si>
    <t>PHL.75.12_1</t>
  </si>
  <si>
    <t>Lingig</t>
  </si>
  <si>
    <t>PHL.75.13_1</t>
  </si>
  <si>
    <t>Madrid</t>
  </si>
  <si>
    <t>PHL.75.14_1</t>
  </si>
  <si>
    <t>Marihatag</t>
  </si>
  <si>
    <t>PHL.75.15_1</t>
  </si>
  <si>
    <t>PHL.75.16_1</t>
  </si>
  <si>
    <t>PHL.75.17_1</t>
  </si>
  <si>
    <t>Tagbina</t>
  </si>
  <si>
    <t>PHL.75.18_1</t>
  </si>
  <si>
    <t>Tago</t>
  </si>
  <si>
    <t>PHL.75.19_1</t>
  </si>
  <si>
    <t>Tandag City</t>
  </si>
  <si>
    <t>PHL.76.1_1</t>
  </si>
  <si>
    <t>Tarlac</t>
  </si>
  <si>
    <t>Anao</t>
  </si>
  <si>
    <t>PHL.76.2_1</t>
  </si>
  <si>
    <t>Bamban</t>
  </si>
  <si>
    <t>PHL.76.3_1</t>
  </si>
  <si>
    <t>Camiling</t>
  </si>
  <si>
    <t>PHL.76.4_1</t>
  </si>
  <si>
    <t>Capas</t>
  </si>
  <si>
    <t>PHL.76.5_1</t>
  </si>
  <si>
    <t>PHL.76.6_1</t>
  </si>
  <si>
    <t>Gerona</t>
  </si>
  <si>
    <t>PHL.76.7_1</t>
  </si>
  <si>
    <t>PHL.76.8_1</t>
  </si>
  <si>
    <t>Mayantoc</t>
  </si>
  <si>
    <t>PHL.76.9_1</t>
  </si>
  <si>
    <t>Moncada</t>
  </si>
  <si>
    <t>PHL.76.10_1</t>
  </si>
  <si>
    <t>Paniqui</t>
  </si>
  <si>
    <t>PHL.76.11_1</t>
  </si>
  <si>
    <t>Pura</t>
  </si>
  <si>
    <t>PHL.76.12_1</t>
  </si>
  <si>
    <t>Ramos</t>
  </si>
  <si>
    <t>PHL.76.13_1</t>
  </si>
  <si>
    <t>San Clemente</t>
  </si>
  <si>
    <t>PHL.76.14_1</t>
  </si>
  <si>
    <t>PHL.76.15_1</t>
  </si>
  <si>
    <t>PHL.76.16_1</t>
  </si>
  <si>
    <t>Santa Ignacia</t>
  </si>
  <si>
    <t>PHL.76.17_1</t>
  </si>
  <si>
    <t>Tarlac City</t>
  </si>
  <si>
    <t>PHL.76.18_1</t>
  </si>
  <si>
    <t>PHL.77.1_1</t>
  </si>
  <si>
    <t>Tawi-Tawi</t>
  </si>
  <si>
    <t>Bongao</t>
  </si>
  <si>
    <t>PHL.77.2_1</t>
  </si>
  <si>
    <t>Languyan</t>
  </si>
  <si>
    <t>PHL.77.3_1</t>
  </si>
  <si>
    <t>Mapun</t>
  </si>
  <si>
    <t>PHL.77.4_1</t>
  </si>
  <si>
    <t>Panglima Sugala</t>
  </si>
  <si>
    <t>PHL.77.5_1</t>
  </si>
  <si>
    <t>Sapa-Sapa</t>
  </si>
  <si>
    <t>PHL.77.6_1</t>
  </si>
  <si>
    <t>Sibutu</t>
  </si>
  <si>
    <t>PHL.77.7_1</t>
  </si>
  <si>
    <t>Simunul</t>
  </si>
  <si>
    <t>PHL.77.8_1</t>
  </si>
  <si>
    <t>Sitangkai</t>
  </si>
  <si>
    <t>PHL.77.9_1</t>
  </si>
  <si>
    <t>South Ubian</t>
  </si>
  <si>
    <t>PHL.77.10_1</t>
  </si>
  <si>
    <t>Tandubas</t>
  </si>
  <si>
    <t>PHL.77.11_1</t>
  </si>
  <si>
    <t>Turtle Islands</t>
  </si>
  <si>
    <t>PHL.78.1_1</t>
  </si>
  <si>
    <t>Zambales</t>
  </si>
  <si>
    <t>Botolan</t>
  </si>
  <si>
    <t>PHL.78.2_1</t>
  </si>
  <si>
    <t>Cabangan</t>
  </si>
  <si>
    <t>PHL.78.3_1</t>
  </si>
  <si>
    <t>PHL.78.4_1</t>
  </si>
  <si>
    <t>Castillejos</t>
  </si>
  <si>
    <t>PHL.78.5_1</t>
  </si>
  <si>
    <t>Iba</t>
  </si>
  <si>
    <t>PHL.78.6_1</t>
  </si>
  <si>
    <t>Masinloc</t>
  </si>
  <si>
    <t>PHL.78.7_1</t>
  </si>
  <si>
    <t>Olongapo City</t>
  </si>
  <si>
    <t>PHL.78.8_1</t>
  </si>
  <si>
    <t>Palauig</t>
  </si>
  <si>
    <t>PHL.78.9_1</t>
  </si>
  <si>
    <t>PHL.78.10_1</t>
  </si>
  <si>
    <t>San Felipe</t>
  </si>
  <si>
    <t>PHL.78.11_1</t>
  </si>
  <si>
    <t>San Marcelino</t>
  </si>
  <si>
    <t>PHL.78.12_1</t>
  </si>
  <si>
    <t>PHL.78.13_1</t>
  </si>
  <si>
    <t>PHL.78.14_1</t>
  </si>
  <si>
    <t>Subic</t>
  </si>
  <si>
    <t>PHL.79.1_1</t>
  </si>
  <si>
    <t>Zamboanga del Norte</t>
  </si>
  <si>
    <t>Bacungan</t>
  </si>
  <si>
    <t>PHL.79.2_1</t>
  </si>
  <si>
    <t>Baliguian</t>
  </si>
  <si>
    <t>PHL.79.3_1</t>
  </si>
  <si>
    <t>Dapitan City</t>
  </si>
  <si>
    <t>PHL.79.4_1</t>
  </si>
  <si>
    <t>Dipolog City</t>
  </si>
  <si>
    <t>PHL.79.5_1</t>
  </si>
  <si>
    <t>Godod</t>
  </si>
  <si>
    <t>PHL.79.6_1</t>
  </si>
  <si>
    <t>Gutalac</t>
  </si>
  <si>
    <t>PHL.79.7_1</t>
  </si>
  <si>
    <t>Jose Dalman</t>
  </si>
  <si>
    <t>PHL.79.8_1</t>
  </si>
  <si>
    <t>Kalawit</t>
  </si>
  <si>
    <t>PHL.79.9_1</t>
  </si>
  <si>
    <t>Katipunan</t>
  </si>
  <si>
    <t>PHL.79.10_1</t>
  </si>
  <si>
    <t>PHL.79.11_1</t>
  </si>
  <si>
    <t>Labason</t>
  </si>
  <si>
    <t>PHL.79.12_1</t>
  </si>
  <si>
    <t>Liloy</t>
  </si>
  <si>
    <t>PHL.79.13_1</t>
  </si>
  <si>
    <t>Manukan</t>
  </si>
  <si>
    <t>PHL.79.14_1</t>
  </si>
  <si>
    <t>Mutia</t>
  </si>
  <si>
    <t>PHL.79.15_1</t>
  </si>
  <si>
    <t>Pinan</t>
  </si>
  <si>
    <t>PHL.79.16_1</t>
  </si>
  <si>
    <t>Polanco</t>
  </si>
  <si>
    <t>PHL.79.17_1</t>
  </si>
  <si>
    <t>Pres. Manuel A. Roxas</t>
  </si>
  <si>
    <t>PHL.79.18_1</t>
  </si>
  <si>
    <t>PHL.79.19_1</t>
  </si>
  <si>
    <t>Salug</t>
  </si>
  <si>
    <t>PHL.79.20_1</t>
  </si>
  <si>
    <t>Sergio Osmena Sr.</t>
  </si>
  <si>
    <t>PHL.79.21_1</t>
  </si>
  <si>
    <t>Siayan</t>
  </si>
  <si>
    <t>PHL.79.22_1</t>
  </si>
  <si>
    <t>Sibuco</t>
  </si>
  <si>
    <t>PHL.79.23_1</t>
  </si>
  <si>
    <t>Sibutad</t>
  </si>
  <si>
    <t>PHL.79.24_1</t>
  </si>
  <si>
    <t>Sindangan</t>
  </si>
  <si>
    <t>PHL.79.25_1</t>
  </si>
  <si>
    <t>Siocon</t>
  </si>
  <si>
    <t>PHL.79.26_1</t>
  </si>
  <si>
    <t>Sirawai</t>
  </si>
  <si>
    <t>PHL.79.27_1</t>
  </si>
  <si>
    <t>Tampilisan</t>
  </si>
  <si>
    <t>PHL.80.1_1</t>
  </si>
  <si>
    <t>Zamboanga del Sur</t>
  </si>
  <si>
    <t>PHL.80.2_1</t>
  </si>
  <si>
    <t>Bayog</t>
  </si>
  <si>
    <t>PHL.80.3_1</t>
  </si>
  <si>
    <t>Dimataling</t>
  </si>
  <si>
    <t>PHL.80.4_1</t>
  </si>
  <si>
    <t>Dinas</t>
  </si>
  <si>
    <t>PHL.80.5_1</t>
  </si>
  <si>
    <t>Dumalinao</t>
  </si>
  <si>
    <t>PHL.80.6_1</t>
  </si>
  <si>
    <t>Dumingag</t>
  </si>
  <si>
    <t>PHL.80.7_1</t>
  </si>
  <si>
    <t>Guipos</t>
  </si>
  <si>
    <t>PHL.80.8_1</t>
  </si>
  <si>
    <t>Josefina</t>
  </si>
  <si>
    <t>PHL.80.9_1</t>
  </si>
  <si>
    <t>Kumalarang</t>
  </si>
  <si>
    <t>PHL.80.10_1</t>
  </si>
  <si>
    <t>Labangan</t>
  </si>
  <si>
    <t>PHL.80.12_1</t>
  </si>
  <si>
    <t>Lakewood</t>
  </si>
  <si>
    <t>PHL.80.11_1</t>
  </si>
  <si>
    <t>Lakewood Lake</t>
  </si>
  <si>
    <t>PHL.80.13_1</t>
  </si>
  <si>
    <t>Lapuyan</t>
  </si>
  <si>
    <t>PHL.80.14_1</t>
  </si>
  <si>
    <t>Mahayag</t>
  </si>
  <si>
    <t>PHL.80.15_1</t>
  </si>
  <si>
    <t>Margosatubig</t>
  </si>
  <si>
    <t>PHL.80.16_1</t>
  </si>
  <si>
    <t>Midsalip</t>
  </si>
  <si>
    <t>PHL.80.17_1</t>
  </si>
  <si>
    <t>Molave</t>
  </si>
  <si>
    <t>PHL.80.18_1</t>
  </si>
  <si>
    <t>Pagadian City</t>
  </si>
  <si>
    <t>PHL.80.19_1</t>
  </si>
  <si>
    <t>PHL.80.20_1</t>
  </si>
  <si>
    <t>Ramon Magsaysay</t>
  </si>
  <si>
    <t>PHL.80.21_1</t>
  </si>
  <si>
    <t>PHL.80.22_1</t>
  </si>
  <si>
    <t>PHL.80.23_1</t>
  </si>
  <si>
    <t>Sominot</t>
  </si>
  <si>
    <t>PHL.80.24_1</t>
  </si>
  <si>
    <t>Tabina</t>
  </si>
  <si>
    <t>PHL.80.25_1</t>
  </si>
  <si>
    <t>Tambulig</t>
  </si>
  <si>
    <t>PHL.80.26_1</t>
  </si>
  <si>
    <t>Tigbao</t>
  </si>
  <si>
    <t>PHL.80.27_1</t>
  </si>
  <si>
    <t>Tukuran</t>
  </si>
  <si>
    <t>PHL.80.28_1</t>
  </si>
  <si>
    <t>Vincenzo A. Sagun</t>
  </si>
  <si>
    <t>PHL.80.29_1</t>
  </si>
  <si>
    <t>Zamboanga City</t>
  </si>
  <si>
    <t>PHL.81.1_1</t>
  </si>
  <si>
    <t>Zamboanga Sibugay</t>
  </si>
  <si>
    <t>PHL.81.2_1</t>
  </si>
  <si>
    <t>Buug</t>
  </si>
  <si>
    <t>PHL.81.3_1</t>
  </si>
  <si>
    <t>Diplahan</t>
  </si>
  <si>
    <t>PHL.81.4_1</t>
  </si>
  <si>
    <t>Imelda</t>
  </si>
  <si>
    <t>PHL.81.5_1</t>
  </si>
  <si>
    <t>Ipil</t>
  </si>
  <si>
    <t>PHL.81.6_1</t>
  </si>
  <si>
    <t>Kabasalan</t>
  </si>
  <si>
    <t>PHL.81.7_1</t>
  </si>
  <si>
    <t>Mabuhay</t>
  </si>
  <si>
    <t>PHL.81.8_1</t>
  </si>
  <si>
    <t>Malangas</t>
  </si>
  <si>
    <t>PHL.81.9_1</t>
  </si>
  <si>
    <t>Naga</t>
  </si>
  <si>
    <t>PHL.81.10_1</t>
  </si>
  <si>
    <t>Olutanga</t>
  </si>
  <si>
    <t>PHL.81.11_1</t>
  </si>
  <si>
    <t>Payao</t>
  </si>
  <si>
    <t>PHL.81.12_1</t>
  </si>
  <si>
    <t>Roseller Lim</t>
  </si>
  <si>
    <t>PHL.81.13_1</t>
  </si>
  <si>
    <t>Siay</t>
  </si>
  <si>
    <t>PHL.81.14_1</t>
  </si>
  <si>
    <t>Talusan</t>
  </si>
  <si>
    <t>PHL.81.15_1</t>
  </si>
  <si>
    <t>Titay</t>
  </si>
  <si>
    <t>PHL.81.16_1</t>
  </si>
  <si>
    <t>Tungawan</t>
  </si>
  <si>
    <t>SGP</t>
  </si>
  <si>
    <t>Singapore</t>
  </si>
  <si>
    <t>THA.1.1_1</t>
  </si>
  <si>
    <t>THA</t>
  </si>
  <si>
    <t>Thailand</t>
  </si>
  <si>
    <t>Amnat Charoen</t>
  </si>
  <si>
    <t>Chanuman</t>
  </si>
  <si>
    <t>THA.1.2_1</t>
  </si>
  <si>
    <t>Hua Taphan</t>
  </si>
  <si>
    <t>THA.1.3_1</t>
  </si>
  <si>
    <t>Lu Amnat</t>
  </si>
  <si>
    <t>THA.1.4_1</t>
  </si>
  <si>
    <t>Muang Amnat Charoen</t>
  </si>
  <si>
    <t>THA.1.5_1</t>
  </si>
  <si>
    <t>Pathum Ratwongsa</t>
  </si>
  <si>
    <t>THA.1.6_1</t>
  </si>
  <si>
    <t>Phana</t>
  </si>
  <si>
    <t>THA.1.7_1</t>
  </si>
  <si>
    <t>Senangkhanikhom</t>
  </si>
  <si>
    <t>THA.2.1_1</t>
  </si>
  <si>
    <t>Ang Thong</t>
  </si>
  <si>
    <t>Chaiyo</t>
  </si>
  <si>
    <t>THA.2.2_1</t>
  </si>
  <si>
    <t>Muang Ang Thong</t>
  </si>
  <si>
    <t>THA.2.3_1</t>
  </si>
  <si>
    <t>Pa Mok</t>
  </si>
  <si>
    <t>THA.2.4_1</t>
  </si>
  <si>
    <t>Pho Thong</t>
  </si>
  <si>
    <t>THA.2.5_1</t>
  </si>
  <si>
    <t>Samko</t>
  </si>
  <si>
    <t>THA.2.6_1</t>
  </si>
  <si>
    <t>Sawaengha</t>
  </si>
  <si>
    <t>THA.2.7_1</t>
  </si>
  <si>
    <t>Wiset Chai Chan</t>
  </si>
  <si>
    <t>THA.4.1_1</t>
  </si>
  <si>
    <t>Bueng Kan</t>
  </si>
  <si>
    <t>Bung Kan</t>
  </si>
  <si>
    <t>THA.4.2_1</t>
  </si>
  <si>
    <t>Bung Khong Long</t>
  </si>
  <si>
    <t>THA.4.3_1</t>
  </si>
  <si>
    <t>K. Bung Khla</t>
  </si>
  <si>
    <t>THA.4.4_1</t>
  </si>
  <si>
    <t>Pak Khat</t>
  </si>
  <si>
    <t>THA.4.5_1</t>
  </si>
  <si>
    <t>Phon Charoen</t>
  </si>
  <si>
    <t>THA.4.6_1</t>
  </si>
  <si>
    <t>Seka</t>
  </si>
  <si>
    <t>THA.4.7_1</t>
  </si>
  <si>
    <t>Si Wilai</t>
  </si>
  <si>
    <t>THA.4.8_1</t>
  </si>
  <si>
    <t>So Phisai</t>
  </si>
  <si>
    <t>THA.5.1_1</t>
  </si>
  <si>
    <t>Buri Ram</t>
  </si>
  <si>
    <t>Ban Kruat</t>
  </si>
  <si>
    <t>THA.5.2_1</t>
  </si>
  <si>
    <t>Ban Mai Chai Pho</t>
  </si>
  <si>
    <t>THA.5.3_1</t>
  </si>
  <si>
    <t>Chalermphrakiet</t>
  </si>
  <si>
    <t>THA.5.4_1</t>
  </si>
  <si>
    <t>Cham Ni</t>
  </si>
  <si>
    <t>THA.5.5_1</t>
  </si>
  <si>
    <t>Huai Rat</t>
  </si>
  <si>
    <t>THA.5.6_1</t>
  </si>
  <si>
    <t>K. Ban Dan</t>
  </si>
  <si>
    <t>THA.5.7_1</t>
  </si>
  <si>
    <t>K. Daen Kong</t>
  </si>
  <si>
    <t>THA.5.8_1</t>
  </si>
  <si>
    <t>Khu Muang</t>
  </si>
  <si>
    <t>THA.5.9_1</t>
  </si>
  <si>
    <t>Krasang</t>
  </si>
  <si>
    <t>THA.5.10_1</t>
  </si>
  <si>
    <t>Lahan Sai</t>
  </si>
  <si>
    <t>THA.5.11_1</t>
  </si>
  <si>
    <t>Lam Plai Mat</t>
  </si>
  <si>
    <t>THA.5.12_1</t>
  </si>
  <si>
    <t>Muang Buri Ram</t>
  </si>
  <si>
    <t>THA.5.13_1</t>
  </si>
  <si>
    <t>Na Pho</t>
  </si>
  <si>
    <t>THA.5.14_1</t>
  </si>
  <si>
    <t>Nang Rong</t>
  </si>
  <si>
    <t>THA.5.15_1</t>
  </si>
  <si>
    <t>Non Din Daeng</t>
  </si>
  <si>
    <t>THA.5.16_1</t>
  </si>
  <si>
    <t>Non Suwan</t>
  </si>
  <si>
    <t>THA.5.17_1</t>
  </si>
  <si>
    <t>Nong Hong</t>
  </si>
  <si>
    <t>THA.5.18_1</t>
  </si>
  <si>
    <t>Nong Ki</t>
  </si>
  <si>
    <t>THA.5.19_1</t>
  </si>
  <si>
    <t>Pa Kham</t>
  </si>
  <si>
    <t>THA.5.20_1</t>
  </si>
  <si>
    <t>Phlapphlachai</t>
  </si>
  <si>
    <t>THA.5.21_1</t>
  </si>
  <si>
    <t>Phutthaisong</t>
  </si>
  <si>
    <t>THA.5.22_1</t>
  </si>
  <si>
    <t>Prakhon Chai</t>
  </si>
  <si>
    <t>THA.5.23_1</t>
  </si>
  <si>
    <t>Satuk</t>
  </si>
  <si>
    <t>THA.6.1_1</t>
  </si>
  <si>
    <t>Chachoengsao</t>
  </si>
  <si>
    <t>Ban Pho</t>
  </si>
  <si>
    <t>THA.6.2_1</t>
  </si>
  <si>
    <t>Bang Khla</t>
  </si>
  <si>
    <t>THA.6.3_1</t>
  </si>
  <si>
    <t>Bang Nam Prieo</t>
  </si>
  <si>
    <t>THA.6.4_1</t>
  </si>
  <si>
    <t>Bang Pakong</t>
  </si>
  <si>
    <t>THA.6.5_1</t>
  </si>
  <si>
    <t>K. Khlong Khuan</t>
  </si>
  <si>
    <t>THA.6.6_1</t>
  </si>
  <si>
    <t>Muang Chachoengsao</t>
  </si>
  <si>
    <t>THA.6.7_1</t>
  </si>
  <si>
    <t>Phanom Sarakham</t>
  </si>
  <si>
    <t>THA.6.8_1</t>
  </si>
  <si>
    <t>Plaeng Yao</t>
  </si>
  <si>
    <t>THA.6.9_1</t>
  </si>
  <si>
    <t>Ratchasan</t>
  </si>
  <si>
    <t>THA.6.10_1</t>
  </si>
  <si>
    <t>Sanam Chaikhet</t>
  </si>
  <si>
    <t>THA.6.11_1</t>
  </si>
  <si>
    <t>Tha Ta Kieb</t>
  </si>
  <si>
    <t>THA.7.1_1</t>
  </si>
  <si>
    <t>Chai Nat</t>
  </si>
  <si>
    <t>Han Kha</t>
  </si>
  <si>
    <t>THA.7.2_1</t>
  </si>
  <si>
    <t>K. Noen Kham</t>
  </si>
  <si>
    <t>THA.7.3_1</t>
  </si>
  <si>
    <t>K. Nong Ma Mong</t>
  </si>
  <si>
    <t>THA.7.4_1</t>
  </si>
  <si>
    <t>Manorom</t>
  </si>
  <si>
    <t>THA.7.5_1</t>
  </si>
  <si>
    <t>Muang Chai Nat</t>
  </si>
  <si>
    <t>THA.7.6_1</t>
  </si>
  <si>
    <t>Sankha Buri</t>
  </si>
  <si>
    <t>THA.7.7_1</t>
  </si>
  <si>
    <t>Sanphaya</t>
  </si>
  <si>
    <t>THA.7.8_1</t>
  </si>
  <si>
    <t>Wat Sing</t>
  </si>
  <si>
    <t>THA.8.1_1</t>
  </si>
  <si>
    <t>Chaiyaphum</t>
  </si>
  <si>
    <t>Bamnet Narong</t>
  </si>
  <si>
    <t>THA.8.2_1</t>
  </si>
  <si>
    <t>Ban Khwao</t>
  </si>
  <si>
    <t>THA.8.3_1</t>
  </si>
  <si>
    <t>Ban Thaen</t>
  </si>
  <si>
    <t>THA.8.4_1</t>
  </si>
  <si>
    <t>Chatturat</t>
  </si>
  <si>
    <t>THA.8.5_1</t>
  </si>
  <si>
    <t>K. Sap Yai</t>
  </si>
  <si>
    <t>THA.8.6_1</t>
  </si>
  <si>
    <t>Kaeng Khlo</t>
  </si>
  <si>
    <t>THA.8.7_1</t>
  </si>
  <si>
    <t>Kaset Sombon</t>
  </si>
  <si>
    <t>THA.8.8_1</t>
  </si>
  <si>
    <t>Khon San</t>
  </si>
  <si>
    <t>THA.8.9_1</t>
  </si>
  <si>
    <t>Khon Sawan</t>
  </si>
  <si>
    <t>THA.8.10_1</t>
  </si>
  <si>
    <t>Muang Chaiyaphum</t>
  </si>
  <si>
    <t>THA.8.11_1</t>
  </si>
  <si>
    <t>Noen Sa-Nga</t>
  </si>
  <si>
    <t>THA.8.12_1</t>
  </si>
  <si>
    <t>Nong Bua Daeng</t>
  </si>
  <si>
    <t>THA.8.13_1</t>
  </si>
  <si>
    <t>Nong Bua Rawae</t>
  </si>
  <si>
    <t>THA.8.14_1</t>
  </si>
  <si>
    <t>Phakdi Chumphol</t>
  </si>
  <si>
    <t>THA.8.15_1</t>
  </si>
  <si>
    <t>Phu Khieo</t>
  </si>
  <si>
    <t>THA.8.16_1</t>
  </si>
  <si>
    <t>Thep Sathit</t>
  </si>
  <si>
    <t>THA.9.1_1</t>
  </si>
  <si>
    <t>Chanthaburi</t>
  </si>
  <si>
    <t>K. Kao Kichakut</t>
  </si>
  <si>
    <t>THA.9.2_1</t>
  </si>
  <si>
    <t>K. Na Yai Am</t>
  </si>
  <si>
    <t>THA.9.3_1</t>
  </si>
  <si>
    <t>Kang Hang Maeo</t>
  </si>
  <si>
    <t>THA.9.4_1</t>
  </si>
  <si>
    <t>Khlung</t>
  </si>
  <si>
    <t>THA.9.5_1</t>
  </si>
  <si>
    <t>Laem Sing</t>
  </si>
  <si>
    <t>THA.9.6_1</t>
  </si>
  <si>
    <t>Makham</t>
  </si>
  <si>
    <t>THA.9.7_1</t>
  </si>
  <si>
    <t>Muang Chanthaburi</t>
  </si>
  <si>
    <t>THA.9.8_1</t>
  </si>
  <si>
    <t>Pong Nam Ron</t>
  </si>
  <si>
    <t>THA.9.9_1</t>
  </si>
  <si>
    <t>Soydow</t>
  </si>
  <si>
    <t>THA.9.10_1</t>
  </si>
  <si>
    <t>Tha Mai</t>
  </si>
  <si>
    <t>THA.10.1_1</t>
  </si>
  <si>
    <t>Chiang Mai</t>
  </si>
  <si>
    <t>Chai Prakarn</t>
  </si>
  <si>
    <t>THA.10.2_1</t>
  </si>
  <si>
    <t>Chiang Dao</t>
  </si>
  <si>
    <t>THA.10.3_1</t>
  </si>
  <si>
    <t>Chom Thong</t>
  </si>
  <si>
    <t>THA.10.4_1</t>
  </si>
  <si>
    <t>Doi Saket</t>
  </si>
  <si>
    <t>THA.10.5_1</t>
  </si>
  <si>
    <t>Doi Tao</t>
  </si>
  <si>
    <t>THA.10.6_1</t>
  </si>
  <si>
    <t>Fang</t>
  </si>
  <si>
    <t>THA.10.7_1</t>
  </si>
  <si>
    <t>Hang Dong</t>
  </si>
  <si>
    <t>THA.10.8_1</t>
  </si>
  <si>
    <t>Hot</t>
  </si>
  <si>
    <t>THA.10.9_1</t>
  </si>
  <si>
    <t>K. Doi Lo</t>
  </si>
  <si>
    <t>THA.10.10_1</t>
  </si>
  <si>
    <t>K. Mae On</t>
  </si>
  <si>
    <t>THA.10.11_1</t>
  </si>
  <si>
    <t>Mae Ai</t>
  </si>
  <si>
    <t>THA.10.12_1</t>
  </si>
  <si>
    <t>Mae Chaem</t>
  </si>
  <si>
    <t>THA.10.13_1</t>
  </si>
  <si>
    <t>Mae Rim</t>
  </si>
  <si>
    <t>THA.10.14_1</t>
  </si>
  <si>
    <t>Mae Taeng</t>
  </si>
  <si>
    <t>THA.10.15_1</t>
  </si>
  <si>
    <t>Mae Wang</t>
  </si>
  <si>
    <t>THA.10.16_1</t>
  </si>
  <si>
    <t>Muang Chiang Mai</t>
  </si>
  <si>
    <t>THA.10.17_1</t>
  </si>
  <si>
    <t>Omkoi</t>
  </si>
  <si>
    <t>THA.10.18_1</t>
  </si>
  <si>
    <t>Phrao</t>
  </si>
  <si>
    <t>THA.10.19_1</t>
  </si>
  <si>
    <t>Samoeng</t>
  </si>
  <si>
    <t>THA.10.20_1</t>
  </si>
  <si>
    <t>San Kamphaeng</t>
  </si>
  <si>
    <t>THA.10.21_1</t>
  </si>
  <si>
    <t>San Pa Tong</t>
  </si>
  <si>
    <t>THA.10.22_1</t>
  </si>
  <si>
    <t>San Sai</t>
  </si>
  <si>
    <t>THA.10.23_1</t>
  </si>
  <si>
    <t>Saraphi</t>
  </si>
  <si>
    <t>THA.10.24_1</t>
  </si>
  <si>
    <t>Wiang Haeng</t>
  </si>
  <si>
    <t>THA.11.1_1</t>
  </si>
  <si>
    <t>Chiang Rai</t>
  </si>
  <si>
    <t>Chiang Khong</t>
  </si>
  <si>
    <t>THA.11.2_1</t>
  </si>
  <si>
    <t>Chiang Saen</t>
  </si>
  <si>
    <t>THA.11.3_1</t>
  </si>
  <si>
    <t>K. Doi Luang</t>
  </si>
  <si>
    <t>THA.11.4_1</t>
  </si>
  <si>
    <t>K. Wieng Chiang</t>
  </si>
  <si>
    <t>THA.11.5_1</t>
  </si>
  <si>
    <t>Khun Tan</t>
  </si>
  <si>
    <t>THA.11.6_1</t>
  </si>
  <si>
    <t>Mae Chan</t>
  </si>
  <si>
    <t>THA.11.7_1</t>
  </si>
  <si>
    <t>Mae Fa Luang</t>
  </si>
  <si>
    <t>THA.11.8_1</t>
  </si>
  <si>
    <t>Mae Lao</t>
  </si>
  <si>
    <t>THA.11.9_1</t>
  </si>
  <si>
    <t>Mae Sai</t>
  </si>
  <si>
    <t>THA.11.10_1</t>
  </si>
  <si>
    <t>Mae Suai</t>
  </si>
  <si>
    <t>THA.11.11_1</t>
  </si>
  <si>
    <t>Muang Chiang Rai</t>
  </si>
  <si>
    <t>THA.11.12_1</t>
  </si>
  <si>
    <t>Pa Daet</t>
  </si>
  <si>
    <t>THA.11.13_1</t>
  </si>
  <si>
    <t>Phan</t>
  </si>
  <si>
    <t>THA.11.14_1</t>
  </si>
  <si>
    <t>Phaya Mengrai</t>
  </si>
  <si>
    <t>THA.11.15_1</t>
  </si>
  <si>
    <t>Thoeng</t>
  </si>
  <si>
    <t>THA.11.16_1</t>
  </si>
  <si>
    <t>Wiang Chai</t>
  </si>
  <si>
    <t>THA.11.17_1</t>
  </si>
  <si>
    <t>Wiang Pa Pao</t>
  </si>
  <si>
    <t>THA.11.18_1</t>
  </si>
  <si>
    <t>Wieng Kaen</t>
  </si>
  <si>
    <t>THA.13.1_1</t>
  </si>
  <si>
    <t>Chumphon</t>
  </si>
  <si>
    <t>Lamae</t>
  </si>
  <si>
    <t>THA.13.2_1</t>
  </si>
  <si>
    <t>Lang Suan</t>
  </si>
  <si>
    <t>THA.13.3_1</t>
  </si>
  <si>
    <t>Muang Chumphon</t>
  </si>
  <si>
    <t>THA.13.4_1</t>
  </si>
  <si>
    <t>Pathiu</t>
  </si>
  <si>
    <t>THA.13.5_1</t>
  </si>
  <si>
    <t>Phato</t>
  </si>
  <si>
    <t>THA.13.6_1</t>
  </si>
  <si>
    <t>Sawi</t>
  </si>
  <si>
    <t>THA.13.7_1</t>
  </si>
  <si>
    <t>Tha Sae</t>
  </si>
  <si>
    <t>THA.13.8_1</t>
  </si>
  <si>
    <t>Thung Tako</t>
  </si>
  <si>
    <t>THA.14.1_1</t>
  </si>
  <si>
    <t>Kalasin</t>
  </si>
  <si>
    <t>Huai Mek</t>
  </si>
  <si>
    <t>THA.14.2_1</t>
  </si>
  <si>
    <t>Huai Phung</t>
  </si>
  <si>
    <t>THA.14.3_1</t>
  </si>
  <si>
    <t>K. Don Chan</t>
  </si>
  <si>
    <t>THA.14.4_1</t>
  </si>
  <si>
    <t>K. Kong Chai</t>
  </si>
  <si>
    <t>THA.14.5_1</t>
  </si>
  <si>
    <t>K. Na Du</t>
  </si>
  <si>
    <t>THA.14.6_1</t>
  </si>
  <si>
    <t>K. Sam Chai</t>
  </si>
  <si>
    <t>THA.14.7_1</t>
  </si>
  <si>
    <t>Kamalasai</t>
  </si>
  <si>
    <t>THA.14.8_1</t>
  </si>
  <si>
    <t>Kham Muang</t>
  </si>
  <si>
    <t>THA.14.9_1</t>
  </si>
  <si>
    <t>Khao Wong</t>
  </si>
  <si>
    <t>THA.14.10_1</t>
  </si>
  <si>
    <t>Kuchinarai</t>
  </si>
  <si>
    <t>THA.14.11_1</t>
  </si>
  <si>
    <t>Muang Kalasin</t>
  </si>
  <si>
    <t>THA.14.12_1</t>
  </si>
  <si>
    <t>Na Mon</t>
  </si>
  <si>
    <t>THA.14.13_1</t>
  </si>
  <si>
    <t>Nong Kung Si</t>
  </si>
  <si>
    <t>THA.14.14_1</t>
  </si>
  <si>
    <t>Rong Kham</t>
  </si>
  <si>
    <t>THA.14.15_1</t>
  </si>
  <si>
    <t>Sahatsakhan</t>
  </si>
  <si>
    <t>THA.14.16_1</t>
  </si>
  <si>
    <t>Somdet</t>
  </si>
  <si>
    <t>THA.14.17_1</t>
  </si>
  <si>
    <t>Tha Khantho</t>
  </si>
  <si>
    <t>THA.14.18_1</t>
  </si>
  <si>
    <t>Yang Talat</t>
  </si>
  <si>
    <t>THA.15.1_1</t>
  </si>
  <si>
    <t>Kamphaeng Phet</t>
  </si>
  <si>
    <t>K. Bung Samakki</t>
  </si>
  <si>
    <t>THA.15.2_1</t>
  </si>
  <si>
    <t>K. Ko Sam Pi Nakhon</t>
  </si>
  <si>
    <t>THA.15.3_1</t>
  </si>
  <si>
    <t>Khanu Woralaksaburi</t>
  </si>
  <si>
    <t>THA.15.4_1</t>
  </si>
  <si>
    <t>Klong Khlung</t>
  </si>
  <si>
    <t>THA.15.5_1</t>
  </si>
  <si>
    <t>Klong Lan</t>
  </si>
  <si>
    <t>THA.15.6_1</t>
  </si>
  <si>
    <t>Lan Krabu</t>
  </si>
  <si>
    <t>THA.15.7_1</t>
  </si>
  <si>
    <t>Mueang Kamphaeng Phet</t>
  </si>
  <si>
    <t>THA.15.8_1</t>
  </si>
  <si>
    <t>Pang Sila Thong</t>
  </si>
  <si>
    <t>THA.15.9_1</t>
  </si>
  <si>
    <t>Phran Kratai</t>
  </si>
  <si>
    <t>THA.15.10_1</t>
  </si>
  <si>
    <t>Sai Ngam</t>
  </si>
  <si>
    <t>THA.15.11_1</t>
  </si>
  <si>
    <t>Sai Thong Watthana</t>
  </si>
  <si>
    <t>THA.16.1_1</t>
  </si>
  <si>
    <t>Kanchanaburi</t>
  </si>
  <si>
    <t>Bo Phloi</t>
  </si>
  <si>
    <t>THA.16.2_1</t>
  </si>
  <si>
    <t>Dan Makham Tia</t>
  </si>
  <si>
    <t>THA.16.3_1</t>
  </si>
  <si>
    <t>Huai Kra Chao</t>
  </si>
  <si>
    <t>THA.16.4_1</t>
  </si>
  <si>
    <t>Lao Khwan</t>
  </si>
  <si>
    <t>THA.16.5_1</t>
  </si>
  <si>
    <t>Muang Kanchanaburi</t>
  </si>
  <si>
    <t>THA.16.6_1</t>
  </si>
  <si>
    <t>Nong Prue</t>
  </si>
  <si>
    <t>THA.16.7_1</t>
  </si>
  <si>
    <t>Phanom Thuan</t>
  </si>
  <si>
    <t>THA.16.8_1</t>
  </si>
  <si>
    <t>Sai Yok</t>
  </si>
  <si>
    <t>THA.16.9_1</t>
  </si>
  <si>
    <t>Sangkhla Buri</t>
  </si>
  <si>
    <t>THA.16.10_1</t>
  </si>
  <si>
    <t>Si Sawat</t>
  </si>
  <si>
    <t>THA.16.11_1</t>
  </si>
  <si>
    <t>Tha Maka</t>
  </si>
  <si>
    <t>THA.16.12_1</t>
  </si>
  <si>
    <t>Tha Muang</t>
  </si>
  <si>
    <t>THA.16.13_1</t>
  </si>
  <si>
    <t>Thong Pha Phum</t>
  </si>
  <si>
    <t>THA.17.1_1</t>
  </si>
  <si>
    <t>Khon Kaen</t>
  </si>
  <si>
    <t>Ban Fang</t>
  </si>
  <si>
    <t>THA.17.2_1</t>
  </si>
  <si>
    <t>Ban Phai</t>
  </si>
  <si>
    <t>THA.17.3_1</t>
  </si>
  <si>
    <t>Chonnabot</t>
  </si>
  <si>
    <t>THA.17.4_1</t>
  </si>
  <si>
    <t>Chum Phae</t>
  </si>
  <si>
    <t>THA.17.5_1</t>
  </si>
  <si>
    <t>K. Ban Haet</t>
  </si>
  <si>
    <t>THA.17.6_1</t>
  </si>
  <si>
    <t>K. Khok Pho Cha</t>
  </si>
  <si>
    <t>THA.17.7_1</t>
  </si>
  <si>
    <t>K. Non Sila</t>
  </si>
  <si>
    <t>THA.17.8_1</t>
  </si>
  <si>
    <t>K. Nong Na Kham</t>
  </si>
  <si>
    <t>THA.17.9_1</t>
  </si>
  <si>
    <t>K. Sam Sung</t>
  </si>
  <si>
    <t>THA.17.10_1</t>
  </si>
  <si>
    <t>Khao Suan Kwang</t>
  </si>
  <si>
    <t>THA.17.11_1</t>
  </si>
  <si>
    <t>Kranuan</t>
  </si>
  <si>
    <t>THA.17.12_1</t>
  </si>
  <si>
    <t>Mancha Khiri</t>
  </si>
  <si>
    <t>THA.17.13_1</t>
  </si>
  <si>
    <t>Muang Khon Kaen</t>
  </si>
  <si>
    <t>THA.17.14_1</t>
  </si>
  <si>
    <t>Nam Phong</t>
  </si>
  <si>
    <t>THA.17.15_1</t>
  </si>
  <si>
    <t>Nong Rua</t>
  </si>
  <si>
    <t>THA.17.16_1</t>
  </si>
  <si>
    <t>Nong Song Hong</t>
  </si>
  <si>
    <t>THA.17.17_1</t>
  </si>
  <si>
    <t>Phon</t>
  </si>
  <si>
    <t>THA.17.18_1</t>
  </si>
  <si>
    <t>Phra Yun</t>
  </si>
  <si>
    <t>THA.17.19_1</t>
  </si>
  <si>
    <t>Phu Wiang</t>
  </si>
  <si>
    <t>THA.17.20_1</t>
  </si>
  <si>
    <t>Phupa Man</t>
  </si>
  <si>
    <t>THA.17.21_1</t>
  </si>
  <si>
    <t>Puai Noi</t>
  </si>
  <si>
    <t>THA.17.22_1</t>
  </si>
  <si>
    <t>Si Chomphu</t>
  </si>
  <si>
    <t>THA.17.23_1</t>
  </si>
  <si>
    <t>Ubol Ratana</t>
  </si>
  <si>
    <t>THA.17.24_1</t>
  </si>
  <si>
    <t>Waeng Noi</t>
  </si>
  <si>
    <t>THA.17.25_1</t>
  </si>
  <si>
    <t>Waeng Yai</t>
  </si>
  <si>
    <t>THA.17.26_1</t>
  </si>
  <si>
    <t>Wiang Kao</t>
  </si>
  <si>
    <t>THA.18.1_1</t>
  </si>
  <si>
    <t>Krabi</t>
  </si>
  <si>
    <t>Ao Luk</t>
  </si>
  <si>
    <t>THA.18.2_1</t>
  </si>
  <si>
    <t>Khao Phanom</t>
  </si>
  <si>
    <t>THA.18.3_1</t>
  </si>
  <si>
    <t>Khlong Thom</t>
  </si>
  <si>
    <t>THA.18.4_1</t>
  </si>
  <si>
    <t>Ko Lanta</t>
  </si>
  <si>
    <t>THA.18.5_1</t>
  </si>
  <si>
    <t>Lam Thap</t>
  </si>
  <si>
    <t>THA.18.6_1</t>
  </si>
  <si>
    <t>Muang Krabi</t>
  </si>
  <si>
    <t>THA.18.7_1</t>
  </si>
  <si>
    <t>Nua Khlong</t>
  </si>
  <si>
    <t>THA.18.8_1</t>
  </si>
  <si>
    <t>Plai Phraya</t>
  </si>
  <si>
    <t>THA.19.1_1</t>
  </si>
  <si>
    <t>Lampang</t>
  </si>
  <si>
    <t>Chae Hom</t>
  </si>
  <si>
    <t>THA.19.2_1</t>
  </si>
  <si>
    <t>Hang Chat</t>
  </si>
  <si>
    <t>THA.19.3_1</t>
  </si>
  <si>
    <t>Ko Kha</t>
  </si>
  <si>
    <t>THA.19.4_1</t>
  </si>
  <si>
    <t>Mae Mo</t>
  </si>
  <si>
    <t>THA.19.5_1</t>
  </si>
  <si>
    <t>Mae Phrik</t>
  </si>
  <si>
    <t>THA.19.6_1</t>
  </si>
  <si>
    <t>Mae Tha</t>
  </si>
  <si>
    <t>THA.19.7_1</t>
  </si>
  <si>
    <t>Muang Lampang</t>
  </si>
  <si>
    <t>THA.19.8_1</t>
  </si>
  <si>
    <t>Mueang Pan</t>
  </si>
  <si>
    <t>THA.19.9_1</t>
  </si>
  <si>
    <t>Ngao</t>
  </si>
  <si>
    <t>THA.19.10_1</t>
  </si>
  <si>
    <t>Soem Ngam</t>
  </si>
  <si>
    <t>THA.19.11_1</t>
  </si>
  <si>
    <t>Sop Prap</t>
  </si>
  <si>
    <t>THA.19.12_1</t>
  </si>
  <si>
    <t>Thoen</t>
  </si>
  <si>
    <t>THA.19.13_1</t>
  </si>
  <si>
    <t>Wang Nua</t>
  </si>
  <si>
    <t>THA.20.1_1</t>
  </si>
  <si>
    <t>Lamphun</t>
  </si>
  <si>
    <t>Ban Hong</t>
  </si>
  <si>
    <t>THA.20.2_1</t>
  </si>
  <si>
    <t>Ban Thi</t>
  </si>
  <si>
    <t>THA.20.3_1</t>
  </si>
  <si>
    <t>K. Wiang Nong Long</t>
  </si>
  <si>
    <t>THA.20.4_1</t>
  </si>
  <si>
    <t>Li</t>
  </si>
  <si>
    <t>THA.20.5_1</t>
  </si>
  <si>
    <t>THA.20.6_1</t>
  </si>
  <si>
    <t>Muang Lamphun</t>
  </si>
  <si>
    <t>THA.20.7_1</t>
  </si>
  <si>
    <t>Pa Sang</t>
  </si>
  <si>
    <t>THA.20.8_1</t>
  </si>
  <si>
    <t>Thung Hua Chang</t>
  </si>
  <si>
    <t>THA.21.1_1</t>
  </si>
  <si>
    <t>Loei</t>
  </si>
  <si>
    <t>Chiang Khan</t>
  </si>
  <si>
    <t>THA.21.2_1</t>
  </si>
  <si>
    <t>Dan Sai</t>
  </si>
  <si>
    <t>THA.21.3_1</t>
  </si>
  <si>
    <t>K. Erawan</t>
  </si>
  <si>
    <t>THA.21.4_1</t>
  </si>
  <si>
    <t>K. Nong Hin</t>
  </si>
  <si>
    <t>THA.21.5_1</t>
  </si>
  <si>
    <t>Muang Loei</t>
  </si>
  <si>
    <t>THA.21.6_1</t>
  </si>
  <si>
    <t>Na Duang</t>
  </si>
  <si>
    <t>THA.21.7_1</t>
  </si>
  <si>
    <t>Na Haeo</t>
  </si>
  <si>
    <t>THA.21.8_1</t>
  </si>
  <si>
    <t>Pak Chom</t>
  </si>
  <si>
    <t>THA.21.9_1</t>
  </si>
  <si>
    <t>Pha Khao</t>
  </si>
  <si>
    <t>THA.21.10_1</t>
  </si>
  <si>
    <t>Phu Kradung</t>
  </si>
  <si>
    <t>THA.21.11_1</t>
  </si>
  <si>
    <t>Phu Luang</t>
  </si>
  <si>
    <t>THA.21.12_1</t>
  </si>
  <si>
    <t>Phu Rua</t>
  </si>
  <si>
    <t>THA.21.13_1</t>
  </si>
  <si>
    <t>Tha Li</t>
  </si>
  <si>
    <t>THA.21.14_1</t>
  </si>
  <si>
    <t>Wang Saphung</t>
  </si>
  <si>
    <t>THA.22.1_1</t>
  </si>
  <si>
    <t>Lop Buri</t>
  </si>
  <si>
    <t>Ban Mi</t>
  </si>
  <si>
    <t>THA.22.2_1</t>
  </si>
  <si>
    <t>Chai Badan</t>
  </si>
  <si>
    <t>THA.22.3_1</t>
  </si>
  <si>
    <t>Khok Charoen</t>
  </si>
  <si>
    <t>THA.22.4_1</t>
  </si>
  <si>
    <t>Khok Samrong</t>
  </si>
  <si>
    <t>THA.22.5_1</t>
  </si>
  <si>
    <t>Lam Son Thi</t>
  </si>
  <si>
    <t>THA.22.6_1</t>
  </si>
  <si>
    <t>Muang Lop Buri</t>
  </si>
  <si>
    <t>THA.22.7_1</t>
  </si>
  <si>
    <t>Nong Muang</t>
  </si>
  <si>
    <t>THA.22.8_1</t>
  </si>
  <si>
    <t>Phatthana Nikhom</t>
  </si>
  <si>
    <t>THA.22.9_1</t>
  </si>
  <si>
    <t>Sra Both</t>
  </si>
  <si>
    <t>THA.22.10_1</t>
  </si>
  <si>
    <t>Tha Luang</t>
  </si>
  <si>
    <t>THA.22.11_1</t>
  </si>
  <si>
    <t>Tha Wung</t>
  </si>
  <si>
    <t>THA.23.1_1</t>
  </si>
  <si>
    <t>Mae Hong Son</t>
  </si>
  <si>
    <t>Khun Yuam</t>
  </si>
  <si>
    <t>THA.23.2_1</t>
  </si>
  <si>
    <t>Mae La Noi</t>
  </si>
  <si>
    <t>THA.23.3_1</t>
  </si>
  <si>
    <t>Mae Sariang</t>
  </si>
  <si>
    <t>THA.23.4_1</t>
  </si>
  <si>
    <t>Muang Mae Hong Son</t>
  </si>
  <si>
    <t>THA.23.5_1</t>
  </si>
  <si>
    <t>Pai</t>
  </si>
  <si>
    <t>THA.23.6_1</t>
  </si>
  <si>
    <t>Pang Ma Pha</t>
  </si>
  <si>
    <t>THA.23.7_1</t>
  </si>
  <si>
    <t>Sop Moei</t>
  </si>
  <si>
    <t>THA.24.1_1</t>
  </si>
  <si>
    <t>Maha Sarakham</t>
  </si>
  <si>
    <t>Borabu</t>
  </si>
  <si>
    <t>THA.24.2_1</t>
  </si>
  <si>
    <t>Chiang Yun</t>
  </si>
  <si>
    <t>THA.24.3_1</t>
  </si>
  <si>
    <t>K. Chun Chom</t>
  </si>
  <si>
    <t>THA.24.4_1</t>
  </si>
  <si>
    <t>K. Kut Rang</t>
  </si>
  <si>
    <t>THA.24.5_1</t>
  </si>
  <si>
    <t>Kae Dam</t>
  </si>
  <si>
    <t>THA.24.6_1</t>
  </si>
  <si>
    <t>Kantharawichai</t>
  </si>
  <si>
    <t>THA.24.7_1</t>
  </si>
  <si>
    <t>Kosum Phisai</t>
  </si>
  <si>
    <t>THA.24.8_1</t>
  </si>
  <si>
    <t>Muang Maha Sarakam</t>
  </si>
  <si>
    <t>THA.24.9_1</t>
  </si>
  <si>
    <t>Na Chuak</t>
  </si>
  <si>
    <t>THA.24.10_1</t>
  </si>
  <si>
    <t>Na Dun</t>
  </si>
  <si>
    <t>THA.24.11_1</t>
  </si>
  <si>
    <t>Phayakkhaphum Phisai</t>
  </si>
  <si>
    <t>THA.24.12_1</t>
  </si>
  <si>
    <t>Wapi Pathum</t>
  </si>
  <si>
    <t>THA.24.13_1</t>
  </si>
  <si>
    <t>Yang Si Surat</t>
  </si>
  <si>
    <t>THA.25.1_1</t>
  </si>
  <si>
    <t>Mukdahan</t>
  </si>
  <si>
    <t>Don Tan</t>
  </si>
  <si>
    <t>THA.25.2_1</t>
  </si>
  <si>
    <t>Dong Luang</t>
  </si>
  <si>
    <t>THA.25.3_1</t>
  </si>
  <si>
    <t>Khamcha-i</t>
  </si>
  <si>
    <t>THA.25.4_1</t>
  </si>
  <si>
    <t>Muang Mukdahan</t>
  </si>
  <si>
    <t>THA.25.5_1</t>
  </si>
  <si>
    <t>Nikhom Kham Soi</t>
  </si>
  <si>
    <t>THA.25.6_1</t>
  </si>
  <si>
    <t>Nong Sung</t>
  </si>
  <si>
    <t>THA.25.7_1</t>
  </si>
  <si>
    <t>Wan Yai</t>
  </si>
  <si>
    <t>THA.26.1_1</t>
  </si>
  <si>
    <t>Nakhon Nayok</t>
  </si>
  <si>
    <t>Ban Na</t>
  </si>
  <si>
    <t>THA.26.2_1</t>
  </si>
  <si>
    <t>Muang Nakhon Nayok</t>
  </si>
  <si>
    <t>THA.26.3_1</t>
  </si>
  <si>
    <t>Ongkharak</t>
  </si>
  <si>
    <t>THA.26.4_1</t>
  </si>
  <si>
    <t>Pak Phli</t>
  </si>
  <si>
    <t>THA.27.1_1</t>
  </si>
  <si>
    <t>Nakhon Pathom</t>
  </si>
  <si>
    <t>Bang Len</t>
  </si>
  <si>
    <t>THA.27.2_1</t>
  </si>
  <si>
    <t>Don Tum</t>
  </si>
  <si>
    <t>THA.27.3_1</t>
  </si>
  <si>
    <t>Kamphaeng Saen</t>
  </si>
  <si>
    <t>THA.27.4_1</t>
  </si>
  <si>
    <t>Muang Nakhon Pathom</t>
  </si>
  <si>
    <t>THA.27.5_1</t>
  </si>
  <si>
    <t>Nakhon Chaisi</t>
  </si>
  <si>
    <t>THA.27.6_1</t>
  </si>
  <si>
    <t>Phuttha Mon Thon</t>
  </si>
  <si>
    <t>THA.27.7_1</t>
  </si>
  <si>
    <t>Sam Phran</t>
  </si>
  <si>
    <t>THA.28.1_1</t>
  </si>
  <si>
    <t>Nakhon Phanom</t>
  </si>
  <si>
    <t>Ban Phaeng</t>
  </si>
  <si>
    <t>THA.28.2_1</t>
  </si>
  <si>
    <t>K. Wang Yang</t>
  </si>
  <si>
    <t>THA.28.3_1</t>
  </si>
  <si>
    <t>Muang Nakhon Phanom</t>
  </si>
  <si>
    <t>THA.28.4_1</t>
  </si>
  <si>
    <t>Na Kae</t>
  </si>
  <si>
    <t>THA.28.5_1</t>
  </si>
  <si>
    <t>Na Thom</t>
  </si>
  <si>
    <t>THA.28.6_1</t>
  </si>
  <si>
    <t>Na Wa</t>
  </si>
  <si>
    <t>THA.28.7_1</t>
  </si>
  <si>
    <t>Phon Sawan</t>
  </si>
  <si>
    <t>THA.28.8_1</t>
  </si>
  <si>
    <t>Pla Pak</t>
  </si>
  <si>
    <t>THA.28.9_1</t>
  </si>
  <si>
    <t>Renu Nakhon</t>
  </si>
  <si>
    <t>THA.28.10_1</t>
  </si>
  <si>
    <t>Si Songkhram</t>
  </si>
  <si>
    <t>THA.28.11_1</t>
  </si>
  <si>
    <t>Tha Uthen</t>
  </si>
  <si>
    <t>THA.28.12_1</t>
  </si>
  <si>
    <t>That Phanom</t>
  </si>
  <si>
    <t>THA.29.1_1</t>
  </si>
  <si>
    <t>Nakhon Ratchasima</t>
  </si>
  <si>
    <t>Ban Luam</t>
  </si>
  <si>
    <t>THA.29.2_1</t>
  </si>
  <si>
    <t>Bua Yai</t>
  </si>
  <si>
    <t>THA.29.3_1</t>
  </si>
  <si>
    <t>Chakkarat</t>
  </si>
  <si>
    <t>THA.29.4_1</t>
  </si>
  <si>
    <t>THA.29.5_1</t>
  </si>
  <si>
    <t>Chok Chai</t>
  </si>
  <si>
    <t>THA.29.6_1</t>
  </si>
  <si>
    <t>Chum Phuang</t>
  </si>
  <si>
    <t>THA.29.7_1</t>
  </si>
  <si>
    <t>Dan Khun Thot</t>
  </si>
  <si>
    <t>THA.29.8_1</t>
  </si>
  <si>
    <t>Huai Thalang</t>
  </si>
  <si>
    <t>THA.29.9_1</t>
  </si>
  <si>
    <t>K. Bua Lai</t>
  </si>
  <si>
    <t>THA.29.10_1</t>
  </si>
  <si>
    <t>K. Lam Tha Men Chai</t>
  </si>
  <si>
    <t>THA.29.11_1</t>
  </si>
  <si>
    <t>K. Muang Yang</t>
  </si>
  <si>
    <t>THA.29.12_1</t>
  </si>
  <si>
    <t>K. Phra Thong Kham</t>
  </si>
  <si>
    <t>THA.29.13_1</t>
  </si>
  <si>
    <t>K. Sida</t>
  </si>
  <si>
    <t>THA.29.14_1</t>
  </si>
  <si>
    <t>K. The Pha Rak</t>
  </si>
  <si>
    <t>THA.29.15_1</t>
  </si>
  <si>
    <t>Kaeng Sanam Nang</t>
  </si>
  <si>
    <t>THA.29.16_1</t>
  </si>
  <si>
    <t>Kham Sakae Saeng</t>
  </si>
  <si>
    <t>THA.29.17_1</t>
  </si>
  <si>
    <t>Kham Thala So</t>
  </si>
  <si>
    <t>THA.29.18_1</t>
  </si>
  <si>
    <t>Khon Buri</t>
  </si>
  <si>
    <t>THA.29.19_1</t>
  </si>
  <si>
    <t>Khong</t>
  </si>
  <si>
    <t>THA.29.20_1</t>
  </si>
  <si>
    <t>Muang Nakhon Ratchasima</t>
  </si>
  <si>
    <t>THA.29.21_1</t>
  </si>
  <si>
    <t>Non Daeng</t>
  </si>
  <si>
    <t>THA.29.22_1</t>
  </si>
  <si>
    <t>Non Sung</t>
  </si>
  <si>
    <t>THA.29.23_1</t>
  </si>
  <si>
    <t>Non Thai</t>
  </si>
  <si>
    <t>THA.29.24_1</t>
  </si>
  <si>
    <t>Nong Bunnak</t>
  </si>
  <si>
    <t>THA.29.25_1</t>
  </si>
  <si>
    <t>Pak Chong</t>
  </si>
  <si>
    <t>THA.29.26_1</t>
  </si>
  <si>
    <t>Pak Thong Chai</t>
  </si>
  <si>
    <t>THA.29.27_1</t>
  </si>
  <si>
    <t>Phimai</t>
  </si>
  <si>
    <t>THA.29.28_1</t>
  </si>
  <si>
    <t>Pra Thai</t>
  </si>
  <si>
    <t>THA.29.29_1</t>
  </si>
  <si>
    <t>Sikhiu</t>
  </si>
  <si>
    <t>THA.29.30_1</t>
  </si>
  <si>
    <t>Soeng Sang</t>
  </si>
  <si>
    <t>THA.29.31_1</t>
  </si>
  <si>
    <t>Sung Noen</t>
  </si>
  <si>
    <t>THA.29.32_1</t>
  </si>
  <si>
    <t>Wang Num Khiaw</t>
  </si>
  <si>
    <t>THA.30.1_1</t>
  </si>
  <si>
    <t>Nakhon Sawan</t>
  </si>
  <si>
    <t>Banphot Phisai</t>
  </si>
  <si>
    <t>THA.30.2_1</t>
  </si>
  <si>
    <t>Chumsaeng</t>
  </si>
  <si>
    <t>THA.30.3_1</t>
  </si>
  <si>
    <t>K. Chum Ta Bong</t>
  </si>
  <si>
    <t>THA.30.4_1</t>
  </si>
  <si>
    <t>K. Mae Poen</t>
  </si>
  <si>
    <t>THA.30.5_1</t>
  </si>
  <si>
    <t>Kao Lieo</t>
  </si>
  <si>
    <t>THA.30.6_1</t>
  </si>
  <si>
    <t>Krok Phra</t>
  </si>
  <si>
    <t>THA.30.7_1</t>
  </si>
  <si>
    <t>Lat Yao</t>
  </si>
  <si>
    <t>THA.30.8_1</t>
  </si>
  <si>
    <t>Mae Wong</t>
  </si>
  <si>
    <t>THA.30.9_1</t>
  </si>
  <si>
    <t>Muang Nakhon Sawan</t>
  </si>
  <si>
    <t>THA.30.10_1</t>
  </si>
  <si>
    <t>Nong Bua</t>
  </si>
  <si>
    <t>THA.30.11_1</t>
  </si>
  <si>
    <t>Phaisali</t>
  </si>
  <si>
    <t>THA.30.12_1</t>
  </si>
  <si>
    <t>Phayuha Khiri</t>
  </si>
  <si>
    <t>THA.30.13_1</t>
  </si>
  <si>
    <t>Tak Fa</t>
  </si>
  <si>
    <t>THA.30.14_1</t>
  </si>
  <si>
    <t>Takhli</t>
  </si>
  <si>
    <t>THA.30.15_1</t>
  </si>
  <si>
    <t>Tha Tako</t>
  </si>
  <si>
    <t>THA.31.1_1</t>
  </si>
  <si>
    <t>Nakhon Si Thammarat</t>
  </si>
  <si>
    <t>Bang Khan</t>
  </si>
  <si>
    <t>THA.31.2_1</t>
  </si>
  <si>
    <t>Cha-uat</t>
  </si>
  <si>
    <t>THA.31.3_1</t>
  </si>
  <si>
    <t>THA.31.4_1</t>
  </si>
  <si>
    <t>Chawang</t>
  </si>
  <si>
    <t>THA.31.5_1</t>
  </si>
  <si>
    <t>Chian Yai</t>
  </si>
  <si>
    <t>THA.31.6_1</t>
  </si>
  <si>
    <t>Chulaphon</t>
  </si>
  <si>
    <t>THA.31.7_1</t>
  </si>
  <si>
    <t>Hua Sai</t>
  </si>
  <si>
    <t>THA.31.8_1</t>
  </si>
  <si>
    <t>K. Chang Klang</t>
  </si>
  <si>
    <t>THA.31.9_1</t>
  </si>
  <si>
    <t>K. Nophi Tam</t>
  </si>
  <si>
    <t>THA.31.10_1</t>
  </si>
  <si>
    <t>Khanom</t>
  </si>
  <si>
    <t>THA.31.11_1</t>
  </si>
  <si>
    <t>Lan Saka</t>
  </si>
  <si>
    <t>THA.31.12_1</t>
  </si>
  <si>
    <t>Muang Nakhon Si Thammarat</t>
  </si>
  <si>
    <t>THA.31.13_1</t>
  </si>
  <si>
    <t>Na Bon</t>
  </si>
  <si>
    <t>THA.31.14_1</t>
  </si>
  <si>
    <t>Pak Phanang</t>
  </si>
  <si>
    <t>THA.31.15_1</t>
  </si>
  <si>
    <t>Phi Pun</t>
  </si>
  <si>
    <t>THA.31.16_1</t>
  </si>
  <si>
    <t>Phra Phrom</t>
  </si>
  <si>
    <t>THA.31.17_1</t>
  </si>
  <si>
    <t>Phrommakhiri</t>
  </si>
  <si>
    <t>THA.31.18_1</t>
  </si>
  <si>
    <t>Ron Phi Pun</t>
  </si>
  <si>
    <t>THA.31.19_1</t>
  </si>
  <si>
    <t>Sichon</t>
  </si>
  <si>
    <t>THA.31.20_1</t>
  </si>
  <si>
    <t>Tha Sala</t>
  </si>
  <si>
    <t>THA.31.21_1</t>
  </si>
  <si>
    <t>Tham Phannara</t>
  </si>
  <si>
    <t>THA.31.22_1</t>
  </si>
  <si>
    <t>Thung Song</t>
  </si>
  <si>
    <t>THA.31.23_1</t>
  </si>
  <si>
    <t>Thung Yai</t>
  </si>
  <si>
    <t>THA.32.1_1</t>
  </si>
  <si>
    <t>Nan</t>
  </si>
  <si>
    <t>Ban Luang</t>
  </si>
  <si>
    <t>THA.32.2_1</t>
  </si>
  <si>
    <t>Bo Klue</t>
  </si>
  <si>
    <t>THA.32.3_1</t>
  </si>
  <si>
    <t>THA.32.4_1</t>
  </si>
  <si>
    <t>Chiang Klang</t>
  </si>
  <si>
    <t>THA.32.5_1</t>
  </si>
  <si>
    <t>K. Phu Pieng</t>
  </si>
  <si>
    <t>THA.32.6_1</t>
  </si>
  <si>
    <t>Mae Charim</t>
  </si>
  <si>
    <t>THA.32.7_1</t>
  </si>
  <si>
    <t>Muang Nan</t>
  </si>
  <si>
    <t>THA.32.8_1</t>
  </si>
  <si>
    <t>Na Mun</t>
  </si>
  <si>
    <t>THA.32.9_1</t>
  </si>
  <si>
    <t>Na Noi</t>
  </si>
  <si>
    <t>THA.32.10_1</t>
  </si>
  <si>
    <t>Pua</t>
  </si>
  <si>
    <t>THA.32.11_1</t>
  </si>
  <si>
    <t>Santi Suk</t>
  </si>
  <si>
    <t>THA.32.12_1</t>
  </si>
  <si>
    <t>Song Kwae</t>
  </si>
  <si>
    <t>THA.32.13_1</t>
  </si>
  <si>
    <t>Tha Wang Pha</t>
  </si>
  <si>
    <t>THA.32.14_1</t>
  </si>
  <si>
    <t>Thung Chang</t>
  </si>
  <si>
    <t>THA.32.15_1</t>
  </si>
  <si>
    <t>Wiang Sa</t>
  </si>
  <si>
    <t>THA.33.1_1</t>
  </si>
  <si>
    <t>Narathiwat</t>
  </si>
  <si>
    <t>Bacho</t>
  </si>
  <si>
    <t>THA.33.2_1</t>
  </si>
  <si>
    <t>Cho-I-rong</t>
  </si>
  <si>
    <t>THA.33.3_1</t>
  </si>
  <si>
    <t>Ja-Nae</t>
  </si>
  <si>
    <t>THA.33.4_1</t>
  </si>
  <si>
    <t>Muang Narathiwat</t>
  </si>
  <si>
    <t>THA.33.5_1</t>
  </si>
  <si>
    <t>Rangae</t>
  </si>
  <si>
    <t>THA.33.6_1</t>
  </si>
  <si>
    <t>Ruso</t>
  </si>
  <si>
    <t>THA.33.7_1</t>
  </si>
  <si>
    <t>Si Sakhon</t>
  </si>
  <si>
    <t>THA.33.8_1</t>
  </si>
  <si>
    <t>Su-ngai Ko Lok</t>
  </si>
  <si>
    <t>THA.33.9_1</t>
  </si>
  <si>
    <t>Sukhirin</t>
  </si>
  <si>
    <t>THA.33.10_1</t>
  </si>
  <si>
    <t>Sungai Padi</t>
  </si>
  <si>
    <t>THA.33.11_1</t>
  </si>
  <si>
    <t>Tak Bai</t>
  </si>
  <si>
    <t>THA.33.12_1</t>
  </si>
  <si>
    <t>Waeng</t>
  </si>
  <si>
    <t>THA.33.13_1</t>
  </si>
  <si>
    <t>Yi-ngo</t>
  </si>
  <si>
    <t>THA.34.1_1</t>
  </si>
  <si>
    <t>Nong Bua Lam Phu</t>
  </si>
  <si>
    <t>Muang Nong Bua Lam Phu</t>
  </si>
  <si>
    <t>THA.34.2_1</t>
  </si>
  <si>
    <t>Na Klang</t>
  </si>
  <si>
    <t>THA.34.3_1</t>
  </si>
  <si>
    <t>Na Wang</t>
  </si>
  <si>
    <t>THA.34.4_1</t>
  </si>
  <si>
    <t>Non Sang</t>
  </si>
  <si>
    <t>THA.34.5_1</t>
  </si>
  <si>
    <t>Si Bun Ruang</t>
  </si>
  <si>
    <t>THA.34.6_1</t>
  </si>
  <si>
    <t>Suwan Khuha</t>
  </si>
  <si>
    <t>THA.35.1_1</t>
  </si>
  <si>
    <t>Nong Khai</t>
  </si>
  <si>
    <t>K. Fao Rai</t>
  </si>
  <si>
    <t>THA.35.2_1</t>
  </si>
  <si>
    <t>K. Pho Tak</t>
  </si>
  <si>
    <t>THA.35.3_1</t>
  </si>
  <si>
    <t>K. Rattana Wapi</t>
  </si>
  <si>
    <t>THA.35.4_1</t>
  </si>
  <si>
    <t>K. Sa Khrai</t>
  </si>
  <si>
    <t>THA.35.5_1</t>
  </si>
  <si>
    <t>Muang Nong Khai</t>
  </si>
  <si>
    <t>THA.35.6_1</t>
  </si>
  <si>
    <t>Phon Phisai</t>
  </si>
  <si>
    <t>THA.35.7_1</t>
  </si>
  <si>
    <t>Sang Khom</t>
  </si>
  <si>
    <t>THA.35.8_1</t>
  </si>
  <si>
    <t>Si Chiang Mai</t>
  </si>
  <si>
    <t>THA.35.9_1</t>
  </si>
  <si>
    <t>Tha Bo</t>
  </si>
  <si>
    <t>THA.36.1_1</t>
  </si>
  <si>
    <t>Nonthaburi</t>
  </si>
  <si>
    <t>Bang Bua Thong</t>
  </si>
  <si>
    <t>THA.36.2_1</t>
  </si>
  <si>
    <t>Bang Kruai</t>
  </si>
  <si>
    <t>THA.36.3_1</t>
  </si>
  <si>
    <t>Bang Yai</t>
  </si>
  <si>
    <t>THA.36.4_1</t>
  </si>
  <si>
    <t>Muang Nonthaburi</t>
  </si>
  <si>
    <t>THA.36.5_1</t>
  </si>
  <si>
    <t>Pak Kret</t>
  </si>
  <si>
    <t>THA.36.6_1</t>
  </si>
  <si>
    <t>Sai Noi</t>
  </si>
  <si>
    <t>THA.37.1_1</t>
  </si>
  <si>
    <t>Pathum Thani</t>
  </si>
  <si>
    <t>Khlong Luang</t>
  </si>
  <si>
    <t>THA.37.2_1</t>
  </si>
  <si>
    <t>Lam Luk Ka</t>
  </si>
  <si>
    <t>THA.37.3_1</t>
  </si>
  <si>
    <t>Lat Lum Kaeo</t>
  </si>
  <si>
    <t>THA.37.4_1</t>
  </si>
  <si>
    <t>Muang Pathum Thani</t>
  </si>
  <si>
    <t>THA.37.5_1</t>
  </si>
  <si>
    <t>Nong Sua</t>
  </si>
  <si>
    <t>THA.37.6_1</t>
  </si>
  <si>
    <t>Sam Khok</t>
  </si>
  <si>
    <t>THA.37.7_1</t>
  </si>
  <si>
    <t>Thanyaburi</t>
  </si>
  <si>
    <t>THA.38.1_1</t>
  </si>
  <si>
    <t>Pattani</t>
  </si>
  <si>
    <t>Ka Pho</t>
  </si>
  <si>
    <t>THA.38.2_1</t>
  </si>
  <si>
    <t>Khok Pho</t>
  </si>
  <si>
    <t>THA.38.3_1</t>
  </si>
  <si>
    <t>Mae Lan</t>
  </si>
  <si>
    <t>THA.38.4_1</t>
  </si>
  <si>
    <t>Mai Kaen</t>
  </si>
  <si>
    <t>THA.38.5_1</t>
  </si>
  <si>
    <t>Mayo</t>
  </si>
  <si>
    <t>THA.38.6_1</t>
  </si>
  <si>
    <t>Muang Pattani</t>
  </si>
  <si>
    <t>THA.38.7_1</t>
  </si>
  <si>
    <t>Nong Chik</t>
  </si>
  <si>
    <t>THA.38.8_1</t>
  </si>
  <si>
    <t>Panare</t>
  </si>
  <si>
    <t>THA.38.9_1</t>
  </si>
  <si>
    <t>Sai Buri</t>
  </si>
  <si>
    <t>THA.38.10_1</t>
  </si>
  <si>
    <t>Thung Yang Daeng</t>
  </si>
  <si>
    <t>THA.38.11_1</t>
  </si>
  <si>
    <t>Yarang</t>
  </si>
  <si>
    <t>THA.38.12_1</t>
  </si>
  <si>
    <t>Yaring</t>
  </si>
  <si>
    <t>THA.39.1_1</t>
  </si>
  <si>
    <t>Phangnga</t>
  </si>
  <si>
    <t>Kapong</t>
  </si>
  <si>
    <t>THA.39.2_1</t>
  </si>
  <si>
    <t>Khura Buri</t>
  </si>
  <si>
    <t>THA.39.3_1</t>
  </si>
  <si>
    <t>Ko Yao</t>
  </si>
  <si>
    <t>THA.39.4_1</t>
  </si>
  <si>
    <t>Muang Phangnga</t>
  </si>
  <si>
    <t>THA.39.5_1</t>
  </si>
  <si>
    <t>Takua Pa</t>
  </si>
  <si>
    <t>THA.39.6_1</t>
  </si>
  <si>
    <t>Takua Thung</t>
  </si>
  <si>
    <t>THA.39.7_1</t>
  </si>
  <si>
    <t>Thai Muang</t>
  </si>
  <si>
    <t>THA.39.8_1</t>
  </si>
  <si>
    <t>Thap Put</t>
  </si>
  <si>
    <t>THA.40.1_1</t>
  </si>
  <si>
    <t>Phatthalung</t>
  </si>
  <si>
    <t>Bang Kaeo</t>
  </si>
  <si>
    <t>THA.40.2_1</t>
  </si>
  <si>
    <t>K. Sri Nakarin</t>
  </si>
  <si>
    <t>THA.40.3_1</t>
  </si>
  <si>
    <t>Khao Chaison</t>
  </si>
  <si>
    <t>THA.40.4_1</t>
  </si>
  <si>
    <t>Khuan Khanun</t>
  </si>
  <si>
    <t>THA.40.5_1</t>
  </si>
  <si>
    <t>Kong Ra</t>
  </si>
  <si>
    <t>THA.40.6_1</t>
  </si>
  <si>
    <t>Muang Phatthalung</t>
  </si>
  <si>
    <t>THA.40.7_1</t>
  </si>
  <si>
    <t>Pa Bon</t>
  </si>
  <si>
    <t>THA.40.8_1</t>
  </si>
  <si>
    <t>Pa Payom</t>
  </si>
  <si>
    <t>THA.40.9_1</t>
  </si>
  <si>
    <t>Pak Phayun</t>
  </si>
  <si>
    <t>THA.40.10_1</t>
  </si>
  <si>
    <t>Si Banphot</t>
  </si>
  <si>
    <t>THA.40.11_1</t>
  </si>
  <si>
    <t>Songkhla Lake</t>
  </si>
  <si>
    <t>THA.40.12_1</t>
  </si>
  <si>
    <t>Tamot</t>
  </si>
  <si>
    <t>THA.41.1_1</t>
  </si>
  <si>
    <t>Phayao</t>
  </si>
  <si>
    <t>Chiang Kham</t>
  </si>
  <si>
    <t>THA.41.2_1</t>
  </si>
  <si>
    <t>Chiang Muan</t>
  </si>
  <si>
    <t>THA.41.3_1</t>
  </si>
  <si>
    <t>Chun</t>
  </si>
  <si>
    <t>THA.41.4_1</t>
  </si>
  <si>
    <t>Dok Kham Tai</t>
  </si>
  <si>
    <t>THA.41.5_1</t>
  </si>
  <si>
    <t>K. Phu Kam Yao</t>
  </si>
  <si>
    <t>THA.41.6_1</t>
  </si>
  <si>
    <t>K. Phu Sang</t>
  </si>
  <si>
    <t>THA.41.7_1</t>
  </si>
  <si>
    <t>Mae Chai</t>
  </si>
  <si>
    <t>THA.41.8_1</t>
  </si>
  <si>
    <t>Muang Phayao</t>
  </si>
  <si>
    <t>THA.41.9_1</t>
  </si>
  <si>
    <t>Pong</t>
  </si>
  <si>
    <t>THA.42.1_1</t>
  </si>
  <si>
    <t>Phetchabun</t>
  </si>
  <si>
    <t>Buang Sam Phan</t>
  </si>
  <si>
    <t>THA.42.2_1</t>
  </si>
  <si>
    <t>Chon Daen</t>
  </si>
  <si>
    <t>THA.42.3_1</t>
  </si>
  <si>
    <t>Khao Kho</t>
  </si>
  <si>
    <t>THA.42.4_1</t>
  </si>
  <si>
    <t>Lom Kao</t>
  </si>
  <si>
    <t>THA.42.5_1</t>
  </si>
  <si>
    <t>Lom Sak</t>
  </si>
  <si>
    <t>THA.42.6_1</t>
  </si>
  <si>
    <t>Muang Phetchabun</t>
  </si>
  <si>
    <t>THA.42.7_1</t>
  </si>
  <si>
    <t>Nam Nao</t>
  </si>
  <si>
    <t>THA.42.8_1</t>
  </si>
  <si>
    <t>Nong Phai</t>
  </si>
  <si>
    <t>THA.42.9_1</t>
  </si>
  <si>
    <t>Si Thep</t>
  </si>
  <si>
    <t>THA.42.10_1</t>
  </si>
  <si>
    <t>Wang Pong</t>
  </si>
  <si>
    <t>THA.42.11_1</t>
  </si>
  <si>
    <t>Wichian Buri</t>
  </si>
  <si>
    <t>THA.43.1_1</t>
  </si>
  <si>
    <t>Phetchaburi</t>
  </si>
  <si>
    <t>Ban Laem</t>
  </si>
  <si>
    <t>THA.43.2_1</t>
  </si>
  <si>
    <t>Ban Lat</t>
  </si>
  <si>
    <t>THA.43.3_1</t>
  </si>
  <si>
    <t>Cha-Am</t>
  </si>
  <si>
    <t>THA.43.4_1</t>
  </si>
  <si>
    <t>Kaeng Krachan</t>
  </si>
  <si>
    <t>THA.43.5_1</t>
  </si>
  <si>
    <t>Khao Yoi</t>
  </si>
  <si>
    <t>THA.43.6_1</t>
  </si>
  <si>
    <t>Muang Phetchaburi</t>
  </si>
  <si>
    <t>THA.43.7_1</t>
  </si>
  <si>
    <t>Nong Ya Plong</t>
  </si>
  <si>
    <t>THA.43.8_1</t>
  </si>
  <si>
    <t>Tha Yang</t>
  </si>
  <si>
    <t>THA.44.1_1</t>
  </si>
  <si>
    <t>Phichit</t>
  </si>
  <si>
    <t>Bang Mun Nak</t>
  </si>
  <si>
    <t>THA.44.2_1</t>
  </si>
  <si>
    <t>K. Bung Narang</t>
  </si>
  <si>
    <t>THA.44.3_1</t>
  </si>
  <si>
    <t>K. Dong Charoen</t>
  </si>
  <si>
    <t>THA.44.4_1</t>
  </si>
  <si>
    <t>K. Sak Lek</t>
  </si>
  <si>
    <t>THA.44.5_1</t>
  </si>
  <si>
    <t>Muang Phichit</t>
  </si>
  <si>
    <t>THA.44.6_1</t>
  </si>
  <si>
    <t>Pho Prathap Chan</t>
  </si>
  <si>
    <t>THA.44.7_1</t>
  </si>
  <si>
    <t>Pho Thale</t>
  </si>
  <si>
    <t>THA.44.8_1</t>
  </si>
  <si>
    <t>Sam Ngam</t>
  </si>
  <si>
    <t>THA.44.9_1</t>
  </si>
  <si>
    <t>Taphan Hin</t>
  </si>
  <si>
    <t>THA.44.10_1</t>
  </si>
  <si>
    <t>Thap Khlo</t>
  </si>
  <si>
    <t>THA.44.11_1</t>
  </si>
  <si>
    <t>Wachira Barami</t>
  </si>
  <si>
    <t>THA.44.12_1</t>
  </si>
  <si>
    <t>Wang Sai Phun</t>
  </si>
  <si>
    <t>THA.45.1_1</t>
  </si>
  <si>
    <t>Phitsanulok</t>
  </si>
  <si>
    <t>Bang Krathum</t>
  </si>
  <si>
    <t>THA.45.2_1</t>
  </si>
  <si>
    <t>Bang Rakam</t>
  </si>
  <si>
    <t>THA.45.3_1</t>
  </si>
  <si>
    <t>Chat Trakan</t>
  </si>
  <si>
    <t>THA.45.4_1</t>
  </si>
  <si>
    <t>Muang Phitsanulok</t>
  </si>
  <si>
    <t>THA.45.5_1</t>
  </si>
  <si>
    <t>Nakhon Thai</t>
  </si>
  <si>
    <t>THA.45.6_1</t>
  </si>
  <si>
    <t>Noen Maprang</t>
  </si>
  <si>
    <t>THA.45.7_1</t>
  </si>
  <si>
    <t>Phrom Phiram</t>
  </si>
  <si>
    <t>THA.45.8_1</t>
  </si>
  <si>
    <t>Wang Thong</t>
  </si>
  <si>
    <t>THA.45.9_1</t>
  </si>
  <si>
    <t>Wat Bot</t>
  </si>
  <si>
    <t>THA.46.1_1</t>
  </si>
  <si>
    <t>Phra Nakhon Si Ayutthaya</t>
  </si>
  <si>
    <t>Ban Phraek</t>
  </si>
  <si>
    <t>THA.46.2_1</t>
  </si>
  <si>
    <t>Bang Ban</t>
  </si>
  <si>
    <t>THA.46.3_1</t>
  </si>
  <si>
    <t>Bang Pa-In</t>
  </si>
  <si>
    <t>THA.46.4_1</t>
  </si>
  <si>
    <t>Bang Pahan</t>
  </si>
  <si>
    <t>THA.46.5_1</t>
  </si>
  <si>
    <t>Bang Sai</t>
  </si>
  <si>
    <t>THA.46.6_1</t>
  </si>
  <si>
    <t>Lat Bua Luang</t>
  </si>
  <si>
    <t>THA.46.7_1</t>
  </si>
  <si>
    <t>Maha Rat</t>
  </si>
  <si>
    <t>THA.46.8_1</t>
  </si>
  <si>
    <t>Nakhon Luang</t>
  </si>
  <si>
    <t>THA.46.9_1</t>
  </si>
  <si>
    <t>Phachi</t>
  </si>
  <si>
    <t>THA.46.10_1</t>
  </si>
  <si>
    <t>Phak Hai</t>
  </si>
  <si>
    <t>THA.46.11_1</t>
  </si>
  <si>
    <t>THA.46.12_1</t>
  </si>
  <si>
    <t>Sena</t>
  </si>
  <si>
    <t>THA.46.13_1</t>
  </si>
  <si>
    <t>Tha Rua</t>
  </si>
  <si>
    <t>THA.46.14_1</t>
  </si>
  <si>
    <t>Uthai</t>
  </si>
  <si>
    <t>THA.46.15_1</t>
  </si>
  <si>
    <t>Wang Noi</t>
  </si>
  <si>
    <t>THA.47.1_1</t>
  </si>
  <si>
    <t>Phrae</t>
  </si>
  <si>
    <t>Den Chai</t>
  </si>
  <si>
    <t>THA.47.2_1</t>
  </si>
  <si>
    <t>Long</t>
  </si>
  <si>
    <t>THA.47.3_1</t>
  </si>
  <si>
    <t>Muang Phrae</t>
  </si>
  <si>
    <t>THA.47.4_1</t>
  </si>
  <si>
    <t>Nong Muang Kai</t>
  </si>
  <si>
    <t>THA.47.5_1</t>
  </si>
  <si>
    <t>Rong Kwang</t>
  </si>
  <si>
    <t>THA.47.6_1</t>
  </si>
  <si>
    <t>THA.47.7_1</t>
  </si>
  <si>
    <t>Sung Men</t>
  </si>
  <si>
    <t>THA.47.8_1</t>
  </si>
  <si>
    <t>Wang Chin</t>
  </si>
  <si>
    <t>THA.48.1_1</t>
  </si>
  <si>
    <t>Phuket</t>
  </si>
  <si>
    <t>Kathu</t>
  </si>
  <si>
    <t>THA.48.2_1</t>
  </si>
  <si>
    <t>Muang Phuket</t>
  </si>
  <si>
    <t>THA.48.3_1</t>
  </si>
  <si>
    <t>Thalang</t>
  </si>
  <si>
    <t>THA.49.1_1</t>
  </si>
  <si>
    <t>Prachin Buri</t>
  </si>
  <si>
    <t>Ban Sang</t>
  </si>
  <si>
    <t>THA.49.2_1</t>
  </si>
  <si>
    <t>Kabin Buri</t>
  </si>
  <si>
    <t>THA.49.3_1</t>
  </si>
  <si>
    <t>Muang Prachin Buri</t>
  </si>
  <si>
    <t>THA.49.4_1</t>
  </si>
  <si>
    <t>Na Di</t>
  </si>
  <si>
    <t>THA.49.5_1</t>
  </si>
  <si>
    <t>Prachantakham</t>
  </si>
  <si>
    <t>THA.49.6_1</t>
  </si>
  <si>
    <t>Si Mahosot</t>
  </si>
  <si>
    <t>THA.49.7_1</t>
  </si>
  <si>
    <t>Sri Mahar Pho</t>
  </si>
  <si>
    <t>THA.50.2_1</t>
  </si>
  <si>
    <t>Prachuap Khiri Khan</t>
  </si>
  <si>
    <t>Bang Saphan</t>
  </si>
  <si>
    <t>THA.50.1_1</t>
  </si>
  <si>
    <t>Bang Saphan Noi</t>
  </si>
  <si>
    <t>THA.50.3_1</t>
  </si>
  <si>
    <t>Hua Hin</t>
  </si>
  <si>
    <t>THA.50.4_1</t>
  </si>
  <si>
    <t>K. Sam Roi Yot</t>
  </si>
  <si>
    <t>THA.50.5_1</t>
  </si>
  <si>
    <t>Kui Buri</t>
  </si>
  <si>
    <t>THA.50.6_1</t>
  </si>
  <si>
    <t>Muang Prachuap Khiri Khan</t>
  </si>
  <si>
    <t>THA.50.7_1</t>
  </si>
  <si>
    <t>Pran Buri</t>
  </si>
  <si>
    <t>THA.50.8_1</t>
  </si>
  <si>
    <t>Thap Sakae</t>
  </si>
  <si>
    <t>THA.51.1_1</t>
  </si>
  <si>
    <t>Ranong</t>
  </si>
  <si>
    <t>K. Suk Samran</t>
  </si>
  <si>
    <t>THA.51.2_1</t>
  </si>
  <si>
    <t>Kapoe</t>
  </si>
  <si>
    <t>THA.51.3_1</t>
  </si>
  <si>
    <t>Kra Buri</t>
  </si>
  <si>
    <t>THA.51.4_1</t>
  </si>
  <si>
    <t>La-Un</t>
  </si>
  <si>
    <t>THA.51.5_1</t>
  </si>
  <si>
    <t>Muang Ranong</t>
  </si>
  <si>
    <t>THA.52.1_1</t>
  </si>
  <si>
    <t>Ratchaburi</t>
  </si>
  <si>
    <t>Ban Pong</t>
  </si>
  <si>
    <t>THA.52.2_1</t>
  </si>
  <si>
    <t>Bang Phae</t>
  </si>
  <si>
    <t>THA.52.3_1</t>
  </si>
  <si>
    <t>Chom Bung</t>
  </si>
  <si>
    <t>THA.52.4_1</t>
  </si>
  <si>
    <t>Damnoen Saduak</t>
  </si>
  <si>
    <t>THA.52.5_1</t>
  </si>
  <si>
    <t>K. Ban Kha</t>
  </si>
  <si>
    <t>THA.52.6_1</t>
  </si>
  <si>
    <t>Muang Ratchaburi</t>
  </si>
  <si>
    <t>THA.52.7_1</t>
  </si>
  <si>
    <t>Pak Tho</t>
  </si>
  <si>
    <t>THA.52.8_1</t>
  </si>
  <si>
    <t>Photharam</t>
  </si>
  <si>
    <t>THA.52.9_1</t>
  </si>
  <si>
    <t>Suan Phung</t>
  </si>
  <si>
    <t>THA.52.10_1</t>
  </si>
  <si>
    <t>Wat Phleng</t>
  </si>
  <si>
    <t>THA.53.1_1</t>
  </si>
  <si>
    <t>Rayong</t>
  </si>
  <si>
    <t>Ban Chang</t>
  </si>
  <si>
    <t>THA.53.2_1</t>
  </si>
  <si>
    <t>Ban Khai</t>
  </si>
  <si>
    <t>THA.53.3_1</t>
  </si>
  <si>
    <t>K. Khao Chamao</t>
  </si>
  <si>
    <t>THA.53.4_1</t>
  </si>
  <si>
    <t>K. Nikhom Pattan</t>
  </si>
  <si>
    <t>THA.53.5_1</t>
  </si>
  <si>
    <t>Klaeng</t>
  </si>
  <si>
    <t>THA.53.6_1</t>
  </si>
  <si>
    <t>Muang Rayong</t>
  </si>
  <si>
    <t>THA.53.7_1</t>
  </si>
  <si>
    <t>Pluak Daeng</t>
  </si>
  <si>
    <t>THA.53.8_1</t>
  </si>
  <si>
    <t>Wang Chan</t>
  </si>
  <si>
    <t>THA.54.1_1</t>
  </si>
  <si>
    <t>Roi Et</t>
  </si>
  <si>
    <t>At Samat</t>
  </si>
  <si>
    <t>THA.54.2_1</t>
  </si>
  <si>
    <t>Changhan</t>
  </si>
  <si>
    <t>THA.54.3_1</t>
  </si>
  <si>
    <t>Chaturaphak Phim</t>
  </si>
  <si>
    <t>THA.54.4_1</t>
  </si>
  <si>
    <t>K. Chiang Kwan</t>
  </si>
  <si>
    <t>THA.54.5_1</t>
  </si>
  <si>
    <t>K. Nong Hi</t>
  </si>
  <si>
    <t>THA.54.6_1</t>
  </si>
  <si>
    <t>K. Thung Kao Lua</t>
  </si>
  <si>
    <t>THA.54.7_1</t>
  </si>
  <si>
    <t>Kaset Wisai</t>
  </si>
  <si>
    <t>THA.54.8_1</t>
  </si>
  <si>
    <t>Moei Wadi</t>
  </si>
  <si>
    <t>THA.54.9_1</t>
  </si>
  <si>
    <t>Muang Roi Et</t>
  </si>
  <si>
    <t>THA.54.10_1</t>
  </si>
  <si>
    <t>Muang Suang</t>
  </si>
  <si>
    <t>THA.54.11_1</t>
  </si>
  <si>
    <t>Nong Phok</t>
  </si>
  <si>
    <t>THA.54.12_1</t>
  </si>
  <si>
    <t>Panom Phrai</t>
  </si>
  <si>
    <t>THA.54.13_1</t>
  </si>
  <si>
    <t>Pathum Rat</t>
  </si>
  <si>
    <t>THA.54.14_1</t>
  </si>
  <si>
    <t>Pho Chai</t>
  </si>
  <si>
    <t>THA.54.15_1</t>
  </si>
  <si>
    <t>Phon Sai</t>
  </si>
  <si>
    <t>THA.54.16_1</t>
  </si>
  <si>
    <t>Phon Thong</t>
  </si>
  <si>
    <t>THA.54.17_1</t>
  </si>
  <si>
    <t>Selaphum</t>
  </si>
  <si>
    <t>THA.54.18_1</t>
  </si>
  <si>
    <t>Si Somdet</t>
  </si>
  <si>
    <t>THA.54.19_1</t>
  </si>
  <si>
    <t>Suwannaphum</t>
  </si>
  <si>
    <t>THA.54.20_1</t>
  </si>
  <si>
    <t>Thawatchaburi</t>
  </si>
  <si>
    <t>THA.55.1_1</t>
  </si>
  <si>
    <t>Sa Kaeo</t>
  </si>
  <si>
    <t>Aranyaprathet</t>
  </si>
  <si>
    <t>THA.55.2_1</t>
  </si>
  <si>
    <t>K. Kok Sung</t>
  </si>
  <si>
    <t>THA.55.3_1</t>
  </si>
  <si>
    <t>K. Wang Sombun</t>
  </si>
  <si>
    <t>THA.55.4_1</t>
  </si>
  <si>
    <t>Kao Cha Kan</t>
  </si>
  <si>
    <t>THA.55.5_1</t>
  </si>
  <si>
    <t>Khlong Hat</t>
  </si>
  <si>
    <t>THA.55.6_1</t>
  </si>
  <si>
    <t>Muang Sa Kaeo</t>
  </si>
  <si>
    <t>THA.55.7_1</t>
  </si>
  <si>
    <t>Ta Phraya</t>
  </si>
  <si>
    <t>THA.55.8_1</t>
  </si>
  <si>
    <t>Wang Nam Yen</t>
  </si>
  <si>
    <t>THA.55.9_1</t>
  </si>
  <si>
    <t>Watthana Nakhon</t>
  </si>
  <si>
    <t>THA.56.1_1</t>
  </si>
  <si>
    <t>Sakon Nakhon</t>
  </si>
  <si>
    <t>Akat Amnuai</t>
  </si>
  <si>
    <t>THA.56.2_1</t>
  </si>
  <si>
    <t>Ban Muang</t>
  </si>
  <si>
    <t>THA.56.3_1</t>
  </si>
  <si>
    <t>Chareon Silp</t>
  </si>
  <si>
    <t>THA.56.4_1</t>
  </si>
  <si>
    <t>Kham Ta Kla</t>
  </si>
  <si>
    <t>THA.56.5_1</t>
  </si>
  <si>
    <t>Khok Sri Supan</t>
  </si>
  <si>
    <t>THA.56.6_1</t>
  </si>
  <si>
    <t>Kusuman</t>
  </si>
  <si>
    <t>THA.56.7_1</t>
  </si>
  <si>
    <t>Kut Bak</t>
  </si>
  <si>
    <t>THA.56.8_1</t>
  </si>
  <si>
    <t>Muang Sakon Nakhon</t>
  </si>
  <si>
    <t>THA.56.9_1</t>
  </si>
  <si>
    <t>Nikhom Nam Un</t>
  </si>
  <si>
    <t>THA.56.10_1</t>
  </si>
  <si>
    <t>Phang Khon</t>
  </si>
  <si>
    <t>THA.56.11_1</t>
  </si>
  <si>
    <t>Phanna Nikhom</t>
  </si>
  <si>
    <t>THA.56.12_1</t>
  </si>
  <si>
    <t>Phon Na Kaeo</t>
  </si>
  <si>
    <t>THA.56.13_1</t>
  </si>
  <si>
    <t>Phu Phan</t>
  </si>
  <si>
    <t>THA.56.14_1</t>
  </si>
  <si>
    <t>Sawang Daen Din</t>
  </si>
  <si>
    <t>THA.56.15_1</t>
  </si>
  <si>
    <t>Song Dao</t>
  </si>
  <si>
    <t>THA.56.16_1</t>
  </si>
  <si>
    <t>Tao Ngoi</t>
  </si>
  <si>
    <t>THA.56.17_1</t>
  </si>
  <si>
    <t>Wanon Niwat</t>
  </si>
  <si>
    <t>THA.56.18_1</t>
  </si>
  <si>
    <t>Waritchaphum</t>
  </si>
  <si>
    <t>THA.57.1_1</t>
  </si>
  <si>
    <t>Samut Prakan</t>
  </si>
  <si>
    <t>Bang Bo</t>
  </si>
  <si>
    <t>THA.57.2_1</t>
  </si>
  <si>
    <t>Bang Plee</t>
  </si>
  <si>
    <t>THA.57.3_1</t>
  </si>
  <si>
    <t>K. Bang Sao Thon</t>
  </si>
  <si>
    <t>THA.57.4_1</t>
  </si>
  <si>
    <t>Muang Samut Prakan</t>
  </si>
  <si>
    <t>THA.57.5_1</t>
  </si>
  <si>
    <t>Phra Pra Daeng</t>
  </si>
  <si>
    <t>THA.57.6_1</t>
  </si>
  <si>
    <t>Phra Samut Jadee</t>
  </si>
  <si>
    <t>THA.58.1_1</t>
  </si>
  <si>
    <t>Samut Sakhon</t>
  </si>
  <si>
    <t>Ban Phaeo</t>
  </si>
  <si>
    <t>THA.58.2_1</t>
  </si>
  <si>
    <t>Krathum Baen</t>
  </si>
  <si>
    <t>THA.58.3_1</t>
  </si>
  <si>
    <t>Muang Samut Sakhon</t>
  </si>
  <si>
    <t>THA.59.1_1</t>
  </si>
  <si>
    <t>Samut Songkhram</t>
  </si>
  <si>
    <t>Amphawa</t>
  </si>
  <si>
    <t>THA.59.2_1</t>
  </si>
  <si>
    <t>Bang Khon Ti</t>
  </si>
  <si>
    <t>THA.59.3_1</t>
  </si>
  <si>
    <t>Muang Samut Songkhram</t>
  </si>
  <si>
    <t>THA.60.1_1</t>
  </si>
  <si>
    <t>Saraburi</t>
  </si>
  <si>
    <t>Ban Mo</t>
  </si>
  <si>
    <t>THA.60.2_1</t>
  </si>
  <si>
    <t>THA.60.3_1</t>
  </si>
  <si>
    <t>Don Phut</t>
  </si>
  <si>
    <t>THA.60.4_1</t>
  </si>
  <si>
    <t>Kaeng Khoi</t>
  </si>
  <si>
    <t>THA.60.5_1</t>
  </si>
  <si>
    <t>Muak Lek</t>
  </si>
  <si>
    <t>THA.60.6_1</t>
  </si>
  <si>
    <t>Muang Saraburi</t>
  </si>
  <si>
    <t>THA.60.7_1</t>
  </si>
  <si>
    <t>Nong Don</t>
  </si>
  <si>
    <t>THA.60.8_1</t>
  </si>
  <si>
    <t>Nong Khae</t>
  </si>
  <si>
    <t>THA.60.9_1</t>
  </si>
  <si>
    <t>Nong Saeng</t>
  </si>
  <si>
    <t>THA.60.10_1</t>
  </si>
  <si>
    <t>Phra Phutthabat</t>
  </si>
  <si>
    <t>THA.60.11_1</t>
  </si>
  <si>
    <t>Sao Hai</t>
  </si>
  <si>
    <t>THA.60.12_1</t>
  </si>
  <si>
    <t>Wang Muang</t>
  </si>
  <si>
    <t>THA.60.13_1</t>
  </si>
  <si>
    <t>Wihan Daeng</t>
  </si>
  <si>
    <t>THA.61.1_1</t>
  </si>
  <si>
    <t>Satun</t>
  </si>
  <si>
    <t>K. Ma Nang</t>
  </si>
  <si>
    <t>THA.61.2_1</t>
  </si>
  <si>
    <t>Khuan Don</t>
  </si>
  <si>
    <t>THA.61.3_1</t>
  </si>
  <si>
    <t>Khuan Ka Long</t>
  </si>
  <si>
    <t>THA.61.4_1</t>
  </si>
  <si>
    <t>Langu</t>
  </si>
  <si>
    <t>THA.61.5_1</t>
  </si>
  <si>
    <t>Muang Satun</t>
  </si>
  <si>
    <t>THA.61.6_1</t>
  </si>
  <si>
    <t>Tha Phae</t>
  </si>
  <si>
    <t>THA.61.7_1</t>
  </si>
  <si>
    <t>Thung Wa</t>
  </si>
  <si>
    <t>THA.62.1_1</t>
  </si>
  <si>
    <t>Si Sa Ket</t>
  </si>
  <si>
    <t>Benchalak</t>
  </si>
  <si>
    <t>THA.62.2_1</t>
  </si>
  <si>
    <t>Bung Bun</t>
  </si>
  <si>
    <t>THA.62.3_1</t>
  </si>
  <si>
    <t>Huai Thap Than</t>
  </si>
  <si>
    <t>THA.62.4_1</t>
  </si>
  <si>
    <t>K. Pho Si Suwan</t>
  </si>
  <si>
    <t>THA.62.5_1</t>
  </si>
  <si>
    <t>K. Sila Lat</t>
  </si>
  <si>
    <t>THA.62.6_1</t>
  </si>
  <si>
    <t>Kantharalak</t>
  </si>
  <si>
    <t>THA.62.7_1</t>
  </si>
  <si>
    <t>Kanthararom</t>
  </si>
  <si>
    <t>THA.62.8_1</t>
  </si>
  <si>
    <t>Khukhan</t>
  </si>
  <si>
    <t>THA.62.9_1</t>
  </si>
  <si>
    <t>Khun Han</t>
  </si>
  <si>
    <t>THA.62.10_1</t>
  </si>
  <si>
    <t>Muang Chan</t>
  </si>
  <si>
    <t>THA.62.11_1</t>
  </si>
  <si>
    <t>Muang Si Sa Ket</t>
  </si>
  <si>
    <t>THA.62.12_1</t>
  </si>
  <si>
    <t>Nam Kliang</t>
  </si>
  <si>
    <t>THA.62.13_1</t>
  </si>
  <si>
    <t>Non Khun</t>
  </si>
  <si>
    <t>THA.62.14_1</t>
  </si>
  <si>
    <t>Phayu</t>
  </si>
  <si>
    <t>THA.62.15_1</t>
  </si>
  <si>
    <t>Phrai Bung</t>
  </si>
  <si>
    <t>THA.62.16_1</t>
  </si>
  <si>
    <t>Phu Sing</t>
  </si>
  <si>
    <t>THA.62.17_1</t>
  </si>
  <si>
    <t>Prang Ku</t>
  </si>
  <si>
    <t>THA.62.18_1</t>
  </si>
  <si>
    <t>Rasi Salai</t>
  </si>
  <si>
    <t>THA.62.19_1</t>
  </si>
  <si>
    <t>Sri Ratana</t>
  </si>
  <si>
    <t>THA.62.20_1</t>
  </si>
  <si>
    <t>Uthumphon Phisai</t>
  </si>
  <si>
    <t>THA.62.21_1</t>
  </si>
  <si>
    <t>Wang Hin</t>
  </si>
  <si>
    <t>THA.62.22_1</t>
  </si>
  <si>
    <t>Yang Chum Noi</t>
  </si>
  <si>
    <t>THA.63.1_1</t>
  </si>
  <si>
    <t>Sing Buri</t>
  </si>
  <si>
    <t>Bang Rachan</t>
  </si>
  <si>
    <t>THA.63.2_1</t>
  </si>
  <si>
    <t>In Buri</t>
  </si>
  <si>
    <t>THA.63.3_1</t>
  </si>
  <si>
    <t>Khai Bang Rachan</t>
  </si>
  <si>
    <t>THA.63.4_1</t>
  </si>
  <si>
    <t>Muang Sing Buri</t>
  </si>
  <si>
    <t>THA.63.5_1</t>
  </si>
  <si>
    <t>Phrom Buri</t>
  </si>
  <si>
    <t>THA.63.6_1</t>
  </si>
  <si>
    <t>Tha Chang</t>
  </si>
  <si>
    <t>THA.64.1_1</t>
  </si>
  <si>
    <t>Songkhla</t>
  </si>
  <si>
    <t>Bang Klam</t>
  </si>
  <si>
    <t>THA.64.2_1</t>
  </si>
  <si>
    <t>Chana</t>
  </si>
  <si>
    <t>THA.64.3_1</t>
  </si>
  <si>
    <t>Hat Yai</t>
  </si>
  <si>
    <t>THA.64.4_1</t>
  </si>
  <si>
    <t>Khlong Hoi Kong</t>
  </si>
  <si>
    <t>THA.64.5_1</t>
  </si>
  <si>
    <t>Khuan Niang</t>
  </si>
  <si>
    <t>THA.64.6_1</t>
  </si>
  <si>
    <t>Krasae Sinthu</t>
  </si>
  <si>
    <t>THA.64.7_1</t>
  </si>
  <si>
    <t>Muang Songkhla</t>
  </si>
  <si>
    <t>THA.64.8_1</t>
  </si>
  <si>
    <t>Na Mom</t>
  </si>
  <si>
    <t>THA.64.9_1</t>
  </si>
  <si>
    <t>Na Thawi</t>
  </si>
  <si>
    <t>THA.64.10_1</t>
  </si>
  <si>
    <t>Ranot</t>
  </si>
  <si>
    <t>THA.64.11_1</t>
  </si>
  <si>
    <t>Rattaphum</t>
  </si>
  <si>
    <t>THA.64.12_1</t>
  </si>
  <si>
    <t>Saba Yoi</t>
  </si>
  <si>
    <t>THA.64.13_1</t>
  </si>
  <si>
    <t>Sadao</t>
  </si>
  <si>
    <t>THA.64.14_1</t>
  </si>
  <si>
    <t>Sathing Phra</t>
  </si>
  <si>
    <t>THA.64.15_1</t>
  </si>
  <si>
    <t>Singha Nakhon</t>
  </si>
  <si>
    <t>THA.64.16_1</t>
  </si>
  <si>
    <t>THA.64.17_1</t>
  </si>
  <si>
    <t>Thepha</t>
  </si>
  <si>
    <t>THA.65.1_1</t>
  </si>
  <si>
    <t>Sukhothai</t>
  </si>
  <si>
    <t>Ban Dan Lan Hoi</t>
  </si>
  <si>
    <t>THA.65.2_1</t>
  </si>
  <si>
    <t>Khiri Mat</t>
  </si>
  <si>
    <t>THA.65.3_1</t>
  </si>
  <si>
    <t>Kong Krailat</t>
  </si>
  <si>
    <t>THA.65.4_1</t>
  </si>
  <si>
    <t>Muang Sukhothai</t>
  </si>
  <si>
    <t>THA.65.5_1</t>
  </si>
  <si>
    <t>Sawankhalok</t>
  </si>
  <si>
    <t>THA.65.6_1</t>
  </si>
  <si>
    <t>Si Nakhon</t>
  </si>
  <si>
    <t>THA.65.7_1</t>
  </si>
  <si>
    <t>Si Sam Rong</t>
  </si>
  <si>
    <t>THA.65.8_1</t>
  </si>
  <si>
    <t>Si Satchanalai</t>
  </si>
  <si>
    <t>THA.65.9_1</t>
  </si>
  <si>
    <t>Thung Saliam</t>
  </si>
  <si>
    <t>THA.66.1_1</t>
  </si>
  <si>
    <t>Suphan Buri</t>
  </si>
  <si>
    <t>Bang Pla Ma</t>
  </si>
  <si>
    <t>THA.66.2_1</t>
  </si>
  <si>
    <t>Dan Chang</t>
  </si>
  <si>
    <t>THA.66.3_1</t>
  </si>
  <si>
    <t>Doembang Nangbua</t>
  </si>
  <si>
    <t>THA.66.4_1</t>
  </si>
  <si>
    <t>Don Chedi</t>
  </si>
  <si>
    <t>THA.66.5_1</t>
  </si>
  <si>
    <t>Muang Suphanburi</t>
  </si>
  <si>
    <t>THA.66.6_1</t>
  </si>
  <si>
    <t>Nong Ya Sai</t>
  </si>
  <si>
    <t>THA.66.7_1</t>
  </si>
  <si>
    <t>Sam Chuk</t>
  </si>
  <si>
    <t>THA.66.8_1</t>
  </si>
  <si>
    <t>Si Prachan</t>
  </si>
  <si>
    <t>THA.66.9_1</t>
  </si>
  <si>
    <t>Song Phi Nong</t>
  </si>
  <si>
    <t>THA.66.10_1</t>
  </si>
  <si>
    <t>U Thong</t>
  </si>
  <si>
    <t>THA.67.1_1</t>
  </si>
  <si>
    <t>Surat Thani</t>
  </si>
  <si>
    <t>Ban Na Doem</t>
  </si>
  <si>
    <t>THA.67.2_1</t>
  </si>
  <si>
    <t>Ban Na San</t>
  </si>
  <si>
    <t>THA.67.3_1</t>
  </si>
  <si>
    <t>Ban Ta Khun</t>
  </si>
  <si>
    <t>THA.67.4_1</t>
  </si>
  <si>
    <t>Chaiburi</t>
  </si>
  <si>
    <t>THA.67.5_1</t>
  </si>
  <si>
    <t>Chaiya</t>
  </si>
  <si>
    <t>THA.67.6_1</t>
  </si>
  <si>
    <t>Don Sak</t>
  </si>
  <si>
    <t>THA.67.7_1</t>
  </si>
  <si>
    <t>K. Wipawadi</t>
  </si>
  <si>
    <t>THA.67.8_1</t>
  </si>
  <si>
    <t>Kanchanadit</t>
  </si>
  <si>
    <t>THA.67.9_1</t>
  </si>
  <si>
    <t>Khian Sa</t>
  </si>
  <si>
    <t>THA.67.10_1</t>
  </si>
  <si>
    <t>Khiri Ratthanikhom</t>
  </si>
  <si>
    <t>THA.67.11_1</t>
  </si>
  <si>
    <t>Ko Phangan</t>
  </si>
  <si>
    <t>THA.67.12_1</t>
  </si>
  <si>
    <t>Ko Samui</t>
  </si>
  <si>
    <t>THA.67.13_1</t>
  </si>
  <si>
    <t>Muang Surat Thani</t>
  </si>
  <si>
    <t>THA.67.14_1</t>
  </si>
  <si>
    <t>Phanom</t>
  </si>
  <si>
    <t>THA.67.15_1</t>
  </si>
  <si>
    <t>Phunphin</t>
  </si>
  <si>
    <t>THA.67.16_1</t>
  </si>
  <si>
    <t>Prasaeng</t>
  </si>
  <si>
    <t>THA.67.17_1</t>
  </si>
  <si>
    <t>Tha Chana</t>
  </si>
  <si>
    <t>THA.67.18_1</t>
  </si>
  <si>
    <t>THA.67.19_1</t>
  </si>
  <si>
    <t>THA.68.1_1</t>
  </si>
  <si>
    <t>Surin</t>
  </si>
  <si>
    <t>Bua Chet</t>
  </si>
  <si>
    <t>THA.68.2_1</t>
  </si>
  <si>
    <t>Chom Phra</t>
  </si>
  <si>
    <t>THA.68.3_1</t>
  </si>
  <si>
    <t>Chumphon Buri</t>
  </si>
  <si>
    <t>THA.68.4_1</t>
  </si>
  <si>
    <t>K. Kwao Si Narin</t>
  </si>
  <si>
    <t>THA.68.5_1</t>
  </si>
  <si>
    <t>K. Non Narai</t>
  </si>
  <si>
    <t>THA.68.6_1</t>
  </si>
  <si>
    <t>K. Phanom Dong Rak</t>
  </si>
  <si>
    <t>THA.68.7_1</t>
  </si>
  <si>
    <t>K. Sri Narong</t>
  </si>
  <si>
    <t>THA.68.8_1</t>
  </si>
  <si>
    <t>Kap Choeng</t>
  </si>
  <si>
    <t>THA.68.9_1</t>
  </si>
  <si>
    <t>Lamduan</t>
  </si>
  <si>
    <t>THA.68.10_1</t>
  </si>
  <si>
    <t>Muang Surin</t>
  </si>
  <si>
    <t>THA.68.11_1</t>
  </si>
  <si>
    <t>Phrasat</t>
  </si>
  <si>
    <t>THA.68.12_1</t>
  </si>
  <si>
    <t>Rattana Buri</t>
  </si>
  <si>
    <t>THA.68.13_1</t>
  </si>
  <si>
    <t>Samrong Thap</t>
  </si>
  <si>
    <t>THA.68.14_1</t>
  </si>
  <si>
    <t>Sangkha</t>
  </si>
  <si>
    <t>THA.68.15_1</t>
  </si>
  <si>
    <t>Sanom</t>
  </si>
  <si>
    <t>THA.68.16_1</t>
  </si>
  <si>
    <t>Sikhoraphum</t>
  </si>
  <si>
    <t>THA.68.17_1</t>
  </si>
  <si>
    <t>Tha Tum</t>
  </si>
  <si>
    <t>THA.69.1_1</t>
  </si>
  <si>
    <t>Tak</t>
  </si>
  <si>
    <t>Ban Tak</t>
  </si>
  <si>
    <t>THA.69.2_1</t>
  </si>
  <si>
    <t>K. Wang Chao</t>
  </si>
  <si>
    <t>THA.69.3_1</t>
  </si>
  <si>
    <t>Mae Ramat</t>
  </si>
  <si>
    <t>THA.69.4_1</t>
  </si>
  <si>
    <t>Mae Sot</t>
  </si>
  <si>
    <t>THA.69.5_1</t>
  </si>
  <si>
    <t>Muang Tak</t>
  </si>
  <si>
    <t>THA.69.6_1</t>
  </si>
  <si>
    <t>Phop Phra</t>
  </si>
  <si>
    <t>THA.69.7_1</t>
  </si>
  <si>
    <t>Sam Ngao</t>
  </si>
  <si>
    <t>THA.69.8_1</t>
  </si>
  <si>
    <t>Tha Song Yang</t>
  </si>
  <si>
    <t>THA.69.9_1</t>
  </si>
  <si>
    <t>Umphang</t>
  </si>
  <si>
    <t>THA.70.1_1</t>
  </si>
  <si>
    <t>Trang</t>
  </si>
  <si>
    <t>Huai Yot</t>
  </si>
  <si>
    <t>THA.70.2_1</t>
  </si>
  <si>
    <t>K. Hat Samran</t>
  </si>
  <si>
    <t>THA.70.3_1</t>
  </si>
  <si>
    <t>Kantrang</t>
  </si>
  <si>
    <t>THA.70.4_1</t>
  </si>
  <si>
    <t>Muang Trang</t>
  </si>
  <si>
    <t>THA.70.5_1</t>
  </si>
  <si>
    <t>Na Yong</t>
  </si>
  <si>
    <t>THA.70.6_1</t>
  </si>
  <si>
    <t>Palian</t>
  </si>
  <si>
    <t>THA.70.7_1</t>
  </si>
  <si>
    <t>Rasada</t>
  </si>
  <si>
    <t>THA.70.8_1</t>
  </si>
  <si>
    <t>Sikao</t>
  </si>
  <si>
    <t>THA.70.9_1</t>
  </si>
  <si>
    <t>Wang Wiset</t>
  </si>
  <si>
    <t>THA.70.10_1</t>
  </si>
  <si>
    <t>Yan Ta Khao</t>
  </si>
  <si>
    <t>THA.71.1_1</t>
  </si>
  <si>
    <t>Trat</t>
  </si>
  <si>
    <t>Bo Rai</t>
  </si>
  <si>
    <t>THA.71.2_1</t>
  </si>
  <si>
    <t>K. Ko Chang</t>
  </si>
  <si>
    <t>THA.71.3_1</t>
  </si>
  <si>
    <t>K. Ko Kut</t>
  </si>
  <si>
    <t>THA.71.4_1</t>
  </si>
  <si>
    <t>Khao Saming</t>
  </si>
  <si>
    <t>THA.71.5_1</t>
  </si>
  <si>
    <t>Khlong Yai</t>
  </si>
  <si>
    <t>THA.71.6_1</t>
  </si>
  <si>
    <t>Laem Ngop</t>
  </si>
  <si>
    <t>THA.71.7_1</t>
  </si>
  <si>
    <t>Muang Trat</t>
  </si>
  <si>
    <t>THA.72.1_1</t>
  </si>
  <si>
    <t>Ubon Ratchathani</t>
  </si>
  <si>
    <t>Buntharik</t>
  </si>
  <si>
    <t>THA.72.2_1</t>
  </si>
  <si>
    <t>Det Udom</t>
  </si>
  <si>
    <t>THA.72.3_1</t>
  </si>
  <si>
    <t>Donmotdaeng</t>
  </si>
  <si>
    <t>THA.72.4_1</t>
  </si>
  <si>
    <t>K. Lao Sua Kok</t>
  </si>
  <si>
    <t>THA.72.5_1</t>
  </si>
  <si>
    <t>K. Na Tan</t>
  </si>
  <si>
    <t>THA.72.6_1</t>
  </si>
  <si>
    <t>K. Na Yia</t>
  </si>
  <si>
    <t>THA.72.7_1</t>
  </si>
  <si>
    <t>K. Nam Khun</t>
  </si>
  <si>
    <t>THA.72.8_1</t>
  </si>
  <si>
    <t>K. Sawang Weeraw</t>
  </si>
  <si>
    <t>THA.72.9_1</t>
  </si>
  <si>
    <t>Khemarat</t>
  </si>
  <si>
    <t>THA.72.10_1</t>
  </si>
  <si>
    <t>Khong Chiam</t>
  </si>
  <si>
    <t>THA.72.11_1</t>
  </si>
  <si>
    <t>Khuang Nai</t>
  </si>
  <si>
    <t>THA.72.12_1</t>
  </si>
  <si>
    <t>Kut Khao Pun</t>
  </si>
  <si>
    <t>THA.72.13_1</t>
  </si>
  <si>
    <t>Muang Samsip</t>
  </si>
  <si>
    <t>THA.72.14_1</t>
  </si>
  <si>
    <t>Muang Ubon Ratchatani</t>
  </si>
  <si>
    <t>THA.72.15_1</t>
  </si>
  <si>
    <t>Na Chaluai</t>
  </si>
  <si>
    <t>THA.72.16_1</t>
  </si>
  <si>
    <t>Nam Yun</t>
  </si>
  <si>
    <t>THA.72.17_1</t>
  </si>
  <si>
    <t>Phibun Mangsahan</t>
  </si>
  <si>
    <t>THA.72.18_1</t>
  </si>
  <si>
    <t>Pho Si</t>
  </si>
  <si>
    <t>THA.72.19_1</t>
  </si>
  <si>
    <t>Samrong</t>
  </si>
  <si>
    <t>THA.72.20_1</t>
  </si>
  <si>
    <t>Si Muang Mai</t>
  </si>
  <si>
    <t>THA.72.21_1</t>
  </si>
  <si>
    <t>Si Rin Ton</t>
  </si>
  <si>
    <t>THA.72.22_1</t>
  </si>
  <si>
    <t>Tan Sum</t>
  </si>
  <si>
    <t>THA.72.23_1</t>
  </si>
  <si>
    <t>Thung Si Udom</t>
  </si>
  <si>
    <t>THA.72.24_1</t>
  </si>
  <si>
    <t>Trakan Phutphon</t>
  </si>
  <si>
    <t>THA.72.25_1</t>
  </si>
  <si>
    <t>Warin Chamrap</t>
  </si>
  <si>
    <t>THA.73.1_1</t>
  </si>
  <si>
    <t>Udon Thani</t>
  </si>
  <si>
    <t>Ban Dung</t>
  </si>
  <si>
    <t>THA.73.2_1</t>
  </si>
  <si>
    <t>Ban Phu</t>
  </si>
  <si>
    <t>THA.73.3_1</t>
  </si>
  <si>
    <t>Chai Wan</t>
  </si>
  <si>
    <t>THA.73.4_1</t>
  </si>
  <si>
    <t>K. Ku Kaeo</t>
  </si>
  <si>
    <t>THA.73.5_1</t>
  </si>
  <si>
    <t>K. Prachak Silapakhom</t>
  </si>
  <si>
    <t>THA.73.6_1</t>
  </si>
  <si>
    <t>Kumphawapi</t>
  </si>
  <si>
    <t>THA.73.7_1</t>
  </si>
  <si>
    <t>Kut Chap</t>
  </si>
  <si>
    <t>THA.73.8_1</t>
  </si>
  <si>
    <t>Muang Udon Thani</t>
  </si>
  <si>
    <t>THA.73.9_1</t>
  </si>
  <si>
    <t>Na Yung</t>
  </si>
  <si>
    <t>THA.73.10_1</t>
  </si>
  <si>
    <t>Nam Som</t>
  </si>
  <si>
    <t>THA.73.11_1</t>
  </si>
  <si>
    <t>Non Sa-at</t>
  </si>
  <si>
    <t>THA.73.12_1</t>
  </si>
  <si>
    <t>Nong Han</t>
  </si>
  <si>
    <t>THA.73.13_1</t>
  </si>
  <si>
    <t>THA.73.14_1</t>
  </si>
  <si>
    <t>Nong Wua So</t>
  </si>
  <si>
    <t>THA.73.15_1</t>
  </si>
  <si>
    <t>Phen</t>
  </si>
  <si>
    <t>THA.73.16_1</t>
  </si>
  <si>
    <t>Phibun Rak</t>
  </si>
  <si>
    <t>THA.73.17_1</t>
  </si>
  <si>
    <t>THA.73.18_1</t>
  </si>
  <si>
    <t>Si That</t>
  </si>
  <si>
    <t>THA.73.19_1</t>
  </si>
  <si>
    <t>Thung Fon</t>
  </si>
  <si>
    <t>THA.73.20_1</t>
  </si>
  <si>
    <t>Wang Sam Mo</t>
  </si>
  <si>
    <t>THA.74.1_1</t>
  </si>
  <si>
    <t>Uthai Thani</t>
  </si>
  <si>
    <t>Ban Rai</t>
  </si>
  <si>
    <t>THA.74.2_1</t>
  </si>
  <si>
    <t>Huai Khot</t>
  </si>
  <si>
    <t>THA.74.3_1</t>
  </si>
  <si>
    <t>Lan Sak</t>
  </si>
  <si>
    <t>THA.74.4_1</t>
  </si>
  <si>
    <t>Muang Uthai Thani</t>
  </si>
  <si>
    <t>THA.74.5_1</t>
  </si>
  <si>
    <t>Nong Chang</t>
  </si>
  <si>
    <t>THA.74.6_1</t>
  </si>
  <si>
    <t>Nong Khayang</t>
  </si>
  <si>
    <t>THA.74.7_1</t>
  </si>
  <si>
    <t>Sawang Arom</t>
  </si>
  <si>
    <t>THA.74.8_1</t>
  </si>
  <si>
    <t>Thap Than</t>
  </si>
  <si>
    <t>THA.75.1_1</t>
  </si>
  <si>
    <t>Uttaradit</t>
  </si>
  <si>
    <t>Ban Khok</t>
  </si>
  <si>
    <t>THA.75.2_1</t>
  </si>
  <si>
    <t>Fak Tha</t>
  </si>
  <si>
    <t>THA.75.3_1</t>
  </si>
  <si>
    <t>Laplae</t>
  </si>
  <si>
    <t>THA.75.4_1</t>
  </si>
  <si>
    <t>Muang Uttaradit</t>
  </si>
  <si>
    <t>THA.75.5_1</t>
  </si>
  <si>
    <t>Nam Pat</t>
  </si>
  <si>
    <t>THA.75.6_1</t>
  </si>
  <si>
    <t>Phichai</t>
  </si>
  <si>
    <t>THA.75.7_1</t>
  </si>
  <si>
    <t>Tha Pla</t>
  </si>
  <si>
    <t>THA.75.8_1</t>
  </si>
  <si>
    <t>Thong Saen Khan</t>
  </si>
  <si>
    <t>THA.75.9_1</t>
  </si>
  <si>
    <t>Tron</t>
  </si>
  <si>
    <t>THA.76.1_1</t>
  </si>
  <si>
    <t>Yala</t>
  </si>
  <si>
    <t>Bannang Star</t>
  </si>
  <si>
    <t>THA.76.2_1</t>
  </si>
  <si>
    <t>Batong</t>
  </si>
  <si>
    <t>THA.76.3_1</t>
  </si>
  <si>
    <t>K. Krong Pi Nung</t>
  </si>
  <si>
    <t>THA.76.4_1</t>
  </si>
  <si>
    <t>Ka Bang</t>
  </si>
  <si>
    <t>THA.76.5_1</t>
  </si>
  <si>
    <t>Muang Yala</t>
  </si>
  <si>
    <t>THA.76.6_1</t>
  </si>
  <si>
    <t>Raman</t>
  </si>
  <si>
    <t>THA.76.7_1</t>
  </si>
  <si>
    <t>Than To</t>
  </si>
  <si>
    <t>THA.76.8_1</t>
  </si>
  <si>
    <t>Yaha</t>
  </si>
  <si>
    <t>THA.77.1_1</t>
  </si>
  <si>
    <t>Yasothon</t>
  </si>
  <si>
    <t>Amphoe Muang Yasothon</t>
  </si>
  <si>
    <t>THA.77.2_1</t>
  </si>
  <si>
    <t>Amphoe Sai Mun</t>
  </si>
  <si>
    <t>THA.77.3_1</t>
  </si>
  <si>
    <t>Kham Khuan Kaeo</t>
  </si>
  <si>
    <t>THA.77.4_1</t>
  </si>
  <si>
    <t>Kho Wang</t>
  </si>
  <si>
    <t>THA.77.5_1</t>
  </si>
  <si>
    <t>Kut Chum</t>
  </si>
  <si>
    <t>THA.77.6_1</t>
  </si>
  <si>
    <t>Loeng Nok Tha</t>
  </si>
  <si>
    <t>THA.77.7_1</t>
  </si>
  <si>
    <t>Maha Chana Chai</t>
  </si>
  <si>
    <t>THA.77.8_1</t>
  </si>
  <si>
    <t>Pa Tiu</t>
  </si>
  <si>
    <t>THA.77.9_1</t>
  </si>
  <si>
    <t>Thai Charoen</t>
  </si>
  <si>
    <t>THA.3_1</t>
  </si>
  <si>
    <t>Bangkok Metropolis</t>
  </si>
  <si>
    <t>THA.12_1</t>
  </si>
  <si>
    <t>Chon Buri</t>
  </si>
  <si>
    <t>VNM.1.1_1</t>
  </si>
  <si>
    <t>VNM</t>
  </si>
  <si>
    <t>Vietnam</t>
  </si>
  <si>
    <t>An Giang</t>
  </si>
  <si>
    <t>An Phú</t>
  </si>
  <si>
    <t>VNM.1.2_1</t>
  </si>
  <si>
    <t>Chợ Mới</t>
  </si>
  <si>
    <t>VNM.1.3_1</t>
  </si>
  <si>
    <t>Châu Đốc</t>
  </si>
  <si>
    <t>VNM.1.4_1</t>
  </si>
  <si>
    <t>Châu Phú</t>
  </si>
  <si>
    <t>VNM.1.5_1</t>
  </si>
  <si>
    <t>Châu Thành</t>
  </si>
  <si>
    <t>VNM.1.6_1</t>
  </si>
  <si>
    <t>Long Xuyên</t>
  </si>
  <si>
    <t>VNM.1.7_1</t>
  </si>
  <si>
    <t>Phú Tân</t>
  </si>
  <si>
    <t>VNM.1.8_1</t>
  </si>
  <si>
    <t>Tịnh Biên</t>
  </si>
  <si>
    <t>VNM.1.9_1</t>
  </si>
  <si>
    <t>Tân Châu</t>
  </si>
  <si>
    <t>VNM.1.10_1</t>
  </si>
  <si>
    <t>Thoại Sơn</t>
  </si>
  <si>
    <t>VNM.1.11_1</t>
  </si>
  <si>
    <t>Tri Tôn</t>
  </si>
  <si>
    <t>VNM.2.1_1</t>
  </si>
  <si>
    <t>Bạc Liêu</t>
  </si>
  <si>
    <t>VNM.2.2_1</t>
  </si>
  <si>
    <t>Đông Hải</t>
  </si>
  <si>
    <t>VNM.2.3_1</t>
  </si>
  <si>
    <t>Giá Rai</t>
  </si>
  <si>
    <t>VNM.2.4_1</t>
  </si>
  <si>
    <t>Hồng Dân</t>
  </si>
  <si>
    <t>VNM.2.5_1</t>
  </si>
  <si>
    <t>Hoà Bình</t>
  </si>
  <si>
    <t>VNM.2.6_1</t>
  </si>
  <si>
    <t>Phước Long</t>
  </si>
  <si>
    <t>VNM.2.7_1</t>
  </si>
  <si>
    <t>Vĩnh Lợi</t>
  </si>
  <si>
    <t>VNM.3.1_1</t>
  </si>
  <si>
    <t>Bắc Giang</t>
  </si>
  <si>
    <t>VNM.3.2_1</t>
  </si>
  <si>
    <t>Hiệp Hòa</t>
  </si>
  <si>
    <t>VNM.3.3_1</t>
  </si>
  <si>
    <t>Lạng Giang</t>
  </si>
  <si>
    <t>VNM.3.4_1</t>
  </si>
  <si>
    <t>Lục Nam</t>
  </si>
  <si>
    <t>VNM.3.5_1</t>
  </si>
  <si>
    <t>Lục Ngạn</t>
  </si>
  <si>
    <t>VNM.3.6_1</t>
  </si>
  <si>
    <t>Sơn Động</t>
  </si>
  <si>
    <t>VNM.3.7_1</t>
  </si>
  <si>
    <t>Tân Yên</t>
  </si>
  <si>
    <t>VNM.3.8_1</t>
  </si>
  <si>
    <t>Việt Yên</t>
  </si>
  <si>
    <t>VNM.3.9_1</t>
  </si>
  <si>
    <t>Yên Dũng</t>
  </si>
  <si>
    <t>VNM.3.10_1</t>
  </si>
  <si>
    <t>Yên Thế</t>
  </si>
  <si>
    <t>VNM.4.1_1</t>
  </si>
  <si>
    <t>Bắc Kạn</t>
  </si>
  <si>
    <t>Bạch Thông</t>
  </si>
  <si>
    <t>VNM.4.2_1</t>
  </si>
  <si>
    <t>Ba Bể</t>
  </si>
  <si>
    <t>VNM.4.3_1</t>
  </si>
  <si>
    <t>Chợ Đồn</t>
  </si>
  <si>
    <t>VNM.4.4_1</t>
  </si>
  <si>
    <t>VNM.4.5_1</t>
  </si>
  <si>
    <t>Na Rì</t>
  </si>
  <si>
    <t>VNM.4.6_1</t>
  </si>
  <si>
    <t>Ngân Sơn</t>
  </si>
  <si>
    <t>VNM.4.7_1</t>
  </si>
  <si>
    <t>Pác Nặm</t>
  </si>
  <si>
    <t>VNM.4.8_1</t>
  </si>
  <si>
    <t>Thành Phố Bắc Kạn</t>
  </si>
  <si>
    <t>VNM.5.1_1</t>
  </si>
  <si>
    <t>Bắc Ninh</t>
  </si>
  <si>
    <t>VNM.5.2_1</t>
  </si>
  <si>
    <t>Gia Bình</t>
  </si>
  <si>
    <t>VNM.5.3_1</t>
  </si>
  <si>
    <t>Lương Tài</t>
  </si>
  <si>
    <t>VNM.5.4_1</t>
  </si>
  <si>
    <t>Quế Võ</t>
  </si>
  <si>
    <t>VNM.5.5_1</t>
  </si>
  <si>
    <t>Từ Sơn</t>
  </si>
  <si>
    <t>VNM.5.6_1</t>
  </si>
  <si>
    <t>Thuận Thành</t>
  </si>
  <si>
    <t>VNM.5.7_1</t>
  </si>
  <si>
    <t>Tiên Du</t>
  </si>
  <si>
    <t>VNM.5.8_1</t>
  </si>
  <si>
    <t>Yên Phong</t>
  </si>
  <si>
    <t>VNM.6.1_1</t>
  </si>
  <si>
    <t>Bến Tre</t>
  </si>
  <si>
    <t>VNM.6.2_1</t>
  </si>
  <si>
    <t>Ba Tri</t>
  </si>
  <si>
    <t>VNM.6.3_1</t>
  </si>
  <si>
    <t>Bình Đại</t>
  </si>
  <si>
    <t>VNM.6.4_1</t>
  </si>
  <si>
    <t>Chợ Lách</t>
  </si>
  <si>
    <t>VNM.6.5_1</t>
  </si>
  <si>
    <t>VNM.6.6_1</t>
  </si>
  <si>
    <t>Giồng Trôm</t>
  </si>
  <si>
    <t>VNM.6.7_1</t>
  </si>
  <si>
    <t>Mỏ Cày Bắc</t>
  </si>
  <si>
    <t>VNM.6.8_1</t>
  </si>
  <si>
    <t>Mỏ Cày Nam</t>
  </si>
  <si>
    <t>VNM.6.9_1</t>
  </si>
  <si>
    <t>Thạnh Phú</t>
  </si>
  <si>
    <t>VNM.7.1_1</t>
  </si>
  <si>
    <t>Bà Rịa - Vũng Tàu</t>
  </si>
  <si>
    <t>Bà Rịa</t>
  </si>
  <si>
    <t>VNM.7.2_1</t>
  </si>
  <si>
    <t>Châu Đức</t>
  </si>
  <si>
    <t>VNM.7.3_1</t>
  </si>
  <si>
    <t>Đất Đỏ</t>
  </si>
  <si>
    <t>VNM.7.4_1</t>
  </si>
  <si>
    <t>Long Điền</t>
  </si>
  <si>
    <t>VNM.7.5_1</t>
  </si>
  <si>
    <t>Tân Thành</t>
  </si>
  <si>
    <t>VNM.7.6_1</t>
  </si>
  <si>
    <t>Vũng Tàu</t>
  </si>
  <si>
    <t>VNM.7.7_1</t>
  </si>
  <si>
    <t>Xuyên Mộc</t>
  </si>
  <si>
    <t>VNM.8.1_1</t>
  </si>
  <si>
    <t>Bình Định</t>
  </si>
  <si>
    <t>An Lão</t>
  </si>
  <si>
    <t>VNM.8.2_1</t>
  </si>
  <si>
    <t>An Nhơn</t>
  </si>
  <si>
    <t>VNM.8.3_1</t>
  </si>
  <si>
    <t>Hoài Ân</t>
  </si>
  <si>
    <t>VNM.8.4_1</t>
  </si>
  <si>
    <t>Hoài Nhơn</t>
  </si>
  <si>
    <t>VNM.8.5_1</t>
  </si>
  <si>
    <t>Phù Cát</t>
  </si>
  <si>
    <t>VNM.8.6_1</t>
  </si>
  <si>
    <t>Phù Mỹ</t>
  </si>
  <si>
    <t>VNM.8.7_1</t>
  </si>
  <si>
    <t>Qui Nhơn</t>
  </si>
  <si>
    <t>VNM.8.8_1</t>
  </si>
  <si>
    <t>Tây Sơn</t>
  </si>
  <si>
    <t>VNM.8.9_1</t>
  </si>
  <si>
    <t>Tuy Phước</t>
  </si>
  <si>
    <t>VNM.8.10_1</t>
  </si>
  <si>
    <t>Vân Canh</t>
  </si>
  <si>
    <t>VNM.8.11_1</t>
  </si>
  <si>
    <t>Vĩnh Thạnh</t>
  </si>
  <si>
    <t>VNM.9.1_1</t>
  </si>
  <si>
    <t>Bình Dương</t>
  </si>
  <si>
    <t>Bắc Tân Uyên</t>
  </si>
  <si>
    <t>VNM.9.2_1</t>
  </si>
  <si>
    <t>Bến Cát</t>
  </si>
  <si>
    <t>VNM.9.3_1</t>
  </si>
  <si>
    <t>Bàu Bàng</t>
  </si>
  <si>
    <t>VNM.9.4_1</t>
  </si>
  <si>
    <t>Dầu Tiếng</t>
  </si>
  <si>
    <t>VNM.9.5_1</t>
  </si>
  <si>
    <t>Dĩ An</t>
  </si>
  <si>
    <t>VNM.9.6_1</t>
  </si>
  <si>
    <t>Phú Giáo</t>
  </si>
  <si>
    <t>VNM.9.7_1</t>
  </si>
  <si>
    <t>Tân Uyên</t>
  </si>
  <si>
    <t>VNM.9.8_1</t>
  </si>
  <si>
    <t>Thủ Dầu Một</t>
  </si>
  <si>
    <t>VNM.9.9_1</t>
  </si>
  <si>
    <t>Thuận An</t>
  </si>
  <si>
    <t>VNM.10.1_1</t>
  </si>
  <si>
    <t>Bình Phước</t>
  </si>
  <si>
    <t>Bình Long</t>
  </si>
  <si>
    <t>VNM.10.2_1</t>
  </si>
  <si>
    <t>Bù Đốp</t>
  </si>
  <si>
    <t>VNM.10.3_1</t>
  </si>
  <si>
    <t>Bù Đăng</t>
  </si>
  <si>
    <t>VNM.10.4_1</t>
  </si>
  <si>
    <t>Bù Gia Mập</t>
  </si>
  <si>
    <t>VNM.10.5_1</t>
  </si>
  <si>
    <t>Chơn Thành</t>
  </si>
  <si>
    <t>VNM.10.6_1</t>
  </si>
  <si>
    <t>Đồng Phú</t>
  </si>
  <si>
    <t>VNM.10.7_1</t>
  </si>
  <si>
    <t>Đồng Xoài</t>
  </si>
  <si>
    <t>VNM.10.8_1</t>
  </si>
  <si>
    <t>Hớn Quản</t>
  </si>
  <si>
    <t>VNM.10.9_1</t>
  </si>
  <si>
    <t>Lộc Ninh</t>
  </si>
  <si>
    <t>VNM.10.10_1</t>
  </si>
  <si>
    <t>Phú Riềng</t>
  </si>
  <si>
    <t>VNM.10.11_1</t>
  </si>
  <si>
    <t>VNM.11.1_1</t>
  </si>
  <si>
    <t>Bình Thuận</t>
  </si>
  <si>
    <t>Bắc Bình</t>
  </si>
  <si>
    <t>VNM.11.2_1</t>
  </si>
  <si>
    <t>Đức Linh</t>
  </si>
  <si>
    <t>VNM.11.3_1</t>
  </si>
  <si>
    <t>Hàm Tân</t>
  </si>
  <si>
    <t>VNM.11.4_1</t>
  </si>
  <si>
    <t>Hàm Thuận Bắc</t>
  </si>
  <si>
    <t>VNM.11.5_1</t>
  </si>
  <si>
    <t>Hàm Thuận Nam</t>
  </si>
  <si>
    <t>VNM.11.6_1</t>
  </si>
  <si>
    <t>La Gi</t>
  </si>
  <si>
    <t>VNM.11.7_1</t>
  </si>
  <si>
    <t>Phan Thiết</t>
  </si>
  <si>
    <t>VNM.11.8_1</t>
  </si>
  <si>
    <t>Phú Quí</t>
  </si>
  <si>
    <t>VNM.11.9_1</t>
  </si>
  <si>
    <t>Tánh Linh</t>
  </si>
  <si>
    <t>VNM.11.10_1</t>
  </si>
  <si>
    <t>Tuy Phong</t>
  </si>
  <si>
    <t>VNM.12.1_1</t>
  </si>
  <si>
    <t>Cần Thơ</t>
  </si>
  <si>
    <t>Bình Thuỷ</t>
  </si>
  <si>
    <t>VNM.12.2_1</t>
  </si>
  <si>
    <t>Cờ Đỏ</t>
  </si>
  <si>
    <t>VNM.12.3_1</t>
  </si>
  <si>
    <t>Cái Răng</t>
  </si>
  <si>
    <t>VNM.12.4_1</t>
  </si>
  <si>
    <t>Ninh Kiều</t>
  </si>
  <si>
    <t>VNM.12.5_1</t>
  </si>
  <si>
    <t>Ô Môn</t>
  </si>
  <si>
    <t>VNM.12.6_1</t>
  </si>
  <si>
    <t>Phong Điền</t>
  </si>
  <si>
    <t>VNM.12.7_1</t>
  </si>
  <si>
    <t>Thốt Nốt</t>
  </si>
  <si>
    <t>VNM.12.8_1</t>
  </si>
  <si>
    <t>Thới Lai</t>
  </si>
  <si>
    <t>VNM.12.9_1</t>
  </si>
  <si>
    <t>VNM.13.1_1</t>
  </si>
  <si>
    <t>Cà Mau</t>
  </si>
  <si>
    <t>VNM.13.2_1</t>
  </si>
  <si>
    <t>Cái Nước</t>
  </si>
  <si>
    <t>VNM.13.3_1</t>
  </si>
  <si>
    <t>Đầm Dơi</t>
  </si>
  <si>
    <t>VNM.13.4_1</t>
  </si>
  <si>
    <t>Năm Căn</t>
  </si>
  <si>
    <t>VNM.13.5_1</t>
  </si>
  <si>
    <t>Ngọc Hiển</t>
  </si>
  <si>
    <t>VNM.13.6_1</t>
  </si>
  <si>
    <t>VNM.13.7_1</t>
  </si>
  <si>
    <t>Thới Bình</t>
  </si>
  <si>
    <t>VNM.13.8_1</t>
  </si>
  <si>
    <t>Trần Văn Thời</t>
  </si>
  <si>
    <t>VNM.13.9_1</t>
  </si>
  <si>
    <t>U Minh</t>
  </si>
  <si>
    <t>VNM.14.1_1</t>
  </si>
  <si>
    <t>Cao Bằng</t>
  </si>
  <si>
    <t>Bảo Lạc</t>
  </si>
  <si>
    <t>VNM.14.2_1</t>
  </si>
  <si>
    <t>Bảo Lâm</t>
  </si>
  <si>
    <t>VNM.14.3_1</t>
  </si>
  <si>
    <t>VNM.14.4_1</t>
  </si>
  <si>
    <t>Hạ Lang</t>
  </si>
  <si>
    <t>VNM.14.5_1</t>
  </si>
  <si>
    <t>Hà Quảng</t>
  </si>
  <si>
    <t>VNM.14.6_1</t>
  </si>
  <si>
    <t>Hoà An</t>
  </si>
  <si>
    <t>VNM.14.7_1</t>
  </si>
  <si>
    <t>Nguyên Bình</t>
  </si>
  <si>
    <t>VNM.14.8_1</t>
  </si>
  <si>
    <t>Phục Hoà</t>
  </si>
  <si>
    <t>VNM.14.9_1</t>
  </si>
  <si>
    <t>Quảng Uyên</t>
  </si>
  <si>
    <t>VNM.14.10_1</t>
  </si>
  <si>
    <t>Thạch An</t>
  </si>
  <si>
    <t>VNM.14.11_1</t>
  </si>
  <si>
    <t>Thông Nông</t>
  </si>
  <si>
    <t>VNM.14.12_1</t>
  </si>
  <si>
    <t>Trà Lĩnh</t>
  </si>
  <si>
    <t>VNM.14.13_1</t>
  </si>
  <si>
    <t>Trùng Khánh</t>
  </si>
  <si>
    <t>VNM.15.1_1</t>
  </si>
  <si>
    <t>Đắk Lắk</t>
  </si>
  <si>
    <t>Buôn Đôn</t>
  </si>
  <si>
    <t>VNM.15.2_1</t>
  </si>
  <si>
    <t>Buôn Ma Thuột</t>
  </si>
  <si>
    <t>VNM.15.3_1</t>
  </si>
  <si>
    <t>Cư Kuin</t>
  </si>
  <si>
    <t>VNM.15.4_1</t>
  </si>
  <si>
    <t>Cư M'gar</t>
  </si>
  <si>
    <t>VNM.15.5_1</t>
  </si>
  <si>
    <t>Ea H'leo</t>
  </si>
  <si>
    <t>VNM.15.6_1</t>
  </si>
  <si>
    <t>Ea Kar</t>
  </si>
  <si>
    <t>VNM.15.7_1</t>
  </si>
  <si>
    <t>Ea Súp</t>
  </si>
  <si>
    <t>VNM.15.8_1</t>
  </si>
  <si>
    <t>Krông A Na</t>
  </si>
  <si>
    <t>VNM.15.9_1</t>
  </si>
  <si>
    <t>Krông Bông</t>
  </si>
  <si>
    <t>VNM.15.10_1</t>
  </si>
  <si>
    <t>Krông Búk</t>
  </si>
  <si>
    <t>VNM.15.11_1</t>
  </si>
  <si>
    <t>Krông Năng</t>
  </si>
  <si>
    <t>VNM.15.12_1</t>
  </si>
  <si>
    <t>Krông Pắc</t>
  </si>
  <si>
    <t>VNM.15.13_1</t>
  </si>
  <si>
    <t>Lắk</t>
  </si>
  <si>
    <t>VNM.15.14_1</t>
  </si>
  <si>
    <t>M'Đrắk</t>
  </si>
  <si>
    <t>VNM.15.15_1</t>
  </si>
  <si>
    <t>Thị Xã Buôn Hồ</t>
  </si>
  <si>
    <t>VNM.16.1_1</t>
  </si>
  <si>
    <t>Đắk Nông</t>
  </si>
  <si>
    <t>Cư Jút</t>
  </si>
  <si>
    <t>VNM.16.2_1</t>
  </si>
  <si>
    <t>Đắk Mil</t>
  </si>
  <si>
    <t>VNM.16.3_1</t>
  </si>
  <si>
    <t>Đắk R'Lấp</t>
  </si>
  <si>
    <t>VNM.16.4_1</t>
  </si>
  <si>
    <t>Đắk Song</t>
  </si>
  <si>
    <t>VNM.16.5_1</t>
  </si>
  <si>
    <t>Đăk Glong</t>
  </si>
  <si>
    <t>VNM.16.6_1</t>
  </si>
  <si>
    <t>Gia Nghĩa</t>
  </si>
  <si>
    <t>VNM.16.7_1</t>
  </si>
  <si>
    <t>Krông Nô</t>
  </si>
  <si>
    <t>VNM.16.8_1</t>
  </si>
  <si>
    <t>Tuy Đức</t>
  </si>
  <si>
    <t>VNM.17.1_1</t>
  </si>
  <si>
    <t>Đồng Nai</t>
  </si>
  <si>
    <t>Biên Hòa</t>
  </si>
  <si>
    <t>VNM.17.2_1</t>
  </si>
  <si>
    <t>Cẩm Mỹ</t>
  </si>
  <si>
    <t>VNM.17.3_1</t>
  </si>
  <si>
    <t>Định Quán</t>
  </si>
  <si>
    <t>VNM.17.4_1</t>
  </si>
  <si>
    <t>Long Khánh</t>
  </si>
  <si>
    <t>VNM.17.5_1</t>
  </si>
  <si>
    <t>Long Thành</t>
  </si>
  <si>
    <t>VNM.17.6_1</t>
  </si>
  <si>
    <t>Nhơn Trạch</t>
  </si>
  <si>
    <t>VNM.17.7_1</t>
  </si>
  <si>
    <t>Tân Phú</t>
  </si>
  <si>
    <t>VNM.17.8_1</t>
  </si>
  <si>
    <t>Thống Nhất</t>
  </si>
  <si>
    <t>VNM.17.9_1</t>
  </si>
  <si>
    <t>Trảng Bom</t>
  </si>
  <si>
    <t>VNM.17.10_1</t>
  </si>
  <si>
    <t>Vĩnh Cửu</t>
  </si>
  <si>
    <t>VNM.17.11_1</t>
  </si>
  <si>
    <t>Xuân Lộc</t>
  </si>
  <si>
    <t>VNM.18.2_1</t>
  </si>
  <si>
    <t>Đồng Tháp</t>
  </si>
  <si>
    <t>Cao Lãnh</t>
  </si>
  <si>
    <t>VNM.18.1_1</t>
  </si>
  <si>
    <t>Cao Lãnh (Thành phố)</t>
  </si>
  <si>
    <t>VNM.18.3_1</t>
  </si>
  <si>
    <t>VNM.18.5_1</t>
  </si>
  <si>
    <t>Hồng Ngự</t>
  </si>
  <si>
    <t>VNM.18.4_1</t>
  </si>
  <si>
    <t>Hồng Ngự (Thị xã)</t>
  </si>
  <si>
    <t>VNM.18.6_1</t>
  </si>
  <si>
    <t>Lấp Vò</t>
  </si>
  <si>
    <t>VNM.18.7_1</t>
  </si>
  <si>
    <t>Lai Vung</t>
  </si>
  <si>
    <t>VNM.18.8_1</t>
  </si>
  <si>
    <t>Sa Đéc</t>
  </si>
  <si>
    <t>VNM.18.9_1</t>
  </si>
  <si>
    <t>Tam Nông</t>
  </si>
  <si>
    <t>VNM.18.10_1</t>
  </si>
  <si>
    <t>Tân Hồng</t>
  </si>
  <si>
    <t>VNM.18.11_1</t>
  </si>
  <si>
    <t>Thanh Bình</t>
  </si>
  <si>
    <t>VNM.18.12_1</t>
  </si>
  <si>
    <t>Tháp Mười</t>
  </si>
  <si>
    <t>VNM.19.1_1</t>
  </si>
  <si>
    <t>Đà Nẵng</t>
  </si>
  <si>
    <t>Cẩm Lệ</t>
  </si>
  <si>
    <t>VNM.19.2_1</t>
  </si>
  <si>
    <t>Hải Châu</t>
  </si>
  <si>
    <t>VNM.19.3_1</t>
  </si>
  <si>
    <t>Hòa Vang</t>
  </si>
  <si>
    <t>VNM.19.4_1</t>
  </si>
  <si>
    <t>Liên Chiểu</t>
  </si>
  <si>
    <t>VNM.19.5_1</t>
  </si>
  <si>
    <t>Ngũ Hành Sơn</t>
  </si>
  <si>
    <t>VNM.19.6_1</t>
  </si>
  <si>
    <t>Sơn Trà</t>
  </si>
  <si>
    <t>VNM.19.7_1</t>
  </si>
  <si>
    <t>Thanh Khê</t>
  </si>
  <si>
    <t>VNM.20.3_1</t>
  </si>
  <si>
    <t>Điện Biên</t>
  </si>
  <si>
    <t>VNM.20.1_1</t>
  </si>
  <si>
    <t>Điện Biên Đông</t>
  </si>
  <si>
    <t>VNM.20.2_1</t>
  </si>
  <si>
    <t>Điện Biên Phủ</t>
  </si>
  <si>
    <t>VNM.20.4_1</t>
  </si>
  <si>
    <t>Mường Ảng</t>
  </si>
  <si>
    <t>VNM.20.5_1</t>
  </si>
  <si>
    <t>Mường Chà</t>
  </si>
  <si>
    <t>VNM.20.6_1</t>
  </si>
  <si>
    <t>Mường Nhé</t>
  </si>
  <si>
    <t>VNM.20.7_1</t>
  </si>
  <si>
    <t>Nậm Pồ</t>
  </si>
  <si>
    <t>VNM.20.8_1</t>
  </si>
  <si>
    <t>Tủa Chùa</t>
  </si>
  <si>
    <t>VNM.20.9_1</t>
  </si>
  <si>
    <t>Thị Xã Mường Lay</t>
  </si>
  <si>
    <t>VNM.20.10_1</t>
  </si>
  <si>
    <t>Tuần Giáo</t>
  </si>
  <si>
    <t>VNM.21.1_1</t>
  </si>
  <si>
    <t>Gia Lai</t>
  </si>
  <si>
    <t>An Khê</t>
  </si>
  <si>
    <t>VNM.21.2_1</t>
  </si>
  <si>
    <t>Ayun Pa</t>
  </si>
  <si>
    <t>VNM.21.3_1</t>
  </si>
  <si>
    <t>Chư Păh</t>
  </si>
  <si>
    <t>VNM.21.4_1</t>
  </si>
  <si>
    <t>Chư Prông</t>
  </si>
  <si>
    <t>VNM.21.5_1</t>
  </si>
  <si>
    <t>Chư Pưh</t>
  </si>
  <si>
    <t>VNM.21.6_1</t>
  </si>
  <si>
    <t>Chư Sê</t>
  </si>
  <si>
    <t>VNM.21.7_1</t>
  </si>
  <si>
    <t>Đức Cơ</t>
  </si>
  <si>
    <t>VNM.21.8_1</t>
  </si>
  <si>
    <t>Đăk Đoa</t>
  </si>
  <si>
    <t>VNM.21.9_1</t>
  </si>
  <si>
    <t>Đăk Pơ</t>
  </si>
  <si>
    <t>VNM.21.10_1</t>
  </si>
  <si>
    <t>Ia Grai</t>
  </si>
  <si>
    <t>VNM.21.11_1</t>
  </si>
  <si>
    <t>Ia Pa</t>
  </si>
  <si>
    <t>VNM.21.12_1</t>
  </si>
  <si>
    <t>KBang</t>
  </si>
  <si>
    <t>VNM.21.13_1</t>
  </si>
  <si>
    <t>Kông Chro</t>
  </si>
  <si>
    <t>VNM.21.14_1</t>
  </si>
  <si>
    <t>Krông Pa</t>
  </si>
  <si>
    <t>VNM.21.15_1</t>
  </si>
  <si>
    <t>Mang Yang</t>
  </si>
  <si>
    <t>VNM.21.16_1</t>
  </si>
  <si>
    <t>Phú Thiện</t>
  </si>
  <si>
    <t>VNM.21.17_1</t>
  </si>
  <si>
    <t>Pleiku</t>
  </si>
  <si>
    <t>VNM.22.1_1</t>
  </si>
  <si>
    <t>Hải Dương</t>
  </si>
  <si>
    <t>Bình Giang</t>
  </si>
  <si>
    <t>VNM.22.2_1</t>
  </si>
  <si>
    <t>Cẩm Giàng</t>
  </si>
  <si>
    <t>VNM.22.3_1</t>
  </si>
  <si>
    <t>Chí Linh</t>
  </si>
  <si>
    <t>VNM.22.4_1</t>
  </si>
  <si>
    <t>Gia Lộc</t>
  </si>
  <si>
    <t>VNM.22.5_1</t>
  </si>
  <si>
    <t>VNM.22.6_1</t>
  </si>
  <si>
    <t>Kim Thành</t>
  </si>
  <si>
    <t>VNM.22.7_1</t>
  </si>
  <si>
    <t>Kinh Môn</t>
  </si>
  <si>
    <t>VNM.22.8_1</t>
  </si>
  <si>
    <t>Nam Sách</t>
  </si>
  <si>
    <t>VNM.22.9_1</t>
  </si>
  <si>
    <t>Ninh Giang</t>
  </si>
  <si>
    <t>VNM.22.10_1</t>
  </si>
  <si>
    <t>Tứ Kỳ</t>
  </si>
  <si>
    <t>VNM.22.11_1</t>
  </si>
  <si>
    <t>Thanh Hà</t>
  </si>
  <si>
    <t>VNM.22.12_1</t>
  </si>
  <si>
    <t>Thanh Miện</t>
  </si>
  <si>
    <t>VNM.23.1_1</t>
  </si>
  <si>
    <t>Hải Phòng</t>
  </si>
  <si>
    <t>An Dương</t>
  </si>
  <si>
    <t>VNM.23.2_1</t>
  </si>
  <si>
    <t>VNM.23.3_1</t>
  </si>
  <si>
    <t>Bạch Long Vĩ</t>
  </si>
  <si>
    <t>VNM.23.4_1</t>
  </si>
  <si>
    <t>Cát Hải</t>
  </si>
  <si>
    <t>VNM.23.5_1</t>
  </si>
  <si>
    <t>Đồ Sơn</t>
  </si>
  <si>
    <t>VNM.23.6_1</t>
  </si>
  <si>
    <t>Dương Kinh</t>
  </si>
  <si>
    <t>VNM.23.7_1</t>
  </si>
  <si>
    <t>Hải An</t>
  </si>
  <si>
    <t>VNM.23.8_1</t>
  </si>
  <si>
    <t>Hồng Bàng</t>
  </si>
  <si>
    <t>VNM.23.9_1</t>
  </si>
  <si>
    <t>Kiến An</t>
  </si>
  <si>
    <t>VNM.23.10_1</t>
  </si>
  <si>
    <t>Kiến Thuỵ</t>
  </si>
  <si>
    <t>VNM.23.11_1</t>
  </si>
  <si>
    <t>Lê Chân</t>
  </si>
  <si>
    <t>VNM.23.12_1</t>
  </si>
  <si>
    <t>Ngô Quyền</t>
  </si>
  <si>
    <t>VNM.23.13_1</t>
  </si>
  <si>
    <t>Thuỷ Nguyên</t>
  </si>
  <si>
    <t>VNM.23.14_1</t>
  </si>
  <si>
    <t>Tiên Lãng</t>
  </si>
  <si>
    <t>VNM.23.15_1</t>
  </si>
  <si>
    <t>Vĩnh Bảo</t>
  </si>
  <si>
    <t>VNM.24.2_1</t>
  </si>
  <si>
    <t>Hậu Giang</t>
  </si>
  <si>
    <t>VNM.24.1_1</t>
  </si>
  <si>
    <t>Châu Thành A</t>
  </si>
  <si>
    <t>VNM.24.4_1</t>
  </si>
  <si>
    <t>Long Mỹ</t>
  </si>
  <si>
    <t>VNM.24.3_1</t>
  </si>
  <si>
    <t>Long Mỹ (Thị xã)</t>
  </si>
  <si>
    <t>VNM.24.5_1</t>
  </si>
  <si>
    <t>Ngã Bảy</t>
  </si>
  <si>
    <t>VNM.24.6_1</t>
  </si>
  <si>
    <t>Phụng Hiệp</t>
  </si>
  <si>
    <t>VNM.24.7_1</t>
  </si>
  <si>
    <t>Vị Thanh</t>
  </si>
  <si>
    <t>VNM.24.8_1</t>
  </si>
  <si>
    <t>Vị Thuỷ</t>
  </si>
  <si>
    <t>VNM.26.1_1</t>
  </si>
  <si>
    <t>Hà Giang</t>
  </si>
  <si>
    <t>Bắc Mê</t>
  </si>
  <si>
    <t>VNM.26.2_1</t>
  </si>
  <si>
    <t>Bắc Quang</t>
  </si>
  <si>
    <t>VNM.26.3_1</t>
  </si>
  <si>
    <t>Đồng Văn</t>
  </si>
  <si>
    <t>VNM.26.4_1</t>
  </si>
  <si>
    <t>VNM.26.5_1</t>
  </si>
  <si>
    <t>Hoàng Su Phì</t>
  </si>
  <si>
    <t>VNM.26.6_1</t>
  </si>
  <si>
    <t>Mèo Vạc</t>
  </si>
  <si>
    <t>VNM.26.7_1</t>
  </si>
  <si>
    <t>Quản Bạ</t>
  </si>
  <si>
    <t>VNM.26.8_1</t>
  </si>
  <si>
    <t>Quang Bình</t>
  </si>
  <si>
    <t>VNM.26.9_1</t>
  </si>
  <si>
    <t>Vị Xuyên</t>
  </si>
  <si>
    <t>VNM.26.10_1</t>
  </si>
  <si>
    <t>Xín Mần</t>
  </si>
  <si>
    <t>VNM.26.11_1</t>
  </si>
  <si>
    <t>Yên Minh</t>
  </si>
  <si>
    <t>VNM.28.1_1</t>
  </si>
  <si>
    <t>Hà Nam</t>
  </si>
  <si>
    <t>Bình Lục</t>
  </si>
  <si>
    <t>VNM.28.2_1</t>
  </si>
  <si>
    <t>Duy Tiên</t>
  </si>
  <si>
    <t>VNM.28.3_1</t>
  </si>
  <si>
    <t>Kim Bảng</t>
  </si>
  <si>
    <t>VNM.28.4_1</t>
  </si>
  <si>
    <t>Lý Nhân</t>
  </si>
  <si>
    <t>VNM.28.5_1</t>
  </si>
  <si>
    <t>Phủ Lý</t>
  </si>
  <si>
    <t>VNM.28.6_1</t>
  </si>
  <si>
    <t>Thanh Liêm</t>
  </si>
  <si>
    <t>VNM.29.1_1</t>
  </si>
  <si>
    <t>Hà Tĩnh</t>
  </si>
  <si>
    <t>Cẩm Xuyên</t>
  </si>
  <si>
    <t>VNM.29.2_1</t>
  </si>
  <si>
    <t>Can Lộc</t>
  </si>
  <si>
    <t>VNM.29.3_1</t>
  </si>
  <si>
    <t>Đức Thọ</t>
  </si>
  <si>
    <t>VNM.29.4_1</t>
  </si>
  <si>
    <t>Hồng Lĩnh</t>
  </si>
  <si>
    <t>VNM.29.5_1</t>
  </si>
  <si>
    <t>VNM.29.6_1</t>
  </si>
  <si>
    <t>Hương Khê</t>
  </si>
  <si>
    <t>VNM.29.7_1</t>
  </si>
  <si>
    <t>Hương Sơn</t>
  </si>
  <si>
    <t>VNM.29.9_1</t>
  </si>
  <si>
    <t>Kỳ Anh</t>
  </si>
  <si>
    <t>VNM.29.8_1</t>
  </si>
  <si>
    <t>Kỳ Anh (Thị xã)</t>
  </si>
  <si>
    <t>VNM.29.10_1</t>
  </si>
  <si>
    <t>Lộc Hà</t>
  </si>
  <si>
    <t>VNM.29.11_1</t>
  </si>
  <si>
    <t>Nghi Xuân</t>
  </si>
  <si>
    <t>VNM.29.12_1</t>
  </si>
  <si>
    <t>Thạch Hà</t>
  </si>
  <si>
    <t>VNM.29.13_1</t>
  </si>
  <si>
    <t>Vũ Quang</t>
  </si>
  <si>
    <t>VNM.30.1_1</t>
  </si>
  <si>
    <t>Cao Phong</t>
  </si>
  <si>
    <t>VNM.30.2_1</t>
  </si>
  <si>
    <t>Đà Bắc</t>
  </si>
  <si>
    <t>VNM.30.3_1</t>
  </si>
  <si>
    <t>Hòa Bình</t>
  </si>
  <si>
    <t>VNM.30.4_1</t>
  </si>
  <si>
    <t>Kỳ Sơn</t>
  </si>
  <si>
    <t>VNM.30.5_1</t>
  </si>
  <si>
    <t>Kim Bôi</t>
  </si>
  <si>
    <t>VNM.30.6_1</t>
  </si>
  <si>
    <t>Lạc Sơn</t>
  </si>
  <si>
    <t>VNM.30.7_1</t>
  </si>
  <si>
    <t>Lạc Thủy</t>
  </si>
  <si>
    <t>VNM.30.8_1</t>
  </si>
  <si>
    <t>Lương Sơn</t>
  </si>
  <si>
    <t>VNM.30.9_1</t>
  </si>
  <si>
    <t>Mai Châu</t>
  </si>
  <si>
    <t>VNM.30.10_1</t>
  </si>
  <si>
    <t>Tân Lạc</t>
  </si>
  <si>
    <t>VNM.30.11_1</t>
  </si>
  <si>
    <t>Yên Thủy</t>
  </si>
  <si>
    <t>VNM.31.1_1</t>
  </si>
  <si>
    <t>Hưng Yên</t>
  </si>
  <si>
    <t>Ân Thi</t>
  </si>
  <si>
    <t>VNM.31.2_1</t>
  </si>
  <si>
    <t>VNM.31.3_1</t>
  </si>
  <si>
    <t>Khoái Châu</t>
  </si>
  <si>
    <t>VNM.31.4_1</t>
  </si>
  <si>
    <t>Kim Động</t>
  </si>
  <si>
    <t>VNM.31.5_1</t>
  </si>
  <si>
    <t>Mỹ Hào</t>
  </si>
  <si>
    <t>VNM.31.6_1</t>
  </si>
  <si>
    <t>Phù Cừ</t>
  </si>
  <si>
    <t>VNM.31.7_1</t>
  </si>
  <si>
    <t>Tiên Lữ</t>
  </si>
  <si>
    <t>VNM.31.8_1</t>
  </si>
  <si>
    <t>Văn Giang</t>
  </si>
  <si>
    <t>VNM.31.9_1</t>
  </si>
  <si>
    <t>Văn Lâm</t>
  </si>
  <si>
    <t>VNM.31.10_1</t>
  </si>
  <si>
    <t>Yên Mỹ</t>
  </si>
  <si>
    <t>VNM.32.1_1</t>
  </si>
  <si>
    <t>Khánh Hòa</t>
  </si>
  <si>
    <t>Cam Lâm</t>
  </si>
  <si>
    <t>VNM.32.2_1</t>
  </si>
  <si>
    <t>Cam Ranh</t>
  </si>
  <si>
    <t>VNM.32.3_1</t>
  </si>
  <si>
    <t>Diên Khánh</t>
  </si>
  <si>
    <t>VNM.32.4_1</t>
  </si>
  <si>
    <t>Khánh Sơn</t>
  </si>
  <si>
    <t>VNM.32.5_1</t>
  </si>
  <si>
    <t>Khánh Vĩnh</t>
  </si>
  <si>
    <t>VNM.32.6_1</t>
  </si>
  <si>
    <t>Nha Trang</t>
  </si>
  <si>
    <t>VNM.32.7_1</t>
  </si>
  <si>
    <t>Ninh Hòa</t>
  </si>
  <si>
    <t>VNM.32.8_1</t>
  </si>
  <si>
    <t>Vạn Ninh</t>
  </si>
  <si>
    <t>VNM.33.1_1</t>
  </si>
  <si>
    <t>Kiên Giang</t>
  </si>
  <si>
    <t>An Biên</t>
  </si>
  <si>
    <t>VNM.33.2_1</t>
  </si>
  <si>
    <t>An Minh</t>
  </si>
  <si>
    <t>VNM.33.3_1</t>
  </si>
  <si>
    <t>VNM.33.4_1</t>
  </si>
  <si>
    <t>Giồng Riềng</t>
  </si>
  <si>
    <t>VNM.33.5_1</t>
  </si>
  <si>
    <t>Giang Thành</t>
  </si>
  <si>
    <t>VNM.33.6_1</t>
  </si>
  <si>
    <t>Gò Quao</t>
  </si>
  <si>
    <t>VNM.33.7_1</t>
  </si>
  <si>
    <t>Hà Tiên</t>
  </si>
  <si>
    <t>VNM.33.8_1</t>
  </si>
  <si>
    <t>Hòn Đất</t>
  </si>
  <si>
    <t>VNM.33.9_1</t>
  </si>
  <si>
    <t>Kiên Hải</t>
  </si>
  <si>
    <t>VNM.33.10_1</t>
  </si>
  <si>
    <t>Kiên Lương</t>
  </si>
  <si>
    <t>VNM.33.11_1</t>
  </si>
  <si>
    <t>Phú Quốc</t>
  </si>
  <si>
    <t>VNM.33.12_1</t>
  </si>
  <si>
    <t>Rạch Giá</t>
  </si>
  <si>
    <t>VNM.33.13_1</t>
  </si>
  <si>
    <t>Tân Hiệp</t>
  </si>
  <si>
    <t>VNM.33.14_1</t>
  </si>
  <si>
    <t>U Minh Thượng</t>
  </si>
  <si>
    <t>VNM.33.15_1</t>
  </si>
  <si>
    <t>Vĩnh Thuận</t>
  </si>
  <si>
    <t>VNM.34.1_1</t>
  </si>
  <si>
    <t>Kon Tum</t>
  </si>
  <si>
    <t>Đắk Glei</t>
  </si>
  <si>
    <t>VNM.34.2_1</t>
  </si>
  <si>
    <t>Đắk Hà</t>
  </si>
  <si>
    <t>VNM.34.3_1</t>
  </si>
  <si>
    <t>Đắk Tô</t>
  </si>
  <si>
    <t>VNM.34.4_1</t>
  </si>
  <si>
    <t>Ia H' Drai</t>
  </si>
  <si>
    <t>VNM.34.5_1</t>
  </si>
  <si>
    <t>Kon Plông</t>
  </si>
  <si>
    <t>VNM.34.6_1</t>
  </si>
  <si>
    <t>Kon Rẫy</t>
  </si>
  <si>
    <t>VNM.34.7_1</t>
  </si>
  <si>
    <t>VNM.34.8_1</t>
  </si>
  <si>
    <t>Ngọc Hồi</t>
  </si>
  <si>
    <t>VNM.34.9_1</t>
  </si>
  <si>
    <t>Sa Thầy</t>
  </si>
  <si>
    <t>VNM.34.10_1</t>
  </si>
  <si>
    <t>Tu Mơ Rông</t>
  </si>
  <si>
    <t>VNM.35.1_1</t>
  </si>
  <si>
    <t>Lạng Sơn</t>
  </si>
  <si>
    <t>Bắc Sơn</t>
  </si>
  <si>
    <t>VNM.35.2_1</t>
  </si>
  <si>
    <t>Bình Gia</t>
  </si>
  <si>
    <t>VNM.35.3_1</t>
  </si>
  <si>
    <t>Cao Lộc</t>
  </si>
  <si>
    <t>VNM.35.4_1</t>
  </si>
  <si>
    <t>Chi Lăng</t>
  </si>
  <si>
    <t>VNM.35.5_1</t>
  </si>
  <si>
    <t>Đình Lập</t>
  </si>
  <si>
    <t>VNM.35.6_1</t>
  </si>
  <si>
    <t>Hữu Lũng</t>
  </si>
  <si>
    <t>VNM.35.7_1</t>
  </si>
  <si>
    <t>VNM.35.8_1</t>
  </si>
  <si>
    <t>Lộc Bình</t>
  </si>
  <si>
    <t>VNM.35.9_1</t>
  </si>
  <si>
    <t>Tràng Định</t>
  </si>
  <si>
    <t>VNM.35.10_1</t>
  </si>
  <si>
    <t>Văn Lãng</t>
  </si>
  <si>
    <t>VNM.35.11_1</t>
  </si>
  <si>
    <t>Văn Quan</t>
  </si>
  <si>
    <t>VNM.36.1_1</t>
  </si>
  <si>
    <t>Lai Châu</t>
  </si>
  <si>
    <t>VNM.36.2_1</t>
  </si>
  <si>
    <t>Mường Tè</t>
  </si>
  <si>
    <t>VNM.36.3_1</t>
  </si>
  <si>
    <t>Nậm Nhùn</t>
  </si>
  <si>
    <t>VNM.36.4_1</t>
  </si>
  <si>
    <t>Phong Thổ</t>
  </si>
  <si>
    <t>VNM.36.5_1</t>
  </si>
  <si>
    <t>Sìn Hồ</t>
  </si>
  <si>
    <t>VNM.36.6_1</t>
  </si>
  <si>
    <t>Tam Đường</t>
  </si>
  <si>
    <t>VNM.36.7_1</t>
  </si>
  <si>
    <t>VNM.36.8_1</t>
  </si>
  <si>
    <t>Than Uyên</t>
  </si>
  <si>
    <t>VNM.37.1_1</t>
  </si>
  <si>
    <t>Lâm Đồng</t>
  </si>
  <si>
    <t>Bảo Lộc</t>
  </si>
  <si>
    <t>VNM.37.2_1</t>
  </si>
  <si>
    <t>VNM.37.3_1</t>
  </si>
  <si>
    <t>Cát Tiên</t>
  </si>
  <si>
    <t>VNM.37.4_1</t>
  </si>
  <si>
    <t>Đạ Huoai</t>
  </si>
  <si>
    <t>VNM.37.5_1</t>
  </si>
  <si>
    <t>Đạ Tẻh</t>
  </si>
  <si>
    <t>VNM.37.6_1</t>
  </si>
  <si>
    <t>Đức Trọng</t>
  </si>
  <si>
    <t>VNM.37.7_1</t>
  </si>
  <si>
    <t>Đà Lạt</t>
  </si>
  <si>
    <t>VNM.37.8_1</t>
  </si>
  <si>
    <t>Đam Rông</t>
  </si>
  <si>
    <t>VNM.37.9_1</t>
  </si>
  <si>
    <t>Di Linh</t>
  </si>
  <si>
    <t>VNM.37.10_1</t>
  </si>
  <si>
    <t>Đơn Dương</t>
  </si>
  <si>
    <t>VNM.37.11_1</t>
  </si>
  <si>
    <t>Lạc Dương</t>
  </si>
  <si>
    <t>VNM.37.12_1</t>
  </si>
  <si>
    <t>Lâm Hà</t>
  </si>
  <si>
    <t>VNM.38.1_1</t>
  </si>
  <si>
    <t>Lào Cai</t>
  </si>
  <si>
    <t>Bảo Thắng</t>
  </si>
  <si>
    <t>VNM.38.2_1</t>
  </si>
  <si>
    <t>Bảo Yên</t>
  </si>
  <si>
    <t>VNM.38.3_1</t>
  </si>
  <si>
    <t>Bắc Hà</t>
  </si>
  <si>
    <t>VNM.38.4_1</t>
  </si>
  <si>
    <t>Bát Xát</t>
  </si>
  <si>
    <t>VNM.38.5_1</t>
  </si>
  <si>
    <t>VNM.38.6_1</t>
  </si>
  <si>
    <t>Mường Khương</t>
  </si>
  <si>
    <t>VNM.38.7_1</t>
  </si>
  <si>
    <t>Sa Pa</t>
  </si>
  <si>
    <t>VNM.38.8_1</t>
  </si>
  <si>
    <t>Si Ma Cai</t>
  </si>
  <si>
    <t>VNM.38.9_1</t>
  </si>
  <si>
    <t>Văn Bàn</t>
  </si>
  <si>
    <t>VNM.39.1_1</t>
  </si>
  <si>
    <t>Long An</t>
  </si>
  <si>
    <t>Bến Lức</t>
  </si>
  <si>
    <t>VNM.39.2_1</t>
  </si>
  <si>
    <t>Cần Đước</t>
  </si>
  <si>
    <t>VNM.39.3_1</t>
  </si>
  <si>
    <t>Cần Giuộc</t>
  </si>
  <si>
    <t>VNM.39.4_1</t>
  </si>
  <si>
    <t>VNM.39.5_1</t>
  </si>
  <si>
    <t>Đức Hòa</t>
  </si>
  <si>
    <t>VNM.39.6_1</t>
  </si>
  <si>
    <t>Đức Huệ</t>
  </si>
  <si>
    <t>VNM.39.7_1</t>
  </si>
  <si>
    <t>Kiến Tường</t>
  </si>
  <si>
    <t>VNM.39.8_1</t>
  </si>
  <si>
    <t>Mộc Hóa</t>
  </si>
  <si>
    <t>VNM.39.9_1</t>
  </si>
  <si>
    <t>Tân An</t>
  </si>
  <si>
    <t>VNM.39.10_1</t>
  </si>
  <si>
    <t>Tân Hưng</t>
  </si>
  <si>
    <t>VNM.39.11_1</t>
  </si>
  <si>
    <t>Tân Thạnh</t>
  </si>
  <si>
    <t>VNM.39.12_1</t>
  </si>
  <si>
    <t>Tân Trụ</t>
  </si>
  <si>
    <t>VNM.39.13_1</t>
  </si>
  <si>
    <t>Thạnh Hóa</t>
  </si>
  <si>
    <t>VNM.39.14_1</t>
  </si>
  <si>
    <t>Thủ Thừa</t>
  </si>
  <si>
    <t>VNM.39.15_1</t>
  </si>
  <si>
    <t>Vĩnh Hưng</t>
  </si>
  <si>
    <t>VNM.40.1_1</t>
  </si>
  <si>
    <t>Nam Định</t>
  </si>
  <si>
    <t>Giao Thủy</t>
  </si>
  <si>
    <t>VNM.40.2_1</t>
  </si>
  <si>
    <t>Hải Hậu</t>
  </si>
  <si>
    <t>VNM.40.3_1</t>
  </si>
  <si>
    <t>Mỹ Lộc</t>
  </si>
  <si>
    <t>VNM.40.4_1</t>
  </si>
  <si>
    <t>VNM.40.5_1</t>
  </si>
  <si>
    <t>Nam Trực</t>
  </si>
  <si>
    <t>VNM.40.6_1</t>
  </si>
  <si>
    <t>Nghĩa Hưng</t>
  </si>
  <si>
    <t>VNM.40.7_1</t>
  </si>
  <si>
    <t>Trực Ninh</t>
  </si>
  <si>
    <t>VNM.40.8_1</t>
  </si>
  <si>
    <t>Vụ Bản</t>
  </si>
  <si>
    <t>VNM.40.9_1</t>
  </si>
  <si>
    <t>Xuân Trường</t>
  </si>
  <si>
    <t>VNM.40.10_1</t>
  </si>
  <si>
    <t>Ý Yên</t>
  </si>
  <si>
    <t>VNM.41.1_1</t>
  </si>
  <si>
    <t>Nghệ An</t>
  </si>
  <si>
    <t>Anh Sơn</t>
  </si>
  <si>
    <t>VNM.41.2_1</t>
  </si>
  <si>
    <t>Cửa Lò</t>
  </si>
  <si>
    <t>VNM.41.3_1</t>
  </si>
  <si>
    <t>Con Cuông</t>
  </si>
  <si>
    <t>VNM.41.4_1</t>
  </si>
  <si>
    <t>Diễn Châu</t>
  </si>
  <si>
    <t>VNM.41.5_1</t>
  </si>
  <si>
    <t>Đô Lương</t>
  </si>
  <si>
    <t>VNM.41.6_1</t>
  </si>
  <si>
    <t>Hoàng Mai</t>
  </si>
  <si>
    <t>VNM.41.7_1</t>
  </si>
  <si>
    <t>Hưng Nguyên</t>
  </si>
  <si>
    <t>VNM.41.8_1</t>
  </si>
  <si>
    <t>VNM.41.9_1</t>
  </si>
  <si>
    <t>Nam Đàn</t>
  </si>
  <si>
    <t>VNM.41.10_1</t>
  </si>
  <si>
    <t>Nghi Lộc</t>
  </si>
  <si>
    <t>VNM.41.11_1</t>
  </si>
  <si>
    <t>Nghĩa Đàn</t>
  </si>
  <si>
    <t>VNM.41.12_1</t>
  </si>
  <si>
    <t>Quế Phong</t>
  </si>
  <si>
    <t>VNM.41.13_1</t>
  </si>
  <si>
    <t>Quỳ Châu</t>
  </si>
  <si>
    <t>VNM.41.14_1</t>
  </si>
  <si>
    <t>Quỳ Hợp</t>
  </si>
  <si>
    <t>VNM.41.15_1</t>
  </si>
  <si>
    <t>Quỳnh Lưu</t>
  </si>
  <si>
    <t>VNM.41.16_1</t>
  </si>
  <si>
    <t>Tân Kỳ</t>
  </si>
  <si>
    <t>VNM.41.17_1</t>
  </si>
  <si>
    <t>Thái Hoà</t>
  </si>
  <si>
    <t>VNM.41.18_1</t>
  </si>
  <si>
    <t>Thanh Chương</t>
  </si>
  <si>
    <t>VNM.41.19_1</t>
  </si>
  <si>
    <t>Tương Dương</t>
  </si>
  <si>
    <t>VNM.41.20_1</t>
  </si>
  <si>
    <t>Vinh</t>
  </si>
  <si>
    <t>VNM.41.21_1</t>
  </si>
  <si>
    <t>Yên Thành</t>
  </si>
  <si>
    <t>VNM.42.1_1</t>
  </si>
  <si>
    <t>Ninh Bình</t>
  </si>
  <si>
    <t>Gia Viễn</t>
  </si>
  <si>
    <t>VNM.42.2_1</t>
  </si>
  <si>
    <t>Hoa Lư</t>
  </si>
  <si>
    <t>VNM.42.3_1</t>
  </si>
  <si>
    <t>Kim Sơn</t>
  </si>
  <si>
    <t>VNM.42.4_1</t>
  </si>
  <si>
    <t>Nho Quan</t>
  </si>
  <si>
    <t>VNM.42.5_1</t>
  </si>
  <si>
    <t>VNM.42.6_1</t>
  </si>
  <si>
    <t>Tam Điệp</t>
  </si>
  <si>
    <t>VNM.42.7_1</t>
  </si>
  <si>
    <t>Yên Khánh</t>
  </si>
  <si>
    <t>VNM.42.8_1</t>
  </si>
  <si>
    <t>Yên Mô</t>
  </si>
  <si>
    <t>VNM.43.1_1</t>
  </si>
  <si>
    <t>Ninh Thuận</t>
  </si>
  <si>
    <t>Bác Ái</t>
  </si>
  <si>
    <t>VNM.43.2_1</t>
  </si>
  <si>
    <t>Ninh Hải</t>
  </si>
  <si>
    <t>VNM.43.3_1</t>
  </si>
  <si>
    <t>Ninh Phước</t>
  </si>
  <si>
    <t>VNM.43.4_1</t>
  </si>
  <si>
    <t>Ninh Sơn</t>
  </si>
  <si>
    <t>VNM.43.5_1</t>
  </si>
  <si>
    <t>Phan Rang-Tháp Chàm</t>
  </si>
  <si>
    <t>VNM.43.6_1</t>
  </si>
  <si>
    <t>Thuận Bắc</t>
  </si>
  <si>
    <t>VNM.43.7_1</t>
  </si>
  <si>
    <t>Thuận Nam</t>
  </si>
  <si>
    <t>VNM.44.1_1</t>
  </si>
  <si>
    <t>Phú Thọ</t>
  </si>
  <si>
    <t>Cẩm Khê</t>
  </si>
  <si>
    <t>VNM.44.2_1</t>
  </si>
  <si>
    <t>Đoan Hùng</t>
  </si>
  <si>
    <t>VNM.44.3_1</t>
  </si>
  <si>
    <t>Hạ Hoà</t>
  </si>
  <si>
    <t>VNM.44.4_1</t>
  </si>
  <si>
    <t>Lâm Thao</t>
  </si>
  <si>
    <t>VNM.44.5_1</t>
  </si>
  <si>
    <t>Phù Ninh</t>
  </si>
  <si>
    <t>VNM.44.6_1</t>
  </si>
  <si>
    <t>VNM.44.7_1</t>
  </si>
  <si>
    <t>VNM.44.8_1</t>
  </si>
  <si>
    <t>Tân Sơn</t>
  </si>
  <si>
    <t>VNM.44.9_1</t>
  </si>
  <si>
    <t>Thanh Ba</t>
  </si>
  <si>
    <t>VNM.44.10_1</t>
  </si>
  <si>
    <t>Thanh Sơn</t>
  </si>
  <si>
    <t>VNM.44.11_1</t>
  </si>
  <si>
    <t>Thanh Thuỷ</t>
  </si>
  <si>
    <t>VNM.44.12_1</t>
  </si>
  <si>
    <t>Việt Trì</t>
  </si>
  <si>
    <t>VNM.44.13_1</t>
  </si>
  <si>
    <t>Yên Lập</t>
  </si>
  <si>
    <t>VNM.45.1_1</t>
  </si>
  <si>
    <t>Phú Yên</t>
  </si>
  <si>
    <t>Đồng Xuân</t>
  </si>
  <si>
    <t>VNM.45.2_1</t>
  </si>
  <si>
    <t>Đông Hòa</t>
  </si>
  <si>
    <t>VNM.45.3_1</t>
  </si>
  <si>
    <t>Phú Hoà</t>
  </si>
  <si>
    <t>VNM.45.4_1</t>
  </si>
  <si>
    <t>Sơn Hòa</t>
  </si>
  <si>
    <t>VNM.45.5_1</t>
  </si>
  <si>
    <t>Sông Cầu</t>
  </si>
  <si>
    <t>VNM.45.6_1</t>
  </si>
  <si>
    <t>Sông Hinh</t>
  </si>
  <si>
    <t>VNM.45.7_1</t>
  </si>
  <si>
    <t>Tây Hoà</t>
  </si>
  <si>
    <t>VNM.45.8_1</t>
  </si>
  <si>
    <t>Tuy An</t>
  </si>
  <si>
    <t>VNM.45.9_1</t>
  </si>
  <si>
    <t>Tuy Hoà</t>
  </si>
  <si>
    <t>VNM.46.1_1</t>
  </si>
  <si>
    <t>Quảng Bình</t>
  </si>
  <si>
    <t>Bố Trạch</t>
  </si>
  <si>
    <t>VNM.46.2_1</t>
  </si>
  <si>
    <t>Ba Đồn</t>
  </si>
  <si>
    <t>VNM.46.3_1</t>
  </si>
  <si>
    <t>Lệ Thủy</t>
  </si>
  <si>
    <t>VNM.46.4_1</t>
  </si>
  <si>
    <t>Minh Hóa</t>
  </si>
  <si>
    <t>VNM.46.5_1</t>
  </si>
  <si>
    <t>Quảng Ninh</t>
  </si>
  <si>
    <t>VNM.46.6_1</t>
  </si>
  <si>
    <t>Quảng Trạch</t>
  </si>
  <si>
    <t>VNM.46.7_1</t>
  </si>
  <si>
    <t>Thành Phố Đồng Hới</t>
  </si>
  <si>
    <t>VNM.46.8_1</t>
  </si>
  <si>
    <t>Tuyên Hóa</t>
  </si>
  <si>
    <t>VNM.47.1_1</t>
  </si>
  <si>
    <t>Quảng Nam</t>
  </si>
  <si>
    <t>Bắc Trà My</t>
  </si>
  <si>
    <t>VNM.47.2_1</t>
  </si>
  <si>
    <t>Đại Lộc</t>
  </si>
  <si>
    <t>VNM.47.3_1</t>
  </si>
  <si>
    <t>Điện Bàn</t>
  </si>
  <si>
    <t>VNM.47.4_1</t>
  </si>
  <si>
    <t>Đông Giang</t>
  </si>
  <si>
    <t>VNM.47.5_1</t>
  </si>
  <si>
    <t>Duy Xuyên</t>
  </si>
  <si>
    <t>VNM.47.6_1</t>
  </si>
  <si>
    <t>Hội An</t>
  </si>
  <si>
    <t>VNM.47.7_1</t>
  </si>
  <si>
    <t>Hiệp Đức</t>
  </si>
  <si>
    <t>VNM.47.8_1</t>
  </si>
  <si>
    <t>Nam Giang</t>
  </si>
  <si>
    <t>VNM.47.9_1</t>
  </si>
  <si>
    <t>Nam Trà My</t>
  </si>
  <si>
    <t>VNM.47.10_1</t>
  </si>
  <si>
    <t>Nông Sơn</t>
  </si>
  <si>
    <t>VNM.47.11_1</t>
  </si>
  <si>
    <t>Núi Thành</t>
  </si>
  <si>
    <t>VNM.47.12_1</t>
  </si>
  <si>
    <t>Phú Ninh</t>
  </si>
  <si>
    <t>VNM.47.13_1</t>
  </si>
  <si>
    <t>Phước Sơn</t>
  </si>
  <si>
    <t>VNM.47.14_1</t>
  </si>
  <si>
    <t>Quế Sơn</t>
  </si>
  <si>
    <t>VNM.47.15_1</t>
  </si>
  <si>
    <t>Tam Kỳ</t>
  </si>
  <si>
    <t>VNM.47.16_1</t>
  </si>
  <si>
    <t>Tây Giang</t>
  </si>
  <si>
    <t>VNM.47.17_1</t>
  </si>
  <si>
    <t>Thăng Bình</t>
  </si>
  <si>
    <t>VNM.47.18_1</t>
  </si>
  <si>
    <t>Tiên Phước</t>
  </si>
  <si>
    <t>VNM.48.1_1</t>
  </si>
  <si>
    <t>Quảng Ngãi</t>
  </si>
  <si>
    <t>Ba Tơ</t>
  </si>
  <si>
    <t>VNM.48.2_1</t>
  </si>
  <si>
    <t>Bình Sơn</t>
  </si>
  <si>
    <t>VNM.48.3_1</t>
  </si>
  <si>
    <t>Đức Phổ</t>
  </si>
  <si>
    <t>VNM.48.4_1</t>
  </si>
  <si>
    <t>Lý Sơn</t>
  </si>
  <si>
    <t>VNM.48.5_1</t>
  </si>
  <si>
    <t>Mộ Đức</t>
  </si>
  <si>
    <t>VNM.48.6_1</t>
  </si>
  <si>
    <t>Minh Long</t>
  </si>
  <si>
    <t>VNM.48.7_1</t>
  </si>
  <si>
    <t>Nghĩa Hành</t>
  </si>
  <si>
    <t>VNM.48.8_1</t>
  </si>
  <si>
    <t>VNM.48.9_1</t>
  </si>
  <si>
    <t>Sơn Hà</t>
  </si>
  <si>
    <t>VNM.48.10_1</t>
  </si>
  <si>
    <t>Sơn Tịnh</t>
  </si>
  <si>
    <t>VNM.48.11_1</t>
  </si>
  <si>
    <t>Sơn Tây</t>
  </si>
  <si>
    <t>VNM.48.12_1</t>
  </si>
  <si>
    <t>Tây Trà</t>
  </si>
  <si>
    <t>VNM.48.13_1</t>
  </si>
  <si>
    <t>Trà Bồng</t>
  </si>
  <si>
    <t>VNM.48.14_1</t>
  </si>
  <si>
    <t>Tư Nghĩa</t>
  </si>
  <si>
    <t>VNM.49.1_1</t>
  </si>
  <si>
    <t>Ba Chẽ</t>
  </si>
  <si>
    <t>VNM.49.2_1</t>
  </si>
  <si>
    <t>Bình Liêu</t>
  </si>
  <si>
    <t>VNM.49.3_1</t>
  </si>
  <si>
    <t>Cẩm Phả</t>
  </si>
  <si>
    <t>VNM.49.4_1</t>
  </si>
  <si>
    <t>Cô Tô</t>
  </si>
  <si>
    <t>VNM.49.5_1</t>
  </si>
  <si>
    <t>Đầm Hà</t>
  </si>
  <si>
    <t>VNM.49.6_1</t>
  </si>
  <si>
    <t>Đông Triều</t>
  </si>
  <si>
    <t>VNM.49.7_1</t>
  </si>
  <si>
    <t>Hạ Long</t>
  </si>
  <si>
    <t>VNM.49.8_1</t>
  </si>
  <si>
    <t>Hải Hà</t>
  </si>
  <si>
    <t>VNM.49.9_1</t>
  </si>
  <si>
    <t>Hoành Bồ</t>
  </si>
  <si>
    <t>VNM.49.10_1</t>
  </si>
  <si>
    <t>Móng Cái</t>
  </si>
  <si>
    <t>VNM.49.11_1</t>
  </si>
  <si>
    <t>Quảng Yên</t>
  </si>
  <si>
    <t>VNM.49.12_1</t>
  </si>
  <si>
    <t>Tiên Yên</t>
  </si>
  <si>
    <t>VNM.49.13_1</t>
  </si>
  <si>
    <t>Uông Bí</t>
  </si>
  <si>
    <t>VNM.49.14_1</t>
  </si>
  <si>
    <t>Vân Đồn</t>
  </si>
  <si>
    <t>VNM.50.1_1</t>
  </si>
  <si>
    <t>Quảng Trị</t>
  </si>
  <si>
    <t>Cồn Cỏ</t>
  </si>
  <si>
    <t>VNM.50.2_1</t>
  </si>
  <si>
    <t>Cam Lộ</t>
  </si>
  <si>
    <t>VNM.50.3_1</t>
  </si>
  <si>
    <t>Đa Krông</t>
  </si>
  <si>
    <t>VNM.50.4_1</t>
  </si>
  <si>
    <t>Đông Hà</t>
  </si>
  <si>
    <t>VNM.50.5_1</t>
  </si>
  <si>
    <t>Gio Linh</t>
  </si>
  <si>
    <t>VNM.50.6_1</t>
  </si>
  <si>
    <t>Hải Lăng</t>
  </si>
  <si>
    <t>VNM.50.7_1</t>
  </si>
  <si>
    <t>Hướng Hóa</t>
  </si>
  <si>
    <t>VNM.50.8_1</t>
  </si>
  <si>
    <t>VNM.50.9_1</t>
  </si>
  <si>
    <t>Triệu Phong</t>
  </si>
  <si>
    <t>VNM.50.10_1</t>
  </si>
  <si>
    <t>Vĩnh Linh</t>
  </si>
  <si>
    <t>VNM.51.1_1</t>
  </si>
  <si>
    <t>Sóc Trăng</t>
  </si>
  <si>
    <t>VNM.51.2_1</t>
  </si>
  <si>
    <t>Cù Lao Dung</t>
  </si>
  <si>
    <t>VNM.51.3_1</t>
  </si>
  <si>
    <t>Kế Sách</t>
  </si>
  <si>
    <t>VNM.51.4_1</t>
  </si>
  <si>
    <t>Long Phú</t>
  </si>
  <si>
    <t>VNM.51.5_1</t>
  </si>
  <si>
    <t>Mỹ Tú</t>
  </si>
  <si>
    <t>VNM.51.6_1</t>
  </si>
  <si>
    <t>Mỹ Xuyên</t>
  </si>
  <si>
    <t>VNM.51.7_1</t>
  </si>
  <si>
    <t>Ngã Năm</t>
  </si>
  <si>
    <t>VNM.51.8_1</t>
  </si>
  <si>
    <t>VNM.51.9_1</t>
  </si>
  <si>
    <t>Thạnh Trị</t>
  </si>
  <si>
    <t>VNM.51.10_1</t>
  </si>
  <si>
    <t>Trần Đề</t>
  </si>
  <si>
    <t>VNM.51.11_1</t>
  </si>
  <si>
    <t>Vĩnh Châu</t>
  </si>
  <si>
    <t>VNM.52.1_1</t>
  </si>
  <si>
    <t>Sơn La</t>
  </si>
  <si>
    <t>Bắc Yên</t>
  </si>
  <si>
    <t>VNM.52.2_1</t>
  </si>
  <si>
    <t>Mộc Châu</t>
  </si>
  <si>
    <t>VNM.52.3_1</t>
  </si>
  <si>
    <t>Mai Sơn</t>
  </si>
  <si>
    <t>VNM.52.4_1</t>
  </si>
  <si>
    <t>Mường La</t>
  </si>
  <si>
    <t>VNM.52.5_1</t>
  </si>
  <si>
    <t>Phù Yên</t>
  </si>
  <si>
    <t>VNM.52.6_1</t>
  </si>
  <si>
    <t>Quỳnh Nhai</t>
  </si>
  <si>
    <t>VNM.52.7_1</t>
  </si>
  <si>
    <t>Sốp Cộp</t>
  </si>
  <si>
    <t>VNM.52.8_1</t>
  </si>
  <si>
    <t>VNM.52.9_1</t>
  </si>
  <si>
    <t>Sông Mã</t>
  </si>
  <si>
    <t>VNM.52.10_1</t>
  </si>
  <si>
    <t>Thuận Châu</t>
  </si>
  <si>
    <t>VNM.52.11_1</t>
  </si>
  <si>
    <t>Vân Hồ</t>
  </si>
  <si>
    <t>VNM.52.12_1</t>
  </si>
  <si>
    <t>Yên Châu</t>
  </si>
  <si>
    <t>VNM.53.1_1</t>
  </si>
  <si>
    <t>Tây Ninh</t>
  </si>
  <si>
    <t>Bến Cầu</t>
  </si>
  <si>
    <t>VNM.53.2_1</t>
  </si>
  <si>
    <t>VNM.53.3_1</t>
  </si>
  <si>
    <t>Dương Minh Châu</t>
  </si>
  <si>
    <t>VNM.53.4_1</t>
  </si>
  <si>
    <t>Gò Dầu</t>
  </si>
  <si>
    <t>VNM.53.5_1</t>
  </si>
  <si>
    <t>Hòa Thành</t>
  </si>
  <si>
    <t>VNM.53.6_1</t>
  </si>
  <si>
    <t>Tân Biên</t>
  </si>
  <si>
    <t>VNM.53.7_1</t>
  </si>
  <si>
    <t>VNM.53.8_1</t>
  </si>
  <si>
    <t>VNM.53.9_1</t>
  </si>
  <si>
    <t>Trảng Bàng</t>
  </si>
  <si>
    <t>VNM.54.1_1</t>
  </si>
  <si>
    <t>Thừa Thiên Huế</t>
  </si>
  <si>
    <t>A Lưới</t>
  </si>
  <si>
    <t>VNM.54.2_1</t>
  </si>
  <si>
    <t>Huế</t>
  </si>
  <si>
    <t>VNM.54.3_1</t>
  </si>
  <si>
    <t>Hương Thủy</t>
  </si>
  <si>
    <t>VNM.54.4_1</t>
  </si>
  <si>
    <t>Hương Trà</t>
  </si>
  <si>
    <t>VNM.54.5_1</t>
  </si>
  <si>
    <t>Nam Đông</t>
  </si>
  <si>
    <t>VNM.54.6_1</t>
  </si>
  <si>
    <t>VNM.54.7_1</t>
  </si>
  <si>
    <t>Phú Lộc</t>
  </si>
  <si>
    <t>VNM.54.8_1</t>
  </si>
  <si>
    <t>Phú Vang</t>
  </si>
  <si>
    <t>VNM.54.9_1</t>
  </si>
  <si>
    <t>Quảng Điền</t>
  </si>
  <si>
    <t>VNM.55.1_1</t>
  </si>
  <si>
    <t>Thái Bình</t>
  </si>
  <si>
    <t>Đông Hưng</t>
  </si>
  <si>
    <t>VNM.55.2_1</t>
  </si>
  <si>
    <t>Hưng Hà</t>
  </si>
  <si>
    <t>VNM.55.3_1</t>
  </si>
  <si>
    <t>Kiến Xương</t>
  </si>
  <si>
    <t>VNM.55.4_1</t>
  </si>
  <si>
    <t>Quỳnh Phụ</t>
  </si>
  <si>
    <t>VNM.55.5_1</t>
  </si>
  <si>
    <t>VNM.55.6_1</t>
  </si>
  <si>
    <t>Thái Thụy</t>
  </si>
  <si>
    <t>VNM.55.7_1</t>
  </si>
  <si>
    <t>Tiền Hải</t>
  </si>
  <si>
    <t>VNM.55.8_1</t>
  </si>
  <si>
    <t>Vũ Thư</t>
  </si>
  <si>
    <t>VNM.56.1_1</t>
  </si>
  <si>
    <t>Thái Nguyên</t>
  </si>
  <si>
    <t>Đại Từ</t>
  </si>
  <si>
    <t>VNM.56.2_1</t>
  </si>
  <si>
    <t>Định Hóa</t>
  </si>
  <si>
    <t>VNM.56.3_1</t>
  </si>
  <si>
    <t>Đồng Hỷ</t>
  </si>
  <si>
    <t>VNM.56.4_1</t>
  </si>
  <si>
    <t>Phổ Yên</t>
  </si>
  <si>
    <t>VNM.56.5_1</t>
  </si>
  <si>
    <t>Phú Bình</t>
  </si>
  <si>
    <t>VNM.56.6_1</t>
  </si>
  <si>
    <t>Phú Lương</t>
  </si>
  <si>
    <t>VNM.56.7_1</t>
  </si>
  <si>
    <t>Sông Công</t>
  </si>
  <si>
    <t>VNM.56.8_1</t>
  </si>
  <si>
    <t>VNM.56.9_1</t>
  </si>
  <si>
    <t>Võ Nhai</t>
  </si>
  <si>
    <t>VNM.57.1_1</t>
  </si>
  <si>
    <t>Thanh Hóa</t>
  </si>
  <si>
    <t>Bỉm Sơn</t>
  </si>
  <si>
    <t>VNM.57.2_1</t>
  </si>
  <si>
    <t>Bá Thước</t>
  </si>
  <si>
    <t>VNM.57.3_1</t>
  </si>
  <si>
    <t>Cẩm Thủy</t>
  </si>
  <si>
    <t>VNM.57.4_1</t>
  </si>
  <si>
    <t>Đông Sơn</t>
  </si>
  <si>
    <t>VNM.57.5_1</t>
  </si>
  <si>
    <t>Hậu Lộc</t>
  </si>
  <si>
    <t>VNM.57.6_1</t>
  </si>
  <si>
    <t>Hà Trung</t>
  </si>
  <si>
    <t>VNM.57.7_1</t>
  </si>
  <si>
    <t>Hoằng Hóa</t>
  </si>
  <si>
    <t>VNM.57.8_1</t>
  </si>
  <si>
    <t>Lang Chánh</t>
  </si>
  <si>
    <t>VNM.57.9_1</t>
  </si>
  <si>
    <t>Mường Lát</t>
  </si>
  <si>
    <t>VNM.57.10_1</t>
  </si>
  <si>
    <t>Ngọc Lặc</t>
  </si>
  <si>
    <t>VNM.57.11_1</t>
  </si>
  <si>
    <t>Nga Sơn</t>
  </si>
  <si>
    <t>VNM.57.12_1</t>
  </si>
  <si>
    <t>Như Thanh</t>
  </si>
  <si>
    <t>VNM.57.13_1</t>
  </si>
  <si>
    <t>Như Xuân</t>
  </si>
  <si>
    <t>VNM.57.14_1</t>
  </si>
  <si>
    <t>Nông Cống</t>
  </si>
  <si>
    <t>VNM.57.15_1</t>
  </si>
  <si>
    <t>Quảng Xương</t>
  </si>
  <si>
    <t>VNM.57.16_1</t>
  </si>
  <si>
    <t>Quan Hóa</t>
  </si>
  <si>
    <t>VNM.57.17_1</t>
  </si>
  <si>
    <t>Quan Sơn</t>
  </si>
  <si>
    <t>VNM.57.18_1</t>
  </si>
  <si>
    <t>Sầm Sơn</t>
  </si>
  <si>
    <t>VNM.57.19_1</t>
  </si>
  <si>
    <t>Thạch Thành</t>
  </si>
  <si>
    <t>VNM.57.20_1</t>
  </si>
  <si>
    <t>Thọ Xuân</t>
  </si>
  <si>
    <t>VNM.57.21_1</t>
  </si>
  <si>
    <t>VNM.57.22_1</t>
  </si>
  <si>
    <t>Thiệu Hóa</t>
  </si>
  <si>
    <t>VNM.57.23_1</t>
  </si>
  <si>
    <t>Thường Xuân</t>
  </si>
  <si>
    <t>VNM.57.24_1</t>
  </si>
  <si>
    <t>Tĩnh Gia</t>
  </si>
  <si>
    <t>VNM.57.25_1</t>
  </si>
  <si>
    <t>Triệu Sơn</t>
  </si>
  <si>
    <t>VNM.57.26_1</t>
  </si>
  <si>
    <t>Vĩnh Lộc</t>
  </si>
  <si>
    <t>VNM.57.27_1</t>
  </si>
  <si>
    <t>Yên Định</t>
  </si>
  <si>
    <t>VNM.58.1_1</t>
  </si>
  <si>
    <t>Tiền Giang</t>
  </si>
  <si>
    <t>Cái Bè</t>
  </si>
  <si>
    <t>VNM.58.3_1</t>
  </si>
  <si>
    <t>Cai Lậy</t>
  </si>
  <si>
    <t>VNM.58.2_1</t>
  </si>
  <si>
    <t>Cai Lậy (Thị xã)</t>
  </si>
  <si>
    <t>VNM.58.4_1</t>
  </si>
  <si>
    <t>Chợ Gạo</t>
  </si>
  <si>
    <t>VNM.58.5_1</t>
  </si>
  <si>
    <t>VNM.58.8_1</t>
  </si>
  <si>
    <t>Gò Công</t>
  </si>
  <si>
    <t>VNM.58.6_1</t>
  </si>
  <si>
    <t>Gò Công Đông</t>
  </si>
  <si>
    <t>VNM.58.7_1</t>
  </si>
  <si>
    <t>Gò Công Tây</t>
  </si>
  <si>
    <t>VNM.58.9_1</t>
  </si>
  <si>
    <t>Mỹ Tho</t>
  </si>
  <si>
    <t>VNM.58.10_1</t>
  </si>
  <si>
    <t>Tân Phú Đông</t>
  </si>
  <si>
    <t>VNM.58.11_1</t>
  </si>
  <si>
    <t>Tân Phước</t>
  </si>
  <si>
    <t>VNM.59.1_1</t>
  </si>
  <si>
    <t>Trà Vinh</t>
  </si>
  <si>
    <t>Cầu Kè</t>
  </si>
  <si>
    <t>VNM.59.2_1</t>
  </si>
  <si>
    <t>Cầu Ngang</t>
  </si>
  <si>
    <t>VNM.59.3_1</t>
  </si>
  <si>
    <t>Càng Long</t>
  </si>
  <si>
    <t>VNM.59.4_1</t>
  </si>
  <si>
    <t>VNM.59.6_1</t>
  </si>
  <si>
    <t>Duyên Hải</t>
  </si>
  <si>
    <t>VNM.59.5_1</t>
  </si>
  <si>
    <t>Duyên Hải (Thị xã)</t>
  </si>
  <si>
    <t>VNM.59.7_1</t>
  </si>
  <si>
    <t>Tiểu Cần</t>
  </si>
  <si>
    <t>VNM.59.8_1</t>
  </si>
  <si>
    <t>Trà Cú</t>
  </si>
  <si>
    <t>VNM.59.9_1</t>
  </si>
  <si>
    <t>VNM.60.1_1</t>
  </si>
  <si>
    <t>Tuyên Quang</t>
  </si>
  <si>
    <t>Chiêm Hóa</t>
  </si>
  <si>
    <t>VNM.60.2_1</t>
  </si>
  <si>
    <t>Hàm Yên</t>
  </si>
  <si>
    <t>VNM.60.3_1</t>
  </si>
  <si>
    <t>Lâm Bình</t>
  </si>
  <si>
    <t>VNM.60.4_1</t>
  </si>
  <si>
    <t>Nà Hang</t>
  </si>
  <si>
    <t>VNM.60.5_1</t>
  </si>
  <si>
    <t>Sơn Dương</t>
  </si>
  <si>
    <t>VNM.60.6_1</t>
  </si>
  <si>
    <t>VNM.60.7_1</t>
  </si>
  <si>
    <t>Yên Sơn</t>
  </si>
  <si>
    <t>VNM.61.1_1</t>
  </si>
  <si>
    <t>Vĩnh Long</t>
  </si>
  <si>
    <t>Bình Minh</t>
  </si>
  <si>
    <t>VNM.61.2_1</t>
  </si>
  <si>
    <t>Bình Tân</t>
  </si>
  <si>
    <t>VNM.61.3_1</t>
  </si>
  <si>
    <t>Long Hồ</t>
  </si>
  <si>
    <t>VNM.61.4_1</t>
  </si>
  <si>
    <t>Mang Thít</t>
  </si>
  <si>
    <t>VNM.61.5_1</t>
  </si>
  <si>
    <t>Tam Bình</t>
  </si>
  <si>
    <t>VNM.61.6_1</t>
  </si>
  <si>
    <t>Trà Ôn</t>
  </si>
  <si>
    <t>VNM.61.7_1</t>
  </si>
  <si>
    <t>VNM.61.8_1</t>
  </si>
  <si>
    <t>Vũng Liêm</t>
  </si>
  <si>
    <t>VNM.62.1_1</t>
  </si>
  <si>
    <t>Vĩnh Phúc</t>
  </si>
  <si>
    <t>Bình Xuyên</t>
  </si>
  <si>
    <t>VNM.62.2_1</t>
  </si>
  <si>
    <t>Lập Thạch</t>
  </si>
  <si>
    <t>VNM.62.3_1</t>
  </si>
  <si>
    <t>Phúc Yên</t>
  </si>
  <si>
    <t>VNM.62.4_1</t>
  </si>
  <si>
    <t>Sông Lô</t>
  </si>
  <si>
    <t>VNM.62.5_1</t>
  </si>
  <si>
    <t>Tam Đảo</t>
  </si>
  <si>
    <t>VNM.62.6_1</t>
  </si>
  <si>
    <t>Tam Dương</t>
  </si>
  <si>
    <t>VNM.62.7_1</t>
  </si>
  <si>
    <t>Vĩnh Tường</t>
  </si>
  <si>
    <t>VNM.62.8_1</t>
  </si>
  <si>
    <t>Vĩnh Yên</t>
  </si>
  <si>
    <t>VNM.62.9_1</t>
  </si>
  <si>
    <t>Yên Lạc</t>
  </si>
  <si>
    <t>VNM.63.1_1</t>
  </si>
  <si>
    <t>Yên Bái</t>
  </si>
  <si>
    <t>Lục Yên</t>
  </si>
  <si>
    <t>VNM.63.2_1</t>
  </si>
  <si>
    <t>Mù Căng Chải</t>
  </si>
  <si>
    <t>VNM.63.3_1</t>
  </si>
  <si>
    <t>Nghĩa Lộ</t>
  </si>
  <si>
    <t>VNM.63.4_1</t>
  </si>
  <si>
    <t>Trạm Tấu</t>
  </si>
  <si>
    <t>VNM.63.5_1</t>
  </si>
  <si>
    <t>Trấn Yên</t>
  </si>
  <si>
    <t>VNM.63.6_1</t>
  </si>
  <si>
    <t>Văn Chấn</t>
  </si>
  <si>
    <t>VNM.63.7_1</t>
  </si>
  <si>
    <t>Văn Yên</t>
  </si>
  <si>
    <t>VNM.63.8_1</t>
  </si>
  <si>
    <t>VNM.63.9_1</t>
  </si>
  <si>
    <t>Yên Bình</t>
  </si>
  <si>
    <t>VNM.27_1</t>
  </si>
  <si>
    <t>Hà Nội</t>
  </si>
  <si>
    <t>VNM.25_1</t>
  </si>
  <si>
    <t>Hồ Chí Minh</t>
  </si>
  <si>
    <t>SPOT Model Data Input Template for ASEAN Countries</t>
  </si>
  <si>
    <t xml:space="preserve">Users should refer to the ASEAN Guidebook for guidance on using the SPOT model for estimating plastic emissions into the environment. Additional information is available in the two academic publications listed above.
ASEAN users wishing to apply the SPOT model at a national level should complete the MFA inputs sheet, columns W - AX relating to solid waste management variables.  The MFA_inputs sheet already has the majority of inputs completed for users using default values, although these can be overwritten if improved data is available. All ASEAN countries are listed in the MFA_inputs sheet, therefore users should delete the rows not relating to their country. Once complete, this workbook can be used as the input to the national-level SPOT model which is constructued in R and available from the national level publication listed above.
The remaining sheets in this workbook are for information purposes only and should not be changed. </t>
  </si>
  <si>
    <r>
      <t>This supporting toolkit accompanies the ASEAN Guidebook of methodologies for assessment and monitoring of plastic pollution and the 'Spatio-temporal quantification of plastic pollution origins and transport' (SPOT) model. SPOT was released as a global model in Nature (Cottom et al., 2024 - https://doi.org/10.1038/s41586-024-07758-6) and as a national-level model</t>
    </r>
    <r>
      <rPr>
        <sz val="11"/>
        <color rgb="FFFF0000"/>
        <rFont val="Arial"/>
        <family val="2"/>
      </rPr>
      <t>.</t>
    </r>
    <r>
      <rPr>
        <sz val="11"/>
        <color theme="1"/>
        <rFont val="Arial"/>
        <family val="2"/>
      </rPr>
      <t xml:space="preserve"> Please direct any questions to the corresponding author (c.velis@imperial.ac.uk)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</si>
</sst>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22" x14ac:knownFonts="1">
    <font>
      <sz val="10"/>
      <color theme="1"/>
      <name val="Arial"/>
      <family val="2"/>
    </font>
    <font>
      <sz val="11"/>
      <color theme="1"/>
      <name val="Calibri"/>
      <family val="2"/>
      <scheme val="minor"/>
    </font>
    <font>
      <sz val="11"/>
      <color theme="1"/>
      <name val="Calibri"/>
      <family val="2"/>
      <scheme val="minor"/>
    </font>
    <font>
      <b/>
      <sz val="10"/>
      <color theme="1"/>
      <name val="Arial"/>
      <family val="2"/>
    </font>
    <font>
      <sz val="11"/>
      <color theme="1"/>
      <name val="Calibri"/>
      <family val="2"/>
      <scheme val="minor"/>
    </font>
    <font>
      <sz val="10"/>
      <name val="Arial"/>
      <family val="2"/>
    </font>
    <font>
      <sz val="11"/>
      <name val="Calibri"/>
      <family val="2"/>
    </font>
    <font>
      <sz val="10"/>
      <color theme="1"/>
      <name val="Arial"/>
      <family val="2"/>
    </font>
    <font>
      <sz val="11"/>
      <color rgb="FF000000"/>
      <name val="Calibri"/>
      <family val="2"/>
      <scheme val="minor"/>
    </font>
    <font>
      <i/>
      <sz val="10"/>
      <name val="Arial"/>
      <family val="2"/>
    </font>
    <font>
      <b/>
      <sz val="12"/>
      <color theme="1"/>
      <name val="Arial"/>
      <family val="2"/>
    </font>
    <font>
      <sz val="10"/>
      <color theme="1"/>
      <name val="Calibri"/>
      <family val="2"/>
    </font>
    <font>
      <vertAlign val="superscript"/>
      <sz val="10"/>
      <color theme="1"/>
      <name val="Arial"/>
      <family val="2"/>
    </font>
    <font>
      <sz val="8"/>
      <name val="Arial"/>
      <family val="2"/>
    </font>
    <font>
      <u/>
      <sz val="10"/>
      <color theme="10"/>
      <name val="Arial"/>
      <family val="2"/>
    </font>
    <font>
      <b/>
      <sz val="22"/>
      <color rgb="FF175BA8"/>
      <name val="Arial"/>
      <family val="2"/>
    </font>
    <font>
      <sz val="11"/>
      <color theme="1"/>
      <name val="Arial"/>
      <family val="2"/>
    </font>
    <font>
      <b/>
      <sz val="14"/>
      <color rgb="FF175BA8"/>
      <name val="Arial"/>
      <family val="2"/>
    </font>
    <font>
      <u/>
      <sz val="10"/>
      <color rgb="FF175BA8"/>
      <name val="Arial"/>
      <family val="2"/>
    </font>
    <font>
      <sz val="11"/>
      <color rgb="FFC00000"/>
      <name val="Arial"/>
      <family val="2"/>
    </font>
    <font>
      <sz val="11"/>
      <color rgb="FFFF0000"/>
      <name val="Arial"/>
      <family val="2"/>
    </font>
    <font>
      <b/>
      <sz val="11"/>
      <color rgb="FFFF0000"/>
      <name val="Arial"/>
      <family val="2"/>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7" tint="0.79998168889431442"/>
        <bgColor indexed="64"/>
      </patternFill>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12">
    <xf numFmtId="0" fontId="0" fillId="0" borderId="0"/>
    <xf numFmtId="0" fontId="4" fillId="0" borderId="0"/>
    <xf numFmtId="0" fontId="5" fillId="0" borderId="0"/>
    <xf numFmtId="0" fontId="6" fillId="0" borderId="0"/>
    <xf numFmtId="0" fontId="4" fillId="0" borderId="0"/>
    <xf numFmtId="9" fontId="7" fillId="0" borderId="0" applyFont="0" applyFill="0" applyBorder="0" applyAlignment="0" applyProtection="0"/>
    <xf numFmtId="0" fontId="7" fillId="0" borderId="0"/>
    <xf numFmtId="0" fontId="7" fillId="0" borderId="0"/>
    <xf numFmtId="0" fontId="8" fillId="0" borderId="0"/>
    <xf numFmtId="0" fontId="14" fillId="0" borderId="0" applyNumberFormat="0" applyFill="0" applyBorder="0" applyAlignment="0" applyProtection="0"/>
    <xf numFmtId="0" fontId="2" fillId="0" borderId="0"/>
    <xf numFmtId="0" fontId="1" fillId="0" borderId="0"/>
  </cellStyleXfs>
  <cellXfs count="49">
    <xf numFmtId="0" fontId="0" fillId="0" borderId="0" xfId="0"/>
    <xf numFmtId="0" fontId="3" fillId="0" borderId="0" xfId="0" applyFont="1"/>
    <xf numFmtId="0" fontId="0" fillId="0" borderId="0" xfId="0" applyAlignment="1">
      <alignment horizontal="left" vertical="center"/>
    </xf>
    <xf numFmtId="1"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0" fillId="2" borderId="1" xfId="0" applyFill="1" applyBorder="1" applyAlignment="1">
      <alignment horizontal="left" vertical="top"/>
    </xf>
    <xf numFmtId="0" fontId="5" fillId="0" borderId="0" xfId="0" applyFont="1" applyAlignment="1">
      <alignment horizontal="left" vertical="center"/>
    </xf>
    <xf numFmtId="0" fontId="0" fillId="0" borderId="0" xfId="0" applyAlignment="1">
      <alignment horizontal="left" vertical="top"/>
    </xf>
    <xf numFmtId="0" fontId="0" fillId="0" borderId="0" xfId="0" applyAlignment="1">
      <alignment vertical="center"/>
    </xf>
    <xf numFmtId="0" fontId="0" fillId="4" borderId="0" xfId="0" applyFill="1" applyAlignment="1">
      <alignment horizontal="left" vertical="top"/>
    </xf>
    <xf numFmtId="0" fontId="3" fillId="0" borderId="0" xfId="0" applyFont="1" applyAlignment="1">
      <alignment horizontal="left" vertical="center"/>
    </xf>
    <xf numFmtId="3" fontId="0" fillId="0" borderId="0" xfId="0" applyNumberFormat="1"/>
    <xf numFmtId="0" fontId="9" fillId="4" borderId="0" xfId="0" applyFont="1" applyFill="1" applyAlignment="1">
      <alignment horizontal="left" vertical="top"/>
    </xf>
    <xf numFmtId="0" fontId="10" fillId="3" borderId="0" xfId="0" applyFont="1" applyFill="1" applyAlignment="1">
      <alignment horizontal="left" vertical="top" wrapText="1"/>
    </xf>
    <xf numFmtId="0" fontId="0" fillId="0" borderId="0" xfId="0" applyAlignment="1">
      <alignment horizontal="left"/>
    </xf>
    <xf numFmtId="0" fontId="10" fillId="5" borderId="0" xfId="0" applyFont="1" applyFill="1" applyAlignment="1">
      <alignment horizontal="left" vertical="top" wrapText="1"/>
    </xf>
    <xf numFmtId="9" fontId="0" fillId="0" borderId="0" xfId="5" applyFont="1" applyBorder="1" applyAlignment="1">
      <alignment horizontal="left" vertical="top"/>
    </xf>
    <xf numFmtId="1" fontId="0" fillId="0" borderId="0" xfId="5" applyNumberFormat="1" applyFont="1" applyBorder="1" applyAlignment="1">
      <alignment horizontal="left" vertical="top"/>
    </xf>
    <xf numFmtId="0" fontId="0" fillId="0" borderId="2" xfId="0" applyBorder="1" applyAlignment="1">
      <alignment horizontal="left" vertical="center"/>
    </xf>
    <xf numFmtId="0" fontId="0" fillId="0" borderId="2" xfId="0" applyBorder="1"/>
    <xf numFmtId="0" fontId="3" fillId="0" borderId="2" xfId="0" applyFont="1" applyBorder="1"/>
    <xf numFmtId="0" fontId="0" fillId="0" borderId="3" xfId="0" applyBorder="1" applyAlignment="1">
      <alignment horizontal="left" vertical="center"/>
    </xf>
    <xf numFmtId="0" fontId="0" fillId="0" borderId="3" xfId="0" applyBorder="1"/>
    <xf numFmtId="0" fontId="5" fillId="0" borderId="0" xfId="0" applyFont="1"/>
    <xf numFmtId="0" fontId="5" fillId="0" borderId="2" xfId="0" applyFont="1" applyBorder="1" applyAlignment="1">
      <alignment horizontal="left" vertical="center"/>
    </xf>
    <xf numFmtId="0" fontId="5" fillId="0" borderId="2" xfId="0" applyFont="1" applyBorder="1"/>
    <xf numFmtId="0" fontId="7" fillId="0" borderId="0" xfId="7"/>
    <xf numFmtId="0" fontId="7" fillId="0" borderId="3" xfId="7" applyBorder="1"/>
    <xf numFmtId="0" fontId="7" fillId="0" borderId="2" xfId="7" applyBorder="1"/>
    <xf numFmtId="0" fontId="5" fillId="6" borderId="1" xfId="0" applyFont="1" applyFill="1" applyBorder="1" applyAlignment="1">
      <alignment horizontal="left" vertical="top"/>
    </xf>
    <xf numFmtId="0" fontId="0" fillId="6" borderId="1" xfId="0" applyFill="1" applyBorder="1" applyAlignment="1">
      <alignment horizontal="left" vertical="top"/>
    </xf>
    <xf numFmtId="0" fontId="14" fillId="0" borderId="0" xfId="9" applyAlignment="1">
      <alignment vertical="center"/>
    </xf>
    <xf numFmtId="2" fontId="5" fillId="0" borderId="0" xfId="5" applyNumberFormat="1" applyFont="1" applyBorder="1" applyAlignment="1">
      <alignment horizontal="right"/>
    </xf>
    <xf numFmtId="2" fontId="0" fillId="0" borderId="0" xfId="5" applyNumberFormat="1" applyFont="1" applyBorder="1" applyAlignment="1">
      <alignment horizontal="right"/>
    </xf>
    <xf numFmtId="165" fontId="5" fillId="0" borderId="0" xfId="5" applyNumberFormat="1" applyFont="1" applyBorder="1" applyAlignment="1">
      <alignment horizontal="right"/>
    </xf>
    <xf numFmtId="165" fontId="0" fillId="0" borderId="0" xfId="5" applyNumberFormat="1" applyFont="1" applyBorder="1" applyAlignment="1">
      <alignment horizontal="right"/>
    </xf>
    <xf numFmtId="1" fontId="0" fillId="0" borderId="0" xfId="5" applyNumberFormat="1" applyFont="1" applyBorder="1" applyAlignment="1">
      <alignment horizontal="right"/>
    </xf>
    <xf numFmtId="0" fontId="15" fillId="0" borderId="0" xfId="11" applyFont="1" applyAlignment="1">
      <alignment vertical="center"/>
    </xf>
    <xf numFmtId="0" fontId="16" fillId="0" borderId="0" xfId="11" applyFont="1" applyAlignment="1">
      <alignment vertical="center"/>
    </xf>
    <xf numFmtId="0" fontId="17" fillId="0" borderId="0" xfId="11" applyFont="1" applyAlignment="1">
      <alignment vertical="center"/>
    </xf>
    <xf numFmtId="0" fontId="16" fillId="0" borderId="0" xfId="11" applyFont="1" applyAlignment="1">
      <alignment horizontal="left" vertical="top" wrapText="1"/>
    </xf>
    <xf numFmtId="0" fontId="16" fillId="0" borderId="0" xfId="11" applyFont="1" applyAlignment="1">
      <alignment horizontal="left" vertical="top"/>
    </xf>
    <xf numFmtId="0" fontId="16" fillId="0" borderId="0" xfId="11" applyFont="1" applyAlignment="1">
      <alignment vertical="top" wrapText="1"/>
    </xf>
    <xf numFmtId="0" fontId="18" fillId="0" borderId="0" xfId="11" applyFont="1" applyAlignment="1">
      <alignment vertical="center"/>
    </xf>
    <xf numFmtId="0" fontId="21" fillId="0" borderId="0" xfId="11" applyFont="1" applyAlignment="1">
      <alignment vertical="top" wrapText="1"/>
    </xf>
    <xf numFmtId="0" fontId="19" fillId="0" borderId="0" xfId="11" applyFont="1" applyAlignment="1">
      <alignment vertical="center"/>
    </xf>
  </cellXfs>
  <cellStyles count="12">
    <cellStyle name="Hyperlink" xfId="9" builtinId="8"/>
    <cellStyle name="Normal" xfId="0" builtinId="0"/>
    <cellStyle name="Normal 2" xfId="1" xr:uid="{00000000-0005-0000-0000-000002000000}"/>
    <cellStyle name="Normal 2 2" xfId="7" xr:uid="{00000000-0005-0000-0000-000003000000}"/>
    <cellStyle name="Normal 3" xfId="2" xr:uid="{00000000-0005-0000-0000-000004000000}"/>
    <cellStyle name="Normal 4" xfId="3" xr:uid="{00000000-0005-0000-0000-000005000000}"/>
    <cellStyle name="Normal 5" xfId="4" xr:uid="{00000000-0005-0000-0000-000006000000}"/>
    <cellStyle name="Normal 6" xfId="8" xr:uid="{00000000-0005-0000-0000-000007000000}"/>
    <cellStyle name="Normal 7" xfId="10" xr:uid="{4D62E628-601D-44FD-A93A-ADCA040CB1A5}"/>
    <cellStyle name="Normal 7 2" xfId="11" xr:uid="{1FD08812-66A0-47DC-873E-8CB5AAAF8452}"/>
    <cellStyle name="Normal 8" xfId="6" xr:uid="{00000000-0005-0000-0000-000008000000}"/>
    <cellStyle name="Per 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304800</xdr:colOff>
      <xdr:row>0</xdr:row>
      <xdr:rowOff>304800</xdr:rowOff>
    </xdr:to>
    <xdr:sp macro="" textlink="">
      <xdr:nvSpPr>
        <xdr:cNvPr id="2" name="AutoShape 5" descr="World Bank Logo">
          <a:extLst>
            <a:ext uri="{FF2B5EF4-FFF2-40B4-BE49-F238E27FC236}">
              <a16:creationId xmlns:a16="http://schemas.microsoft.com/office/drawing/2014/main" id="{E4C2D54B-5FDD-4903-9E03-6C6384F95D47}"/>
            </a:ext>
          </a:extLst>
        </xdr:cNvPr>
        <xdr:cNvSpPr>
          <a:spLocks noChangeAspect="1" noChangeArrowheads="1"/>
        </xdr:cNvSpPr>
      </xdr:nvSpPr>
      <xdr:spPr bwMode="auto">
        <a:xfrm>
          <a:off x="1113472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157162</xdr:colOff>
      <xdr:row>18</xdr:row>
      <xdr:rowOff>0</xdr:rowOff>
    </xdr:from>
    <xdr:to>
      <xdr:col>0</xdr:col>
      <xdr:colOff>7015778</xdr:colOff>
      <xdr:row>22</xdr:row>
      <xdr:rowOff>285751</xdr:rowOff>
    </xdr:to>
    <xdr:grpSp>
      <xdr:nvGrpSpPr>
        <xdr:cNvPr id="3" name="Group 2">
          <a:extLst>
            <a:ext uri="{FF2B5EF4-FFF2-40B4-BE49-F238E27FC236}">
              <a16:creationId xmlns:a16="http://schemas.microsoft.com/office/drawing/2014/main" id="{C0FA6013-91F3-4C94-8DCF-7C5EF1C7C3D8}"/>
            </a:ext>
          </a:extLst>
        </xdr:cNvPr>
        <xdr:cNvGrpSpPr/>
      </xdr:nvGrpSpPr>
      <xdr:grpSpPr>
        <a:xfrm>
          <a:off x="157162" y="6229350"/>
          <a:ext cx="6858616" cy="1809751"/>
          <a:chOff x="204787" y="0"/>
          <a:chExt cx="6858616" cy="1914526"/>
        </a:xfrm>
      </xdr:grpSpPr>
      <xdr:pic>
        <xdr:nvPicPr>
          <xdr:cNvPr id="4" name="Picture 3">
            <a:extLst>
              <a:ext uri="{FF2B5EF4-FFF2-40B4-BE49-F238E27FC236}">
                <a16:creationId xmlns:a16="http://schemas.microsoft.com/office/drawing/2014/main" id="{57041CEF-2658-C4BA-E6ED-3A72A04E121E}"/>
              </a:ext>
            </a:extLst>
          </xdr:cNvPr>
          <xdr:cNvPicPr>
            <a:picLocks noChangeAspect="1"/>
          </xdr:cNvPicPr>
        </xdr:nvPicPr>
        <xdr:blipFill>
          <a:blip xmlns:r="http://schemas.openxmlformats.org/officeDocument/2006/relationships" r:embed="rId1"/>
          <a:stretch>
            <a:fillRect/>
          </a:stretch>
        </xdr:blipFill>
        <xdr:spPr>
          <a:xfrm>
            <a:off x="4538662" y="1233487"/>
            <a:ext cx="2191042" cy="419158"/>
          </a:xfrm>
          <a:prstGeom prst="rect">
            <a:avLst/>
          </a:prstGeom>
        </xdr:spPr>
      </xdr:pic>
      <xdr:pic>
        <xdr:nvPicPr>
          <xdr:cNvPr id="5" name="Picture 4" descr="A logo of a sea&#10;&#10;Description automatically generated">
            <a:extLst>
              <a:ext uri="{FF2B5EF4-FFF2-40B4-BE49-F238E27FC236}">
                <a16:creationId xmlns:a16="http://schemas.microsoft.com/office/drawing/2014/main" id="{22C2DDA5-BBAE-DE83-9AC9-D1B735B6EFA1}"/>
              </a:ext>
            </a:extLst>
          </xdr:cNvPr>
          <xdr:cNvPicPr>
            <a:picLocks noChangeAspect="1"/>
          </xdr:cNvPicPr>
        </xdr:nvPicPr>
        <xdr:blipFill>
          <a:blip xmlns:r="http://schemas.openxmlformats.org/officeDocument/2006/relationships" r:embed="rId2"/>
          <a:stretch>
            <a:fillRect/>
          </a:stretch>
        </xdr:blipFill>
        <xdr:spPr>
          <a:xfrm>
            <a:off x="204787" y="0"/>
            <a:ext cx="2268837" cy="1914526"/>
          </a:xfrm>
          <a:prstGeom prst="rect">
            <a:avLst/>
          </a:prstGeom>
        </xdr:spPr>
      </xdr:pic>
      <xdr:pic>
        <xdr:nvPicPr>
          <xdr:cNvPr id="6" name="Picture 5" descr="Emblem of ASEAN - Wikipedia">
            <a:extLst>
              <a:ext uri="{FF2B5EF4-FFF2-40B4-BE49-F238E27FC236}">
                <a16:creationId xmlns:a16="http://schemas.microsoft.com/office/drawing/2014/main" id="{4C3BD4CB-BCD4-57C3-4238-DDA1B2E8A9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81262" y="190500"/>
            <a:ext cx="1543050" cy="15430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descr="United Nations Office for Project Services – Geneva Environment Network">
            <a:extLst>
              <a:ext uri="{FF2B5EF4-FFF2-40B4-BE49-F238E27FC236}">
                <a16:creationId xmlns:a16="http://schemas.microsoft.com/office/drawing/2014/main" id="{07362F5B-7834-02FE-446A-76F209AC83A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29087" y="252412"/>
            <a:ext cx="2934316" cy="9096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52A2-4329-4C36-B660-18B3E0F6C860}">
  <sheetPr>
    <tabColor rgb="FF175BA8"/>
  </sheetPr>
  <dimension ref="A1:A18"/>
  <sheetViews>
    <sheetView showGridLines="0" tabSelected="1" zoomScaleNormal="100" workbookViewId="0"/>
  </sheetViews>
  <sheetFormatPr defaultColWidth="11.42578125" defaultRowHeight="30" customHeight="1" x14ac:dyDescent="0.2"/>
  <cols>
    <col min="1" max="1" width="121.28515625" style="41" customWidth="1"/>
    <col min="2" max="16384" width="11.42578125" style="41"/>
  </cols>
  <sheetData>
    <row r="1" spans="1:1" ht="30" customHeight="1" x14ac:dyDescent="0.2">
      <c r="A1" s="40" t="s">
        <v>8991</v>
      </c>
    </row>
    <row r="2" spans="1:1" ht="18" x14ac:dyDescent="0.2">
      <c r="A2" s="42" t="s">
        <v>798</v>
      </c>
    </row>
    <row r="3" spans="1:1" ht="57" x14ac:dyDescent="0.2">
      <c r="A3" s="43" t="s">
        <v>8993</v>
      </c>
    </row>
    <row r="4" spans="1:1" ht="9.9499999999999993" customHeight="1" x14ac:dyDescent="0.2">
      <c r="A4" s="44"/>
    </row>
    <row r="5" spans="1:1" ht="18" x14ac:dyDescent="0.2">
      <c r="A5" s="42" t="s">
        <v>799</v>
      </c>
    </row>
    <row r="6" spans="1:1" ht="156.75" x14ac:dyDescent="0.2">
      <c r="A6" s="45" t="s">
        <v>8992</v>
      </c>
    </row>
    <row r="7" spans="1:1" ht="9.9499999999999993" customHeight="1" x14ac:dyDescent="0.2"/>
    <row r="8" spans="1:1" ht="18" x14ac:dyDescent="0.2">
      <c r="A8" s="42" t="s">
        <v>800</v>
      </c>
    </row>
    <row r="9" spans="1:1" ht="18" customHeight="1" x14ac:dyDescent="0.2">
      <c r="A9" s="34" t="s">
        <v>801</v>
      </c>
    </row>
    <row r="10" spans="1:1" ht="18" customHeight="1" x14ac:dyDescent="0.2">
      <c r="A10" s="34" t="s">
        <v>802</v>
      </c>
    </row>
    <row r="11" spans="1:1" ht="18" customHeight="1" x14ac:dyDescent="0.2">
      <c r="A11" s="34" t="s">
        <v>803</v>
      </c>
    </row>
    <row r="12" spans="1:1" ht="18" customHeight="1" x14ac:dyDescent="0.2">
      <c r="A12" s="34" t="s">
        <v>804</v>
      </c>
    </row>
    <row r="13" spans="1:1" ht="18" customHeight="1" x14ac:dyDescent="0.2">
      <c r="A13" s="34" t="s">
        <v>805</v>
      </c>
    </row>
    <row r="14" spans="1:1" ht="18" customHeight="1" x14ac:dyDescent="0.2">
      <c r="A14" s="34" t="s">
        <v>806</v>
      </c>
    </row>
    <row r="15" spans="1:1" ht="18" customHeight="1" x14ac:dyDescent="0.2">
      <c r="A15" s="46"/>
    </row>
    <row r="16" spans="1:1" ht="15" x14ac:dyDescent="0.2">
      <c r="A16" s="47"/>
    </row>
    <row r="17" spans="1:1" ht="18" customHeight="1" x14ac:dyDescent="0.2">
      <c r="A17" s="45"/>
    </row>
    <row r="18" spans="1:1" ht="14.25" x14ac:dyDescent="0.2">
      <c r="A18" s="48"/>
    </row>
  </sheetData>
  <hyperlinks>
    <hyperlink ref="A9" location="MFA_inputs!A1" display="1. MFA Inputs" xr:uid="{C7533CC6-B5DE-46C9-9491-5F12ED094593}"/>
    <hyperlink ref="A10:A14" location="MFA_inputs!A1" display="1. MFA Inputs" xr:uid="{8ECEBDB7-3063-4665-86BA-9D8A9F50C63F}"/>
    <hyperlink ref="A10" location="PDFs!A1" display="2. PDFs" xr:uid="{0A46127F-CF91-48C8-8AC5-C26B9F8B84AB}"/>
    <hyperlink ref="A11" location="PDFs!A1" display="3. Street_sweep" xr:uid="{9323A7E7-A44C-409A-A30B-3591E2E21916}"/>
    <hyperlink ref="A12" location="Processes!A1" display="4. Processes" xr:uid="{285F94AE-85CA-4388-8E7E-D6B7853937AF}"/>
    <hyperlink ref="A13" location="Coefficients!A1" display="5. Coefficients" xr:uid="{B97A806D-3AE2-4FDE-A0F1-A59DE18814BC}"/>
    <hyperlink ref="A14" location="Outputs!A1" display="6. Outputs" xr:uid="{58170F45-6FD1-4C6F-9D96-88ADDD973B65}"/>
  </hyperlinks>
  <printOptions horizontalCentere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DR4076"/>
  <sheetViews>
    <sheetView zoomScaleNormal="100" workbookViewId="0"/>
  </sheetViews>
  <sheetFormatPr defaultRowHeight="12.75" x14ac:dyDescent="0.2"/>
  <cols>
    <col min="1" max="1" width="13" customWidth="1"/>
    <col min="2" max="2" width="6.42578125" bestFit="1" customWidth="1"/>
    <col min="3" max="3" width="14.85546875" customWidth="1"/>
    <col min="4" max="8" width="15.7109375" customWidth="1"/>
    <col min="9" max="9" width="20.7109375" style="14" customWidth="1"/>
    <col min="10" max="22" width="20.7109375" customWidth="1"/>
    <col min="23" max="50" width="10.7109375" customWidth="1"/>
    <col min="64" max="64" width="9.5703125" bestFit="1" customWidth="1"/>
  </cols>
  <sheetData>
    <row r="1" spans="1:122" x14ac:dyDescent="0.2">
      <c r="A1" s="15" t="s">
        <v>593</v>
      </c>
      <c r="B1" s="12" t="s">
        <v>294</v>
      </c>
      <c r="C1" s="12" t="s">
        <v>294</v>
      </c>
      <c r="D1" s="12" t="s">
        <v>294</v>
      </c>
      <c r="E1" s="12" t="s">
        <v>294</v>
      </c>
      <c r="F1" s="12"/>
      <c r="G1" s="12"/>
      <c r="H1" s="12"/>
      <c r="I1" s="12">
        <v>2020</v>
      </c>
      <c r="J1" s="12">
        <v>2020</v>
      </c>
      <c r="K1" s="12">
        <v>2020</v>
      </c>
      <c r="L1" s="12">
        <v>2020</v>
      </c>
      <c r="M1" s="12">
        <v>2020</v>
      </c>
      <c r="N1" s="12">
        <v>2020</v>
      </c>
      <c r="O1" s="12">
        <v>2020</v>
      </c>
      <c r="P1" s="12">
        <v>2020</v>
      </c>
      <c r="Q1" s="12">
        <v>2020</v>
      </c>
      <c r="R1" s="12">
        <v>2020</v>
      </c>
      <c r="S1" s="12">
        <v>2020</v>
      </c>
      <c r="T1" s="12">
        <v>2020</v>
      </c>
      <c r="U1" s="12">
        <v>2020</v>
      </c>
      <c r="V1" s="12">
        <v>2020</v>
      </c>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row>
    <row r="2" spans="1:122" x14ac:dyDescent="0.2">
      <c r="A2" s="15" t="s">
        <v>588</v>
      </c>
      <c r="B2" s="12" t="s">
        <v>294</v>
      </c>
      <c r="C2" s="12" t="s">
        <v>294</v>
      </c>
      <c r="D2" s="12" t="s">
        <v>294</v>
      </c>
      <c r="E2" s="12" t="s">
        <v>294</v>
      </c>
      <c r="F2" s="12"/>
      <c r="G2" s="12"/>
      <c r="H2" s="12"/>
      <c r="I2" s="12" t="s">
        <v>361</v>
      </c>
      <c r="J2" s="12" t="s">
        <v>594</v>
      </c>
      <c r="K2" s="12" t="s">
        <v>594</v>
      </c>
      <c r="L2" s="12" t="s">
        <v>594</v>
      </c>
      <c r="M2" s="12" t="s">
        <v>595</v>
      </c>
      <c r="N2" s="12" t="s">
        <v>594</v>
      </c>
      <c r="O2" s="12" t="s">
        <v>594</v>
      </c>
      <c r="P2" s="12" t="s">
        <v>594</v>
      </c>
      <c r="Q2" s="12" t="s">
        <v>594</v>
      </c>
      <c r="R2" s="12" t="s">
        <v>594</v>
      </c>
      <c r="S2" s="12" t="s">
        <v>594</v>
      </c>
      <c r="T2" s="12" t="s">
        <v>596</v>
      </c>
      <c r="U2" s="12" t="s">
        <v>294</v>
      </c>
      <c r="V2" s="12" t="s">
        <v>294</v>
      </c>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row>
    <row r="3" spans="1:122" ht="32.25" thickBot="1" x14ac:dyDescent="0.25">
      <c r="A3" s="16" t="s">
        <v>293</v>
      </c>
      <c r="B3" s="16" t="s">
        <v>295</v>
      </c>
      <c r="C3" s="16" t="s">
        <v>296</v>
      </c>
      <c r="D3" s="16" t="s">
        <v>297</v>
      </c>
      <c r="E3" s="16" t="s">
        <v>298</v>
      </c>
      <c r="F3" s="16" t="s">
        <v>830</v>
      </c>
      <c r="G3" s="16" t="s">
        <v>831</v>
      </c>
      <c r="H3" s="16" t="s">
        <v>807</v>
      </c>
      <c r="I3" s="18" t="s">
        <v>762</v>
      </c>
      <c r="J3" s="18" t="s">
        <v>763</v>
      </c>
      <c r="K3" s="18" t="s">
        <v>764</v>
      </c>
      <c r="L3" s="18" t="s">
        <v>589</v>
      </c>
      <c r="M3" s="18" t="s">
        <v>590</v>
      </c>
      <c r="N3" s="18" t="s">
        <v>765</v>
      </c>
      <c r="O3" s="18" t="s">
        <v>766</v>
      </c>
      <c r="P3" s="18" t="s">
        <v>767</v>
      </c>
      <c r="Q3" s="18" t="s">
        <v>768</v>
      </c>
      <c r="R3" s="18" t="s">
        <v>769</v>
      </c>
      <c r="S3" s="18" t="s">
        <v>770</v>
      </c>
      <c r="T3" s="18" t="s">
        <v>591</v>
      </c>
      <c r="U3" s="18" t="s">
        <v>346</v>
      </c>
      <c r="V3" s="18" t="s">
        <v>592</v>
      </c>
      <c r="W3" s="32" t="s">
        <v>771</v>
      </c>
      <c r="X3" s="33" t="s">
        <v>772</v>
      </c>
      <c r="Y3" s="32" t="s">
        <v>773</v>
      </c>
      <c r="Z3" s="33" t="s">
        <v>774</v>
      </c>
      <c r="AA3" s="33" t="s">
        <v>775</v>
      </c>
      <c r="AB3" s="33" t="s">
        <v>776</v>
      </c>
      <c r="AC3" s="33" t="s">
        <v>777</v>
      </c>
      <c r="AD3" s="33" t="s">
        <v>778</v>
      </c>
      <c r="AE3" s="33" t="s">
        <v>779</v>
      </c>
      <c r="AF3" s="33" t="s">
        <v>780</v>
      </c>
      <c r="AG3" s="33" t="s">
        <v>781</v>
      </c>
      <c r="AH3" s="33" t="s">
        <v>782</v>
      </c>
      <c r="AI3" s="33" t="s">
        <v>783</v>
      </c>
      <c r="AJ3" s="33" t="s">
        <v>784</v>
      </c>
      <c r="AK3" s="33" t="s">
        <v>785</v>
      </c>
      <c r="AL3" s="33" t="s">
        <v>786</v>
      </c>
      <c r="AM3" s="33" t="s">
        <v>787</v>
      </c>
      <c r="AN3" s="33" t="s">
        <v>788</v>
      </c>
      <c r="AO3" s="33" t="s">
        <v>789</v>
      </c>
      <c r="AP3" s="33" t="s">
        <v>790</v>
      </c>
      <c r="AQ3" s="33" t="s">
        <v>791</v>
      </c>
      <c r="AR3" s="33" t="s">
        <v>792</v>
      </c>
      <c r="AS3" s="33" t="s">
        <v>832</v>
      </c>
      <c r="AT3" s="33" t="s">
        <v>833</v>
      </c>
      <c r="AU3" s="33" t="s">
        <v>793</v>
      </c>
      <c r="AV3" s="33" t="s">
        <v>794</v>
      </c>
      <c r="AW3" s="33" t="s">
        <v>795</v>
      </c>
      <c r="AX3" s="33" t="s">
        <v>796</v>
      </c>
      <c r="AY3" s="8" t="s">
        <v>499</v>
      </c>
      <c r="AZ3" s="8" t="s">
        <v>500</v>
      </c>
      <c r="BA3" s="8" t="s">
        <v>501</v>
      </c>
      <c r="BB3" s="8" t="s">
        <v>557</v>
      </c>
      <c r="BC3" s="8" t="s">
        <v>502</v>
      </c>
      <c r="BD3" s="8" t="s">
        <v>503</v>
      </c>
      <c r="BE3" s="8" t="s">
        <v>834</v>
      </c>
      <c r="BF3" s="8" t="s">
        <v>835</v>
      </c>
      <c r="BG3" s="8" t="s">
        <v>504</v>
      </c>
      <c r="BH3" s="8" t="s">
        <v>505</v>
      </c>
      <c r="BI3" s="8" t="s">
        <v>808</v>
      </c>
      <c r="BJ3" s="8" t="s">
        <v>809</v>
      </c>
      <c r="BK3" s="8" t="s">
        <v>506</v>
      </c>
      <c r="BL3" s="8" t="s">
        <v>507</v>
      </c>
      <c r="BM3" s="8" t="s">
        <v>508</v>
      </c>
      <c r="BN3" s="8" t="s">
        <v>509</v>
      </c>
      <c r="BO3" s="8" t="s">
        <v>575</v>
      </c>
      <c r="BP3" s="8" t="s">
        <v>576</v>
      </c>
      <c r="BQ3" s="8" t="s">
        <v>577</v>
      </c>
      <c r="BR3" s="8" t="s">
        <v>578</v>
      </c>
      <c r="BS3" s="8" t="s">
        <v>579</v>
      </c>
      <c r="BT3" s="8" t="s">
        <v>580</v>
      </c>
      <c r="BU3" s="8" t="s">
        <v>581</v>
      </c>
      <c r="BV3" s="8" t="s">
        <v>582</v>
      </c>
      <c r="BW3" s="8" t="s">
        <v>513</v>
      </c>
      <c r="BX3" s="8" t="s">
        <v>514</v>
      </c>
      <c r="BY3" s="8" t="s">
        <v>836</v>
      </c>
      <c r="BZ3" s="8" t="s">
        <v>837</v>
      </c>
      <c r="CA3" s="8" t="s">
        <v>515</v>
      </c>
      <c r="CB3" s="8" t="s">
        <v>516</v>
      </c>
      <c r="CC3" s="8" t="s">
        <v>517</v>
      </c>
      <c r="CD3" s="8" t="s">
        <v>518</v>
      </c>
      <c r="CE3" s="8" t="s">
        <v>519</v>
      </c>
      <c r="CF3" s="8" t="s">
        <v>520</v>
      </c>
      <c r="CG3" s="8" t="s">
        <v>521</v>
      </c>
      <c r="CH3" s="8" t="s">
        <v>522</v>
      </c>
      <c r="CI3" s="8" t="s">
        <v>523</v>
      </c>
      <c r="CJ3" s="8" t="s">
        <v>524</v>
      </c>
      <c r="CK3" s="8" t="s">
        <v>525</v>
      </c>
      <c r="CL3" s="8" t="s">
        <v>526</v>
      </c>
      <c r="CM3" s="8" t="s">
        <v>527</v>
      </c>
      <c r="CN3" s="8" t="s">
        <v>528</v>
      </c>
      <c r="CO3" s="8" t="s">
        <v>529</v>
      </c>
      <c r="CP3" s="8" t="s">
        <v>530</v>
      </c>
      <c r="CQ3" s="8" t="s">
        <v>531</v>
      </c>
      <c r="CR3" s="8" t="s">
        <v>532</v>
      </c>
      <c r="CS3" s="8" t="s">
        <v>533</v>
      </c>
      <c r="CT3" s="8" t="s">
        <v>534</v>
      </c>
      <c r="CU3" s="8" t="s">
        <v>535</v>
      </c>
      <c r="CV3" s="8" t="s">
        <v>536</v>
      </c>
      <c r="CW3" s="8" t="s">
        <v>537</v>
      </c>
      <c r="CX3" s="8" t="s">
        <v>538</v>
      </c>
      <c r="CY3" s="8" t="s">
        <v>539</v>
      </c>
      <c r="CZ3" s="8" t="s">
        <v>540</v>
      </c>
      <c r="DA3" s="8" t="s">
        <v>838</v>
      </c>
      <c r="DB3" s="8" t="s">
        <v>839</v>
      </c>
      <c r="DC3" s="8" t="s">
        <v>541</v>
      </c>
      <c r="DD3" s="8" t="s">
        <v>542</v>
      </c>
      <c r="DE3" s="8" t="s">
        <v>543</v>
      </c>
      <c r="DF3" s="8" t="s">
        <v>544</v>
      </c>
      <c r="DG3" s="8" t="s">
        <v>545</v>
      </c>
      <c r="DH3" s="8" t="s">
        <v>546</v>
      </c>
      <c r="DI3" s="8" t="s">
        <v>547</v>
      </c>
      <c r="DJ3" s="8" t="s">
        <v>548</v>
      </c>
      <c r="DK3" s="8" t="s">
        <v>549</v>
      </c>
      <c r="DL3" s="8" t="s">
        <v>550</v>
      </c>
      <c r="DM3" s="8" t="s">
        <v>551</v>
      </c>
      <c r="DN3" s="8" t="s">
        <v>552</v>
      </c>
      <c r="DO3" s="8" t="s">
        <v>553</v>
      </c>
      <c r="DP3" s="8" t="s">
        <v>554</v>
      </c>
      <c r="DQ3" s="8" t="s">
        <v>555</v>
      </c>
      <c r="DR3" s="8" t="s">
        <v>556</v>
      </c>
    </row>
    <row r="4" spans="1:122" ht="12.95" customHeight="1" x14ac:dyDescent="0.2">
      <c r="A4" t="s">
        <v>840</v>
      </c>
      <c r="B4" t="s">
        <v>841</v>
      </c>
      <c r="C4" t="s">
        <v>842</v>
      </c>
      <c r="D4" t="s">
        <v>843</v>
      </c>
      <c r="E4" s="10"/>
      <c r="F4" s="10"/>
      <c r="G4" s="10"/>
      <c r="H4" s="10" t="s">
        <v>843</v>
      </c>
      <c r="I4" s="14">
        <v>63391.211367113254</v>
      </c>
      <c r="J4" s="19">
        <v>0</v>
      </c>
      <c r="K4" s="19">
        <v>0.86015379307153472</v>
      </c>
      <c r="L4" s="19">
        <v>0.13984620692846531</v>
      </c>
      <c r="M4" s="20">
        <v>2</v>
      </c>
      <c r="N4" s="19">
        <v>0.38055186415651426</v>
      </c>
      <c r="O4" s="19">
        <v>0.32095980602699908</v>
      </c>
      <c r="P4" s="19">
        <v>0.1586421228880214</v>
      </c>
      <c r="Q4" s="19">
        <v>8.6518967652214028E-3</v>
      </c>
      <c r="R4" s="19">
        <v>0.10402912186721103</v>
      </c>
      <c r="S4" s="19">
        <v>2.7165188296032886E-2</v>
      </c>
      <c r="T4" s="20">
        <v>23</v>
      </c>
      <c r="U4" s="17">
        <v>4</v>
      </c>
      <c r="V4" s="17">
        <v>60</v>
      </c>
      <c r="W4" s="35"/>
      <c r="X4" s="36"/>
      <c r="Y4" s="37"/>
      <c r="Z4" s="38"/>
      <c r="AA4" s="39"/>
      <c r="AB4" s="39"/>
      <c r="AC4" s="39"/>
      <c r="AD4" s="39"/>
      <c r="AE4" s="36"/>
      <c r="AF4" s="36"/>
      <c r="AG4" s="36"/>
      <c r="AH4" s="39"/>
      <c r="AI4" s="36"/>
      <c r="AJ4" s="36"/>
      <c r="AK4" s="36"/>
      <c r="AL4" s="39"/>
      <c r="AM4" s="36"/>
      <c r="AN4" s="36"/>
      <c r="AO4" s="36"/>
      <c r="AP4" s="39"/>
      <c r="AQ4" s="39"/>
      <c r="AR4" s="39"/>
      <c r="AS4" s="39"/>
      <c r="AT4" s="39"/>
      <c r="AU4" s="38"/>
      <c r="AV4" s="38"/>
      <c r="AW4" s="38"/>
      <c r="AX4" s="39"/>
      <c r="AY4" s="5">
        <f t="shared" ref="AY4:AY14" si="0">IF($U4=4,0.0045,IF($U4=3,0.026,IF($U4=2,0.021,IF($U4=1,0.024,""))))</f>
        <v>4.4999999999999997E-3</v>
      </c>
      <c r="AZ4" s="5">
        <f t="shared" ref="AZ4:AZ14" si="1">IF($U4=4,0.005,IF($U4=3,0.252,IF($U4=2,0.191,IF($U4=1,0.144,""))))</f>
        <v>5.0000000000000001E-3</v>
      </c>
      <c r="BA4" s="5">
        <f t="shared" ref="BA4:BA14" si="2">IF($U4=4,0.0055,IF($U4=3,0.849,IF($U4=2,0.757,IF($U4=1,0.296,""))))</f>
        <v>5.4999999999999997E-3</v>
      </c>
      <c r="BB4" s="3">
        <v>4</v>
      </c>
      <c r="BC4" s="7">
        <v>3.5249999999999999</v>
      </c>
      <c r="BD4" s="4">
        <v>19.27</v>
      </c>
      <c r="BE4" s="4"/>
      <c r="BF4" s="4"/>
      <c r="BG4" s="4">
        <f t="shared" ref="BG4:BG14" si="3">IF($U4=4,61.7,IF($U4=3,44.4,41.8))</f>
        <v>61.7</v>
      </c>
      <c r="BH4" s="4">
        <f t="shared" ref="BH4:BH14" si="4">IF($U4=4,8.7,IF($U4=3,3.9,10.3))</f>
        <v>8.6999999999999993</v>
      </c>
      <c r="BI4" s="4">
        <v>0</v>
      </c>
      <c r="BJ4" s="4">
        <v>100</v>
      </c>
      <c r="BK4" s="4">
        <f t="shared" ref="BK4:BK14" si="5">(((100-(20.7+35.4*LOG($V4)))/100)*1)</f>
        <v>0.1635344573641902</v>
      </c>
      <c r="BL4" s="4">
        <f t="shared" ref="BL4:BL14" si="6">(((100-(20.7+35.4*LOG($V4)))/100)*5)</f>
        <v>0.81767228682095094</v>
      </c>
      <c r="BM4" s="4">
        <f t="shared" ref="BM4:BM14" si="7">(((100-(20.7+35.4*LOG($V4)))/100)*15)</f>
        <v>2.4530168604628528</v>
      </c>
      <c r="BN4" s="3">
        <v>4</v>
      </c>
      <c r="BO4" s="6">
        <v>0</v>
      </c>
      <c r="BP4" s="6">
        <v>8.6</v>
      </c>
      <c r="BQ4" s="6">
        <v>80.2</v>
      </c>
      <c r="BR4" s="6">
        <v>4</v>
      </c>
      <c r="BS4" s="7">
        <v>6.0000000000000001E-3</v>
      </c>
      <c r="BT4" s="7">
        <v>0.04</v>
      </c>
      <c r="BU4" s="7">
        <v>0.45</v>
      </c>
      <c r="BV4" s="3">
        <v>4</v>
      </c>
      <c r="BW4" s="6">
        <f t="shared" ref="BW4:BW14" si="8">IF($U4=4,1.2,IF($U4=3,38,IF($U4=2,0.6,IF($U4=1,9.2,""))))*(1-L4)+IF($U4=4,1.2,IF($U4=3,71.1,IF($U4=2,8.4,IF($U4=1,7.9,""))))*L4</f>
        <v>1.2</v>
      </c>
      <c r="BX4" s="6">
        <f t="shared" ref="BX4:BX14" si="9">IF($U4=4,66.7,IF($U4=3,81.7,IF($U4=2,84.7,IF($U4=1,61.9,""))))*(1-L4)+IF($U4=4,66.7,IF($U4=3,93.4,IF($U4=2,84.3,IF($U4=1,24.4,""))))*L4</f>
        <v>66.7</v>
      </c>
      <c r="BY4" s="6"/>
      <c r="BZ4" s="6"/>
      <c r="CA4" s="6">
        <v>13.8</v>
      </c>
      <c r="CB4" s="6">
        <v>17.7</v>
      </c>
      <c r="CC4" s="6">
        <v>20.399999999999999</v>
      </c>
      <c r="CD4" s="3">
        <v>4</v>
      </c>
      <c r="CE4" s="3">
        <v>40</v>
      </c>
      <c r="CF4" s="3">
        <v>50</v>
      </c>
      <c r="CG4" s="3">
        <v>60</v>
      </c>
      <c r="CH4" s="3">
        <v>4</v>
      </c>
      <c r="CI4" s="6">
        <f t="shared" ref="CI4:CI14" si="10">IF($U4=4,0,IF($U4=3,2.3,IF($U4=2,2.3,2.3)))</f>
        <v>0</v>
      </c>
      <c r="CJ4" s="6">
        <f t="shared" ref="CJ4:CJ14" si="11">IF($U4=4,2.3,IF($U4=3,30,IF($U4=2,30,30)))</f>
        <v>2.2999999999999998</v>
      </c>
      <c r="CK4" s="6">
        <f t="shared" ref="CK4:CK14" si="12">IF($U4=4,4.6,IF($U4=3,60,IF($U4=2,60,60)))</f>
        <v>4.5999999999999996</v>
      </c>
      <c r="CL4" s="6">
        <v>4</v>
      </c>
      <c r="CM4" s="6">
        <v>4.3</v>
      </c>
      <c r="CN4" s="6">
        <v>8.5</v>
      </c>
      <c r="CO4" s="6">
        <v>12.8</v>
      </c>
      <c r="CP4" s="3">
        <v>4</v>
      </c>
      <c r="CQ4" s="3">
        <v>69.099999999999994</v>
      </c>
      <c r="CR4" s="6">
        <v>72.900000000000006</v>
      </c>
      <c r="CS4" s="3">
        <v>76</v>
      </c>
      <c r="CT4" s="3">
        <v>4</v>
      </c>
      <c r="CU4" s="3">
        <v>5</v>
      </c>
      <c r="CV4" s="3">
        <v>10</v>
      </c>
      <c r="CW4" s="3">
        <v>15</v>
      </c>
      <c r="CX4" s="3">
        <v>4</v>
      </c>
      <c r="CY4" s="3">
        <v>11</v>
      </c>
      <c r="CZ4" s="3">
        <v>95</v>
      </c>
      <c r="DA4" s="3"/>
      <c r="DB4" s="3"/>
      <c r="DC4" s="4">
        <v>15.07</v>
      </c>
      <c r="DD4" s="4">
        <v>18.84</v>
      </c>
      <c r="DE4" s="4">
        <v>22.61</v>
      </c>
      <c r="DF4" s="3">
        <v>4</v>
      </c>
      <c r="DG4" s="4">
        <v>11.92</v>
      </c>
      <c r="DH4" s="4">
        <v>14.9</v>
      </c>
      <c r="DI4" s="4">
        <v>17.88</v>
      </c>
      <c r="DJ4" s="3">
        <v>4</v>
      </c>
      <c r="DK4" s="4">
        <v>32.590000000000003</v>
      </c>
      <c r="DL4" s="4">
        <v>40.74</v>
      </c>
      <c r="DM4" s="4">
        <v>48.89</v>
      </c>
      <c r="DN4" s="3">
        <v>4</v>
      </c>
      <c r="DO4" s="4">
        <v>46.46</v>
      </c>
      <c r="DP4" s="4">
        <v>58.08</v>
      </c>
      <c r="DQ4" s="4">
        <v>69.7</v>
      </c>
      <c r="DR4" s="3">
        <v>4</v>
      </c>
    </row>
    <row r="5" spans="1:122" ht="12.95" customHeight="1" x14ac:dyDescent="0.2">
      <c r="A5" t="s">
        <v>844</v>
      </c>
      <c r="B5" t="s">
        <v>841</v>
      </c>
      <c r="C5" t="s">
        <v>842</v>
      </c>
      <c r="D5" t="s">
        <v>845</v>
      </c>
      <c r="E5" s="10"/>
      <c r="F5" s="10"/>
      <c r="G5" s="10"/>
      <c r="H5" s="10" t="s">
        <v>845</v>
      </c>
      <c r="I5" s="14">
        <v>321192.98780226882</v>
      </c>
      <c r="J5" s="19">
        <v>0.40996744481359348</v>
      </c>
      <c r="K5" s="19">
        <v>0.50130809306245583</v>
      </c>
      <c r="L5" s="19">
        <v>8.8724462123950645E-2</v>
      </c>
      <c r="M5" s="20">
        <v>2</v>
      </c>
      <c r="N5" s="19">
        <v>0.15749003295151653</v>
      </c>
      <c r="O5" s="19">
        <v>2.5530307592213884E-2</v>
      </c>
      <c r="P5" s="19">
        <v>0.31828775251872543</v>
      </c>
      <c r="Q5" s="19">
        <v>1.6204776640386519E-2</v>
      </c>
      <c r="R5" s="19">
        <v>6.8167816333106368E-2</v>
      </c>
      <c r="S5" s="19">
        <v>4.3518691504577638E-3</v>
      </c>
      <c r="T5" s="20">
        <v>23</v>
      </c>
      <c r="U5" s="17">
        <v>4</v>
      </c>
      <c r="V5" s="17">
        <v>60</v>
      </c>
      <c r="W5" s="35"/>
      <c r="X5" s="36"/>
      <c r="Y5" s="37"/>
      <c r="Z5" s="38"/>
      <c r="AA5" s="39"/>
      <c r="AB5" s="39"/>
      <c r="AC5" s="39"/>
      <c r="AD5" s="39"/>
      <c r="AE5" s="36"/>
      <c r="AF5" s="36"/>
      <c r="AG5" s="36"/>
      <c r="AH5" s="39"/>
      <c r="AI5" s="36"/>
      <c r="AJ5" s="36"/>
      <c r="AK5" s="36"/>
      <c r="AL5" s="39"/>
      <c r="AM5" s="36"/>
      <c r="AN5" s="36"/>
      <c r="AO5" s="36"/>
      <c r="AP5" s="39"/>
      <c r="AQ5" s="39"/>
      <c r="AR5" s="39"/>
      <c r="AS5" s="39"/>
      <c r="AT5" s="39"/>
      <c r="AU5" s="38"/>
      <c r="AV5" s="38"/>
      <c r="AW5" s="38"/>
      <c r="AX5" s="39"/>
      <c r="AY5" s="5">
        <f t="shared" si="0"/>
        <v>4.4999999999999997E-3</v>
      </c>
      <c r="AZ5" s="5">
        <f t="shared" si="1"/>
        <v>5.0000000000000001E-3</v>
      </c>
      <c r="BA5" s="5">
        <f t="shared" si="2"/>
        <v>5.4999999999999997E-3</v>
      </c>
      <c r="BB5" s="3">
        <v>4</v>
      </c>
      <c r="BC5" s="7">
        <v>3.5249999999999999</v>
      </c>
      <c r="BD5" s="4">
        <v>19.27</v>
      </c>
      <c r="BE5" s="4"/>
      <c r="BF5" s="4"/>
      <c r="BG5" s="4">
        <f t="shared" si="3"/>
        <v>61.7</v>
      </c>
      <c r="BH5" s="4">
        <f t="shared" si="4"/>
        <v>8.6999999999999993</v>
      </c>
      <c r="BI5" s="4">
        <v>0</v>
      </c>
      <c r="BJ5" s="4">
        <v>100</v>
      </c>
      <c r="BK5" s="4">
        <f t="shared" si="5"/>
        <v>0.1635344573641902</v>
      </c>
      <c r="BL5" s="4">
        <f t="shared" si="6"/>
        <v>0.81767228682095094</v>
      </c>
      <c r="BM5" s="4">
        <f t="shared" si="7"/>
        <v>2.4530168604628528</v>
      </c>
      <c r="BN5" s="3">
        <v>4</v>
      </c>
      <c r="BO5" s="6">
        <v>0</v>
      </c>
      <c r="BP5" s="6">
        <v>8.6</v>
      </c>
      <c r="BQ5" s="6">
        <v>80.2</v>
      </c>
      <c r="BR5" s="6">
        <v>4</v>
      </c>
      <c r="BS5" s="7">
        <v>6.0000000000000001E-3</v>
      </c>
      <c r="BT5" s="7">
        <v>0.04</v>
      </c>
      <c r="BU5" s="7">
        <v>0.45</v>
      </c>
      <c r="BV5" s="3">
        <v>4</v>
      </c>
      <c r="BW5" s="6">
        <f t="shared" si="8"/>
        <v>1.2</v>
      </c>
      <c r="BX5" s="6">
        <f t="shared" si="9"/>
        <v>66.7</v>
      </c>
      <c r="BY5" s="6"/>
      <c r="BZ5" s="6"/>
      <c r="CA5" s="6">
        <v>13.8</v>
      </c>
      <c r="CB5" s="6">
        <v>17.7</v>
      </c>
      <c r="CC5" s="6">
        <v>20.399999999999999</v>
      </c>
      <c r="CD5" s="3">
        <v>4</v>
      </c>
      <c r="CE5" s="3">
        <v>40</v>
      </c>
      <c r="CF5" s="3">
        <v>50</v>
      </c>
      <c r="CG5" s="3">
        <v>60</v>
      </c>
      <c r="CH5" s="3">
        <v>4</v>
      </c>
      <c r="CI5" s="6">
        <f t="shared" si="10"/>
        <v>0</v>
      </c>
      <c r="CJ5" s="6">
        <f t="shared" si="11"/>
        <v>2.2999999999999998</v>
      </c>
      <c r="CK5" s="6">
        <f t="shared" si="12"/>
        <v>4.5999999999999996</v>
      </c>
      <c r="CL5" s="6">
        <v>4</v>
      </c>
      <c r="CM5" s="6">
        <v>4.3</v>
      </c>
      <c r="CN5" s="6">
        <v>8.5</v>
      </c>
      <c r="CO5" s="6">
        <v>12.8</v>
      </c>
      <c r="CP5" s="3">
        <v>4</v>
      </c>
      <c r="CQ5" s="3">
        <v>69.099999999999994</v>
      </c>
      <c r="CR5" s="6">
        <v>72.900000000000006</v>
      </c>
      <c r="CS5" s="3">
        <v>76</v>
      </c>
      <c r="CT5" s="3">
        <v>4</v>
      </c>
      <c r="CU5" s="3">
        <v>5</v>
      </c>
      <c r="CV5" s="3">
        <v>10</v>
      </c>
      <c r="CW5" s="3">
        <v>15</v>
      </c>
      <c r="CX5" s="3">
        <v>4</v>
      </c>
      <c r="CY5" s="3">
        <v>11</v>
      </c>
      <c r="CZ5" s="3">
        <v>95</v>
      </c>
      <c r="DA5" s="3"/>
      <c r="DB5" s="3"/>
      <c r="DC5" s="4">
        <v>15.07</v>
      </c>
      <c r="DD5" s="4">
        <v>18.84</v>
      </c>
      <c r="DE5" s="4">
        <v>22.61</v>
      </c>
      <c r="DF5" s="3">
        <v>4</v>
      </c>
      <c r="DG5" s="4">
        <v>11.92</v>
      </c>
      <c r="DH5" s="4">
        <v>14.9</v>
      </c>
      <c r="DI5" s="4">
        <v>17.88</v>
      </c>
      <c r="DJ5" s="3">
        <v>4</v>
      </c>
      <c r="DK5" s="4">
        <v>32.590000000000003</v>
      </c>
      <c r="DL5" s="4">
        <v>40.74</v>
      </c>
      <c r="DM5" s="4">
        <v>48.89</v>
      </c>
      <c r="DN5" s="3">
        <v>4</v>
      </c>
      <c r="DO5" s="4">
        <v>46.46</v>
      </c>
      <c r="DP5" s="4">
        <v>58.08</v>
      </c>
      <c r="DQ5" s="4">
        <v>69.7</v>
      </c>
      <c r="DR5" s="3">
        <v>4</v>
      </c>
    </row>
    <row r="6" spans="1:122" ht="12.95" customHeight="1" x14ac:dyDescent="0.2">
      <c r="A6" t="s">
        <v>846</v>
      </c>
      <c r="B6" t="s">
        <v>841</v>
      </c>
      <c r="C6" t="s">
        <v>842</v>
      </c>
      <c r="D6" t="s">
        <v>847</v>
      </c>
      <c r="E6" s="10"/>
      <c r="F6" s="10"/>
      <c r="G6" s="10"/>
      <c r="H6" s="10" t="s">
        <v>847</v>
      </c>
      <c r="I6" s="14">
        <v>8815.7999601582997</v>
      </c>
      <c r="J6" s="19">
        <v>0</v>
      </c>
      <c r="K6" s="19">
        <v>0</v>
      </c>
      <c r="L6" s="19">
        <v>1</v>
      </c>
      <c r="M6" s="20">
        <v>1</v>
      </c>
      <c r="N6" s="19">
        <v>0</v>
      </c>
      <c r="O6" s="19">
        <v>0</v>
      </c>
      <c r="P6" s="19">
        <v>0</v>
      </c>
      <c r="Q6" s="19">
        <v>0.31565763515207335</v>
      </c>
      <c r="R6" s="19">
        <v>0.55734044920807779</v>
      </c>
      <c r="S6" s="19">
        <v>0.12700191563984886</v>
      </c>
      <c r="T6" s="20">
        <v>12</v>
      </c>
      <c r="U6" s="17">
        <v>4</v>
      </c>
      <c r="V6" s="17">
        <v>60</v>
      </c>
      <c r="W6" s="35"/>
      <c r="X6" s="36"/>
      <c r="Y6" s="37"/>
      <c r="Z6" s="38"/>
      <c r="AA6" s="39"/>
      <c r="AB6" s="39"/>
      <c r="AC6" s="39"/>
      <c r="AD6" s="39"/>
      <c r="AE6" s="36"/>
      <c r="AF6" s="36"/>
      <c r="AG6" s="36"/>
      <c r="AH6" s="39"/>
      <c r="AI6" s="36"/>
      <c r="AJ6" s="36"/>
      <c r="AK6" s="36"/>
      <c r="AL6" s="39"/>
      <c r="AM6" s="36"/>
      <c r="AN6" s="36"/>
      <c r="AO6" s="36"/>
      <c r="AP6" s="39"/>
      <c r="AQ6" s="39"/>
      <c r="AR6" s="39"/>
      <c r="AS6" s="39"/>
      <c r="AT6" s="39"/>
      <c r="AU6" s="38"/>
      <c r="AV6" s="38"/>
      <c r="AW6" s="38"/>
      <c r="AX6" s="39"/>
      <c r="AY6" s="5">
        <f t="shared" si="0"/>
        <v>4.4999999999999997E-3</v>
      </c>
      <c r="AZ6" s="5">
        <f t="shared" si="1"/>
        <v>5.0000000000000001E-3</v>
      </c>
      <c r="BA6" s="5">
        <f t="shared" si="2"/>
        <v>5.4999999999999997E-3</v>
      </c>
      <c r="BB6" s="3">
        <v>4</v>
      </c>
      <c r="BC6" s="7">
        <v>3.5249999999999999</v>
      </c>
      <c r="BD6" s="4">
        <v>19.27</v>
      </c>
      <c r="BE6" s="4"/>
      <c r="BF6" s="4"/>
      <c r="BG6" s="4">
        <f t="shared" si="3"/>
        <v>61.7</v>
      </c>
      <c r="BH6" s="4">
        <f t="shared" si="4"/>
        <v>8.6999999999999993</v>
      </c>
      <c r="BI6" s="4">
        <v>0</v>
      </c>
      <c r="BJ6" s="4">
        <v>100</v>
      </c>
      <c r="BK6" s="4">
        <f t="shared" si="5"/>
        <v>0.1635344573641902</v>
      </c>
      <c r="BL6" s="4">
        <f t="shared" si="6"/>
        <v>0.81767228682095094</v>
      </c>
      <c r="BM6" s="4">
        <f t="shared" si="7"/>
        <v>2.4530168604628528</v>
      </c>
      <c r="BN6" s="3">
        <v>4</v>
      </c>
      <c r="BO6" s="6">
        <v>0</v>
      </c>
      <c r="BP6" s="6">
        <v>8.6</v>
      </c>
      <c r="BQ6" s="6">
        <v>80.2</v>
      </c>
      <c r="BR6" s="6">
        <v>4</v>
      </c>
      <c r="BS6" s="7">
        <v>6.0000000000000001E-3</v>
      </c>
      <c r="BT6" s="7">
        <v>0.04</v>
      </c>
      <c r="BU6" s="7">
        <v>0.45</v>
      </c>
      <c r="BV6" s="3">
        <v>4</v>
      </c>
      <c r="BW6" s="6">
        <f t="shared" si="8"/>
        <v>1.2</v>
      </c>
      <c r="BX6" s="6">
        <f t="shared" si="9"/>
        <v>66.7</v>
      </c>
      <c r="BY6" s="6"/>
      <c r="BZ6" s="6"/>
      <c r="CA6" s="6">
        <v>13.8</v>
      </c>
      <c r="CB6" s="6">
        <v>17.7</v>
      </c>
      <c r="CC6" s="6">
        <v>20.399999999999999</v>
      </c>
      <c r="CD6" s="3">
        <v>4</v>
      </c>
      <c r="CE6" s="3">
        <v>40</v>
      </c>
      <c r="CF6" s="3">
        <v>50</v>
      </c>
      <c r="CG6" s="3">
        <v>60</v>
      </c>
      <c r="CH6" s="3">
        <v>4</v>
      </c>
      <c r="CI6" s="6">
        <f t="shared" si="10"/>
        <v>0</v>
      </c>
      <c r="CJ6" s="6">
        <f t="shared" si="11"/>
        <v>2.2999999999999998</v>
      </c>
      <c r="CK6" s="6">
        <f t="shared" si="12"/>
        <v>4.5999999999999996</v>
      </c>
      <c r="CL6" s="6">
        <v>4</v>
      </c>
      <c r="CM6" s="6">
        <v>4.3</v>
      </c>
      <c r="CN6" s="6">
        <v>8.5</v>
      </c>
      <c r="CO6" s="6">
        <v>12.8</v>
      </c>
      <c r="CP6" s="3">
        <v>4</v>
      </c>
      <c r="CQ6" s="3">
        <v>69.099999999999994</v>
      </c>
      <c r="CR6" s="6">
        <v>72.900000000000006</v>
      </c>
      <c r="CS6" s="3">
        <v>76</v>
      </c>
      <c r="CT6" s="3">
        <v>4</v>
      </c>
      <c r="CU6" s="3">
        <v>5</v>
      </c>
      <c r="CV6" s="3">
        <v>10</v>
      </c>
      <c r="CW6" s="3">
        <v>15</v>
      </c>
      <c r="CX6" s="3">
        <v>4</v>
      </c>
      <c r="CY6" s="3">
        <v>11</v>
      </c>
      <c r="CZ6" s="3">
        <v>95</v>
      </c>
      <c r="DA6" s="3"/>
      <c r="DB6" s="3"/>
      <c r="DC6" s="4">
        <v>15.07</v>
      </c>
      <c r="DD6" s="4">
        <v>18.84</v>
      </c>
      <c r="DE6" s="4">
        <v>22.61</v>
      </c>
      <c r="DF6" s="3">
        <v>4</v>
      </c>
      <c r="DG6" s="4">
        <v>11.92</v>
      </c>
      <c r="DH6" s="4">
        <v>14.9</v>
      </c>
      <c r="DI6" s="4">
        <v>17.88</v>
      </c>
      <c r="DJ6" s="3">
        <v>4</v>
      </c>
      <c r="DK6" s="4">
        <v>32.590000000000003</v>
      </c>
      <c r="DL6" s="4">
        <v>40.74</v>
      </c>
      <c r="DM6" s="4">
        <v>48.89</v>
      </c>
      <c r="DN6" s="3">
        <v>4</v>
      </c>
      <c r="DO6" s="4">
        <v>46.46</v>
      </c>
      <c r="DP6" s="4">
        <v>58.08</v>
      </c>
      <c r="DQ6" s="4">
        <v>69.7</v>
      </c>
      <c r="DR6" s="3">
        <v>4</v>
      </c>
    </row>
    <row r="7" spans="1:122" ht="12.95" customHeight="1" x14ac:dyDescent="0.2">
      <c r="A7" t="s">
        <v>848</v>
      </c>
      <c r="B7" t="s">
        <v>841</v>
      </c>
      <c r="C7" t="s">
        <v>842</v>
      </c>
      <c r="D7" t="s">
        <v>849</v>
      </c>
      <c r="E7" s="10"/>
      <c r="F7" s="10"/>
      <c r="G7" s="10"/>
      <c r="H7" s="10" t="s">
        <v>849</v>
      </c>
      <c r="I7" s="14">
        <v>47293.609010195825</v>
      </c>
      <c r="J7" s="19">
        <v>0</v>
      </c>
      <c r="K7" s="19">
        <v>0.30212194789894059</v>
      </c>
      <c r="L7" s="19">
        <v>0.69787805210105947</v>
      </c>
      <c r="M7" s="20">
        <v>1</v>
      </c>
      <c r="N7" s="19">
        <v>0</v>
      </c>
      <c r="O7" s="19">
        <v>0.30212194789894059</v>
      </c>
      <c r="P7" s="19">
        <v>0</v>
      </c>
      <c r="Q7" s="19">
        <v>0.20288356021326603</v>
      </c>
      <c r="R7" s="19">
        <v>0.42645498537352061</v>
      </c>
      <c r="S7" s="19">
        <v>6.8539506514272763E-2</v>
      </c>
      <c r="T7" s="20">
        <v>12</v>
      </c>
      <c r="U7" s="17">
        <v>4</v>
      </c>
      <c r="V7" s="17">
        <v>60</v>
      </c>
      <c r="W7" s="35"/>
      <c r="X7" s="36"/>
      <c r="Y7" s="37"/>
      <c r="Z7" s="38"/>
      <c r="AA7" s="39"/>
      <c r="AB7" s="39"/>
      <c r="AC7" s="39"/>
      <c r="AD7" s="39"/>
      <c r="AE7" s="36"/>
      <c r="AF7" s="36"/>
      <c r="AG7" s="36"/>
      <c r="AH7" s="39"/>
      <c r="AI7" s="36"/>
      <c r="AJ7" s="36"/>
      <c r="AK7" s="36"/>
      <c r="AL7" s="39"/>
      <c r="AM7" s="36"/>
      <c r="AN7" s="36"/>
      <c r="AO7" s="36"/>
      <c r="AP7" s="39"/>
      <c r="AQ7" s="39"/>
      <c r="AR7" s="39"/>
      <c r="AS7" s="39"/>
      <c r="AT7" s="39"/>
      <c r="AU7" s="38"/>
      <c r="AV7" s="38"/>
      <c r="AW7" s="38"/>
      <c r="AX7" s="39"/>
      <c r="AY7" s="5">
        <f t="shared" si="0"/>
        <v>4.4999999999999997E-3</v>
      </c>
      <c r="AZ7" s="5">
        <f t="shared" si="1"/>
        <v>5.0000000000000001E-3</v>
      </c>
      <c r="BA7" s="5">
        <f t="shared" si="2"/>
        <v>5.4999999999999997E-3</v>
      </c>
      <c r="BB7" s="3">
        <v>4</v>
      </c>
      <c r="BC7" s="7">
        <v>3.5249999999999999</v>
      </c>
      <c r="BD7" s="4">
        <v>19.27</v>
      </c>
      <c r="BE7" s="4"/>
      <c r="BF7" s="4"/>
      <c r="BG7" s="4">
        <f t="shared" si="3"/>
        <v>61.7</v>
      </c>
      <c r="BH7" s="4">
        <f t="shared" si="4"/>
        <v>8.6999999999999993</v>
      </c>
      <c r="BI7" s="4">
        <v>0</v>
      </c>
      <c r="BJ7" s="4">
        <v>100</v>
      </c>
      <c r="BK7" s="4">
        <f t="shared" si="5"/>
        <v>0.1635344573641902</v>
      </c>
      <c r="BL7" s="4">
        <f t="shared" si="6"/>
        <v>0.81767228682095094</v>
      </c>
      <c r="BM7" s="4">
        <f t="shared" si="7"/>
        <v>2.4530168604628528</v>
      </c>
      <c r="BN7" s="3">
        <v>4</v>
      </c>
      <c r="BO7" s="6">
        <v>0</v>
      </c>
      <c r="BP7" s="6">
        <v>8.6</v>
      </c>
      <c r="BQ7" s="6">
        <v>80.2</v>
      </c>
      <c r="BR7" s="6">
        <v>4</v>
      </c>
      <c r="BS7" s="7">
        <v>6.0000000000000001E-3</v>
      </c>
      <c r="BT7" s="7">
        <v>0.04</v>
      </c>
      <c r="BU7" s="7">
        <v>0.45</v>
      </c>
      <c r="BV7" s="3">
        <v>4</v>
      </c>
      <c r="BW7" s="6">
        <f t="shared" si="8"/>
        <v>1.2</v>
      </c>
      <c r="BX7" s="6">
        <f t="shared" si="9"/>
        <v>66.7</v>
      </c>
      <c r="BY7" s="6"/>
      <c r="BZ7" s="6"/>
      <c r="CA7" s="6">
        <v>13.8</v>
      </c>
      <c r="CB7" s="6">
        <v>17.7</v>
      </c>
      <c r="CC7" s="6">
        <v>20.399999999999999</v>
      </c>
      <c r="CD7" s="3">
        <v>4</v>
      </c>
      <c r="CE7" s="3">
        <v>40</v>
      </c>
      <c r="CF7" s="3">
        <v>50</v>
      </c>
      <c r="CG7" s="3">
        <v>60</v>
      </c>
      <c r="CH7" s="3">
        <v>4</v>
      </c>
      <c r="CI7" s="6">
        <f t="shared" si="10"/>
        <v>0</v>
      </c>
      <c r="CJ7" s="6">
        <f t="shared" si="11"/>
        <v>2.2999999999999998</v>
      </c>
      <c r="CK7" s="6">
        <f t="shared" si="12"/>
        <v>4.5999999999999996</v>
      </c>
      <c r="CL7" s="6">
        <v>4</v>
      </c>
      <c r="CM7" s="6">
        <v>4.3</v>
      </c>
      <c r="CN7" s="6">
        <v>8.5</v>
      </c>
      <c r="CO7" s="6">
        <v>12.8</v>
      </c>
      <c r="CP7" s="3">
        <v>4</v>
      </c>
      <c r="CQ7" s="3">
        <v>69.099999999999994</v>
      </c>
      <c r="CR7" s="6">
        <v>72.900000000000006</v>
      </c>
      <c r="CS7" s="3">
        <v>76</v>
      </c>
      <c r="CT7" s="3">
        <v>4</v>
      </c>
      <c r="CU7" s="3">
        <v>5</v>
      </c>
      <c r="CV7" s="3">
        <v>10</v>
      </c>
      <c r="CW7" s="3">
        <v>15</v>
      </c>
      <c r="CX7" s="3">
        <v>4</v>
      </c>
      <c r="CY7" s="3">
        <v>11</v>
      </c>
      <c r="CZ7" s="3">
        <v>95</v>
      </c>
      <c r="DA7" s="3"/>
      <c r="DB7" s="3"/>
      <c r="DC7" s="4">
        <v>15.07</v>
      </c>
      <c r="DD7" s="4">
        <v>18.84</v>
      </c>
      <c r="DE7" s="4">
        <v>22.61</v>
      </c>
      <c r="DF7" s="3">
        <v>4</v>
      </c>
      <c r="DG7" s="4">
        <v>11.92</v>
      </c>
      <c r="DH7" s="4">
        <v>14.9</v>
      </c>
      <c r="DI7" s="4">
        <v>17.88</v>
      </c>
      <c r="DJ7" s="3">
        <v>4</v>
      </c>
      <c r="DK7" s="4">
        <v>32.590000000000003</v>
      </c>
      <c r="DL7" s="4">
        <v>40.74</v>
      </c>
      <c r="DM7" s="4">
        <v>48.89</v>
      </c>
      <c r="DN7" s="3">
        <v>4</v>
      </c>
      <c r="DO7" s="4">
        <v>46.46</v>
      </c>
      <c r="DP7" s="4">
        <v>58.08</v>
      </c>
      <c r="DQ7" s="4">
        <v>69.7</v>
      </c>
      <c r="DR7" s="3">
        <v>4</v>
      </c>
    </row>
    <row r="8" spans="1:122" ht="12.95" customHeight="1" x14ac:dyDescent="0.2">
      <c r="A8" t="s">
        <v>850</v>
      </c>
      <c r="B8" t="s">
        <v>851</v>
      </c>
      <c r="C8" t="s">
        <v>852</v>
      </c>
      <c r="D8" t="s">
        <v>853</v>
      </c>
      <c r="E8" s="10" t="s">
        <v>854</v>
      </c>
      <c r="F8" s="10"/>
      <c r="G8" s="10"/>
      <c r="H8" s="10" t="s">
        <v>854</v>
      </c>
      <c r="I8" s="14">
        <v>151614.93009226536</v>
      </c>
      <c r="J8" s="19">
        <v>0.46839833592318042</v>
      </c>
      <c r="K8" s="19">
        <v>0.13184034614561466</v>
      </c>
      <c r="L8" s="19">
        <v>0.39976131793120495</v>
      </c>
      <c r="M8" s="20">
        <v>2</v>
      </c>
      <c r="N8" s="19">
        <v>0</v>
      </c>
      <c r="O8" s="19">
        <v>0</v>
      </c>
      <c r="P8" s="19">
        <v>0.13184034614561466</v>
      </c>
      <c r="Q8" s="19">
        <v>8.0720786242113929E-2</v>
      </c>
      <c r="R8" s="19">
        <v>0.28817434979964035</v>
      </c>
      <c r="S8" s="19">
        <v>3.08661818894507E-2</v>
      </c>
      <c r="T8" s="20">
        <v>23</v>
      </c>
      <c r="U8" s="17">
        <v>2</v>
      </c>
      <c r="V8" s="17">
        <v>37</v>
      </c>
      <c r="W8" s="35"/>
      <c r="X8" s="36"/>
      <c r="Y8" s="37"/>
      <c r="Z8" s="38"/>
      <c r="AA8" s="39"/>
      <c r="AB8" s="39"/>
      <c r="AC8" s="39"/>
      <c r="AD8" s="39"/>
      <c r="AE8" s="36"/>
      <c r="AF8" s="36"/>
      <c r="AG8" s="36"/>
      <c r="AH8" s="39"/>
      <c r="AI8" s="36"/>
      <c r="AJ8" s="36"/>
      <c r="AK8" s="36"/>
      <c r="AL8" s="39"/>
      <c r="AM8" s="36"/>
      <c r="AN8" s="36"/>
      <c r="AO8" s="36"/>
      <c r="AP8" s="39"/>
      <c r="AQ8" s="39"/>
      <c r="AR8" s="39"/>
      <c r="AS8" s="39"/>
      <c r="AT8" s="39"/>
      <c r="AU8" s="38"/>
      <c r="AV8" s="38"/>
      <c r="AW8" s="38"/>
      <c r="AX8" s="39"/>
      <c r="AY8" s="5">
        <f t="shared" si="0"/>
        <v>2.1000000000000001E-2</v>
      </c>
      <c r="AZ8" s="5">
        <f t="shared" si="1"/>
        <v>0.191</v>
      </c>
      <c r="BA8" s="5">
        <f t="shared" si="2"/>
        <v>0.75700000000000001</v>
      </c>
      <c r="BB8" s="3">
        <v>4</v>
      </c>
      <c r="BC8" s="7">
        <v>3.5249999999999999</v>
      </c>
      <c r="BD8" s="4">
        <v>19.27</v>
      </c>
      <c r="BE8" s="4"/>
      <c r="BF8" s="4"/>
      <c r="BG8" s="4">
        <f t="shared" si="3"/>
        <v>41.8</v>
      </c>
      <c r="BH8" s="4">
        <f t="shared" si="4"/>
        <v>10.3</v>
      </c>
      <c r="BI8" s="4">
        <v>0</v>
      </c>
      <c r="BJ8" s="4">
        <v>100</v>
      </c>
      <c r="BK8" s="4">
        <f t="shared" si="5"/>
        <v>0.23785658968028386</v>
      </c>
      <c r="BL8" s="4">
        <f t="shared" si="6"/>
        <v>1.1892829484014193</v>
      </c>
      <c r="BM8" s="4">
        <f t="shared" si="7"/>
        <v>3.5678488452042578</v>
      </c>
      <c r="BN8" s="3">
        <v>4</v>
      </c>
      <c r="BO8" s="6">
        <v>0</v>
      </c>
      <c r="BP8" s="6">
        <v>8.6</v>
      </c>
      <c r="BQ8" s="6">
        <v>80.2</v>
      </c>
      <c r="BR8" s="6">
        <v>4</v>
      </c>
      <c r="BS8" s="7">
        <v>6.0000000000000001E-3</v>
      </c>
      <c r="BT8" s="7">
        <v>0.04</v>
      </c>
      <c r="BU8" s="7">
        <v>0.45</v>
      </c>
      <c r="BV8" s="3">
        <v>4</v>
      </c>
      <c r="BW8" s="6">
        <f t="shared" si="8"/>
        <v>3.7181382798633988</v>
      </c>
      <c r="BX8" s="6">
        <f t="shared" si="9"/>
        <v>84.540095472827517</v>
      </c>
      <c r="BY8" s="6"/>
      <c r="BZ8" s="6"/>
      <c r="CA8" s="6">
        <v>13.8</v>
      </c>
      <c r="CB8" s="6">
        <v>17.7</v>
      </c>
      <c r="CC8" s="6">
        <v>20.399999999999999</v>
      </c>
      <c r="CD8" s="3">
        <v>4</v>
      </c>
      <c r="CE8" s="3">
        <v>40</v>
      </c>
      <c r="CF8" s="3">
        <v>50</v>
      </c>
      <c r="CG8" s="3">
        <v>60</v>
      </c>
      <c r="CH8" s="3">
        <v>4</v>
      </c>
      <c r="CI8" s="6">
        <f t="shared" si="10"/>
        <v>2.2999999999999998</v>
      </c>
      <c r="CJ8" s="6">
        <f t="shared" si="11"/>
        <v>30</v>
      </c>
      <c r="CK8" s="6">
        <f t="shared" si="12"/>
        <v>60</v>
      </c>
      <c r="CL8" s="6">
        <v>4</v>
      </c>
      <c r="CM8" s="6">
        <v>4.3</v>
      </c>
      <c r="CN8" s="6">
        <v>8.5</v>
      </c>
      <c r="CO8" s="6">
        <v>12.8</v>
      </c>
      <c r="CP8" s="3">
        <v>4</v>
      </c>
      <c r="CQ8" s="3">
        <v>69.099999999999994</v>
      </c>
      <c r="CR8" s="6">
        <v>72.900000000000006</v>
      </c>
      <c r="CS8" s="3">
        <v>76</v>
      </c>
      <c r="CT8" s="3">
        <v>4</v>
      </c>
      <c r="CU8" s="3">
        <v>5</v>
      </c>
      <c r="CV8" s="3">
        <v>10</v>
      </c>
      <c r="CW8" s="3">
        <v>15</v>
      </c>
      <c r="CX8" s="3">
        <v>4</v>
      </c>
      <c r="CY8" s="3">
        <v>11</v>
      </c>
      <c r="CZ8" s="3">
        <v>95</v>
      </c>
      <c r="DA8" s="3"/>
      <c r="DB8" s="3"/>
      <c r="DC8" s="4">
        <v>15.07</v>
      </c>
      <c r="DD8" s="4">
        <v>18.84</v>
      </c>
      <c r="DE8" s="4">
        <v>22.61</v>
      </c>
      <c r="DF8" s="3">
        <v>4</v>
      </c>
      <c r="DG8" s="4">
        <v>11.92</v>
      </c>
      <c r="DH8" s="4">
        <v>14.9</v>
      </c>
      <c r="DI8" s="4">
        <v>17.88</v>
      </c>
      <c r="DJ8" s="3">
        <v>4</v>
      </c>
      <c r="DK8" s="4">
        <v>32.590000000000003</v>
      </c>
      <c r="DL8" s="4">
        <v>40.74</v>
      </c>
      <c r="DM8" s="4">
        <v>48.89</v>
      </c>
      <c r="DN8" s="3">
        <v>4</v>
      </c>
      <c r="DO8" s="4">
        <v>46.46</v>
      </c>
      <c r="DP8" s="4">
        <v>58.08</v>
      </c>
      <c r="DQ8" s="4">
        <v>69.7</v>
      </c>
      <c r="DR8" s="3">
        <v>4</v>
      </c>
    </row>
    <row r="9" spans="1:122" ht="12.95" customHeight="1" x14ac:dyDescent="0.2">
      <c r="A9" t="s">
        <v>855</v>
      </c>
      <c r="B9" t="s">
        <v>851</v>
      </c>
      <c r="C9" t="s">
        <v>852</v>
      </c>
      <c r="D9" t="s">
        <v>853</v>
      </c>
      <c r="E9" s="10" t="s">
        <v>856</v>
      </c>
      <c r="F9" s="10"/>
      <c r="G9" s="10"/>
      <c r="H9" s="10" t="s">
        <v>856</v>
      </c>
      <c r="I9" s="14">
        <v>109902.90585711086</v>
      </c>
      <c r="J9" s="19">
        <v>0</v>
      </c>
      <c r="K9" s="19">
        <v>0.71062852337837856</v>
      </c>
      <c r="L9" s="19">
        <v>0.28937147662162149</v>
      </c>
      <c r="M9" s="20">
        <v>2</v>
      </c>
      <c r="N9" s="19">
        <v>0.30885360794752514</v>
      </c>
      <c r="O9" s="19">
        <v>0.10638580208214653</v>
      </c>
      <c r="P9" s="19">
        <v>0.29538911334870682</v>
      </c>
      <c r="Q9" s="19">
        <v>0.13480976904835471</v>
      </c>
      <c r="R9" s="19">
        <v>0.14627676293974107</v>
      </c>
      <c r="S9" s="19">
        <v>8.28494463352571E-3</v>
      </c>
      <c r="T9" s="20">
        <v>23</v>
      </c>
      <c r="U9" s="17">
        <v>2</v>
      </c>
      <c r="V9" s="17">
        <v>37</v>
      </c>
      <c r="W9" s="35"/>
      <c r="X9" s="36"/>
      <c r="Y9" s="37"/>
      <c r="Z9" s="38"/>
      <c r="AA9" s="39"/>
      <c r="AB9" s="39"/>
      <c r="AC9" s="39"/>
      <c r="AD9" s="39"/>
      <c r="AE9" s="36"/>
      <c r="AF9" s="36"/>
      <c r="AG9" s="36"/>
      <c r="AH9" s="39"/>
      <c r="AI9" s="36"/>
      <c r="AJ9" s="36"/>
      <c r="AK9" s="36"/>
      <c r="AL9" s="39"/>
      <c r="AM9" s="36"/>
      <c r="AN9" s="36"/>
      <c r="AO9" s="36"/>
      <c r="AP9" s="39"/>
      <c r="AQ9" s="39"/>
      <c r="AR9" s="39"/>
      <c r="AS9" s="39"/>
      <c r="AT9" s="39"/>
      <c r="AU9" s="38"/>
      <c r="AV9" s="38"/>
      <c r="AW9" s="38"/>
      <c r="AX9" s="39"/>
      <c r="AY9" s="5">
        <f t="shared" si="0"/>
        <v>2.1000000000000001E-2</v>
      </c>
      <c r="AZ9" s="5">
        <f t="shared" si="1"/>
        <v>0.191</v>
      </c>
      <c r="BA9" s="5">
        <f t="shared" si="2"/>
        <v>0.75700000000000001</v>
      </c>
      <c r="BB9" s="3">
        <v>4</v>
      </c>
      <c r="BC9" s="7">
        <v>3.5249999999999999</v>
      </c>
      <c r="BD9" s="4">
        <v>19.27</v>
      </c>
      <c r="BE9" s="4"/>
      <c r="BF9" s="4"/>
      <c r="BG9" s="4">
        <f t="shared" si="3"/>
        <v>41.8</v>
      </c>
      <c r="BH9" s="4">
        <f t="shared" si="4"/>
        <v>10.3</v>
      </c>
      <c r="BI9" s="4">
        <v>0</v>
      </c>
      <c r="BJ9" s="4">
        <v>100</v>
      </c>
      <c r="BK9" s="4">
        <f t="shared" si="5"/>
        <v>0.23785658968028386</v>
      </c>
      <c r="BL9" s="4">
        <f t="shared" si="6"/>
        <v>1.1892829484014193</v>
      </c>
      <c r="BM9" s="4">
        <f t="shared" si="7"/>
        <v>3.5678488452042578</v>
      </c>
      <c r="BN9" s="3">
        <v>4</v>
      </c>
      <c r="BO9" s="6">
        <v>0</v>
      </c>
      <c r="BP9" s="6">
        <v>8.6</v>
      </c>
      <c r="BQ9" s="6">
        <v>80.2</v>
      </c>
      <c r="BR9" s="6">
        <v>4</v>
      </c>
      <c r="BS9" s="7">
        <v>6.0000000000000001E-3</v>
      </c>
      <c r="BT9" s="7">
        <v>0.04</v>
      </c>
      <c r="BU9" s="7">
        <v>0.45</v>
      </c>
      <c r="BV9" s="3">
        <v>4</v>
      </c>
      <c r="BW9" s="6">
        <f t="shared" si="8"/>
        <v>2.8570975176486475</v>
      </c>
      <c r="BX9" s="6">
        <f t="shared" si="9"/>
        <v>84.584251409351353</v>
      </c>
      <c r="BY9" s="6"/>
      <c r="BZ9" s="6"/>
      <c r="CA9" s="6">
        <v>13.8</v>
      </c>
      <c r="CB9" s="6">
        <v>17.7</v>
      </c>
      <c r="CC9" s="6">
        <v>20.399999999999999</v>
      </c>
      <c r="CD9" s="3">
        <v>4</v>
      </c>
      <c r="CE9" s="3">
        <v>40</v>
      </c>
      <c r="CF9" s="3">
        <v>50</v>
      </c>
      <c r="CG9" s="3">
        <v>60</v>
      </c>
      <c r="CH9" s="3">
        <v>4</v>
      </c>
      <c r="CI9" s="6">
        <f t="shared" si="10"/>
        <v>2.2999999999999998</v>
      </c>
      <c r="CJ9" s="6">
        <f t="shared" si="11"/>
        <v>30</v>
      </c>
      <c r="CK9" s="6">
        <f t="shared" si="12"/>
        <v>60</v>
      </c>
      <c r="CL9" s="6">
        <v>4</v>
      </c>
      <c r="CM9" s="6">
        <v>4.3</v>
      </c>
      <c r="CN9" s="6">
        <v>8.5</v>
      </c>
      <c r="CO9" s="6">
        <v>12.8</v>
      </c>
      <c r="CP9" s="3">
        <v>4</v>
      </c>
      <c r="CQ9" s="3">
        <v>69.099999999999994</v>
      </c>
      <c r="CR9" s="6">
        <v>72.900000000000006</v>
      </c>
      <c r="CS9" s="3">
        <v>76</v>
      </c>
      <c r="CT9" s="3">
        <v>4</v>
      </c>
      <c r="CU9" s="3">
        <v>5</v>
      </c>
      <c r="CV9" s="3">
        <v>10</v>
      </c>
      <c r="CW9" s="3">
        <v>15</v>
      </c>
      <c r="CX9" s="3">
        <v>4</v>
      </c>
      <c r="CY9" s="3">
        <v>11</v>
      </c>
      <c r="CZ9" s="3">
        <v>95</v>
      </c>
      <c r="DA9" s="3"/>
      <c r="DB9" s="3"/>
      <c r="DC9" s="4">
        <v>15.07</v>
      </c>
      <c r="DD9" s="4">
        <v>18.84</v>
      </c>
      <c r="DE9" s="4">
        <v>22.61</v>
      </c>
      <c r="DF9" s="3">
        <v>4</v>
      </c>
      <c r="DG9" s="4">
        <v>11.92</v>
      </c>
      <c r="DH9" s="4">
        <v>14.9</v>
      </c>
      <c r="DI9" s="4">
        <v>17.88</v>
      </c>
      <c r="DJ9" s="3">
        <v>4</v>
      </c>
      <c r="DK9" s="4">
        <v>32.590000000000003</v>
      </c>
      <c r="DL9" s="4">
        <v>40.74</v>
      </c>
      <c r="DM9" s="4">
        <v>48.89</v>
      </c>
      <c r="DN9" s="3">
        <v>4</v>
      </c>
      <c r="DO9" s="4">
        <v>46.46</v>
      </c>
      <c r="DP9" s="4">
        <v>58.08</v>
      </c>
      <c r="DQ9" s="4">
        <v>69.7</v>
      </c>
      <c r="DR9" s="3">
        <v>4</v>
      </c>
    </row>
    <row r="10" spans="1:122" ht="12.95" customHeight="1" x14ac:dyDescent="0.2">
      <c r="A10" t="s">
        <v>857</v>
      </c>
      <c r="B10" t="s">
        <v>851</v>
      </c>
      <c r="C10" t="s">
        <v>852</v>
      </c>
      <c r="D10" t="s">
        <v>853</v>
      </c>
      <c r="E10" s="10" t="s">
        <v>858</v>
      </c>
      <c r="F10" s="10"/>
      <c r="G10" s="10"/>
      <c r="H10" s="10" t="s">
        <v>858</v>
      </c>
      <c r="I10" s="14">
        <v>457434.7921536814</v>
      </c>
      <c r="J10" s="19">
        <v>0.31699595587222418</v>
      </c>
      <c r="K10" s="19">
        <v>0.52887653744932983</v>
      </c>
      <c r="L10" s="19">
        <v>0.15412750667844605</v>
      </c>
      <c r="M10" s="20">
        <v>2</v>
      </c>
      <c r="N10" s="19">
        <v>9.8554985711373166E-2</v>
      </c>
      <c r="O10" s="19">
        <v>2.5263092997699792E-2</v>
      </c>
      <c r="P10" s="19">
        <v>0.40505845874025681</v>
      </c>
      <c r="Q10" s="19">
        <v>6.0012691494965811E-2</v>
      </c>
      <c r="R10" s="19">
        <v>8.3111698739028766E-2</v>
      </c>
      <c r="S10" s="19">
        <v>1.1003116444451467E-2</v>
      </c>
      <c r="T10" s="20">
        <v>23</v>
      </c>
      <c r="U10" s="17">
        <v>2</v>
      </c>
      <c r="V10" s="17">
        <v>37</v>
      </c>
      <c r="W10" s="35"/>
      <c r="X10" s="36"/>
      <c r="Y10" s="37"/>
      <c r="Z10" s="38"/>
      <c r="AA10" s="39"/>
      <c r="AB10" s="39"/>
      <c r="AC10" s="39"/>
      <c r="AD10" s="39"/>
      <c r="AE10" s="36"/>
      <c r="AF10" s="36"/>
      <c r="AG10" s="36"/>
      <c r="AH10" s="39"/>
      <c r="AI10" s="36"/>
      <c r="AJ10" s="36"/>
      <c r="AK10" s="36"/>
      <c r="AL10" s="39"/>
      <c r="AM10" s="36"/>
      <c r="AN10" s="36"/>
      <c r="AO10" s="36"/>
      <c r="AP10" s="39"/>
      <c r="AQ10" s="39"/>
      <c r="AR10" s="39"/>
      <c r="AS10" s="39"/>
      <c r="AT10" s="39"/>
      <c r="AU10" s="38"/>
      <c r="AV10" s="38"/>
      <c r="AW10" s="38"/>
      <c r="AX10" s="39"/>
      <c r="AY10" s="5">
        <f t="shared" si="0"/>
        <v>2.1000000000000001E-2</v>
      </c>
      <c r="AZ10" s="5">
        <f t="shared" si="1"/>
        <v>0.191</v>
      </c>
      <c r="BA10" s="5">
        <f t="shared" si="2"/>
        <v>0.75700000000000001</v>
      </c>
      <c r="BB10" s="3">
        <v>4</v>
      </c>
      <c r="BC10" s="7">
        <v>3.5249999999999999</v>
      </c>
      <c r="BD10" s="4">
        <v>19.27</v>
      </c>
      <c r="BE10" s="4"/>
      <c r="BF10" s="4"/>
      <c r="BG10" s="4">
        <f t="shared" si="3"/>
        <v>41.8</v>
      </c>
      <c r="BH10" s="4">
        <f t="shared" si="4"/>
        <v>10.3</v>
      </c>
      <c r="BI10" s="4">
        <v>0</v>
      </c>
      <c r="BJ10" s="4">
        <v>100</v>
      </c>
      <c r="BK10" s="4">
        <f t="shared" si="5"/>
        <v>0.23785658968028386</v>
      </c>
      <c r="BL10" s="4">
        <f t="shared" si="6"/>
        <v>1.1892829484014193</v>
      </c>
      <c r="BM10" s="4">
        <f t="shared" si="7"/>
        <v>3.5678488452042578</v>
      </c>
      <c r="BN10" s="3">
        <v>4</v>
      </c>
      <c r="BO10" s="6">
        <v>0</v>
      </c>
      <c r="BP10" s="6">
        <v>8.6</v>
      </c>
      <c r="BQ10" s="6">
        <v>80.2</v>
      </c>
      <c r="BR10" s="6">
        <v>4</v>
      </c>
      <c r="BS10" s="7">
        <v>6.0000000000000001E-3</v>
      </c>
      <c r="BT10" s="7">
        <v>0.04</v>
      </c>
      <c r="BU10" s="7">
        <v>0.45</v>
      </c>
      <c r="BV10" s="3">
        <v>4</v>
      </c>
      <c r="BW10" s="6">
        <f t="shared" si="8"/>
        <v>1.8021945520918794</v>
      </c>
      <c r="BX10" s="6">
        <f t="shared" si="9"/>
        <v>84.638348997328634</v>
      </c>
      <c r="BY10" s="6"/>
      <c r="BZ10" s="6"/>
      <c r="CA10" s="6">
        <v>13.8</v>
      </c>
      <c r="CB10" s="6">
        <v>17.7</v>
      </c>
      <c r="CC10" s="6">
        <v>20.399999999999999</v>
      </c>
      <c r="CD10" s="3">
        <v>4</v>
      </c>
      <c r="CE10" s="3">
        <v>40</v>
      </c>
      <c r="CF10" s="3">
        <v>50</v>
      </c>
      <c r="CG10" s="3">
        <v>60</v>
      </c>
      <c r="CH10" s="3">
        <v>4</v>
      </c>
      <c r="CI10" s="6">
        <f t="shared" si="10"/>
        <v>2.2999999999999998</v>
      </c>
      <c r="CJ10" s="6">
        <f t="shared" si="11"/>
        <v>30</v>
      </c>
      <c r="CK10" s="6">
        <f t="shared" si="12"/>
        <v>60</v>
      </c>
      <c r="CL10" s="6">
        <v>4</v>
      </c>
      <c r="CM10" s="6">
        <v>4.3</v>
      </c>
      <c r="CN10" s="6">
        <v>8.5</v>
      </c>
      <c r="CO10" s="6">
        <v>12.8</v>
      </c>
      <c r="CP10" s="3">
        <v>4</v>
      </c>
      <c r="CQ10" s="3">
        <v>69.099999999999994</v>
      </c>
      <c r="CR10" s="6">
        <v>72.900000000000006</v>
      </c>
      <c r="CS10" s="3">
        <v>76</v>
      </c>
      <c r="CT10" s="3">
        <v>4</v>
      </c>
      <c r="CU10" s="3">
        <v>5</v>
      </c>
      <c r="CV10" s="3">
        <v>10</v>
      </c>
      <c r="CW10" s="3">
        <v>15</v>
      </c>
      <c r="CX10" s="3">
        <v>4</v>
      </c>
      <c r="CY10" s="3">
        <v>11</v>
      </c>
      <c r="CZ10" s="3">
        <v>95</v>
      </c>
      <c r="DA10" s="3"/>
      <c r="DB10" s="3"/>
      <c r="DC10" s="4">
        <v>15.07</v>
      </c>
      <c r="DD10" s="4">
        <v>18.84</v>
      </c>
      <c r="DE10" s="4">
        <v>22.61</v>
      </c>
      <c r="DF10" s="3">
        <v>4</v>
      </c>
      <c r="DG10" s="4">
        <v>11.92</v>
      </c>
      <c r="DH10" s="4">
        <v>14.9</v>
      </c>
      <c r="DI10" s="4">
        <v>17.88</v>
      </c>
      <c r="DJ10" s="3">
        <v>4</v>
      </c>
      <c r="DK10" s="4">
        <v>32.590000000000003</v>
      </c>
      <c r="DL10" s="4">
        <v>40.74</v>
      </c>
      <c r="DM10" s="4">
        <v>48.89</v>
      </c>
      <c r="DN10" s="3">
        <v>4</v>
      </c>
      <c r="DO10" s="4">
        <v>46.46</v>
      </c>
      <c r="DP10" s="4">
        <v>58.08</v>
      </c>
      <c r="DQ10" s="4">
        <v>69.7</v>
      </c>
      <c r="DR10" s="3">
        <v>4</v>
      </c>
    </row>
    <row r="11" spans="1:122" ht="12.95" customHeight="1" x14ac:dyDescent="0.2">
      <c r="A11" t="s">
        <v>859</v>
      </c>
      <c r="B11" t="s">
        <v>851</v>
      </c>
      <c r="C11" t="s">
        <v>852</v>
      </c>
      <c r="D11" t="s">
        <v>853</v>
      </c>
      <c r="E11" s="10" t="s">
        <v>860</v>
      </c>
      <c r="F11" s="10"/>
      <c r="G11" s="10"/>
      <c r="H11" s="10" t="s">
        <v>860</v>
      </c>
      <c r="I11" s="14">
        <v>72417.396718945354</v>
      </c>
      <c r="J11" s="19">
        <v>0</v>
      </c>
      <c r="K11" s="19">
        <v>0.44057096750658131</v>
      </c>
      <c r="L11" s="19">
        <v>0.55942903249341869</v>
      </c>
      <c r="M11" s="20">
        <v>1</v>
      </c>
      <c r="N11" s="19">
        <v>7.4252667205518291E-2</v>
      </c>
      <c r="O11" s="19">
        <v>0.26118794803203738</v>
      </c>
      <c r="P11" s="19">
        <v>0.10513035226902566</v>
      </c>
      <c r="Q11" s="19">
        <v>0.1101283248805683</v>
      </c>
      <c r="R11" s="19">
        <v>0.40384568144307248</v>
      </c>
      <c r="S11" s="19">
        <v>4.5455026169777903E-2</v>
      </c>
      <c r="T11" s="20">
        <v>12</v>
      </c>
      <c r="U11" s="17">
        <v>2</v>
      </c>
      <c r="V11" s="17">
        <v>37</v>
      </c>
      <c r="W11" s="35"/>
      <c r="X11" s="36"/>
      <c r="Y11" s="37"/>
      <c r="Z11" s="38"/>
      <c r="AA11" s="39"/>
      <c r="AB11" s="39"/>
      <c r="AC11" s="39"/>
      <c r="AD11" s="39"/>
      <c r="AE11" s="36"/>
      <c r="AF11" s="36"/>
      <c r="AG11" s="36"/>
      <c r="AH11" s="39"/>
      <c r="AI11" s="36"/>
      <c r="AJ11" s="36"/>
      <c r="AK11" s="36"/>
      <c r="AL11" s="39"/>
      <c r="AM11" s="36"/>
      <c r="AN11" s="36"/>
      <c r="AO11" s="36"/>
      <c r="AP11" s="39"/>
      <c r="AQ11" s="39"/>
      <c r="AR11" s="39"/>
      <c r="AS11" s="39"/>
      <c r="AT11" s="39"/>
      <c r="AU11" s="38"/>
      <c r="AV11" s="38"/>
      <c r="AW11" s="38"/>
      <c r="AX11" s="39"/>
      <c r="AY11" s="5">
        <f t="shared" si="0"/>
        <v>2.1000000000000001E-2</v>
      </c>
      <c r="AZ11" s="5">
        <f t="shared" si="1"/>
        <v>0.191</v>
      </c>
      <c r="BA11" s="5">
        <f t="shared" si="2"/>
        <v>0.75700000000000001</v>
      </c>
      <c r="BB11" s="3">
        <v>4</v>
      </c>
      <c r="BC11" s="7">
        <v>3.5249999999999999</v>
      </c>
      <c r="BD11" s="4">
        <v>19.27</v>
      </c>
      <c r="BE11" s="4"/>
      <c r="BF11" s="4"/>
      <c r="BG11" s="4">
        <f t="shared" si="3"/>
        <v>41.8</v>
      </c>
      <c r="BH11" s="4">
        <f t="shared" si="4"/>
        <v>10.3</v>
      </c>
      <c r="BI11" s="4">
        <v>0</v>
      </c>
      <c r="BJ11" s="4">
        <v>100</v>
      </c>
      <c r="BK11" s="4">
        <f t="shared" si="5"/>
        <v>0.23785658968028386</v>
      </c>
      <c r="BL11" s="4">
        <f t="shared" si="6"/>
        <v>1.1892829484014193</v>
      </c>
      <c r="BM11" s="4">
        <f t="shared" si="7"/>
        <v>3.5678488452042578</v>
      </c>
      <c r="BN11" s="3">
        <v>4</v>
      </c>
      <c r="BO11" s="6">
        <v>0</v>
      </c>
      <c r="BP11" s="6">
        <v>8.6</v>
      </c>
      <c r="BQ11" s="6">
        <v>80.2</v>
      </c>
      <c r="BR11" s="6">
        <v>4</v>
      </c>
      <c r="BS11" s="7">
        <v>6.0000000000000001E-3</v>
      </c>
      <c r="BT11" s="7">
        <v>0.04</v>
      </c>
      <c r="BU11" s="7">
        <v>0.45</v>
      </c>
      <c r="BV11" s="3">
        <v>4</v>
      </c>
      <c r="BW11" s="6">
        <f t="shared" si="8"/>
        <v>4.9635464534486662</v>
      </c>
      <c r="BX11" s="6">
        <f t="shared" si="9"/>
        <v>84.476228387002635</v>
      </c>
      <c r="BY11" s="6"/>
      <c r="BZ11" s="6"/>
      <c r="CA11" s="6">
        <v>13.8</v>
      </c>
      <c r="CB11" s="6">
        <v>17.7</v>
      </c>
      <c r="CC11" s="6">
        <v>20.399999999999999</v>
      </c>
      <c r="CD11" s="3">
        <v>4</v>
      </c>
      <c r="CE11" s="3">
        <v>40</v>
      </c>
      <c r="CF11" s="3">
        <v>50</v>
      </c>
      <c r="CG11" s="3">
        <v>60</v>
      </c>
      <c r="CH11" s="3">
        <v>4</v>
      </c>
      <c r="CI11" s="6">
        <f t="shared" si="10"/>
        <v>2.2999999999999998</v>
      </c>
      <c r="CJ11" s="6">
        <f t="shared" si="11"/>
        <v>30</v>
      </c>
      <c r="CK11" s="6">
        <f t="shared" si="12"/>
        <v>60</v>
      </c>
      <c r="CL11" s="6">
        <v>4</v>
      </c>
      <c r="CM11" s="6">
        <v>4.3</v>
      </c>
      <c r="CN11" s="6">
        <v>8.5</v>
      </c>
      <c r="CO11" s="6">
        <v>12.8</v>
      </c>
      <c r="CP11" s="3">
        <v>4</v>
      </c>
      <c r="CQ11" s="3">
        <v>69.099999999999994</v>
      </c>
      <c r="CR11" s="6">
        <v>72.900000000000006</v>
      </c>
      <c r="CS11" s="3">
        <v>76</v>
      </c>
      <c r="CT11" s="3">
        <v>4</v>
      </c>
      <c r="CU11" s="3">
        <v>5</v>
      </c>
      <c r="CV11" s="3">
        <v>10</v>
      </c>
      <c r="CW11" s="3">
        <v>15</v>
      </c>
      <c r="CX11" s="3">
        <v>4</v>
      </c>
      <c r="CY11" s="3">
        <v>11</v>
      </c>
      <c r="CZ11" s="3">
        <v>95</v>
      </c>
      <c r="DA11" s="3"/>
      <c r="DB11" s="3"/>
      <c r="DC11" s="4">
        <v>15.07</v>
      </c>
      <c r="DD11" s="4">
        <v>18.84</v>
      </c>
      <c r="DE11" s="4">
        <v>22.61</v>
      </c>
      <c r="DF11" s="3">
        <v>4</v>
      </c>
      <c r="DG11" s="4">
        <v>11.92</v>
      </c>
      <c r="DH11" s="4">
        <v>14.9</v>
      </c>
      <c r="DI11" s="4">
        <v>17.88</v>
      </c>
      <c r="DJ11" s="3">
        <v>4</v>
      </c>
      <c r="DK11" s="4">
        <v>32.590000000000003</v>
      </c>
      <c r="DL11" s="4">
        <v>40.74</v>
      </c>
      <c r="DM11" s="4">
        <v>48.89</v>
      </c>
      <c r="DN11" s="3">
        <v>4</v>
      </c>
      <c r="DO11" s="4">
        <v>46.46</v>
      </c>
      <c r="DP11" s="4">
        <v>58.08</v>
      </c>
      <c r="DQ11" s="4">
        <v>69.7</v>
      </c>
      <c r="DR11" s="3">
        <v>4</v>
      </c>
    </row>
    <row r="12" spans="1:122" ht="12.95" customHeight="1" x14ac:dyDescent="0.2">
      <c r="A12" t="s">
        <v>861</v>
      </c>
      <c r="B12" t="s">
        <v>851</v>
      </c>
      <c r="C12" t="s">
        <v>852</v>
      </c>
      <c r="D12" t="s">
        <v>853</v>
      </c>
      <c r="E12" s="10" t="s">
        <v>862</v>
      </c>
      <c r="F12" s="10"/>
      <c r="G12" s="10"/>
      <c r="H12" s="10" t="s">
        <v>862</v>
      </c>
      <c r="I12" s="14">
        <v>221079.01698210559</v>
      </c>
      <c r="J12" s="19">
        <v>0</v>
      </c>
      <c r="K12" s="19">
        <v>0.71014041561411378</v>
      </c>
      <c r="L12" s="19">
        <v>0.28985958438588616</v>
      </c>
      <c r="M12" s="20">
        <v>2</v>
      </c>
      <c r="N12" s="19">
        <v>0.22074397814179533</v>
      </c>
      <c r="O12" s="19">
        <v>0.23035192924456266</v>
      </c>
      <c r="P12" s="19">
        <v>0.25904450822775577</v>
      </c>
      <c r="Q12" s="19">
        <v>0.15509802224247818</v>
      </c>
      <c r="R12" s="19">
        <v>0.12466103633483422</v>
      </c>
      <c r="S12" s="19">
        <v>1.0100525808573724E-2</v>
      </c>
      <c r="T12" s="20">
        <v>22</v>
      </c>
      <c r="U12" s="17">
        <v>2</v>
      </c>
      <c r="V12" s="17">
        <v>37</v>
      </c>
      <c r="W12" s="35"/>
      <c r="X12" s="36"/>
      <c r="Y12" s="37"/>
      <c r="Z12" s="38"/>
      <c r="AA12" s="39"/>
      <c r="AB12" s="39"/>
      <c r="AC12" s="39"/>
      <c r="AD12" s="39"/>
      <c r="AE12" s="36"/>
      <c r="AF12" s="36"/>
      <c r="AG12" s="36"/>
      <c r="AH12" s="39"/>
      <c r="AI12" s="36"/>
      <c r="AJ12" s="36"/>
      <c r="AK12" s="36"/>
      <c r="AL12" s="39"/>
      <c r="AM12" s="36"/>
      <c r="AN12" s="36"/>
      <c r="AO12" s="36"/>
      <c r="AP12" s="39"/>
      <c r="AQ12" s="39"/>
      <c r="AR12" s="39"/>
      <c r="AS12" s="39"/>
      <c r="AT12" s="39"/>
      <c r="AU12" s="38"/>
      <c r="AV12" s="38"/>
      <c r="AW12" s="38"/>
      <c r="AX12" s="39"/>
      <c r="AY12" s="5">
        <f t="shared" si="0"/>
        <v>2.1000000000000001E-2</v>
      </c>
      <c r="AZ12" s="5">
        <f t="shared" si="1"/>
        <v>0.191</v>
      </c>
      <c r="BA12" s="5">
        <f t="shared" si="2"/>
        <v>0.75700000000000001</v>
      </c>
      <c r="BB12" s="3">
        <v>4</v>
      </c>
      <c r="BC12" s="7">
        <v>3.5249999999999999</v>
      </c>
      <c r="BD12" s="4">
        <v>19.27</v>
      </c>
      <c r="BE12" s="4"/>
      <c r="BF12" s="4"/>
      <c r="BG12" s="4">
        <f t="shared" si="3"/>
        <v>41.8</v>
      </c>
      <c r="BH12" s="4">
        <f t="shared" si="4"/>
        <v>10.3</v>
      </c>
      <c r="BI12" s="4">
        <v>0</v>
      </c>
      <c r="BJ12" s="4">
        <v>100</v>
      </c>
      <c r="BK12" s="4">
        <f t="shared" si="5"/>
        <v>0.23785658968028386</v>
      </c>
      <c r="BL12" s="4">
        <f t="shared" si="6"/>
        <v>1.1892829484014193</v>
      </c>
      <c r="BM12" s="4">
        <f t="shared" si="7"/>
        <v>3.5678488452042578</v>
      </c>
      <c r="BN12" s="3">
        <v>4</v>
      </c>
      <c r="BO12" s="6">
        <v>0</v>
      </c>
      <c r="BP12" s="6">
        <v>8.6</v>
      </c>
      <c r="BQ12" s="6">
        <v>80.2</v>
      </c>
      <c r="BR12" s="6">
        <v>4</v>
      </c>
      <c r="BS12" s="7">
        <v>6.0000000000000001E-3</v>
      </c>
      <c r="BT12" s="7">
        <v>0.04</v>
      </c>
      <c r="BU12" s="7">
        <v>0.45</v>
      </c>
      <c r="BV12" s="3">
        <v>4</v>
      </c>
      <c r="BW12" s="6">
        <f t="shared" si="8"/>
        <v>2.8609047582099123</v>
      </c>
      <c r="BX12" s="6">
        <f t="shared" si="9"/>
        <v>84.584056166245645</v>
      </c>
      <c r="BY12" s="6"/>
      <c r="BZ12" s="6"/>
      <c r="CA12" s="6">
        <v>13.8</v>
      </c>
      <c r="CB12" s="6">
        <v>17.7</v>
      </c>
      <c r="CC12" s="6">
        <v>20.399999999999999</v>
      </c>
      <c r="CD12" s="3">
        <v>4</v>
      </c>
      <c r="CE12" s="3">
        <v>40</v>
      </c>
      <c r="CF12" s="3">
        <v>50</v>
      </c>
      <c r="CG12" s="3">
        <v>60</v>
      </c>
      <c r="CH12" s="3">
        <v>4</v>
      </c>
      <c r="CI12" s="6">
        <f t="shared" si="10"/>
        <v>2.2999999999999998</v>
      </c>
      <c r="CJ12" s="6">
        <f t="shared" si="11"/>
        <v>30</v>
      </c>
      <c r="CK12" s="6">
        <f t="shared" si="12"/>
        <v>60</v>
      </c>
      <c r="CL12" s="6">
        <v>4</v>
      </c>
      <c r="CM12" s="6">
        <v>4.3</v>
      </c>
      <c r="CN12" s="6">
        <v>8.5</v>
      </c>
      <c r="CO12" s="6">
        <v>12.8</v>
      </c>
      <c r="CP12" s="3">
        <v>4</v>
      </c>
      <c r="CQ12" s="3">
        <v>69.099999999999994</v>
      </c>
      <c r="CR12" s="6">
        <v>72.900000000000006</v>
      </c>
      <c r="CS12" s="3">
        <v>76</v>
      </c>
      <c r="CT12" s="3">
        <v>4</v>
      </c>
      <c r="CU12" s="3">
        <v>5</v>
      </c>
      <c r="CV12" s="3">
        <v>10</v>
      </c>
      <c r="CW12" s="3">
        <v>15</v>
      </c>
      <c r="CX12" s="3">
        <v>4</v>
      </c>
      <c r="CY12" s="3">
        <v>11</v>
      </c>
      <c r="CZ12" s="3">
        <v>95</v>
      </c>
      <c r="DA12" s="3"/>
      <c r="DB12" s="3"/>
      <c r="DC12" s="4">
        <v>15.07</v>
      </c>
      <c r="DD12" s="4">
        <v>18.84</v>
      </c>
      <c r="DE12" s="4">
        <v>22.61</v>
      </c>
      <c r="DF12" s="3">
        <v>4</v>
      </c>
      <c r="DG12" s="4">
        <v>11.92</v>
      </c>
      <c r="DH12" s="4">
        <v>14.9</v>
      </c>
      <c r="DI12" s="4">
        <v>17.88</v>
      </c>
      <c r="DJ12" s="3">
        <v>4</v>
      </c>
      <c r="DK12" s="4">
        <v>32.590000000000003</v>
      </c>
      <c r="DL12" s="4">
        <v>40.74</v>
      </c>
      <c r="DM12" s="4">
        <v>48.89</v>
      </c>
      <c r="DN12" s="3">
        <v>4</v>
      </c>
      <c r="DO12" s="4">
        <v>46.46</v>
      </c>
      <c r="DP12" s="4">
        <v>58.08</v>
      </c>
      <c r="DQ12" s="4">
        <v>69.7</v>
      </c>
      <c r="DR12" s="3">
        <v>4</v>
      </c>
    </row>
    <row r="13" spans="1:122" ht="12.95" customHeight="1" x14ac:dyDescent="0.2">
      <c r="A13" t="s">
        <v>863</v>
      </c>
      <c r="B13" t="s">
        <v>851</v>
      </c>
      <c r="C13" t="s">
        <v>852</v>
      </c>
      <c r="D13" t="s">
        <v>853</v>
      </c>
      <c r="E13" s="10" t="s">
        <v>864</v>
      </c>
      <c r="F13" s="10"/>
      <c r="G13" s="10"/>
      <c r="H13" s="10" t="s">
        <v>864</v>
      </c>
      <c r="I13" s="14">
        <v>119913.12792707235</v>
      </c>
      <c r="J13" s="19">
        <v>0</v>
      </c>
      <c r="K13" s="19">
        <v>0.57000008021584703</v>
      </c>
      <c r="L13" s="19">
        <v>0.42999991978415297</v>
      </c>
      <c r="M13" s="20">
        <v>2</v>
      </c>
      <c r="N13" s="19">
        <v>0.29713924467991981</v>
      </c>
      <c r="O13" s="19">
        <v>0.1226323574023573</v>
      </c>
      <c r="P13" s="19">
        <v>0.15022847813356996</v>
      </c>
      <c r="Q13" s="19">
        <v>0.19177663477165735</v>
      </c>
      <c r="R13" s="19">
        <v>0.20553843358460167</v>
      </c>
      <c r="S13" s="19">
        <v>3.2684851427893943E-2</v>
      </c>
      <c r="T13" s="20">
        <v>23</v>
      </c>
      <c r="U13" s="17">
        <v>2</v>
      </c>
      <c r="V13" s="17">
        <v>37</v>
      </c>
      <c r="W13" s="35"/>
      <c r="X13" s="36"/>
      <c r="Y13" s="37"/>
      <c r="Z13" s="38"/>
      <c r="AA13" s="39"/>
      <c r="AB13" s="39"/>
      <c r="AC13" s="39"/>
      <c r="AD13" s="39"/>
      <c r="AE13" s="36"/>
      <c r="AF13" s="36"/>
      <c r="AG13" s="36"/>
      <c r="AH13" s="39"/>
      <c r="AI13" s="36"/>
      <c r="AJ13" s="36"/>
      <c r="AK13" s="36"/>
      <c r="AL13" s="39"/>
      <c r="AM13" s="36"/>
      <c r="AN13" s="36"/>
      <c r="AO13" s="36"/>
      <c r="AP13" s="39"/>
      <c r="AQ13" s="39"/>
      <c r="AR13" s="39"/>
      <c r="AS13" s="39"/>
      <c r="AT13" s="39"/>
      <c r="AU13" s="38"/>
      <c r="AV13" s="38"/>
      <c r="AW13" s="38"/>
      <c r="AX13" s="39"/>
      <c r="AY13" s="5">
        <f t="shared" si="0"/>
        <v>2.1000000000000001E-2</v>
      </c>
      <c r="AZ13" s="5">
        <f t="shared" si="1"/>
        <v>0.191</v>
      </c>
      <c r="BA13" s="5">
        <f t="shared" si="2"/>
        <v>0.75700000000000001</v>
      </c>
      <c r="BB13" s="3">
        <v>4</v>
      </c>
      <c r="BC13" s="7">
        <v>3.5249999999999999</v>
      </c>
      <c r="BD13" s="4">
        <v>19.27</v>
      </c>
      <c r="BE13" s="4"/>
      <c r="BF13" s="4"/>
      <c r="BG13" s="4">
        <f t="shared" si="3"/>
        <v>41.8</v>
      </c>
      <c r="BH13" s="4">
        <f t="shared" si="4"/>
        <v>10.3</v>
      </c>
      <c r="BI13" s="4">
        <v>0</v>
      </c>
      <c r="BJ13" s="4">
        <v>100</v>
      </c>
      <c r="BK13" s="4">
        <f t="shared" si="5"/>
        <v>0.23785658968028386</v>
      </c>
      <c r="BL13" s="4">
        <f t="shared" si="6"/>
        <v>1.1892829484014193</v>
      </c>
      <c r="BM13" s="4">
        <f t="shared" si="7"/>
        <v>3.5678488452042578</v>
      </c>
      <c r="BN13" s="3">
        <v>4</v>
      </c>
      <c r="BO13" s="6">
        <v>0</v>
      </c>
      <c r="BP13" s="6">
        <v>8.6</v>
      </c>
      <c r="BQ13" s="6">
        <v>80.2</v>
      </c>
      <c r="BR13" s="6">
        <v>4</v>
      </c>
      <c r="BS13" s="7">
        <v>6.0000000000000001E-3</v>
      </c>
      <c r="BT13" s="7">
        <v>0.04</v>
      </c>
      <c r="BU13" s="7">
        <v>0.45</v>
      </c>
      <c r="BV13" s="3">
        <v>4</v>
      </c>
      <c r="BW13" s="6">
        <f t="shared" si="8"/>
        <v>3.953999374316393</v>
      </c>
      <c r="BX13" s="6">
        <f t="shared" si="9"/>
        <v>84.528000032086339</v>
      </c>
      <c r="BY13" s="6"/>
      <c r="BZ13" s="6"/>
      <c r="CA13" s="6">
        <v>13.8</v>
      </c>
      <c r="CB13" s="6">
        <v>17.7</v>
      </c>
      <c r="CC13" s="6">
        <v>20.399999999999999</v>
      </c>
      <c r="CD13" s="3">
        <v>4</v>
      </c>
      <c r="CE13" s="3">
        <v>40</v>
      </c>
      <c r="CF13" s="3">
        <v>50</v>
      </c>
      <c r="CG13" s="3">
        <v>60</v>
      </c>
      <c r="CH13" s="3">
        <v>4</v>
      </c>
      <c r="CI13" s="6">
        <f t="shared" si="10"/>
        <v>2.2999999999999998</v>
      </c>
      <c r="CJ13" s="6">
        <f t="shared" si="11"/>
        <v>30</v>
      </c>
      <c r="CK13" s="6">
        <f t="shared" si="12"/>
        <v>60</v>
      </c>
      <c r="CL13" s="6">
        <v>4</v>
      </c>
      <c r="CM13" s="6">
        <v>4.3</v>
      </c>
      <c r="CN13" s="6">
        <v>8.5</v>
      </c>
      <c r="CO13" s="6">
        <v>12.8</v>
      </c>
      <c r="CP13" s="3">
        <v>4</v>
      </c>
      <c r="CQ13" s="3">
        <v>69.099999999999994</v>
      </c>
      <c r="CR13" s="6">
        <v>72.900000000000006</v>
      </c>
      <c r="CS13" s="3">
        <v>76</v>
      </c>
      <c r="CT13" s="3">
        <v>4</v>
      </c>
      <c r="CU13" s="3">
        <v>5</v>
      </c>
      <c r="CV13" s="3">
        <v>10</v>
      </c>
      <c r="CW13" s="3">
        <v>15</v>
      </c>
      <c r="CX13" s="3">
        <v>4</v>
      </c>
      <c r="CY13" s="3">
        <v>11</v>
      </c>
      <c r="CZ13" s="3">
        <v>95</v>
      </c>
      <c r="DA13" s="3"/>
      <c r="DB13" s="3"/>
      <c r="DC13" s="4">
        <v>15.07</v>
      </c>
      <c r="DD13" s="4">
        <v>18.84</v>
      </c>
      <c r="DE13" s="4">
        <v>22.61</v>
      </c>
      <c r="DF13" s="3">
        <v>4</v>
      </c>
      <c r="DG13" s="4">
        <v>11.92</v>
      </c>
      <c r="DH13" s="4">
        <v>14.9</v>
      </c>
      <c r="DI13" s="4">
        <v>17.88</v>
      </c>
      <c r="DJ13" s="3">
        <v>4</v>
      </c>
      <c r="DK13" s="4">
        <v>32.590000000000003</v>
      </c>
      <c r="DL13" s="4">
        <v>40.74</v>
      </c>
      <c r="DM13" s="4">
        <v>48.89</v>
      </c>
      <c r="DN13" s="3">
        <v>4</v>
      </c>
      <c r="DO13" s="4">
        <v>46.46</v>
      </c>
      <c r="DP13" s="4">
        <v>58.08</v>
      </c>
      <c r="DQ13" s="4">
        <v>69.7</v>
      </c>
      <c r="DR13" s="3">
        <v>4</v>
      </c>
    </row>
    <row r="14" spans="1:122" ht="12.95" customHeight="1" x14ac:dyDescent="0.2">
      <c r="A14" t="s">
        <v>865</v>
      </c>
      <c r="B14" t="s">
        <v>851</v>
      </c>
      <c r="C14" t="s">
        <v>852</v>
      </c>
      <c r="D14" t="s">
        <v>853</v>
      </c>
      <c r="E14" s="10" t="s">
        <v>866</v>
      </c>
      <c r="F14" s="10"/>
      <c r="G14" s="10"/>
      <c r="H14" s="10" t="s">
        <v>866</v>
      </c>
      <c r="I14" s="14">
        <v>239633.47238772362</v>
      </c>
      <c r="J14" s="19">
        <v>0.28764809073235742</v>
      </c>
      <c r="K14" s="19">
        <v>0.38485535083463451</v>
      </c>
      <c r="L14" s="19">
        <v>0.32749655843300801</v>
      </c>
      <c r="M14" s="20">
        <v>2</v>
      </c>
      <c r="N14" s="19">
        <v>3.2458060890368574E-2</v>
      </c>
      <c r="O14" s="19">
        <v>7.1827400397364502E-2</v>
      </c>
      <c r="P14" s="19">
        <v>0.28056988954690143</v>
      </c>
      <c r="Q14" s="19">
        <v>8.7226851063462563E-2</v>
      </c>
      <c r="R14" s="19">
        <v>0.21880224694478387</v>
      </c>
      <c r="S14" s="19">
        <v>2.1467460424761591E-2</v>
      </c>
      <c r="T14" s="20">
        <v>22</v>
      </c>
      <c r="U14" s="17">
        <v>2</v>
      </c>
      <c r="V14" s="17">
        <v>37</v>
      </c>
      <c r="W14" s="35"/>
      <c r="X14" s="36"/>
      <c r="Y14" s="37"/>
      <c r="Z14" s="38"/>
      <c r="AA14" s="39"/>
      <c r="AB14" s="39"/>
      <c r="AC14" s="39"/>
      <c r="AD14" s="39"/>
      <c r="AE14" s="36"/>
      <c r="AF14" s="36"/>
      <c r="AG14" s="36"/>
      <c r="AH14" s="39"/>
      <c r="AI14" s="36"/>
      <c r="AJ14" s="36"/>
      <c r="AK14" s="36"/>
      <c r="AL14" s="39"/>
      <c r="AM14" s="36"/>
      <c r="AN14" s="36"/>
      <c r="AO14" s="36"/>
      <c r="AP14" s="39"/>
      <c r="AQ14" s="39"/>
      <c r="AR14" s="39"/>
      <c r="AS14" s="39"/>
      <c r="AT14" s="39"/>
      <c r="AU14" s="38"/>
      <c r="AV14" s="38"/>
      <c r="AW14" s="38"/>
      <c r="AX14" s="39"/>
      <c r="AY14" s="5">
        <f t="shared" si="0"/>
        <v>2.1000000000000001E-2</v>
      </c>
      <c r="AZ14" s="5">
        <f t="shared" si="1"/>
        <v>0.191</v>
      </c>
      <c r="BA14" s="5">
        <f t="shared" si="2"/>
        <v>0.75700000000000001</v>
      </c>
      <c r="BB14" s="3">
        <v>4</v>
      </c>
      <c r="BC14" s="7">
        <v>3.5249999999999999</v>
      </c>
      <c r="BD14" s="4">
        <v>19.27</v>
      </c>
      <c r="BE14" s="4"/>
      <c r="BF14" s="4"/>
      <c r="BG14" s="4">
        <f t="shared" si="3"/>
        <v>41.8</v>
      </c>
      <c r="BH14" s="4">
        <f t="shared" si="4"/>
        <v>10.3</v>
      </c>
      <c r="BI14" s="4">
        <v>0</v>
      </c>
      <c r="BJ14" s="4">
        <v>100</v>
      </c>
      <c r="BK14" s="4">
        <f t="shared" si="5"/>
        <v>0.23785658968028386</v>
      </c>
      <c r="BL14" s="4">
        <f t="shared" si="6"/>
        <v>1.1892829484014193</v>
      </c>
      <c r="BM14" s="4">
        <f t="shared" si="7"/>
        <v>3.5678488452042578</v>
      </c>
      <c r="BN14" s="3">
        <v>4</v>
      </c>
      <c r="BO14" s="6">
        <v>0</v>
      </c>
      <c r="BP14" s="6">
        <v>8.6</v>
      </c>
      <c r="BQ14" s="6">
        <v>80.2</v>
      </c>
      <c r="BR14" s="6">
        <v>4</v>
      </c>
      <c r="BS14" s="7">
        <v>6.0000000000000001E-3</v>
      </c>
      <c r="BT14" s="7">
        <v>0.04</v>
      </c>
      <c r="BU14" s="7">
        <v>0.45</v>
      </c>
      <c r="BV14" s="3">
        <v>4</v>
      </c>
      <c r="BW14" s="6">
        <f t="shared" si="8"/>
        <v>3.1544731557774623</v>
      </c>
      <c r="BX14" s="6">
        <f t="shared" si="9"/>
        <v>84.569001376626801</v>
      </c>
      <c r="BY14" s="6"/>
      <c r="BZ14" s="6"/>
      <c r="CA14" s="6">
        <v>13.8</v>
      </c>
      <c r="CB14" s="6">
        <v>17.7</v>
      </c>
      <c r="CC14" s="6">
        <v>20.399999999999999</v>
      </c>
      <c r="CD14" s="3">
        <v>4</v>
      </c>
      <c r="CE14" s="3">
        <v>40</v>
      </c>
      <c r="CF14" s="3">
        <v>50</v>
      </c>
      <c r="CG14" s="3">
        <v>60</v>
      </c>
      <c r="CH14" s="3">
        <v>4</v>
      </c>
      <c r="CI14" s="6">
        <f t="shared" si="10"/>
        <v>2.2999999999999998</v>
      </c>
      <c r="CJ14" s="6">
        <f t="shared" si="11"/>
        <v>30</v>
      </c>
      <c r="CK14" s="6">
        <f t="shared" si="12"/>
        <v>60</v>
      </c>
      <c r="CL14" s="6">
        <v>4</v>
      </c>
      <c r="CM14" s="6">
        <v>4.3</v>
      </c>
      <c r="CN14" s="6">
        <v>8.5</v>
      </c>
      <c r="CO14" s="6">
        <v>12.8</v>
      </c>
      <c r="CP14" s="3">
        <v>4</v>
      </c>
      <c r="CQ14" s="3">
        <v>69.099999999999994</v>
      </c>
      <c r="CR14" s="6">
        <v>72.900000000000006</v>
      </c>
      <c r="CS14" s="3">
        <v>76</v>
      </c>
      <c r="CT14" s="3">
        <v>4</v>
      </c>
      <c r="CU14" s="3">
        <v>5</v>
      </c>
      <c r="CV14" s="3">
        <v>10</v>
      </c>
      <c r="CW14" s="3">
        <v>15</v>
      </c>
      <c r="CX14" s="3">
        <v>4</v>
      </c>
      <c r="CY14" s="3">
        <v>11</v>
      </c>
      <c r="CZ14" s="3">
        <v>95</v>
      </c>
      <c r="DA14" s="3"/>
      <c r="DB14" s="3"/>
      <c r="DC14" s="4">
        <v>15.07</v>
      </c>
      <c r="DD14" s="4">
        <v>18.84</v>
      </c>
      <c r="DE14" s="4">
        <v>22.61</v>
      </c>
      <c r="DF14" s="3">
        <v>4</v>
      </c>
      <c r="DG14" s="4">
        <v>11.92</v>
      </c>
      <c r="DH14" s="4">
        <v>14.9</v>
      </c>
      <c r="DI14" s="4">
        <v>17.88</v>
      </c>
      <c r="DJ14" s="3">
        <v>4</v>
      </c>
      <c r="DK14" s="4">
        <v>32.590000000000003</v>
      </c>
      <c r="DL14" s="4">
        <v>40.74</v>
      </c>
      <c r="DM14" s="4">
        <v>48.89</v>
      </c>
      <c r="DN14" s="3">
        <v>4</v>
      </c>
      <c r="DO14" s="4">
        <v>46.46</v>
      </c>
      <c r="DP14" s="4">
        <v>58.08</v>
      </c>
      <c r="DQ14" s="4">
        <v>69.7</v>
      </c>
      <c r="DR14" s="3">
        <v>4</v>
      </c>
    </row>
    <row r="15" spans="1:122" x14ac:dyDescent="0.2">
      <c r="A15" t="s">
        <v>867</v>
      </c>
      <c r="B15" t="s">
        <v>851</v>
      </c>
      <c r="C15" t="s">
        <v>852</v>
      </c>
      <c r="D15" t="s">
        <v>853</v>
      </c>
      <c r="E15" s="10" t="s">
        <v>868</v>
      </c>
      <c r="F15" s="10"/>
      <c r="G15" s="10"/>
      <c r="H15" s="10" t="s">
        <v>868</v>
      </c>
      <c r="I15" s="14">
        <v>195498.87835634872</v>
      </c>
      <c r="J15" s="19">
        <v>0.40621172332262706</v>
      </c>
      <c r="K15" s="19">
        <v>0.28279173241459865</v>
      </c>
      <c r="L15" s="19">
        <v>0.31099654426277423</v>
      </c>
      <c r="M15" s="20">
        <v>2</v>
      </c>
      <c r="N15" s="19">
        <v>0</v>
      </c>
      <c r="O15" s="19">
        <v>0</v>
      </c>
      <c r="P15" s="19">
        <v>0.28279173241459865</v>
      </c>
      <c r="Q15" s="19">
        <v>8.403709330000235E-2</v>
      </c>
      <c r="R15" s="19">
        <v>0.20087077591472927</v>
      </c>
      <c r="S15" s="19">
        <v>2.6088675048042687E-2</v>
      </c>
      <c r="T15" s="20">
        <v>23</v>
      </c>
      <c r="U15" s="17">
        <v>2</v>
      </c>
      <c r="V15" s="17">
        <v>37</v>
      </c>
    </row>
    <row r="16" spans="1:122" x14ac:dyDescent="0.2">
      <c r="A16" t="s">
        <v>869</v>
      </c>
      <c r="B16" t="s">
        <v>851</v>
      </c>
      <c r="C16" t="s">
        <v>852</v>
      </c>
      <c r="D16" t="s">
        <v>853</v>
      </c>
      <c r="E16" s="10" t="s">
        <v>870</v>
      </c>
      <c r="F16" s="10"/>
      <c r="G16" s="10"/>
      <c r="H16" s="10" t="s">
        <v>870</v>
      </c>
      <c r="I16" s="14">
        <v>192349.75666004792</v>
      </c>
      <c r="J16" s="19">
        <v>0.28420725638417982</v>
      </c>
      <c r="K16" s="19">
        <v>0.54309041449604079</v>
      </c>
      <c r="L16" s="19">
        <v>0.17270232911977931</v>
      </c>
      <c r="M16" s="20">
        <v>2</v>
      </c>
      <c r="N16" s="19">
        <v>4.65470673443725E-2</v>
      </c>
      <c r="O16" s="19">
        <v>0.11678239852444398</v>
      </c>
      <c r="P16" s="19">
        <v>0.37976094862722443</v>
      </c>
      <c r="Q16" s="19">
        <v>6.3424004061454486E-2</v>
      </c>
      <c r="R16" s="19">
        <v>9.9589735151777381E-2</v>
      </c>
      <c r="S16" s="19">
        <v>9.6885899065474283E-3</v>
      </c>
      <c r="T16" s="20">
        <v>22</v>
      </c>
      <c r="U16" s="17">
        <v>2</v>
      </c>
      <c r="V16" s="17">
        <v>37</v>
      </c>
    </row>
    <row r="17" spans="1:22" x14ac:dyDescent="0.2">
      <c r="A17" t="s">
        <v>871</v>
      </c>
      <c r="B17" t="s">
        <v>851</v>
      </c>
      <c r="C17" t="s">
        <v>852</v>
      </c>
      <c r="D17" t="s">
        <v>853</v>
      </c>
      <c r="E17" s="10" t="s">
        <v>872</v>
      </c>
      <c r="F17" s="10"/>
      <c r="G17" s="10"/>
      <c r="H17" s="10" t="s">
        <v>872</v>
      </c>
      <c r="I17" s="14">
        <v>332923.99972722493</v>
      </c>
      <c r="J17" s="19">
        <v>0</v>
      </c>
      <c r="K17" s="19">
        <v>0.667472197797222</v>
      </c>
      <c r="L17" s="19">
        <v>0.33252780220277794</v>
      </c>
      <c r="M17" s="20">
        <v>2</v>
      </c>
      <c r="N17" s="19">
        <v>0.18898562725395915</v>
      </c>
      <c r="O17" s="19">
        <v>0</v>
      </c>
      <c r="P17" s="19">
        <v>0.47848657054326288</v>
      </c>
      <c r="Q17" s="19">
        <v>7.0395157899015431E-2</v>
      </c>
      <c r="R17" s="19">
        <v>0.23556053707589442</v>
      </c>
      <c r="S17" s="19">
        <v>2.6572107227868094E-2</v>
      </c>
      <c r="T17" s="20">
        <v>23</v>
      </c>
      <c r="U17" s="17">
        <v>2</v>
      </c>
      <c r="V17" s="17">
        <v>37</v>
      </c>
    </row>
    <row r="18" spans="1:22" x14ac:dyDescent="0.2">
      <c r="A18" t="s">
        <v>873</v>
      </c>
      <c r="B18" t="s">
        <v>851</v>
      </c>
      <c r="C18" t="s">
        <v>852</v>
      </c>
      <c r="D18" t="s">
        <v>853</v>
      </c>
      <c r="E18" s="10" t="s">
        <v>874</v>
      </c>
      <c r="F18" s="10"/>
      <c r="G18" s="10"/>
      <c r="H18" s="10" t="s">
        <v>874</v>
      </c>
      <c r="I18" s="14">
        <v>558736.50899797957</v>
      </c>
      <c r="J18" s="19">
        <v>7.3981977272580532E-2</v>
      </c>
      <c r="K18" s="19">
        <v>0.7246514176024127</v>
      </c>
      <c r="L18" s="19">
        <v>0.20136660512500679</v>
      </c>
      <c r="M18" s="20">
        <v>2</v>
      </c>
      <c r="N18" s="19">
        <v>0.2222845178515232</v>
      </c>
      <c r="O18" s="19">
        <v>1.1855692763956566E-2</v>
      </c>
      <c r="P18" s="19">
        <v>0.4905112069869329</v>
      </c>
      <c r="Q18" s="19">
        <v>3.4554468943013047E-2</v>
      </c>
      <c r="R18" s="19">
        <v>0.15300895306819159</v>
      </c>
      <c r="S18" s="19">
        <v>1.3803183113802155E-2</v>
      </c>
      <c r="T18" s="20">
        <v>23</v>
      </c>
      <c r="U18" s="17">
        <v>2</v>
      </c>
      <c r="V18" s="17">
        <v>37</v>
      </c>
    </row>
    <row r="19" spans="1:22" x14ac:dyDescent="0.2">
      <c r="A19" t="s">
        <v>875</v>
      </c>
      <c r="B19" t="s">
        <v>851</v>
      </c>
      <c r="C19" t="s">
        <v>852</v>
      </c>
      <c r="D19" t="s">
        <v>853</v>
      </c>
      <c r="E19" s="10" t="s">
        <v>876</v>
      </c>
      <c r="F19" s="10"/>
      <c r="G19" s="10"/>
      <c r="H19" s="10" t="s">
        <v>876</v>
      </c>
      <c r="I19" s="14">
        <v>198748.958583712</v>
      </c>
      <c r="J19" s="19">
        <v>0.97917347956415646</v>
      </c>
      <c r="K19" s="19">
        <v>1.9451565288333368E-2</v>
      </c>
      <c r="L19" s="19">
        <v>1.3749551475102152E-3</v>
      </c>
      <c r="M19" s="20">
        <v>3</v>
      </c>
      <c r="N19" s="19">
        <v>0</v>
      </c>
      <c r="O19" s="19">
        <v>0</v>
      </c>
      <c r="P19" s="19">
        <v>1.9451565288333368E-2</v>
      </c>
      <c r="Q19" s="19">
        <v>0</v>
      </c>
      <c r="R19" s="19">
        <v>1.3749551475102152E-3</v>
      </c>
      <c r="S19" s="19">
        <v>0</v>
      </c>
      <c r="T19" s="20">
        <v>30</v>
      </c>
      <c r="U19" s="17">
        <v>2</v>
      </c>
      <c r="V19" s="17">
        <v>37</v>
      </c>
    </row>
    <row r="20" spans="1:22" x14ac:dyDescent="0.2">
      <c r="A20" t="s">
        <v>877</v>
      </c>
      <c r="B20" t="s">
        <v>851</v>
      </c>
      <c r="C20" t="s">
        <v>852</v>
      </c>
      <c r="D20" t="s">
        <v>853</v>
      </c>
      <c r="E20" s="10" t="s">
        <v>878</v>
      </c>
      <c r="F20" s="10"/>
      <c r="G20" s="10"/>
      <c r="H20" s="10" t="s">
        <v>878</v>
      </c>
      <c r="I20" s="14">
        <v>117840.98332532401</v>
      </c>
      <c r="J20" s="19">
        <v>0</v>
      </c>
      <c r="K20" s="19">
        <v>0.56625867922214113</v>
      </c>
      <c r="L20" s="19">
        <v>0.43374132077785893</v>
      </c>
      <c r="M20" s="20">
        <v>2</v>
      </c>
      <c r="N20" s="19">
        <v>7.2647604275724004E-2</v>
      </c>
      <c r="O20" s="19">
        <v>0</v>
      </c>
      <c r="P20" s="19">
        <v>0.49361107494641715</v>
      </c>
      <c r="Q20" s="19">
        <v>0.10842542319887738</v>
      </c>
      <c r="R20" s="19">
        <v>0.29305476881043335</v>
      </c>
      <c r="S20" s="19">
        <v>3.2261128768548232E-2</v>
      </c>
      <c r="T20" s="20">
        <v>23</v>
      </c>
      <c r="U20" s="17">
        <v>2</v>
      </c>
      <c r="V20" s="17">
        <v>37</v>
      </c>
    </row>
    <row r="21" spans="1:22" x14ac:dyDescent="0.2">
      <c r="A21" t="s">
        <v>879</v>
      </c>
      <c r="B21" t="s">
        <v>851</v>
      </c>
      <c r="C21" t="s">
        <v>852</v>
      </c>
      <c r="D21" t="s">
        <v>853</v>
      </c>
      <c r="E21" s="10" t="s">
        <v>880</v>
      </c>
      <c r="F21" s="10"/>
      <c r="G21" s="10"/>
      <c r="H21" s="10" t="s">
        <v>880</v>
      </c>
      <c r="I21" s="14">
        <v>430958.13030012976</v>
      </c>
      <c r="J21" s="19">
        <v>0.32371946460123802</v>
      </c>
      <c r="K21" s="19">
        <v>0.58685790577511898</v>
      </c>
      <c r="L21" s="19">
        <v>8.9422629623642891E-2</v>
      </c>
      <c r="M21" s="20">
        <v>2</v>
      </c>
      <c r="N21" s="19">
        <v>8.0137692669195168E-2</v>
      </c>
      <c r="O21" s="19">
        <v>1.1924724179973055E-2</v>
      </c>
      <c r="P21" s="19">
        <v>0.49479548892595088</v>
      </c>
      <c r="Q21" s="19">
        <v>4.045642599345243E-3</v>
      </c>
      <c r="R21" s="19">
        <v>7.8700622481835292E-2</v>
      </c>
      <c r="S21" s="19">
        <v>6.6763645424623517E-3</v>
      </c>
      <c r="T21" s="20">
        <v>23</v>
      </c>
      <c r="U21" s="17">
        <v>2</v>
      </c>
      <c r="V21" s="17">
        <v>37</v>
      </c>
    </row>
    <row r="22" spans="1:22" x14ac:dyDescent="0.2">
      <c r="A22" t="s">
        <v>881</v>
      </c>
      <c r="B22" t="s">
        <v>851</v>
      </c>
      <c r="C22" t="s">
        <v>852</v>
      </c>
      <c r="D22" t="s">
        <v>853</v>
      </c>
      <c r="E22" s="10" t="s">
        <v>882</v>
      </c>
      <c r="F22" s="10"/>
      <c r="G22" s="10"/>
      <c r="H22" s="10" t="s">
        <v>882</v>
      </c>
      <c r="I22" s="14">
        <v>86744.018840283155</v>
      </c>
      <c r="J22" s="19">
        <v>0</v>
      </c>
      <c r="K22" s="19">
        <v>0.59605489932465106</v>
      </c>
      <c r="L22" s="19">
        <v>0.40394510067534894</v>
      </c>
      <c r="M22" s="20">
        <v>2</v>
      </c>
      <c r="N22" s="19">
        <v>0.33938280915304386</v>
      </c>
      <c r="O22" s="19">
        <v>0</v>
      </c>
      <c r="P22" s="19">
        <v>0.25667209017160719</v>
      </c>
      <c r="Q22" s="19">
        <v>0.12980240358320791</v>
      </c>
      <c r="R22" s="19">
        <v>0.24090760597506142</v>
      </c>
      <c r="S22" s="19">
        <v>3.3235091117079625E-2</v>
      </c>
      <c r="T22" s="20">
        <v>23</v>
      </c>
      <c r="U22" s="17">
        <v>2</v>
      </c>
      <c r="V22" s="17">
        <v>37</v>
      </c>
    </row>
    <row r="23" spans="1:22" x14ac:dyDescent="0.2">
      <c r="A23" t="s">
        <v>883</v>
      </c>
      <c r="B23" t="s">
        <v>851</v>
      </c>
      <c r="C23" t="s">
        <v>852</v>
      </c>
      <c r="D23" t="s">
        <v>853</v>
      </c>
      <c r="E23" s="10" t="s">
        <v>884</v>
      </c>
      <c r="F23" s="10"/>
      <c r="G23" s="10"/>
      <c r="H23" s="10" t="s">
        <v>884</v>
      </c>
      <c r="I23" s="14">
        <v>167906.32224757224</v>
      </c>
      <c r="J23" s="19">
        <v>0.81223200841288257</v>
      </c>
      <c r="K23" s="19">
        <v>0.16150747740742771</v>
      </c>
      <c r="L23" s="19">
        <v>2.6260514179689744E-2</v>
      </c>
      <c r="M23" s="20">
        <v>3</v>
      </c>
      <c r="N23" s="19">
        <v>3.0497591918093363E-2</v>
      </c>
      <c r="O23" s="19">
        <v>0</v>
      </c>
      <c r="P23" s="19">
        <v>0.13100988548933434</v>
      </c>
      <c r="Q23" s="19">
        <v>0</v>
      </c>
      <c r="R23" s="19">
        <v>2.3846567825471766E-2</v>
      </c>
      <c r="S23" s="19">
        <v>2.4139463542179771E-3</v>
      </c>
      <c r="T23" s="20">
        <v>30</v>
      </c>
      <c r="U23" s="17">
        <v>2</v>
      </c>
      <c r="V23" s="17">
        <v>37</v>
      </c>
    </row>
    <row r="24" spans="1:22" x14ac:dyDescent="0.2">
      <c r="A24" t="s">
        <v>885</v>
      </c>
      <c r="B24" t="s">
        <v>851</v>
      </c>
      <c r="C24" t="s">
        <v>852</v>
      </c>
      <c r="D24" t="s">
        <v>853</v>
      </c>
      <c r="E24" s="10" t="s">
        <v>886</v>
      </c>
      <c r="F24" s="10"/>
      <c r="G24" s="10"/>
      <c r="H24" s="10" t="s">
        <v>886</v>
      </c>
      <c r="I24" s="14">
        <v>146609.99048462184</v>
      </c>
      <c r="J24" s="19">
        <v>0.47822408722104842</v>
      </c>
      <c r="K24" s="19">
        <v>0.46393562342802858</v>
      </c>
      <c r="L24" s="19">
        <v>5.7840289350923009E-2</v>
      </c>
      <c r="M24" s="20">
        <v>2</v>
      </c>
      <c r="N24" s="19">
        <v>0.24645790763487763</v>
      </c>
      <c r="O24" s="19">
        <v>0</v>
      </c>
      <c r="P24" s="19">
        <v>0.21747771579315092</v>
      </c>
      <c r="Q24" s="19">
        <v>4.2766160698798567E-3</v>
      </c>
      <c r="R24" s="19">
        <v>5.0952549695339439E-2</v>
      </c>
      <c r="S24" s="19">
        <v>2.6111235857037142E-3</v>
      </c>
      <c r="T24" s="20">
        <v>23</v>
      </c>
      <c r="U24" s="17">
        <v>2</v>
      </c>
      <c r="V24" s="17">
        <v>37</v>
      </c>
    </row>
    <row r="25" spans="1:22" x14ac:dyDescent="0.2">
      <c r="A25" t="s">
        <v>887</v>
      </c>
      <c r="B25" t="s">
        <v>851</v>
      </c>
      <c r="C25" t="s">
        <v>852</v>
      </c>
      <c r="D25" t="s">
        <v>853</v>
      </c>
      <c r="E25" s="10" t="s">
        <v>888</v>
      </c>
      <c r="F25" s="10"/>
      <c r="G25" s="10"/>
      <c r="H25" s="10" t="s">
        <v>888</v>
      </c>
      <c r="I25" s="14">
        <v>152606.59395317221</v>
      </c>
      <c r="J25" s="19">
        <v>0</v>
      </c>
      <c r="K25" s="19">
        <v>0.55776140310848843</v>
      </c>
      <c r="L25" s="19">
        <v>0.44223859689151157</v>
      </c>
      <c r="M25" s="20">
        <v>2</v>
      </c>
      <c r="N25" s="19">
        <v>0.10201606907708717</v>
      </c>
      <c r="O25" s="19">
        <v>0.12306375405877869</v>
      </c>
      <c r="P25" s="19">
        <v>0.3326815799726226</v>
      </c>
      <c r="Q25" s="19">
        <v>9.8670370497818599E-2</v>
      </c>
      <c r="R25" s="19">
        <v>0.30784651725525597</v>
      </c>
      <c r="S25" s="19">
        <v>3.5721709138436968E-2</v>
      </c>
      <c r="T25" s="20">
        <v>22</v>
      </c>
      <c r="U25" s="17">
        <v>2</v>
      </c>
      <c r="V25" s="17">
        <v>37</v>
      </c>
    </row>
    <row r="26" spans="1:22" x14ac:dyDescent="0.2">
      <c r="A26" t="s">
        <v>889</v>
      </c>
      <c r="B26" t="s">
        <v>851</v>
      </c>
      <c r="C26" t="s">
        <v>852</v>
      </c>
      <c r="D26" t="s">
        <v>853</v>
      </c>
      <c r="E26" s="10" t="s">
        <v>890</v>
      </c>
      <c r="F26" s="10"/>
      <c r="G26" s="10"/>
      <c r="H26" s="10" t="s">
        <v>890</v>
      </c>
      <c r="I26" s="14">
        <v>379843.0651649065</v>
      </c>
      <c r="J26" s="19">
        <v>0.18578044849120554</v>
      </c>
      <c r="K26" s="19">
        <v>0.70936607708850219</v>
      </c>
      <c r="L26" s="19">
        <v>0.10485347442029218</v>
      </c>
      <c r="M26" s="20">
        <v>2</v>
      </c>
      <c r="N26" s="19">
        <v>0.18145621815435534</v>
      </c>
      <c r="O26" s="19">
        <v>4.6471447124352416E-2</v>
      </c>
      <c r="P26" s="19">
        <v>0.48143841180979441</v>
      </c>
      <c r="Q26" s="19">
        <v>2.5447004137340107E-2</v>
      </c>
      <c r="R26" s="19">
        <v>7.2404415382681234E-2</v>
      </c>
      <c r="S26" s="19">
        <v>7.002054900270829E-3</v>
      </c>
      <c r="T26" s="20">
        <v>23</v>
      </c>
      <c r="U26" s="17">
        <v>2</v>
      </c>
      <c r="V26" s="17">
        <v>37</v>
      </c>
    </row>
    <row r="27" spans="1:22" x14ac:dyDescent="0.2">
      <c r="A27" t="s">
        <v>891</v>
      </c>
      <c r="B27" t="s">
        <v>851</v>
      </c>
      <c r="C27" t="s">
        <v>852</v>
      </c>
      <c r="D27" t="s">
        <v>853</v>
      </c>
      <c r="E27" s="10" t="s">
        <v>892</v>
      </c>
      <c r="F27" s="10"/>
      <c r="G27" s="10"/>
      <c r="H27" s="10" t="s">
        <v>892</v>
      </c>
      <c r="I27" s="14">
        <v>145782.08931183582</v>
      </c>
      <c r="J27" s="19">
        <v>0</v>
      </c>
      <c r="K27" s="19">
        <v>0.90438066330973665</v>
      </c>
      <c r="L27" s="19">
        <v>9.5619336690263332E-2</v>
      </c>
      <c r="M27" s="20">
        <v>2</v>
      </c>
      <c r="N27" s="19">
        <v>0.20930638830035239</v>
      </c>
      <c r="O27" s="19">
        <v>0</v>
      </c>
      <c r="P27" s="19">
        <v>0.69507427500938423</v>
      </c>
      <c r="Q27" s="19">
        <v>1.3011310811312186E-2</v>
      </c>
      <c r="R27" s="19">
        <v>7.6315941922942998E-2</v>
      </c>
      <c r="S27" s="19">
        <v>6.2920839560081515E-3</v>
      </c>
      <c r="T27" s="20">
        <v>21</v>
      </c>
      <c r="U27" s="17">
        <v>2</v>
      </c>
      <c r="V27" s="17">
        <v>37</v>
      </c>
    </row>
    <row r="28" spans="1:22" x14ac:dyDescent="0.2">
      <c r="A28" t="s">
        <v>893</v>
      </c>
      <c r="B28" t="s">
        <v>851</v>
      </c>
      <c r="C28" t="s">
        <v>852</v>
      </c>
      <c r="D28" t="s">
        <v>853</v>
      </c>
      <c r="E28" s="10" t="s">
        <v>894</v>
      </c>
      <c r="F28" s="10"/>
      <c r="G28" s="10"/>
      <c r="H28" s="10" t="s">
        <v>894</v>
      </c>
      <c r="I28" s="14">
        <v>33275.186096565332</v>
      </c>
      <c r="J28" s="19">
        <v>0</v>
      </c>
      <c r="K28" s="19">
        <v>0.79991790897293391</v>
      </c>
      <c r="L28" s="19">
        <v>0.20008209102706606</v>
      </c>
      <c r="M28" s="20">
        <v>2</v>
      </c>
      <c r="N28" s="19">
        <v>0.69219835583884892</v>
      </c>
      <c r="O28" s="19">
        <v>0</v>
      </c>
      <c r="P28" s="19">
        <v>0.10771955313408504</v>
      </c>
      <c r="Q28" s="19">
        <v>4.4378602444624701E-2</v>
      </c>
      <c r="R28" s="19">
        <v>0.13940006589912929</v>
      </c>
      <c r="S28" s="19">
        <v>1.6303422683312072E-2</v>
      </c>
      <c r="T28" s="20">
        <v>23</v>
      </c>
      <c r="U28" s="17">
        <v>2</v>
      </c>
      <c r="V28" s="17">
        <v>37</v>
      </c>
    </row>
    <row r="29" spans="1:22" x14ac:dyDescent="0.2">
      <c r="A29" t="s">
        <v>895</v>
      </c>
      <c r="B29" t="s">
        <v>851</v>
      </c>
      <c r="C29" t="s">
        <v>852</v>
      </c>
      <c r="D29" t="s">
        <v>853</v>
      </c>
      <c r="E29" s="10" t="s">
        <v>896</v>
      </c>
      <c r="F29" s="10"/>
      <c r="G29" s="10"/>
      <c r="H29" s="10" t="s">
        <v>896</v>
      </c>
      <c r="I29" s="14">
        <v>89207.673568703234</v>
      </c>
      <c r="J29" s="19">
        <v>0</v>
      </c>
      <c r="K29" s="19">
        <v>0.34973585766225557</v>
      </c>
      <c r="L29" s="19">
        <v>0.65026414233774443</v>
      </c>
      <c r="M29" s="20">
        <v>1</v>
      </c>
      <c r="N29" s="19">
        <v>0.23621915631438614</v>
      </c>
      <c r="O29" s="19">
        <v>0</v>
      </c>
      <c r="P29" s="19">
        <v>0.1135167013478694</v>
      </c>
      <c r="Q29" s="19">
        <v>0.2735996133329292</v>
      </c>
      <c r="R29" s="19">
        <v>0.34941439597561236</v>
      </c>
      <c r="S29" s="19">
        <v>2.7250133029202869E-2</v>
      </c>
      <c r="T29" s="20">
        <v>12</v>
      </c>
      <c r="U29" s="17">
        <v>2</v>
      </c>
      <c r="V29" s="17">
        <v>37</v>
      </c>
    </row>
    <row r="30" spans="1:22" x14ac:dyDescent="0.2">
      <c r="A30" t="s">
        <v>897</v>
      </c>
      <c r="B30" t="s">
        <v>851</v>
      </c>
      <c r="C30" t="s">
        <v>852</v>
      </c>
      <c r="D30" t="s">
        <v>853</v>
      </c>
      <c r="E30" s="10" t="s">
        <v>898</v>
      </c>
      <c r="F30" s="10"/>
      <c r="G30" s="10"/>
      <c r="H30" s="10" t="s">
        <v>898</v>
      </c>
      <c r="I30" s="14">
        <v>66804.637531349435</v>
      </c>
      <c r="J30" s="19">
        <v>0</v>
      </c>
      <c r="K30" s="19">
        <v>0.55319872446101226</v>
      </c>
      <c r="L30" s="19">
        <v>0.4468012755389878</v>
      </c>
      <c r="M30" s="20">
        <v>2</v>
      </c>
      <c r="N30" s="19">
        <v>0.37082293970456665</v>
      </c>
      <c r="O30" s="19">
        <v>0</v>
      </c>
      <c r="P30" s="19">
        <v>0.18237578475644556</v>
      </c>
      <c r="Q30" s="19">
        <v>0.15571109697800134</v>
      </c>
      <c r="R30" s="19">
        <v>0.25023990926475798</v>
      </c>
      <c r="S30" s="19">
        <v>4.0850269296228446E-2</v>
      </c>
      <c r="T30" s="20">
        <v>23</v>
      </c>
      <c r="U30" s="17">
        <v>2</v>
      </c>
      <c r="V30" s="17">
        <v>37</v>
      </c>
    </row>
    <row r="31" spans="1:22" x14ac:dyDescent="0.2">
      <c r="A31" t="s">
        <v>899</v>
      </c>
      <c r="B31" t="s">
        <v>851</v>
      </c>
      <c r="C31" t="s">
        <v>852</v>
      </c>
      <c r="D31" t="s">
        <v>900</v>
      </c>
      <c r="E31" s="10" t="s">
        <v>901</v>
      </c>
      <c r="F31" s="10"/>
      <c r="G31" s="10"/>
      <c r="H31" s="10" t="s">
        <v>901</v>
      </c>
      <c r="I31" s="14">
        <v>727911.65784514148</v>
      </c>
      <c r="J31" s="19">
        <v>0.85523594820661941</v>
      </c>
      <c r="K31" s="19">
        <v>0.11634185603804434</v>
      </c>
      <c r="L31" s="19">
        <v>2.8422195755336464E-2</v>
      </c>
      <c r="M31" s="20">
        <v>3</v>
      </c>
      <c r="N31" s="19">
        <v>2.0154777414604842E-2</v>
      </c>
      <c r="O31" s="19">
        <v>0</v>
      </c>
      <c r="P31" s="19">
        <v>9.618707862343949E-2</v>
      </c>
      <c r="Q31" s="19">
        <v>3.2936641603749251E-3</v>
      </c>
      <c r="R31" s="19">
        <v>2.4392712528167687E-2</v>
      </c>
      <c r="S31" s="19">
        <v>7.3581906679385579E-4</v>
      </c>
      <c r="T31" s="20">
        <v>30</v>
      </c>
      <c r="U31" s="17">
        <v>2</v>
      </c>
      <c r="V31" s="17">
        <v>37</v>
      </c>
    </row>
    <row r="32" spans="1:22" x14ac:dyDescent="0.2">
      <c r="A32" t="s">
        <v>902</v>
      </c>
      <c r="B32" t="s">
        <v>851</v>
      </c>
      <c r="C32" t="s">
        <v>852</v>
      </c>
      <c r="D32" t="s">
        <v>900</v>
      </c>
      <c r="E32" s="10" t="s">
        <v>903</v>
      </c>
      <c r="F32" s="10"/>
      <c r="G32" s="10"/>
      <c r="H32" s="10" t="s">
        <v>903</v>
      </c>
      <c r="I32" s="14">
        <v>244285.46332394355</v>
      </c>
      <c r="J32" s="19">
        <v>1.7100922669321026E-3</v>
      </c>
      <c r="K32" s="19">
        <v>0.84656838213687868</v>
      </c>
      <c r="L32" s="19">
        <v>0.15172152559618918</v>
      </c>
      <c r="M32" s="20">
        <v>2</v>
      </c>
      <c r="N32" s="19">
        <v>0.28055329312594768</v>
      </c>
      <c r="O32" s="19">
        <v>0</v>
      </c>
      <c r="P32" s="19">
        <v>0.56601508901093101</v>
      </c>
      <c r="Q32" s="19">
        <v>1.5506873257118407E-2</v>
      </c>
      <c r="R32" s="19">
        <v>0.13183260615254636</v>
      </c>
      <c r="S32" s="19">
        <v>4.382046186524431E-3</v>
      </c>
      <c r="T32" s="20">
        <v>21</v>
      </c>
      <c r="U32" s="17">
        <v>2</v>
      </c>
      <c r="V32" s="17">
        <v>37</v>
      </c>
    </row>
    <row r="33" spans="1:22" x14ac:dyDescent="0.2">
      <c r="A33" t="s">
        <v>904</v>
      </c>
      <c r="B33" t="s">
        <v>851</v>
      </c>
      <c r="C33" t="s">
        <v>852</v>
      </c>
      <c r="D33" t="s">
        <v>900</v>
      </c>
      <c r="E33" s="10" t="s">
        <v>905</v>
      </c>
      <c r="F33" s="10"/>
      <c r="G33" s="10"/>
      <c r="H33" s="10" t="s">
        <v>905</v>
      </c>
      <c r="I33" s="14">
        <v>707300.14612216153</v>
      </c>
      <c r="J33" s="19">
        <v>0.49379902948701954</v>
      </c>
      <c r="K33" s="19">
        <v>0.40259115102722015</v>
      </c>
      <c r="L33" s="19">
        <v>0.10360981948576031</v>
      </c>
      <c r="M33" s="20">
        <v>2</v>
      </c>
      <c r="N33" s="19">
        <v>4.5888681389081865E-2</v>
      </c>
      <c r="O33" s="19">
        <v>0</v>
      </c>
      <c r="P33" s="19">
        <v>0.35670246963813829</v>
      </c>
      <c r="Q33" s="19">
        <v>1.594287911176202E-2</v>
      </c>
      <c r="R33" s="19">
        <v>8.3064517912304625E-2</v>
      </c>
      <c r="S33" s="19">
        <v>4.6024224616936634E-3</v>
      </c>
      <c r="T33" s="20">
        <v>23</v>
      </c>
      <c r="U33" s="17">
        <v>2</v>
      </c>
      <c r="V33" s="17">
        <v>37</v>
      </c>
    </row>
    <row r="34" spans="1:22" x14ac:dyDescent="0.2">
      <c r="A34" t="s">
        <v>906</v>
      </c>
      <c r="B34" t="s">
        <v>851</v>
      </c>
      <c r="C34" t="s">
        <v>852</v>
      </c>
      <c r="D34" t="s">
        <v>900</v>
      </c>
      <c r="E34" s="10" t="s">
        <v>907</v>
      </c>
      <c r="F34" s="10"/>
      <c r="G34" s="10"/>
      <c r="H34" s="10" t="s">
        <v>907</v>
      </c>
      <c r="I34" s="14">
        <v>930167.72160572838</v>
      </c>
      <c r="J34" s="19">
        <v>0.99476499050994582</v>
      </c>
      <c r="K34" s="19">
        <v>5.0745847636190743E-3</v>
      </c>
      <c r="L34" s="19">
        <v>1.604247264350585E-4</v>
      </c>
      <c r="M34" s="20">
        <v>3</v>
      </c>
      <c r="N34" s="19">
        <v>0</v>
      </c>
      <c r="O34" s="19">
        <v>0</v>
      </c>
      <c r="P34" s="19">
        <v>5.0745847636190743E-3</v>
      </c>
      <c r="Q34" s="19">
        <v>0</v>
      </c>
      <c r="R34" s="19">
        <v>9.581997452770365E-5</v>
      </c>
      <c r="S34" s="19">
        <v>6.460475190735484E-5</v>
      </c>
      <c r="T34" s="20">
        <v>30</v>
      </c>
      <c r="U34" s="17">
        <v>2</v>
      </c>
      <c r="V34" s="17">
        <v>37</v>
      </c>
    </row>
    <row r="35" spans="1:22" x14ac:dyDescent="0.2">
      <c r="A35" t="s">
        <v>908</v>
      </c>
      <c r="B35" t="s">
        <v>851</v>
      </c>
      <c r="C35" t="s">
        <v>852</v>
      </c>
      <c r="D35" t="s">
        <v>900</v>
      </c>
      <c r="E35" s="10" t="s">
        <v>909</v>
      </c>
      <c r="F35" s="10"/>
      <c r="G35" s="10"/>
      <c r="H35" s="10" t="s">
        <v>909</v>
      </c>
      <c r="I35" s="14">
        <v>556653.47519183694</v>
      </c>
      <c r="J35" s="19">
        <v>0.72882816967357711</v>
      </c>
      <c r="K35" s="19">
        <v>0.24264085078942957</v>
      </c>
      <c r="L35" s="19">
        <v>2.8530979536993267E-2</v>
      </c>
      <c r="M35" s="20">
        <v>3</v>
      </c>
      <c r="N35" s="19">
        <v>2.4231108886869086E-2</v>
      </c>
      <c r="O35" s="19">
        <v>0</v>
      </c>
      <c r="P35" s="19">
        <v>0.21840974190256049</v>
      </c>
      <c r="Q35" s="19">
        <v>2.5716595628863192E-3</v>
      </c>
      <c r="R35" s="19">
        <v>2.5556721186840846E-2</v>
      </c>
      <c r="S35" s="19">
        <v>4.0259878726610295E-4</v>
      </c>
      <c r="T35" s="20">
        <v>30</v>
      </c>
      <c r="U35" s="17">
        <v>2</v>
      </c>
      <c r="V35" s="17">
        <v>37</v>
      </c>
    </row>
    <row r="36" spans="1:22" x14ac:dyDescent="0.2">
      <c r="A36" t="s">
        <v>910</v>
      </c>
      <c r="B36" t="s">
        <v>851</v>
      </c>
      <c r="C36" t="s">
        <v>852</v>
      </c>
      <c r="D36" t="s">
        <v>900</v>
      </c>
      <c r="E36" s="10" t="s">
        <v>911</v>
      </c>
      <c r="F36" s="10"/>
      <c r="G36" s="10"/>
      <c r="H36" s="10" t="s">
        <v>911</v>
      </c>
      <c r="I36" s="14">
        <v>298470.13561005611</v>
      </c>
      <c r="J36" s="19">
        <v>0.33184402409017505</v>
      </c>
      <c r="K36" s="19">
        <v>0.54346098555145606</v>
      </c>
      <c r="L36" s="19">
        <v>0.12469499035836881</v>
      </c>
      <c r="M36" s="20">
        <v>2</v>
      </c>
      <c r="N36" s="19">
        <v>0.10351538397598421</v>
      </c>
      <c r="O36" s="19">
        <v>0.10349335042373631</v>
      </c>
      <c r="P36" s="19">
        <v>0.33645225115173555</v>
      </c>
      <c r="Q36" s="19">
        <v>1.0351583331895224E-2</v>
      </c>
      <c r="R36" s="19">
        <v>0.11109588073194741</v>
      </c>
      <c r="S36" s="19">
        <v>3.2475262945261792E-3</v>
      </c>
      <c r="T36" s="20">
        <v>23</v>
      </c>
      <c r="U36" s="17">
        <v>2</v>
      </c>
      <c r="V36" s="17">
        <v>37</v>
      </c>
    </row>
    <row r="37" spans="1:22" x14ac:dyDescent="0.2">
      <c r="A37" t="s">
        <v>912</v>
      </c>
      <c r="B37" t="s">
        <v>851</v>
      </c>
      <c r="C37" t="s">
        <v>852</v>
      </c>
      <c r="D37" t="s">
        <v>900</v>
      </c>
      <c r="E37" s="10" t="s">
        <v>913</v>
      </c>
      <c r="F37" s="10"/>
      <c r="G37" s="10"/>
      <c r="H37" s="10" t="s">
        <v>913</v>
      </c>
      <c r="I37" s="14">
        <v>446803.99923799239</v>
      </c>
      <c r="J37" s="19">
        <v>0.19317494933673493</v>
      </c>
      <c r="K37" s="19">
        <v>0.7076463507203572</v>
      </c>
      <c r="L37" s="19">
        <v>9.9178699942907775E-2</v>
      </c>
      <c r="M37" s="20">
        <v>2</v>
      </c>
      <c r="N37" s="19">
        <v>5.6749265229405724E-2</v>
      </c>
      <c r="O37" s="19">
        <v>0</v>
      </c>
      <c r="P37" s="19">
        <v>0.65089708549095149</v>
      </c>
      <c r="Q37" s="19">
        <v>0</v>
      </c>
      <c r="R37" s="19">
        <v>9.4905492147005222E-2</v>
      </c>
      <c r="S37" s="19">
        <v>4.2732077959025377E-3</v>
      </c>
      <c r="T37" s="20">
        <v>21</v>
      </c>
      <c r="U37" s="17">
        <v>2</v>
      </c>
      <c r="V37" s="17">
        <v>37</v>
      </c>
    </row>
    <row r="38" spans="1:22" x14ac:dyDescent="0.2">
      <c r="A38" t="s">
        <v>914</v>
      </c>
      <c r="B38" t="s">
        <v>851</v>
      </c>
      <c r="C38" t="s">
        <v>852</v>
      </c>
      <c r="D38" t="s">
        <v>900</v>
      </c>
      <c r="E38" s="10" t="s">
        <v>915</v>
      </c>
      <c r="F38" s="10"/>
      <c r="G38" s="10"/>
      <c r="H38" s="10" t="s">
        <v>915</v>
      </c>
      <c r="I38" s="14">
        <v>199757.63544468535</v>
      </c>
      <c r="J38" s="19">
        <v>0.49558861609807964</v>
      </c>
      <c r="K38" s="19">
        <v>0.33973513985021825</v>
      </c>
      <c r="L38" s="19">
        <v>0.16467624405170211</v>
      </c>
      <c r="M38" s="20">
        <v>2</v>
      </c>
      <c r="N38" s="19">
        <v>7.8444253904082148E-2</v>
      </c>
      <c r="O38" s="19">
        <v>0</v>
      </c>
      <c r="P38" s="19">
        <v>0.26129088594613609</v>
      </c>
      <c r="Q38" s="19">
        <v>5.317551879724991E-2</v>
      </c>
      <c r="R38" s="19">
        <v>0.10446906624009439</v>
      </c>
      <c r="S38" s="19">
        <v>7.0316590143578075E-3</v>
      </c>
      <c r="T38" s="20">
        <v>23</v>
      </c>
      <c r="U38" s="17">
        <v>2</v>
      </c>
      <c r="V38" s="17">
        <v>37</v>
      </c>
    </row>
    <row r="39" spans="1:22" x14ac:dyDescent="0.2">
      <c r="A39" t="s">
        <v>916</v>
      </c>
      <c r="B39" t="s">
        <v>851</v>
      </c>
      <c r="C39" t="s">
        <v>852</v>
      </c>
      <c r="D39" t="s">
        <v>900</v>
      </c>
      <c r="E39" s="10" t="s">
        <v>917</v>
      </c>
      <c r="F39" s="10"/>
      <c r="G39" s="10"/>
      <c r="H39" s="10" t="s">
        <v>917</v>
      </c>
      <c r="I39" s="14">
        <v>483237.43632438732</v>
      </c>
      <c r="J39" s="19">
        <v>0.34182366549200405</v>
      </c>
      <c r="K39" s="19">
        <v>0.52088801000577156</v>
      </c>
      <c r="L39" s="19">
        <v>0.13728832450222445</v>
      </c>
      <c r="M39" s="20">
        <v>2</v>
      </c>
      <c r="N39" s="19">
        <v>0.15906136073349419</v>
      </c>
      <c r="O39" s="19">
        <v>1.4968679539845825E-2</v>
      </c>
      <c r="P39" s="19">
        <v>0.34685796973243149</v>
      </c>
      <c r="Q39" s="19">
        <v>2.219495356785962E-2</v>
      </c>
      <c r="R39" s="19">
        <v>0.10981775460011585</v>
      </c>
      <c r="S39" s="19">
        <v>5.2756163342489639E-3</v>
      </c>
      <c r="T39" s="20">
        <v>23</v>
      </c>
      <c r="U39" s="17">
        <v>2</v>
      </c>
      <c r="V39" s="17">
        <v>37</v>
      </c>
    </row>
    <row r="40" spans="1:22" x14ac:dyDescent="0.2">
      <c r="A40" t="s">
        <v>918</v>
      </c>
      <c r="B40" t="s">
        <v>851</v>
      </c>
      <c r="C40" t="s">
        <v>852</v>
      </c>
      <c r="D40" t="s">
        <v>919</v>
      </c>
      <c r="E40" s="10" t="s">
        <v>920</v>
      </c>
      <c r="F40" s="10"/>
      <c r="G40" s="10"/>
      <c r="H40" s="10" t="s">
        <v>920</v>
      </c>
      <c r="I40" s="14">
        <v>264208.86731179082</v>
      </c>
      <c r="J40" s="19">
        <v>0.36954194164183463</v>
      </c>
      <c r="K40" s="19">
        <v>0.23906038458495621</v>
      </c>
      <c r="L40" s="19">
        <v>0.39139767377320905</v>
      </c>
      <c r="M40" s="20">
        <v>2</v>
      </c>
      <c r="N40" s="19">
        <v>5.2930110417939928E-2</v>
      </c>
      <c r="O40" s="19">
        <v>2.3255211377039803E-2</v>
      </c>
      <c r="P40" s="19">
        <v>0.16287506278997649</v>
      </c>
      <c r="Q40" s="19">
        <v>0.13918025854994415</v>
      </c>
      <c r="R40" s="19">
        <v>0.21298688393145251</v>
      </c>
      <c r="S40" s="19">
        <v>3.9230531291812462E-2</v>
      </c>
      <c r="T40" s="20">
        <v>23</v>
      </c>
      <c r="U40" s="17">
        <v>2</v>
      </c>
      <c r="V40" s="17">
        <v>37</v>
      </c>
    </row>
    <row r="41" spans="1:22" x14ac:dyDescent="0.2">
      <c r="A41" t="s">
        <v>921</v>
      </c>
      <c r="B41" t="s">
        <v>851</v>
      </c>
      <c r="C41" t="s">
        <v>852</v>
      </c>
      <c r="D41" t="s">
        <v>919</v>
      </c>
      <c r="E41" s="10" t="s">
        <v>922</v>
      </c>
      <c r="F41" s="10"/>
      <c r="G41" s="10"/>
      <c r="H41" s="10" t="s">
        <v>922</v>
      </c>
      <c r="I41" s="14">
        <v>218488.00034205616</v>
      </c>
      <c r="J41" s="19">
        <v>0.28453096371033648</v>
      </c>
      <c r="K41" s="19">
        <v>0.27146670830933095</v>
      </c>
      <c r="L41" s="19">
        <v>0.44400232798033251</v>
      </c>
      <c r="M41" s="20">
        <v>2</v>
      </c>
      <c r="N41" s="19">
        <v>6.3833807405445295E-2</v>
      </c>
      <c r="O41" s="19">
        <v>8.0639172863988931E-2</v>
      </c>
      <c r="P41" s="19">
        <v>0.12699372803989672</v>
      </c>
      <c r="Q41" s="19">
        <v>0.18062179895702513</v>
      </c>
      <c r="R41" s="19">
        <v>0.22887775904906674</v>
      </c>
      <c r="S41" s="19">
        <v>3.4502769974240677E-2</v>
      </c>
      <c r="T41" s="20">
        <v>22</v>
      </c>
      <c r="U41" s="17">
        <v>2</v>
      </c>
      <c r="V41" s="17">
        <v>37</v>
      </c>
    </row>
    <row r="42" spans="1:22" x14ac:dyDescent="0.2">
      <c r="A42" t="s">
        <v>923</v>
      </c>
      <c r="B42" t="s">
        <v>851</v>
      </c>
      <c r="C42" t="s">
        <v>852</v>
      </c>
      <c r="D42" t="s">
        <v>919</v>
      </c>
      <c r="E42" s="10" t="s">
        <v>924</v>
      </c>
      <c r="F42" s="10"/>
      <c r="G42" s="10"/>
      <c r="H42" s="10" t="s">
        <v>924</v>
      </c>
      <c r="I42" s="14">
        <v>222834.11192829395</v>
      </c>
      <c r="J42" s="19">
        <v>0.40385822476928523</v>
      </c>
      <c r="K42" s="19">
        <v>0.11330505849708747</v>
      </c>
      <c r="L42" s="19">
        <v>0.48283671673362727</v>
      </c>
      <c r="M42" s="20">
        <v>2</v>
      </c>
      <c r="N42" s="19">
        <v>6.2469205002282757E-2</v>
      </c>
      <c r="O42" s="19">
        <v>2.5351447430682874E-2</v>
      </c>
      <c r="P42" s="19">
        <v>2.548440606412183E-2</v>
      </c>
      <c r="Q42" s="19">
        <v>0.28904305899360277</v>
      </c>
      <c r="R42" s="19">
        <v>0.1509144796610889</v>
      </c>
      <c r="S42" s="19">
        <v>4.2879178078935633E-2</v>
      </c>
      <c r="T42" s="20">
        <v>23</v>
      </c>
      <c r="U42" s="17">
        <v>2</v>
      </c>
      <c r="V42" s="17">
        <v>37</v>
      </c>
    </row>
    <row r="43" spans="1:22" x14ac:dyDescent="0.2">
      <c r="A43" t="s">
        <v>925</v>
      </c>
      <c r="B43" t="s">
        <v>851</v>
      </c>
      <c r="C43" t="s">
        <v>852</v>
      </c>
      <c r="D43" t="s">
        <v>919</v>
      </c>
      <c r="E43" s="10" t="s">
        <v>926</v>
      </c>
      <c r="F43" s="10"/>
      <c r="G43" s="10"/>
      <c r="H43" s="10" t="s">
        <v>926</v>
      </c>
      <c r="I43" s="14">
        <v>263708.99482446699</v>
      </c>
      <c r="J43" s="19">
        <v>3.0459361645392601E-2</v>
      </c>
      <c r="K43" s="19">
        <v>0.6953947192562564</v>
      </c>
      <c r="L43" s="19">
        <v>0.27414591909835101</v>
      </c>
      <c r="M43" s="20">
        <v>2</v>
      </c>
      <c r="N43" s="19">
        <v>0.33148195950397963</v>
      </c>
      <c r="O43" s="19">
        <v>0.20581816757857127</v>
      </c>
      <c r="P43" s="19">
        <v>0.15809459217370553</v>
      </c>
      <c r="Q43" s="19">
        <v>0.10234025766792769</v>
      </c>
      <c r="R43" s="19">
        <v>0.13443862148777641</v>
      </c>
      <c r="S43" s="19">
        <v>3.7367039942646924E-2</v>
      </c>
      <c r="T43" s="20">
        <v>23</v>
      </c>
      <c r="U43" s="17">
        <v>2</v>
      </c>
      <c r="V43" s="17">
        <v>37</v>
      </c>
    </row>
    <row r="44" spans="1:22" x14ac:dyDescent="0.2">
      <c r="A44" t="s">
        <v>927</v>
      </c>
      <c r="B44" t="s">
        <v>851</v>
      </c>
      <c r="C44" t="s">
        <v>852</v>
      </c>
      <c r="D44" t="s">
        <v>919</v>
      </c>
      <c r="E44" s="10" t="s">
        <v>928</v>
      </c>
      <c r="F44" s="10"/>
      <c r="G44" s="10"/>
      <c r="H44" s="10" t="s">
        <v>928</v>
      </c>
      <c r="I44" s="14">
        <v>197673.08757212386</v>
      </c>
      <c r="J44" s="19">
        <v>0.5442206014290708</v>
      </c>
      <c r="K44" s="19">
        <v>0.10685471948117189</v>
      </c>
      <c r="L44" s="19">
        <v>0.34892467908975733</v>
      </c>
      <c r="M44" s="20">
        <v>3</v>
      </c>
      <c r="N44" s="19">
        <v>0</v>
      </c>
      <c r="O44" s="19">
        <v>0</v>
      </c>
      <c r="P44" s="19">
        <v>0.10685471948117189</v>
      </c>
      <c r="Q44" s="19">
        <v>7.3466919838535649E-2</v>
      </c>
      <c r="R44" s="19">
        <v>0.2402353325595856</v>
      </c>
      <c r="S44" s="19">
        <v>3.5222426691636097E-2</v>
      </c>
      <c r="T44" s="20">
        <v>30</v>
      </c>
      <c r="U44" s="17">
        <v>2</v>
      </c>
      <c r="V44" s="17">
        <v>37</v>
      </c>
    </row>
    <row r="45" spans="1:22" x14ac:dyDescent="0.2">
      <c r="A45" t="s">
        <v>929</v>
      </c>
      <c r="B45" t="s">
        <v>851</v>
      </c>
      <c r="C45" t="s">
        <v>852</v>
      </c>
      <c r="D45" t="s">
        <v>919</v>
      </c>
      <c r="E45" s="10" t="s">
        <v>930</v>
      </c>
      <c r="F45" s="10"/>
      <c r="G45" s="10"/>
      <c r="H45" s="10" t="s">
        <v>930</v>
      </c>
      <c r="I45" s="14">
        <v>135155.7375021833</v>
      </c>
      <c r="J45" s="19">
        <v>0</v>
      </c>
      <c r="K45" s="19">
        <v>0.54182876095070909</v>
      </c>
      <c r="L45" s="19">
        <v>0.45817123904929097</v>
      </c>
      <c r="M45" s="20">
        <v>2</v>
      </c>
      <c r="N45" s="19">
        <v>0.33536158894634638</v>
      </c>
      <c r="O45" s="19">
        <v>4.9713193171286148E-2</v>
      </c>
      <c r="P45" s="19">
        <v>0.15675397883307648</v>
      </c>
      <c r="Q45" s="19">
        <v>7.9578782868464704E-2</v>
      </c>
      <c r="R45" s="19">
        <v>0.32962077568691511</v>
      </c>
      <c r="S45" s="19">
        <v>4.897168049391111E-2</v>
      </c>
      <c r="T45" s="20">
        <v>23</v>
      </c>
      <c r="U45" s="17">
        <v>2</v>
      </c>
      <c r="V45" s="17">
        <v>37</v>
      </c>
    </row>
    <row r="46" spans="1:22" x14ac:dyDescent="0.2">
      <c r="A46" t="s">
        <v>931</v>
      </c>
      <c r="B46" t="s">
        <v>851</v>
      </c>
      <c r="C46" t="s">
        <v>852</v>
      </c>
      <c r="D46" t="s">
        <v>919</v>
      </c>
      <c r="E46" s="10" t="s">
        <v>932</v>
      </c>
      <c r="F46" s="10"/>
      <c r="G46" s="10"/>
      <c r="H46" s="10" t="s">
        <v>932</v>
      </c>
      <c r="I46" s="14">
        <v>265465.04402471404</v>
      </c>
      <c r="J46" s="19">
        <v>0.94000706397972211</v>
      </c>
      <c r="K46" s="19">
        <v>5.0968814412766218E-2</v>
      </c>
      <c r="L46" s="19">
        <v>9.0241216075116325E-3</v>
      </c>
      <c r="M46" s="20">
        <v>3</v>
      </c>
      <c r="N46" s="19">
        <v>0</v>
      </c>
      <c r="O46" s="19">
        <v>0</v>
      </c>
      <c r="P46" s="19">
        <v>5.0968814412766218E-2</v>
      </c>
      <c r="Q46" s="19">
        <v>0</v>
      </c>
      <c r="R46" s="19">
        <v>8.5262605866849705E-3</v>
      </c>
      <c r="S46" s="19">
        <v>4.9786102082666173E-4</v>
      </c>
      <c r="T46" s="20">
        <v>30</v>
      </c>
      <c r="U46" s="17">
        <v>2</v>
      </c>
      <c r="V46" s="17">
        <v>37</v>
      </c>
    </row>
    <row r="47" spans="1:22" x14ac:dyDescent="0.2">
      <c r="A47" t="s">
        <v>933</v>
      </c>
      <c r="B47" t="s">
        <v>851</v>
      </c>
      <c r="C47" t="s">
        <v>852</v>
      </c>
      <c r="D47" t="s">
        <v>934</v>
      </c>
      <c r="E47" s="10" t="s">
        <v>935</v>
      </c>
      <c r="F47" s="10"/>
      <c r="G47" s="10"/>
      <c r="H47" s="10" t="s">
        <v>935</v>
      </c>
      <c r="I47" s="14">
        <v>473588.90021616616</v>
      </c>
      <c r="J47" s="19">
        <v>0.91552698282064315</v>
      </c>
      <c r="K47" s="19">
        <v>7.5472320584600586E-2</v>
      </c>
      <c r="L47" s="19">
        <v>9.0006965947562502E-3</v>
      </c>
      <c r="M47" s="20">
        <v>3</v>
      </c>
      <c r="N47" s="19">
        <v>4.81177213473186E-3</v>
      </c>
      <c r="O47" s="19">
        <v>0</v>
      </c>
      <c r="P47" s="19">
        <v>7.0660548449868729E-2</v>
      </c>
      <c r="Q47" s="19">
        <v>0</v>
      </c>
      <c r="R47" s="19">
        <v>8.9590292069210795E-3</v>
      </c>
      <c r="S47" s="19">
        <v>4.166738783517014E-5</v>
      </c>
      <c r="T47" s="20">
        <v>30</v>
      </c>
      <c r="U47" s="17">
        <v>2</v>
      </c>
      <c r="V47" s="17">
        <v>37</v>
      </c>
    </row>
    <row r="48" spans="1:22" x14ac:dyDescent="0.2">
      <c r="A48" t="s">
        <v>936</v>
      </c>
      <c r="B48" t="s">
        <v>851</v>
      </c>
      <c r="C48" t="s">
        <v>852</v>
      </c>
      <c r="D48" t="s">
        <v>934</v>
      </c>
      <c r="E48" s="10" t="s">
        <v>937</v>
      </c>
      <c r="F48" s="10"/>
      <c r="G48" s="10"/>
      <c r="H48" s="10" t="s">
        <v>937</v>
      </c>
      <c r="I48" s="14">
        <v>726316.33504580706</v>
      </c>
      <c r="J48" s="19">
        <v>0.8113246428703681</v>
      </c>
      <c r="K48" s="19">
        <v>0.17775459197142424</v>
      </c>
      <c r="L48" s="19">
        <v>1.0920765158207639E-2</v>
      </c>
      <c r="M48" s="20">
        <v>3</v>
      </c>
      <c r="N48" s="19">
        <v>4.2912507111947724E-2</v>
      </c>
      <c r="O48" s="19">
        <v>0</v>
      </c>
      <c r="P48" s="19">
        <v>0.13484208485947649</v>
      </c>
      <c r="Q48" s="19">
        <v>4.9866757900372738E-3</v>
      </c>
      <c r="R48" s="19">
        <v>5.6991913023949035E-3</v>
      </c>
      <c r="S48" s="19">
        <v>2.3489806577546096E-4</v>
      </c>
      <c r="T48" s="20">
        <v>30</v>
      </c>
      <c r="U48" s="17">
        <v>2</v>
      </c>
      <c r="V48" s="17">
        <v>37</v>
      </c>
    </row>
    <row r="49" spans="1:22" x14ac:dyDescent="0.2">
      <c r="A49" t="s">
        <v>938</v>
      </c>
      <c r="B49" t="s">
        <v>851</v>
      </c>
      <c r="C49" t="s">
        <v>852</v>
      </c>
      <c r="D49" t="s">
        <v>934</v>
      </c>
      <c r="E49" s="10" t="s">
        <v>939</v>
      </c>
      <c r="F49" s="10"/>
      <c r="G49" s="10"/>
      <c r="H49" s="10" t="s">
        <v>939</v>
      </c>
      <c r="I49" s="14">
        <v>2199317.9075205568</v>
      </c>
      <c r="J49" s="19">
        <v>1</v>
      </c>
      <c r="K49" s="19">
        <v>0</v>
      </c>
      <c r="L49" s="19">
        <v>0</v>
      </c>
      <c r="M49" s="20">
        <v>3</v>
      </c>
      <c r="N49" s="19">
        <v>0</v>
      </c>
      <c r="O49" s="19">
        <v>0</v>
      </c>
      <c r="P49" s="19">
        <v>0</v>
      </c>
      <c r="Q49" s="19">
        <v>0</v>
      </c>
      <c r="R49" s="19">
        <v>0</v>
      </c>
      <c r="S49" s="19">
        <v>0</v>
      </c>
      <c r="T49" s="20">
        <v>30</v>
      </c>
      <c r="U49" s="17">
        <v>2</v>
      </c>
      <c r="V49" s="17">
        <v>37</v>
      </c>
    </row>
    <row r="50" spans="1:22" x14ac:dyDescent="0.2">
      <c r="A50" t="s">
        <v>940</v>
      </c>
      <c r="B50" t="s">
        <v>851</v>
      </c>
      <c r="C50" t="s">
        <v>852</v>
      </c>
      <c r="D50" t="s">
        <v>934</v>
      </c>
      <c r="E50" s="10" t="s">
        <v>941</v>
      </c>
      <c r="F50" s="10"/>
      <c r="G50" s="10"/>
      <c r="H50" s="10" t="s">
        <v>941</v>
      </c>
      <c r="I50" s="14">
        <v>1492976.5776790467</v>
      </c>
      <c r="J50" s="19">
        <v>0.20977636184807069</v>
      </c>
      <c r="K50" s="19">
        <v>0.63785540318567546</v>
      </c>
      <c r="L50" s="19">
        <v>0.15236823496625396</v>
      </c>
      <c r="M50" s="20">
        <v>2</v>
      </c>
      <c r="N50" s="19">
        <v>0.16232383718721824</v>
      </c>
      <c r="O50" s="19">
        <v>4.984687486438185E-2</v>
      </c>
      <c r="P50" s="19">
        <v>0.42568469113407542</v>
      </c>
      <c r="Q50" s="19">
        <v>6.10903744545176E-2</v>
      </c>
      <c r="R50" s="19">
        <v>8.5530876829645941E-2</v>
      </c>
      <c r="S50" s="19">
        <v>5.7469836820904221E-3</v>
      </c>
      <c r="T50" s="20">
        <v>23</v>
      </c>
      <c r="U50" s="17">
        <v>2</v>
      </c>
      <c r="V50" s="17">
        <v>37</v>
      </c>
    </row>
    <row r="51" spans="1:22" x14ac:dyDescent="0.2">
      <c r="A51" t="s">
        <v>942</v>
      </c>
      <c r="B51" t="s">
        <v>851</v>
      </c>
      <c r="C51" t="s">
        <v>852</v>
      </c>
      <c r="D51" t="s">
        <v>934</v>
      </c>
      <c r="E51" s="10" t="s">
        <v>943</v>
      </c>
      <c r="F51" s="10"/>
      <c r="G51" s="10"/>
      <c r="H51" s="10" t="s">
        <v>943</v>
      </c>
      <c r="I51" s="14">
        <v>1347001.6795943184</v>
      </c>
      <c r="J51" s="19">
        <v>0.33942887439109587</v>
      </c>
      <c r="K51" s="19">
        <v>0.57263884370419638</v>
      </c>
      <c r="L51" s="19">
        <v>8.7932281904707685E-2</v>
      </c>
      <c r="M51" s="20">
        <v>2</v>
      </c>
      <c r="N51" s="19">
        <v>0.11366165033197777</v>
      </c>
      <c r="O51" s="19">
        <v>9.7533568773369127E-3</v>
      </c>
      <c r="P51" s="19">
        <v>0.44922383649488173</v>
      </c>
      <c r="Q51" s="19">
        <v>2.4928868536233394E-2</v>
      </c>
      <c r="R51" s="19">
        <v>5.8657799607897937E-2</v>
      </c>
      <c r="S51" s="19">
        <v>4.3456137605763466E-3</v>
      </c>
      <c r="T51" s="20">
        <v>23</v>
      </c>
      <c r="U51" s="17">
        <v>2</v>
      </c>
      <c r="V51" s="17">
        <v>37</v>
      </c>
    </row>
    <row r="52" spans="1:22" x14ac:dyDescent="0.2">
      <c r="A52" t="s">
        <v>944</v>
      </c>
      <c r="B52" t="s">
        <v>851</v>
      </c>
      <c r="C52" t="s">
        <v>852</v>
      </c>
      <c r="D52" t="s">
        <v>934</v>
      </c>
      <c r="E52" s="10" t="s">
        <v>945</v>
      </c>
      <c r="F52" s="10"/>
      <c r="G52" s="10"/>
      <c r="H52" s="10" t="s">
        <v>945</v>
      </c>
      <c r="I52" s="14">
        <v>1612045.5444310876</v>
      </c>
      <c r="J52" s="19">
        <v>0.49507628049989966</v>
      </c>
      <c r="K52" s="19">
        <v>0.47973466235982526</v>
      </c>
      <c r="L52" s="19">
        <v>2.5189057140275101E-2</v>
      </c>
      <c r="M52" s="20">
        <v>2</v>
      </c>
      <c r="N52" s="19">
        <v>0.11643361956323704</v>
      </c>
      <c r="O52" s="19">
        <v>0</v>
      </c>
      <c r="P52" s="19">
        <v>0.3633010427965882</v>
      </c>
      <c r="Q52" s="19">
        <v>4.6973814736636314E-3</v>
      </c>
      <c r="R52" s="19">
        <v>1.9379256205076977E-2</v>
      </c>
      <c r="S52" s="19">
        <v>1.1124194615344922E-3</v>
      </c>
      <c r="T52" s="20">
        <v>23</v>
      </c>
      <c r="U52" s="17">
        <v>2</v>
      </c>
      <c r="V52" s="17">
        <v>37</v>
      </c>
    </row>
    <row r="53" spans="1:22" x14ac:dyDescent="0.2">
      <c r="A53" t="s">
        <v>946</v>
      </c>
      <c r="B53" t="s">
        <v>851</v>
      </c>
      <c r="C53" t="s">
        <v>852</v>
      </c>
      <c r="D53" t="s">
        <v>934</v>
      </c>
      <c r="E53" s="10" t="s">
        <v>947</v>
      </c>
      <c r="F53" s="10"/>
      <c r="G53" s="10"/>
      <c r="H53" s="10" t="s">
        <v>947</v>
      </c>
      <c r="I53" s="14">
        <v>3966173.7293018587</v>
      </c>
      <c r="J53" s="19">
        <v>0.89634381128177465</v>
      </c>
      <c r="K53" s="19">
        <v>0.10196961071648108</v>
      </c>
      <c r="L53" s="19">
        <v>1.6865780017442196E-3</v>
      </c>
      <c r="M53" s="20">
        <v>3</v>
      </c>
      <c r="N53" s="19">
        <v>3.5131541627206754E-2</v>
      </c>
      <c r="O53" s="19">
        <v>0</v>
      </c>
      <c r="P53" s="19">
        <v>6.6838069089274324E-2</v>
      </c>
      <c r="Q53" s="19">
        <v>0</v>
      </c>
      <c r="R53" s="19">
        <v>1.5926241513442058E-3</v>
      </c>
      <c r="S53" s="19">
        <v>9.3953850400013795E-5</v>
      </c>
      <c r="T53" s="20">
        <v>30</v>
      </c>
      <c r="U53" s="17">
        <v>2</v>
      </c>
      <c r="V53" s="17">
        <v>37</v>
      </c>
    </row>
    <row r="54" spans="1:22" x14ac:dyDescent="0.2">
      <c r="A54" t="s">
        <v>948</v>
      </c>
      <c r="B54" t="s">
        <v>851</v>
      </c>
      <c r="C54" t="s">
        <v>852</v>
      </c>
      <c r="D54" t="s">
        <v>934</v>
      </c>
      <c r="E54" s="10" t="s">
        <v>949</v>
      </c>
      <c r="F54" s="10"/>
      <c r="G54" s="10"/>
      <c r="H54" s="10" t="s">
        <v>949</v>
      </c>
      <c r="I54" s="14">
        <v>1662528.4026647266</v>
      </c>
      <c r="J54" s="19">
        <v>1</v>
      </c>
      <c r="K54" s="19">
        <v>0</v>
      </c>
      <c r="L54" s="19">
        <v>0</v>
      </c>
      <c r="M54" s="20">
        <v>3</v>
      </c>
      <c r="N54" s="19">
        <v>0</v>
      </c>
      <c r="O54" s="19">
        <v>0</v>
      </c>
      <c r="P54" s="19">
        <v>0</v>
      </c>
      <c r="Q54" s="19">
        <v>0</v>
      </c>
      <c r="R54" s="19">
        <v>0</v>
      </c>
      <c r="S54" s="19">
        <v>0</v>
      </c>
      <c r="T54" s="20">
        <v>30</v>
      </c>
      <c r="U54" s="17">
        <v>2</v>
      </c>
      <c r="V54" s="17">
        <v>37</v>
      </c>
    </row>
    <row r="55" spans="1:22" x14ac:dyDescent="0.2">
      <c r="A55" t="s">
        <v>950</v>
      </c>
      <c r="B55" t="s">
        <v>851</v>
      </c>
      <c r="C55" t="s">
        <v>852</v>
      </c>
      <c r="D55" t="s">
        <v>951</v>
      </c>
      <c r="E55" s="10" t="s">
        <v>951</v>
      </c>
      <c r="F55" s="10"/>
      <c r="G55" s="10"/>
      <c r="H55" s="10" t="s">
        <v>951</v>
      </c>
      <c r="I55" s="14">
        <v>421049.02901326871</v>
      </c>
      <c r="J55" s="19">
        <v>0.88552573288281744</v>
      </c>
      <c r="K55" s="19">
        <v>0.10390293793174332</v>
      </c>
      <c r="L55" s="19">
        <v>1.0571329185439116E-2</v>
      </c>
      <c r="M55" s="20">
        <v>3</v>
      </c>
      <c r="N55" s="19">
        <v>5.3100801228676768E-2</v>
      </c>
      <c r="O55" s="19">
        <v>0</v>
      </c>
      <c r="P55" s="19">
        <v>5.0802136703066554E-2</v>
      </c>
      <c r="Q55" s="19">
        <v>2.4237962298242371E-3</v>
      </c>
      <c r="R55" s="19">
        <v>6.960338718247844E-3</v>
      </c>
      <c r="S55" s="19">
        <v>1.1871942373670333E-3</v>
      </c>
      <c r="T55" s="20">
        <v>30</v>
      </c>
      <c r="U55" s="17">
        <v>2</v>
      </c>
      <c r="V55" s="17">
        <v>37</v>
      </c>
    </row>
    <row r="56" spans="1:22" x14ac:dyDescent="0.2">
      <c r="A56" t="s">
        <v>952</v>
      </c>
      <c r="B56" t="s">
        <v>851</v>
      </c>
      <c r="C56" t="s">
        <v>852</v>
      </c>
      <c r="D56" t="s">
        <v>951</v>
      </c>
      <c r="E56" s="10" t="s">
        <v>953</v>
      </c>
      <c r="F56" s="10"/>
      <c r="G56" s="10"/>
      <c r="H56" s="10" t="s">
        <v>953</v>
      </c>
      <c r="I56" s="14">
        <v>152751.84303649561</v>
      </c>
      <c r="J56" s="19">
        <v>0.5191806020439047</v>
      </c>
      <c r="K56" s="19">
        <v>0.19682470110934219</v>
      </c>
      <c r="L56" s="19">
        <v>0.2839946968467531</v>
      </c>
      <c r="M56" s="20">
        <v>3</v>
      </c>
      <c r="N56" s="19">
        <v>0</v>
      </c>
      <c r="O56" s="19">
        <v>0.12328665921780232</v>
      </c>
      <c r="P56" s="19">
        <v>7.3538041891539854E-2</v>
      </c>
      <c r="Q56" s="19">
        <v>0.13717565582275121</v>
      </c>
      <c r="R56" s="19">
        <v>0.13240808307989943</v>
      </c>
      <c r="S56" s="19">
        <v>1.4410957944102456E-2</v>
      </c>
      <c r="T56" s="20">
        <v>30</v>
      </c>
      <c r="U56" s="17">
        <v>2</v>
      </c>
      <c r="V56" s="17">
        <v>37</v>
      </c>
    </row>
    <row r="57" spans="1:22" x14ac:dyDescent="0.2">
      <c r="A57" t="s">
        <v>954</v>
      </c>
      <c r="B57" t="s">
        <v>851</v>
      </c>
      <c r="C57" t="s">
        <v>852</v>
      </c>
      <c r="D57" t="s">
        <v>951</v>
      </c>
      <c r="E57" s="10" t="s">
        <v>955</v>
      </c>
      <c r="F57" s="10"/>
      <c r="G57" s="10"/>
      <c r="H57" s="10" t="s">
        <v>955</v>
      </c>
      <c r="I57" s="14">
        <v>93895.318767162971</v>
      </c>
      <c r="J57" s="19">
        <v>0</v>
      </c>
      <c r="K57" s="19">
        <v>0.43255769012298445</v>
      </c>
      <c r="L57" s="19">
        <v>0.56744230987701549</v>
      </c>
      <c r="M57" s="20">
        <v>1</v>
      </c>
      <c r="N57" s="19">
        <v>1.4704995841130093E-2</v>
      </c>
      <c r="O57" s="19">
        <v>0.1500129068835305</v>
      </c>
      <c r="P57" s="19">
        <v>0.26783978739832387</v>
      </c>
      <c r="Q57" s="19">
        <v>0.27003824236214324</v>
      </c>
      <c r="R57" s="19">
        <v>0.2646353543339669</v>
      </c>
      <c r="S57" s="19">
        <v>3.2768713180905386E-2</v>
      </c>
      <c r="T57" s="20">
        <v>13</v>
      </c>
      <c r="U57" s="17">
        <v>2</v>
      </c>
      <c r="V57" s="17">
        <v>37</v>
      </c>
    </row>
    <row r="58" spans="1:22" x14ac:dyDescent="0.2">
      <c r="A58" t="s">
        <v>956</v>
      </c>
      <c r="B58" t="s">
        <v>851</v>
      </c>
      <c r="C58" t="s">
        <v>852</v>
      </c>
      <c r="D58" t="s">
        <v>951</v>
      </c>
      <c r="E58" s="10" t="s">
        <v>957</v>
      </c>
      <c r="F58" s="10"/>
      <c r="G58" s="10"/>
      <c r="H58" s="10" t="s">
        <v>957</v>
      </c>
      <c r="I58" s="14">
        <v>268555.44560348615</v>
      </c>
      <c r="J58" s="19">
        <v>0.19734662194251815</v>
      </c>
      <c r="K58" s="19">
        <v>0.21233635335063877</v>
      </c>
      <c r="L58" s="19">
        <v>0.59031702470684311</v>
      </c>
      <c r="M58" s="20">
        <v>1</v>
      </c>
      <c r="N58" s="19">
        <v>2.8884406320866439E-2</v>
      </c>
      <c r="O58" s="19">
        <v>0.11621024791035016</v>
      </c>
      <c r="P58" s="19">
        <v>6.7241699119422155E-2</v>
      </c>
      <c r="Q58" s="19">
        <v>0.24673366410361083</v>
      </c>
      <c r="R58" s="19">
        <v>0.30669992535870999</v>
      </c>
      <c r="S58" s="19">
        <v>3.6883435244522221E-2</v>
      </c>
      <c r="T58" s="20">
        <v>12</v>
      </c>
      <c r="U58" s="17">
        <v>2</v>
      </c>
      <c r="V58" s="17">
        <v>37</v>
      </c>
    </row>
    <row r="59" spans="1:22" x14ac:dyDescent="0.2">
      <c r="A59" t="s">
        <v>958</v>
      </c>
      <c r="B59" t="s">
        <v>851</v>
      </c>
      <c r="C59" t="s">
        <v>852</v>
      </c>
      <c r="D59" t="s">
        <v>951</v>
      </c>
      <c r="E59" s="10" t="s">
        <v>959</v>
      </c>
      <c r="F59" s="10"/>
      <c r="G59" s="10"/>
      <c r="H59" s="10" t="s">
        <v>959</v>
      </c>
      <c r="I59" s="14">
        <v>114196.31398043176</v>
      </c>
      <c r="J59" s="19">
        <v>0</v>
      </c>
      <c r="K59" s="19">
        <v>0.44972544565583739</v>
      </c>
      <c r="L59" s="19">
        <v>0.5502745543441625</v>
      </c>
      <c r="M59" s="20">
        <v>1</v>
      </c>
      <c r="N59" s="19">
        <v>0.188648098329631</v>
      </c>
      <c r="O59" s="19">
        <v>0.17962390370111553</v>
      </c>
      <c r="P59" s="19">
        <v>8.1453443625090854E-2</v>
      </c>
      <c r="Q59" s="19">
        <v>0.23943248120708288</v>
      </c>
      <c r="R59" s="19">
        <v>0.25612567124253588</v>
      </c>
      <c r="S59" s="19">
        <v>5.4716401894543826E-2</v>
      </c>
      <c r="T59" s="20">
        <v>12</v>
      </c>
      <c r="U59" s="17">
        <v>2</v>
      </c>
      <c r="V59" s="17">
        <v>37</v>
      </c>
    </row>
    <row r="60" spans="1:22" x14ac:dyDescent="0.2">
      <c r="A60" t="s">
        <v>960</v>
      </c>
      <c r="B60" t="s">
        <v>851</v>
      </c>
      <c r="C60" t="s">
        <v>852</v>
      </c>
      <c r="D60" t="s">
        <v>951</v>
      </c>
      <c r="E60" s="10" t="s">
        <v>961</v>
      </c>
      <c r="F60" s="10"/>
      <c r="G60" s="10"/>
      <c r="H60" s="10" t="s">
        <v>961</v>
      </c>
      <c r="I60" s="14">
        <v>134636.79100111313</v>
      </c>
      <c r="J60" s="19">
        <v>0.5233996843159664</v>
      </c>
      <c r="K60" s="19">
        <v>0.24137218692212276</v>
      </c>
      <c r="L60" s="19">
        <v>0.23522812876191079</v>
      </c>
      <c r="M60" s="20">
        <v>3</v>
      </c>
      <c r="N60" s="19">
        <v>0</v>
      </c>
      <c r="O60" s="19">
        <v>3.7874564665808658E-2</v>
      </c>
      <c r="P60" s="19">
        <v>0.2034976222563141</v>
      </c>
      <c r="Q60" s="19">
        <v>0.10654526128981627</v>
      </c>
      <c r="R60" s="19">
        <v>0.10577977481215006</v>
      </c>
      <c r="S60" s="19">
        <v>2.290309265994445E-2</v>
      </c>
      <c r="T60" s="20">
        <v>30</v>
      </c>
      <c r="U60" s="17">
        <v>2</v>
      </c>
      <c r="V60" s="17">
        <v>37</v>
      </c>
    </row>
    <row r="61" spans="1:22" x14ac:dyDescent="0.2">
      <c r="A61" t="s">
        <v>962</v>
      </c>
      <c r="B61" t="s">
        <v>851</v>
      </c>
      <c r="C61" t="s">
        <v>852</v>
      </c>
      <c r="D61" t="s">
        <v>951</v>
      </c>
      <c r="E61" s="10" t="s">
        <v>963</v>
      </c>
      <c r="F61" s="10"/>
      <c r="G61" s="10"/>
      <c r="H61" s="10" t="s">
        <v>963</v>
      </c>
      <c r="I61" s="14">
        <v>102591.26835372671</v>
      </c>
      <c r="J61" s="19">
        <v>0</v>
      </c>
      <c r="K61" s="19">
        <v>0.81589223471995309</v>
      </c>
      <c r="L61" s="19">
        <v>0.18410776528004696</v>
      </c>
      <c r="M61" s="20">
        <v>2</v>
      </c>
      <c r="N61" s="19">
        <v>0.31315172241456768</v>
      </c>
      <c r="O61" s="19">
        <v>0</v>
      </c>
      <c r="P61" s="19">
        <v>0.50274051230538541</v>
      </c>
      <c r="Q61" s="19">
        <v>6.7596506416950169E-2</v>
      </c>
      <c r="R61" s="19">
        <v>9.784411120146147E-2</v>
      </c>
      <c r="S61" s="19">
        <v>1.8667147661635318E-2</v>
      </c>
      <c r="T61" s="20">
        <v>21</v>
      </c>
      <c r="U61" s="17">
        <v>2</v>
      </c>
      <c r="V61" s="17">
        <v>37</v>
      </c>
    </row>
    <row r="62" spans="1:22" x14ac:dyDescent="0.2">
      <c r="A62" t="s">
        <v>964</v>
      </c>
      <c r="B62" t="s">
        <v>851</v>
      </c>
      <c r="C62" t="s">
        <v>852</v>
      </c>
      <c r="D62" t="s">
        <v>951</v>
      </c>
      <c r="E62" s="10" t="s">
        <v>965</v>
      </c>
      <c r="F62" s="10"/>
      <c r="G62" s="10"/>
      <c r="H62" s="10" t="s">
        <v>965</v>
      </c>
      <c r="I62" s="14">
        <v>169259.66383572947</v>
      </c>
      <c r="J62" s="19">
        <v>0</v>
      </c>
      <c r="K62" s="19">
        <v>0.33098291498090537</v>
      </c>
      <c r="L62" s="19">
        <v>0.66901708501909463</v>
      </c>
      <c r="M62" s="20">
        <v>1</v>
      </c>
      <c r="N62" s="19">
        <v>3.6350795552512319E-2</v>
      </c>
      <c r="O62" s="19">
        <v>0.25809886680399546</v>
      </c>
      <c r="P62" s="19">
        <v>3.6533252624397605E-2</v>
      </c>
      <c r="Q62" s="19">
        <v>0.28657549960268724</v>
      </c>
      <c r="R62" s="19">
        <v>0.34059371673677441</v>
      </c>
      <c r="S62" s="19">
        <v>4.1847868679632992E-2</v>
      </c>
      <c r="T62" s="20">
        <v>12</v>
      </c>
      <c r="U62" s="17">
        <v>2</v>
      </c>
      <c r="V62" s="17">
        <v>37</v>
      </c>
    </row>
    <row r="63" spans="1:22" x14ac:dyDescent="0.2">
      <c r="A63" t="s">
        <v>966</v>
      </c>
      <c r="B63" t="s">
        <v>851</v>
      </c>
      <c r="C63" t="s">
        <v>852</v>
      </c>
      <c r="D63" t="s">
        <v>951</v>
      </c>
      <c r="E63" s="10" t="s">
        <v>967</v>
      </c>
      <c r="F63" s="10"/>
      <c r="G63" s="10"/>
      <c r="H63" s="10" t="s">
        <v>967</v>
      </c>
      <c r="I63" s="14">
        <v>255501.59420253942</v>
      </c>
      <c r="J63" s="19">
        <v>0.56760959352575713</v>
      </c>
      <c r="K63" s="19">
        <v>0.18324913687623287</v>
      </c>
      <c r="L63" s="19">
        <v>0.24914126959801003</v>
      </c>
      <c r="M63" s="20">
        <v>3</v>
      </c>
      <c r="N63" s="19">
        <v>2.5122892364338206E-2</v>
      </c>
      <c r="O63" s="19">
        <v>2.4605411635426681E-2</v>
      </c>
      <c r="P63" s="19">
        <v>0.13352083287646799</v>
      </c>
      <c r="Q63" s="19">
        <v>0.13789629923350685</v>
      </c>
      <c r="R63" s="19">
        <v>9.5551022594295099E-2</v>
      </c>
      <c r="S63" s="19">
        <v>1.5693947770208074E-2</v>
      </c>
      <c r="T63" s="20">
        <v>30</v>
      </c>
      <c r="U63" s="17">
        <v>2</v>
      </c>
      <c r="V63" s="17">
        <v>37</v>
      </c>
    </row>
    <row r="64" spans="1:22" x14ac:dyDescent="0.2">
      <c r="A64" t="s">
        <v>968</v>
      </c>
      <c r="B64" t="s">
        <v>851</v>
      </c>
      <c r="C64" t="s">
        <v>852</v>
      </c>
      <c r="D64" t="s">
        <v>951</v>
      </c>
      <c r="E64" s="10" t="s">
        <v>969</v>
      </c>
      <c r="F64" s="10"/>
      <c r="G64" s="10"/>
      <c r="H64" s="10" t="s">
        <v>969</v>
      </c>
      <c r="I64" s="14">
        <v>172024.10300303553</v>
      </c>
      <c r="J64" s="19">
        <v>0</v>
      </c>
      <c r="K64" s="19">
        <v>0.56372671789460926</v>
      </c>
      <c r="L64" s="19">
        <v>0.43627328210539074</v>
      </c>
      <c r="M64" s="20">
        <v>2</v>
      </c>
      <c r="N64" s="19">
        <v>0.10889690442890403</v>
      </c>
      <c r="O64" s="19">
        <v>0.15614591752964344</v>
      </c>
      <c r="P64" s="19">
        <v>0.29868389593606176</v>
      </c>
      <c r="Q64" s="19">
        <v>0.17362534592540985</v>
      </c>
      <c r="R64" s="19">
        <v>0.23127495740751092</v>
      </c>
      <c r="S64" s="19">
        <v>3.1372978772470042E-2</v>
      </c>
      <c r="T64" s="20">
        <v>22</v>
      </c>
      <c r="U64" s="17">
        <v>2</v>
      </c>
      <c r="V64" s="17">
        <v>37</v>
      </c>
    </row>
    <row r="65" spans="1:22" x14ac:dyDescent="0.2">
      <c r="A65" t="s">
        <v>970</v>
      </c>
      <c r="B65" t="s">
        <v>851</v>
      </c>
      <c r="C65" t="s">
        <v>852</v>
      </c>
      <c r="D65" t="s">
        <v>971</v>
      </c>
      <c r="E65" s="10" t="s">
        <v>972</v>
      </c>
      <c r="F65" s="10"/>
      <c r="G65" s="10"/>
      <c r="H65" s="10" t="s">
        <v>972</v>
      </c>
      <c r="I65" s="14">
        <v>158148.00331026549</v>
      </c>
      <c r="J65" s="19">
        <v>0</v>
      </c>
      <c r="K65" s="19">
        <v>0.59720855967126596</v>
      </c>
      <c r="L65" s="19">
        <v>0.40279144032873421</v>
      </c>
      <c r="M65" s="20">
        <v>2</v>
      </c>
      <c r="N65" s="19">
        <v>0.23060050307905822</v>
      </c>
      <c r="O65" s="19">
        <v>0.27570988888423814</v>
      </c>
      <c r="P65" s="19">
        <v>9.0898167707969518E-2</v>
      </c>
      <c r="Q65" s="19">
        <v>0.17775645442417357</v>
      </c>
      <c r="R65" s="19">
        <v>0.18969495307635412</v>
      </c>
      <c r="S65" s="19">
        <v>3.5340032828206476E-2</v>
      </c>
      <c r="T65" s="20">
        <v>22</v>
      </c>
      <c r="U65" s="17">
        <v>2</v>
      </c>
      <c r="V65" s="17">
        <v>37</v>
      </c>
    </row>
    <row r="66" spans="1:22" x14ac:dyDescent="0.2">
      <c r="A66" t="s">
        <v>973</v>
      </c>
      <c r="B66" t="s">
        <v>851</v>
      </c>
      <c r="C66" t="s">
        <v>852</v>
      </c>
      <c r="D66" t="s">
        <v>971</v>
      </c>
      <c r="E66" s="10" t="s">
        <v>974</v>
      </c>
      <c r="F66" s="10"/>
      <c r="G66" s="10"/>
      <c r="H66" s="10" t="s">
        <v>974</v>
      </c>
      <c r="I66" s="14">
        <v>259199.52480455278</v>
      </c>
      <c r="J66" s="19">
        <v>0.42415052499871153</v>
      </c>
      <c r="K66" s="19">
        <v>0.51469143929293526</v>
      </c>
      <c r="L66" s="19">
        <v>6.1158035708353126E-2</v>
      </c>
      <c r="M66" s="20">
        <v>2</v>
      </c>
      <c r="N66" s="19">
        <v>0.11323563053884936</v>
      </c>
      <c r="O66" s="19">
        <v>2.461686645487034E-2</v>
      </c>
      <c r="P66" s="19">
        <v>0.37683894229921561</v>
      </c>
      <c r="Q66" s="19">
        <v>1.1195616454999474E-2</v>
      </c>
      <c r="R66" s="19">
        <v>4.3907015543268001E-2</v>
      </c>
      <c r="S66" s="19">
        <v>6.0554037100856543E-3</v>
      </c>
      <c r="T66" s="20">
        <v>23</v>
      </c>
      <c r="U66" s="17">
        <v>2</v>
      </c>
      <c r="V66" s="17">
        <v>37</v>
      </c>
    </row>
    <row r="67" spans="1:22" x14ac:dyDescent="0.2">
      <c r="A67" t="s">
        <v>975</v>
      </c>
      <c r="B67" t="s">
        <v>851</v>
      </c>
      <c r="C67" t="s">
        <v>852</v>
      </c>
      <c r="D67" t="s">
        <v>971</v>
      </c>
      <c r="E67" s="10" t="s">
        <v>976</v>
      </c>
      <c r="F67" s="10"/>
      <c r="G67" s="10"/>
      <c r="H67" s="10" t="s">
        <v>976</v>
      </c>
      <c r="I67" s="14">
        <v>82.352346666855738</v>
      </c>
      <c r="J67" s="19">
        <v>0</v>
      </c>
      <c r="K67" s="19">
        <v>0.8771476165059986</v>
      </c>
      <c r="L67" s="19">
        <v>0.12285238349400142</v>
      </c>
      <c r="M67" s="20">
        <v>2</v>
      </c>
      <c r="N67" s="19">
        <v>0</v>
      </c>
      <c r="O67" s="19">
        <v>0</v>
      </c>
      <c r="P67" s="19">
        <v>0.8771476165059986</v>
      </c>
      <c r="Q67" s="19">
        <v>0</v>
      </c>
      <c r="R67" s="19">
        <v>9.9368094089318196E-2</v>
      </c>
      <c r="S67" s="19">
        <v>2.348428940468323E-2</v>
      </c>
      <c r="T67" s="20">
        <v>21</v>
      </c>
      <c r="U67" s="17">
        <v>2</v>
      </c>
      <c r="V67" s="17">
        <v>37</v>
      </c>
    </row>
    <row r="68" spans="1:22" x14ac:dyDescent="0.2">
      <c r="A68" t="s">
        <v>977</v>
      </c>
      <c r="B68" t="s">
        <v>851</v>
      </c>
      <c r="C68" t="s">
        <v>852</v>
      </c>
      <c r="D68" t="s">
        <v>971</v>
      </c>
      <c r="E68" s="10" t="s">
        <v>971</v>
      </c>
      <c r="F68" s="10"/>
      <c r="G68" s="10"/>
      <c r="H68" s="10" t="s">
        <v>971</v>
      </c>
      <c r="I68" s="14">
        <v>213186.99567105621</v>
      </c>
      <c r="J68" s="19">
        <v>0.17104902086112467</v>
      </c>
      <c r="K68" s="19">
        <v>0.44894954978844226</v>
      </c>
      <c r="L68" s="19">
        <v>0.38000142935043307</v>
      </c>
      <c r="M68" s="20">
        <v>2</v>
      </c>
      <c r="N68" s="19">
        <v>0.12554340562182237</v>
      </c>
      <c r="O68" s="19">
        <v>0.13590985427271413</v>
      </c>
      <c r="P68" s="19">
        <v>0.18749628989390577</v>
      </c>
      <c r="Q68" s="19">
        <v>4.7903672818817855E-2</v>
      </c>
      <c r="R68" s="19">
        <v>0.29482112692557488</v>
      </c>
      <c r="S68" s="19">
        <v>3.7276629606040342E-2</v>
      </c>
      <c r="T68" s="20">
        <v>22</v>
      </c>
      <c r="U68" s="17">
        <v>2</v>
      </c>
      <c r="V68" s="17">
        <v>37</v>
      </c>
    </row>
    <row r="69" spans="1:22" x14ac:dyDescent="0.2">
      <c r="A69" t="s">
        <v>978</v>
      </c>
      <c r="B69" t="s">
        <v>851</v>
      </c>
      <c r="C69" t="s">
        <v>852</v>
      </c>
      <c r="D69" t="s">
        <v>971</v>
      </c>
      <c r="E69" s="10" t="s">
        <v>979</v>
      </c>
      <c r="F69" s="10"/>
      <c r="G69" s="10"/>
      <c r="H69" s="10" t="s">
        <v>979</v>
      </c>
      <c r="I69" s="14">
        <v>135028.53438502247</v>
      </c>
      <c r="J69" s="19">
        <v>0</v>
      </c>
      <c r="K69" s="19">
        <v>0.61005827740458385</v>
      </c>
      <c r="L69" s="19">
        <v>0.38994172259541621</v>
      </c>
      <c r="M69" s="20">
        <v>2</v>
      </c>
      <c r="N69" s="19">
        <v>3.8270543249890404E-2</v>
      </c>
      <c r="O69" s="19">
        <v>0.55355414432997074</v>
      </c>
      <c r="P69" s="19">
        <v>1.8233589824722694E-2</v>
      </c>
      <c r="Q69" s="19">
        <v>0.18665526650547415</v>
      </c>
      <c r="R69" s="19">
        <v>0.17661609113034324</v>
      </c>
      <c r="S69" s="19">
        <v>2.6670364959598809E-2</v>
      </c>
      <c r="T69" s="20">
        <v>22</v>
      </c>
      <c r="U69" s="17">
        <v>2</v>
      </c>
      <c r="V69" s="17">
        <v>37</v>
      </c>
    </row>
    <row r="70" spans="1:22" x14ac:dyDescent="0.2">
      <c r="A70" t="s">
        <v>980</v>
      </c>
      <c r="B70" t="s">
        <v>851</v>
      </c>
      <c r="C70" t="s">
        <v>852</v>
      </c>
      <c r="D70" t="s">
        <v>971</v>
      </c>
      <c r="E70" s="10" t="s">
        <v>981</v>
      </c>
      <c r="F70" s="10"/>
      <c r="G70" s="10"/>
      <c r="H70" s="10" t="s">
        <v>981</v>
      </c>
      <c r="I70" s="14">
        <v>337487.40546733444</v>
      </c>
      <c r="J70" s="19">
        <v>0.96681940702524871</v>
      </c>
      <c r="K70" s="19">
        <v>3.1672228856612306E-2</v>
      </c>
      <c r="L70" s="19">
        <v>1.5083641181389412E-3</v>
      </c>
      <c r="M70" s="20">
        <v>3</v>
      </c>
      <c r="N70" s="19">
        <v>0</v>
      </c>
      <c r="O70" s="19">
        <v>0</v>
      </c>
      <c r="P70" s="19">
        <v>3.1672228856612306E-2</v>
      </c>
      <c r="Q70" s="19">
        <v>0</v>
      </c>
      <c r="R70" s="19">
        <v>1.1806322587845858E-3</v>
      </c>
      <c r="S70" s="19">
        <v>3.2773185935435552E-4</v>
      </c>
      <c r="T70" s="20">
        <v>30</v>
      </c>
      <c r="U70" s="17">
        <v>2</v>
      </c>
      <c r="V70" s="17">
        <v>37</v>
      </c>
    </row>
    <row r="71" spans="1:22" x14ac:dyDescent="0.2">
      <c r="A71" t="s">
        <v>982</v>
      </c>
      <c r="B71" t="s">
        <v>851</v>
      </c>
      <c r="C71" t="s">
        <v>852</v>
      </c>
      <c r="D71" t="s">
        <v>971</v>
      </c>
      <c r="E71" s="10" t="s">
        <v>983</v>
      </c>
      <c r="F71" s="10"/>
      <c r="G71" s="10"/>
      <c r="H71" s="10" t="s">
        <v>983</v>
      </c>
      <c r="I71" s="14">
        <v>140767.42939569196</v>
      </c>
      <c r="J71" s="19">
        <v>0</v>
      </c>
      <c r="K71" s="19">
        <v>0.62663019745248294</v>
      </c>
      <c r="L71" s="19">
        <v>0.373369802547517</v>
      </c>
      <c r="M71" s="20">
        <v>2</v>
      </c>
      <c r="N71" s="19">
        <v>0.30868544359338534</v>
      </c>
      <c r="O71" s="19">
        <v>0.14280376147040233</v>
      </c>
      <c r="P71" s="19">
        <v>0.17514099238869532</v>
      </c>
      <c r="Q71" s="19">
        <v>0.10963035467324178</v>
      </c>
      <c r="R71" s="19">
        <v>0.23565748216808571</v>
      </c>
      <c r="S71" s="19">
        <v>2.8081965706189507E-2</v>
      </c>
      <c r="T71" s="20">
        <v>23</v>
      </c>
      <c r="U71" s="17">
        <v>2</v>
      </c>
      <c r="V71" s="17">
        <v>37</v>
      </c>
    </row>
    <row r="72" spans="1:22" x14ac:dyDescent="0.2">
      <c r="A72" t="s">
        <v>984</v>
      </c>
      <c r="B72" t="s">
        <v>851</v>
      </c>
      <c r="C72" t="s">
        <v>852</v>
      </c>
      <c r="D72" t="s">
        <v>985</v>
      </c>
      <c r="E72" s="10" t="s">
        <v>986</v>
      </c>
      <c r="F72" s="10"/>
      <c r="G72" s="10"/>
      <c r="H72" s="10" t="s">
        <v>986</v>
      </c>
      <c r="I72" s="14">
        <v>239588.25015764311</v>
      </c>
      <c r="J72" s="19">
        <v>0</v>
      </c>
      <c r="K72" s="19">
        <v>0.4615025457725192</v>
      </c>
      <c r="L72" s="19">
        <v>0.53849745422748074</v>
      </c>
      <c r="M72" s="20">
        <v>1</v>
      </c>
      <c r="N72" s="19">
        <v>0.16750360833900302</v>
      </c>
      <c r="O72" s="19">
        <v>0.21129986002407211</v>
      </c>
      <c r="P72" s="19">
        <v>8.2699077409444072E-2</v>
      </c>
      <c r="Q72" s="19">
        <v>0.25870354156758407</v>
      </c>
      <c r="R72" s="19">
        <v>0.23755830126064542</v>
      </c>
      <c r="S72" s="19">
        <v>4.2235611399251312E-2</v>
      </c>
      <c r="T72" s="20">
        <v>13</v>
      </c>
      <c r="U72" s="17">
        <v>2</v>
      </c>
      <c r="V72" s="17">
        <v>37</v>
      </c>
    </row>
    <row r="73" spans="1:22" x14ac:dyDescent="0.2">
      <c r="A73" t="s">
        <v>987</v>
      </c>
      <c r="B73" t="s">
        <v>851</v>
      </c>
      <c r="C73" t="s">
        <v>852</v>
      </c>
      <c r="D73" t="s">
        <v>985</v>
      </c>
      <c r="E73" s="10" t="s">
        <v>988</v>
      </c>
      <c r="F73" s="10"/>
      <c r="G73" s="10"/>
      <c r="H73" s="10" t="s">
        <v>988</v>
      </c>
      <c r="I73" s="14">
        <v>380250.44804527517</v>
      </c>
      <c r="J73" s="19">
        <v>0.4297244155767837</v>
      </c>
      <c r="K73" s="19">
        <v>0.225819320757251</v>
      </c>
      <c r="L73" s="19">
        <v>0.34445626366596538</v>
      </c>
      <c r="M73" s="20">
        <v>2</v>
      </c>
      <c r="N73" s="19">
        <v>3.3428833121005128E-2</v>
      </c>
      <c r="O73" s="19">
        <v>0.11491545733983327</v>
      </c>
      <c r="P73" s="19">
        <v>7.7475030296412575E-2</v>
      </c>
      <c r="Q73" s="19">
        <v>0.16730974115701061</v>
      </c>
      <c r="R73" s="19">
        <v>0.15556464504247361</v>
      </c>
      <c r="S73" s="19">
        <v>2.1581877466481096E-2</v>
      </c>
      <c r="T73" s="20">
        <v>22</v>
      </c>
      <c r="U73" s="17">
        <v>2</v>
      </c>
      <c r="V73" s="17">
        <v>37</v>
      </c>
    </row>
    <row r="74" spans="1:22" x14ac:dyDescent="0.2">
      <c r="A74" t="s">
        <v>989</v>
      </c>
      <c r="B74" t="s">
        <v>851</v>
      </c>
      <c r="C74" t="s">
        <v>852</v>
      </c>
      <c r="D74" t="s">
        <v>985</v>
      </c>
      <c r="E74" s="10" t="s">
        <v>985</v>
      </c>
      <c r="F74" s="10"/>
      <c r="G74" s="10"/>
      <c r="H74" s="10" t="s">
        <v>985</v>
      </c>
      <c r="I74" s="14">
        <v>847831.18916056096</v>
      </c>
      <c r="J74" s="19">
        <v>0.97496255170461177</v>
      </c>
      <c r="K74" s="19">
        <v>2.234758610441559E-2</v>
      </c>
      <c r="L74" s="19">
        <v>2.6898621909726781E-3</v>
      </c>
      <c r="M74" s="20">
        <v>3</v>
      </c>
      <c r="N74" s="19">
        <v>0</v>
      </c>
      <c r="O74" s="19">
        <v>0</v>
      </c>
      <c r="P74" s="19">
        <v>2.234758610441559E-2</v>
      </c>
      <c r="Q74" s="19">
        <v>0</v>
      </c>
      <c r="R74" s="19">
        <v>2.4862399368493966E-3</v>
      </c>
      <c r="S74" s="19">
        <v>2.0362225412328202E-4</v>
      </c>
      <c r="T74" s="20">
        <v>30</v>
      </c>
      <c r="U74" s="17">
        <v>2</v>
      </c>
      <c r="V74" s="17">
        <v>37</v>
      </c>
    </row>
    <row r="75" spans="1:22" x14ac:dyDescent="0.2">
      <c r="A75" t="s">
        <v>990</v>
      </c>
      <c r="B75" t="s">
        <v>851</v>
      </c>
      <c r="C75" t="s">
        <v>852</v>
      </c>
      <c r="D75" t="s">
        <v>985</v>
      </c>
      <c r="E75" s="10" t="s">
        <v>991</v>
      </c>
      <c r="F75" s="10"/>
      <c r="G75" s="10"/>
      <c r="H75" s="10" t="s">
        <v>991</v>
      </c>
      <c r="I75" s="14">
        <v>255525.71608948521</v>
      </c>
      <c r="J75" s="19">
        <v>0</v>
      </c>
      <c r="K75" s="19">
        <v>0.78350962232107202</v>
      </c>
      <c r="L75" s="19">
        <v>0.21649037767892801</v>
      </c>
      <c r="M75" s="20">
        <v>2</v>
      </c>
      <c r="N75" s="19">
        <v>0.36658956573507429</v>
      </c>
      <c r="O75" s="19">
        <v>2.129204858063987E-2</v>
      </c>
      <c r="P75" s="19">
        <v>0.39562800800535786</v>
      </c>
      <c r="Q75" s="19">
        <v>9.4256937679411873E-2</v>
      </c>
      <c r="R75" s="19">
        <v>0.10206622026015899</v>
      </c>
      <c r="S75" s="19">
        <v>2.0167219739357145E-2</v>
      </c>
      <c r="T75" s="20">
        <v>23</v>
      </c>
      <c r="U75" s="17">
        <v>2</v>
      </c>
      <c r="V75" s="17">
        <v>37</v>
      </c>
    </row>
    <row r="76" spans="1:22" x14ac:dyDescent="0.2">
      <c r="A76" t="s">
        <v>992</v>
      </c>
      <c r="B76" t="s">
        <v>851</v>
      </c>
      <c r="C76" t="s">
        <v>852</v>
      </c>
      <c r="D76" t="s">
        <v>985</v>
      </c>
      <c r="E76" s="10" t="s">
        <v>993</v>
      </c>
      <c r="F76" s="10"/>
      <c r="G76" s="10"/>
      <c r="H76" s="10" t="s">
        <v>993</v>
      </c>
      <c r="I76" s="14">
        <v>429971.00815412967</v>
      </c>
      <c r="J76" s="19">
        <v>0.27113786355921621</v>
      </c>
      <c r="K76" s="19">
        <v>0.27915642867595075</v>
      </c>
      <c r="L76" s="19">
        <v>0.44970570776483298</v>
      </c>
      <c r="M76" s="20">
        <v>2</v>
      </c>
      <c r="N76" s="19">
        <v>0.10078120009335155</v>
      </c>
      <c r="O76" s="19">
        <v>8.637453249462422E-2</v>
      </c>
      <c r="P76" s="19">
        <v>9.2000696087974954E-2</v>
      </c>
      <c r="Q76" s="19">
        <v>0.24661646778370669</v>
      </c>
      <c r="R76" s="19">
        <v>0.17457335533689805</v>
      </c>
      <c r="S76" s="19">
        <v>2.8515884644228228E-2</v>
      </c>
      <c r="T76" s="20">
        <v>23</v>
      </c>
      <c r="U76" s="17">
        <v>2</v>
      </c>
      <c r="V76" s="17">
        <v>37</v>
      </c>
    </row>
    <row r="77" spans="1:22" x14ac:dyDescent="0.2">
      <c r="A77" t="s">
        <v>994</v>
      </c>
      <c r="B77" t="s">
        <v>851</v>
      </c>
      <c r="C77" t="s">
        <v>852</v>
      </c>
      <c r="D77" t="s">
        <v>985</v>
      </c>
      <c r="E77" s="10" t="s">
        <v>995</v>
      </c>
      <c r="F77" s="10"/>
      <c r="G77" s="10"/>
      <c r="H77" s="10" t="s">
        <v>995</v>
      </c>
      <c r="I77" s="14">
        <v>284684.86010567582</v>
      </c>
      <c r="J77" s="19">
        <v>0.22540664067630084</v>
      </c>
      <c r="K77" s="19">
        <v>0.30406660276676145</v>
      </c>
      <c r="L77" s="19">
        <v>0.47052675655693788</v>
      </c>
      <c r="M77" s="20">
        <v>2</v>
      </c>
      <c r="N77" s="19">
        <v>2.6362739497198365E-2</v>
      </c>
      <c r="O77" s="19">
        <v>4.9344394048501092E-2</v>
      </c>
      <c r="P77" s="19">
        <v>0.22835946922106198</v>
      </c>
      <c r="Q77" s="19">
        <v>0.14802917250927566</v>
      </c>
      <c r="R77" s="19">
        <v>0.27351919012376102</v>
      </c>
      <c r="S77" s="19">
        <v>4.8978393923901201E-2</v>
      </c>
      <c r="T77" s="20">
        <v>22</v>
      </c>
      <c r="U77" s="17">
        <v>2</v>
      </c>
      <c r="V77" s="17">
        <v>37</v>
      </c>
    </row>
    <row r="78" spans="1:22" x14ac:dyDescent="0.2">
      <c r="A78" t="s">
        <v>996</v>
      </c>
      <c r="B78" t="s">
        <v>851</v>
      </c>
      <c r="C78" t="s">
        <v>852</v>
      </c>
      <c r="D78" t="s">
        <v>985</v>
      </c>
      <c r="E78" s="10" t="s">
        <v>997</v>
      </c>
      <c r="F78" s="10"/>
      <c r="G78" s="10"/>
      <c r="H78" s="10" t="s">
        <v>997</v>
      </c>
      <c r="I78" s="14">
        <v>288009.49784286227</v>
      </c>
      <c r="J78" s="19">
        <v>0.23862489146156562</v>
      </c>
      <c r="K78" s="19">
        <v>0.27008149315258961</v>
      </c>
      <c r="L78" s="19">
        <v>0.49129361538584476</v>
      </c>
      <c r="M78" s="20">
        <v>2</v>
      </c>
      <c r="N78" s="19">
        <v>2.3310858265961874E-2</v>
      </c>
      <c r="O78" s="19">
        <v>9.4638708852226083E-2</v>
      </c>
      <c r="P78" s="19">
        <v>0.15213192603440168</v>
      </c>
      <c r="Q78" s="19">
        <v>0.2591484722541057</v>
      </c>
      <c r="R78" s="19">
        <v>0.208274998829964</v>
      </c>
      <c r="S78" s="19">
        <v>2.3870144301775035E-2</v>
      </c>
      <c r="T78" s="20">
        <v>22</v>
      </c>
      <c r="U78" s="17">
        <v>2</v>
      </c>
      <c r="V78" s="17">
        <v>37</v>
      </c>
    </row>
    <row r="79" spans="1:22" x14ac:dyDescent="0.2">
      <c r="A79" t="s">
        <v>998</v>
      </c>
      <c r="B79" t="s">
        <v>851</v>
      </c>
      <c r="C79" t="s">
        <v>852</v>
      </c>
      <c r="D79" t="s">
        <v>985</v>
      </c>
      <c r="E79" s="10" t="s">
        <v>999</v>
      </c>
      <c r="F79" s="10"/>
      <c r="G79" s="10"/>
      <c r="H79" s="10" t="s">
        <v>999</v>
      </c>
      <c r="I79" s="14">
        <v>102762.29962098412</v>
      </c>
      <c r="J79" s="19">
        <v>0.52844534345882233</v>
      </c>
      <c r="K79" s="19">
        <v>0.4496692011743571</v>
      </c>
      <c r="L79" s="19">
        <v>2.1885455366820582E-2</v>
      </c>
      <c r="M79" s="20">
        <v>3</v>
      </c>
      <c r="N79" s="19">
        <v>0.30885474975737198</v>
      </c>
      <c r="O79" s="19">
        <v>0</v>
      </c>
      <c r="P79" s="19">
        <v>0.14081445141698512</v>
      </c>
      <c r="Q79" s="19">
        <v>0</v>
      </c>
      <c r="R79" s="19">
        <v>1.7433839268073775E-2</v>
      </c>
      <c r="S79" s="19">
        <v>4.4516160987468079E-3</v>
      </c>
      <c r="T79" s="20">
        <v>30</v>
      </c>
      <c r="U79" s="17">
        <v>2</v>
      </c>
      <c r="V79" s="17">
        <v>37</v>
      </c>
    </row>
    <row r="80" spans="1:22" x14ac:dyDescent="0.2">
      <c r="A80" t="s">
        <v>1000</v>
      </c>
      <c r="B80" t="s">
        <v>851</v>
      </c>
      <c r="C80" t="s">
        <v>852</v>
      </c>
      <c r="D80" t="s">
        <v>985</v>
      </c>
      <c r="E80" s="10" t="s">
        <v>1001</v>
      </c>
      <c r="F80" s="10"/>
      <c r="G80" s="10"/>
      <c r="H80" s="10" t="s">
        <v>1001</v>
      </c>
      <c r="I80" s="14">
        <v>338408.59274322726</v>
      </c>
      <c r="J80" s="19">
        <v>0.28546308219960426</v>
      </c>
      <c r="K80" s="19">
        <v>0.31831580544725191</v>
      </c>
      <c r="L80" s="19">
        <v>0.39622111235314383</v>
      </c>
      <c r="M80" s="20">
        <v>2</v>
      </c>
      <c r="N80" s="19">
        <v>0.1521769503354215</v>
      </c>
      <c r="O80" s="19">
        <v>4.8063528171030233E-2</v>
      </c>
      <c r="P80" s="19">
        <v>0.11807532694080018</v>
      </c>
      <c r="Q80" s="19">
        <v>0.15293745610104759</v>
      </c>
      <c r="R80" s="19">
        <v>0.20048546384892063</v>
      </c>
      <c r="S80" s="19">
        <v>4.2798192403175617E-2</v>
      </c>
      <c r="T80" s="20">
        <v>23</v>
      </c>
      <c r="U80" s="17">
        <v>2</v>
      </c>
      <c r="V80" s="17">
        <v>37</v>
      </c>
    </row>
    <row r="81" spans="1:22" x14ac:dyDescent="0.2">
      <c r="A81" t="s">
        <v>1002</v>
      </c>
      <c r="B81" t="s">
        <v>851</v>
      </c>
      <c r="C81" t="s">
        <v>852</v>
      </c>
      <c r="D81" t="s">
        <v>985</v>
      </c>
      <c r="E81" s="10" t="s">
        <v>1003</v>
      </c>
      <c r="F81" s="10"/>
      <c r="G81" s="10"/>
      <c r="H81" s="10" t="s">
        <v>1003</v>
      </c>
      <c r="I81" s="14">
        <v>239968.75211900333</v>
      </c>
      <c r="J81" s="19">
        <v>0</v>
      </c>
      <c r="K81" s="19">
        <v>0.40821812766657894</v>
      </c>
      <c r="L81" s="19">
        <v>0.59178187233342106</v>
      </c>
      <c r="M81" s="20">
        <v>1</v>
      </c>
      <c r="N81" s="19">
        <v>0.12930415134194245</v>
      </c>
      <c r="O81" s="19">
        <v>0.25980524611250644</v>
      </c>
      <c r="P81" s="19">
        <v>1.9108730212130009E-2</v>
      </c>
      <c r="Q81" s="19">
        <v>0.21817246990857406</v>
      </c>
      <c r="R81" s="19">
        <v>0.32337860628826792</v>
      </c>
      <c r="S81" s="19">
        <v>5.0230796136579103E-2</v>
      </c>
      <c r="T81" s="20">
        <v>12</v>
      </c>
      <c r="U81" s="17">
        <v>2</v>
      </c>
      <c r="V81" s="17">
        <v>37</v>
      </c>
    </row>
    <row r="82" spans="1:22" x14ac:dyDescent="0.2">
      <c r="A82" t="s">
        <v>1004</v>
      </c>
      <c r="B82" t="s">
        <v>851</v>
      </c>
      <c r="C82" t="s">
        <v>852</v>
      </c>
      <c r="D82" t="s">
        <v>985</v>
      </c>
      <c r="E82" s="10" t="s">
        <v>1005</v>
      </c>
      <c r="F82" s="10"/>
      <c r="G82" s="10"/>
      <c r="H82" s="10" t="s">
        <v>1005</v>
      </c>
      <c r="I82" s="14">
        <v>369424.28711929685</v>
      </c>
      <c r="J82" s="19">
        <v>0</v>
      </c>
      <c r="K82" s="19">
        <v>0.51279923192200272</v>
      </c>
      <c r="L82" s="19">
        <v>0.48720076807799723</v>
      </c>
      <c r="M82" s="20">
        <v>2</v>
      </c>
      <c r="N82" s="19">
        <v>0.141679295219797</v>
      </c>
      <c r="O82" s="19">
        <v>0.11580730951015586</v>
      </c>
      <c r="P82" s="19">
        <v>0.25531262719204989</v>
      </c>
      <c r="Q82" s="19">
        <v>0.17917799124494146</v>
      </c>
      <c r="R82" s="19">
        <v>0.26727261707400068</v>
      </c>
      <c r="S82" s="19">
        <v>4.0750159759055084E-2</v>
      </c>
      <c r="T82" s="20">
        <v>23</v>
      </c>
      <c r="U82" s="17">
        <v>2</v>
      </c>
      <c r="V82" s="17">
        <v>37</v>
      </c>
    </row>
    <row r="83" spans="1:22" x14ac:dyDescent="0.2">
      <c r="A83" t="s">
        <v>1006</v>
      </c>
      <c r="B83" t="s">
        <v>851</v>
      </c>
      <c r="C83" t="s">
        <v>852</v>
      </c>
      <c r="D83" t="s">
        <v>1007</v>
      </c>
      <c r="E83" s="10" t="s">
        <v>1008</v>
      </c>
      <c r="F83" s="10"/>
      <c r="G83" s="10"/>
      <c r="H83" s="10" t="s">
        <v>1008</v>
      </c>
      <c r="I83" s="14">
        <v>2831591.9966717935</v>
      </c>
      <c r="J83" s="19">
        <v>0.86363723262469572</v>
      </c>
      <c r="K83" s="19">
        <v>0.11699604680344997</v>
      </c>
      <c r="L83" s="19">
        <v>1.9366720571853947E-2</v>
      </c>
      <c r="M83" s="20">
        <v>3</v>
      </c>
      <c r="N83" s="19">
        <v>4.1792257266385212E-2</v>
      </c>
      <c r="O83" s="19">
        <v>0</v>
      </c>
      <c r="P83" s="19">
        <v>7.5203789537064747E-2</v>
      </c>
      <c r="Q83" s="19">
        <v>4.2028278931048758E-3</v>
      </c>
      <c r="R83" s="19">
        <v>1.3919855223494206E-2</v>
      </c>
      <c r="S83" s="19">
        <v>1.2440374552548624E-3</v>
      </c>
      <c r="T83" s="20">
        <v>30</v>
      </c>
      <c r="U83" s="17">
        <v>2</v>
      </c>
      <c r="V83" s="17">
        <v>37</v>
      </c>
    </row>
    <row r="84" spans="1:22" x14ac:dyDescent="0.2">
      <c r="A84" t="s">
        <v>1009</v>
      </c>
      <c r="B84" t="s">
        <v>851</v>
      </c>
      <c r="C84" t="s">
        <v>852</v>
      </c>
      <c r="D84" t="s">
        <v>1007</v>
      </c>
      <c r="E84" s="10" t="s">
        <v>1010</v>
      </c>
      <c r="F84" s="10"/>
      <c r="G84" s="10"/>
      <c r="H84" s="10" t="s">
        <v>1010</v>
      </c>
      <c r="I84" s="14">
        <v>1469486.7566529112</v>
      </c>
      <c r="J84" s="19">
        <v>0.75992029059319555</v>
      </c>
      <c r="K84" s="19">
        <v>0.19498541323003002</v>
      </c>
      <c r="L84" s="19">
        <v>4.5094296176774441E-2</v>
      </c>
      <c r="M84" s="20">
        <v>3</v>
      </c>
      <c r="N84" s="19">
        <v>5.4420309892849704E-2</v>
      </c>
      <c r="O84" s="19">
        <v>1.4291198586676152E-2</v>
      </c>
      <c r="P84" s="19">
        <v>0.12627390475050418</v>
      </c>
      <c r="Q84" s="19">
        <v>5.7402969094434509E-3</v>
      </c>
      <c r="R84" s="19">
        <v>3.7473837400338647E-2</v>
      </c>
      <c r="S84" s="19">
        <v>1.8801618669923427E-3</v>
      </c>
      <c r="T84" s="20">
        <v>30</v>
      </c>
      <c r="U84" s="17">
        <v>2</v>
      </c>
      <c r="V84" s="17">
        <v>37</v>
      </c>
    </row>
    <row r="85" spans="1:22" x14ac:dyDescent="0.2">
      <c r="A85" t="s">
        <v>1011</v>
      </c>
      <c r="B85" t="s">
        <v>851</v>
      </c>
      <c r="C85" t="s">
        <v>852</v>
      </c>
      <c r="D85" t="s">
        <v>1007</v>
      </c>
      <c r="E85" s="10" t="s">
        <v>1012</v>
      </c>
      <c r="F85" s="10"/>
      <c r="G85" s="10"/>
      <c r="H85" s="10" t="s">
        <v>1012</v>
      </c>
      <c r="I85" s="14">
        <v>217742.07186099255</v>
      </c>
      <c r="J85" s="19">
        <v>0.57126164157160075</v>
      </c>
      <c r="K85" s="19">
        <v>0.40596078640655348</v>
      </c>
      <c r="L85" s="19">
        <v>2.2777572021845893E-2</v>
      </c>
      <c r="M85" s="20">
        <v>3</v>
      </c>
      <c r="N85" s="19">
        <v>0.26865248688591503</v>
      </c>
      <c r="O85" s="19">
        <v>0</v>
      </c>
      <c r="P85" s="19">
        <v>0.13730829952063847</v>
      </c>
      <c r="Q85" s="19">
        <v>0</v>
      </c>
      <c r="R85" s="19">
        <v>2.1740803494173816E-2</v>
      </c>
      <c r="S85" s="19">
        <v>1.0367685276720768E-3</v>
      </c>
      <c r="T85" s="20">
        <v>30</v>
      </c>
      <c r="U85" s="17">
        <v>2</v>
      </c>
      <c r="V85" s="17">
        <v>37</v>
      </c>
    </row>
    <row r="86" spans="1:22" x14ac:dyDescent="0.2">
      <c r="A86" t="s">
        <v>1013</v>
      </c>
      <c r="B86" t="s">
        <v>851</v>
      </c>
      <c r="C86" t="s">
        <v>852</v>
      </c>
      <c r="D86" t="s">
        <v>1007</v>
      </c>
      <c r="E86" s="10" t="s">
        <v>1014</v>
      </c>
      <c r="F86" s="10"/>
      <c r="G86" s="10"/>
      <c r="H86" s="10" t="s">
        <v>1014</v>
      </c>
      <c r="I86" s="14">
        <v>3478524.7316245977</v>
      </c>
      <c r="J86" s="19">
        <v>0.88513521605932344</v>
      </c>
      <c r="K86" s="19">
        <v>0.10778739573497996</v>
      </c>
      <c r="L86" s="19">
        <v>7.0773882056966017E-3</v>
      </c>
      <c r="M86" s="20">
        <v>3</v>
      </c>
      <c r="N86" s="19">
        <v>2.2699193219962301E-2</v>
      </c>
      <c r="O86" s="19">
        <v>0</v>
      </c>
      <c r="P86" s="19">
        <v>8.5088202515017669E-2</v>
      </c>
      <c r="Q86" s="19">
        <v>0</v>
      </c>
      <c r="R86" s="19">
        <v>6.5927563466304665E-3</v>
      </c>
      <c r="S86" s="19">
        <v>4.8463185906613563E-4</v>
      </c>
      <c r="T86" s="20">
        <v>30</v>
      </c>
      <c r="U86" s="17">
        <v>2</v>
      </c>
      <c r="V86" s="17">
        <v>37</v>
      </c>
    </row>
    <row r="87" spans="1:22" x14ac:dyDescent="0.2">
      <c r="A87" t="s">
        <v>1015</v>
      </c>
      <c r="B87" t="s">
        <v>851</v>
      </c>
      <c r="C87" t="s">
        <v>852</v>
      </c>
      <c r="D87" t="s">
        <v>1007</v>
      </c>
      <c r="E87" s="10" t="s">
        <v>1016</v>
      </c>
      <c r="F87" s="10"/>
      <c r="G87" s="10"/>
      <c r="H87" s="10" t="s">
        <v>1016</v>
      </c>
      <c r="I87" s="14">
        <v>5778116.6453539571</v>
      </c>
      <c r="J87" s="19">
        <v>0.883173047789924</v>
      </c>
      <c r="K87" s="19">
        <v>9.7182283029112429E-2</v>
      </c>
      <c r="L87" s="19">
        <v>1.9644669180963369E-2</v>
      </c>
      <c r="M87" s="20">
        <v>3</v>
      </c>
      <c r="N87" s="19">
        <v>6.1994390972467412E-3</v>
      </c>
      <c r="O87" s="19">
        <v>3.5036502787064252E-3</v>
      </c>
      <c r="P87" s="19">
        <v>8.7479193653159273E-2</v>
      </c>
      <c r="Q87" s="19">
        <v>3.2872559297582628E-3</v>
      </c>
      <c r="R87" s="19">
        <v>1.5339801643991579E-2</v>
      </c>
      <c r="S87" s="19">
        <v>1.0176116072135308E-3</v>
      </c>
      <c r="T87" s="20">
        <v>30</v>
      </c>
      <c r="U87" s="17">
        <v>2</v>
      </c>
      <c r="V87" s="17">
        <v>37</v>
      </c>
    </row>
    <row r="88" spans="1:22" x14ac:dyDescent="0.2">
      <c r="A88" t="s">
        <v>1017</v>
      </c>
      <c r="B88" t="s">
        <v>851</v>
      </c>
      <c r="C88" t="s">
        <v>852</v>
      </c>
      <c r="D88" t="s">
        <v>1007</v>
      </c>
      <c r="E88" s="10" t="s">
        <v>1018</v>
      </c>
      <c r="F88" s="10"/>
      <c r="G88" s="10"/>
      <c r="H88" s="10" t="s">
        <v>1018</v>
      </c>
      <c r="I88" s="14">
        <v>1676458.330280571</v>
      </c>
      <c r="J88" s="19">
        <v>0.43519981136717689</v>
      </c>
      <c r="K88" s="19">
        <v>0.45731302573693267</v>
      </c>
      <c r="L88" s="19">
        <v>0.10748716289589048</v>
      </c>
      <c r="M88" s="20">
        <v>2</v>
      </c>
      <c r="N88" s="19">
        <v>0.13315497781833532</v>
      </c>
      <c r="O88" s="19">
        <v>1.2731143801045102E-2</v>
      </c>
      <c r="P88" s="19">
        <v>0.31142690411755219</v>
      </c>
      <c r="Q88" s="19">
        <v>2.276452026348744E-2</v>
      </c>
      <c r="R88" s="19">
        <v>7.8719980144430754E-2</v>
      </c>
      <c r="S88" s="19">
        <v>6.0026624879722813E-3</v>
      </c>
      <c r="T88" s="20">
        <v>23</v>
      </c>
      <c r="U88" s="17">
        <v>2</v>
      </c>
      <c r="V88" s="17">
        <v>37</v>
      </c>
    </row>
    <row r="89" spans="1:22" x14ac:dyDescent="0.2">
      <c r="A89" t="s">
        <v>1019</v>
      </c>
      <c r="B89" t="s">
        <v>851</v>
      </c>
      <c r="C89" t="s">
        <v>852</v>
      </c>
      <c r="D89" t="s">
        <v>1007</v>
      </c>
      <c r="E89" s="10" t="s">
        <v>1020</v>
      </c>
      <c r="F89" s="10"/>
      <c r="G89" s="10"/>
      <c r="H89" s="10" t="s">
        <v>1020</v>
      </c>
      <c r="I89" s="14">
        <v>2425936.8190041934</v>
      </c>
      <c r="J89" s="19">
        <v>0.55125576538326959</v>
      </c>
      <c r="K89" s="19">
        <v>0.35605930452613793</v>
      </c>
      <c r="L89" s="19">
        <v>9.2684930090592491E-2</v>
      </c>
      <c r="M89" s="20">
        <v>3</v>
      </c>
      <c r="N89" s="19">
        <v>4.4718207396952106E-2</v>
      </c>
      <c r="O89" s="19">
        <v>6.7170002738263013E-2</v>
      </c>
      <c r="P89" s="19">
        <v>0.24417109439092283</v>
      </c>
      <c r="Q89" s="19">
        <v>2.1443143709891702E-2</v>
      </c>
      <c r="R89" s="19">
        <v>6.7240883627696271E-2</v>
      </c>
      <c r="S89" s="19">
        <v>4.0009027530045144E-3</v>
      </c>
      <c r="T89" s="20">
        <v>30</v>
      </c>
      <c r="U89" s="17">
        <v>2</v>
      </c>
      <c r="V89" s="17">
        <v>37</v>
      </c>
    </row>
    <row r="90" spans="1:22" x14ac:dyDescent="0.2">
      <c r="A90" t="s">
        <v>1021</v>
      </c>
      <c r="B90" t="s">
        <v>851</v>
      </c>
      <c r="C90" t="s">
        <v>852</v>
      </c>
      <c r="D90" t="s">
        <v>1007</v>
      </c>
      <c r="E90" s="10" t="s">
        <v>1022</v>
      </c>
      <c r="F90" s="10"/>
      <c r="G90" s="10"/>
      <c r="H90" s="10" t="s">
        <v>1022</v>
      </c>
      <c r="I90" s="14">
        <v>631931.04751772247</v>
      </c>
      <c r="J90" s="19">
        <v>1</v>
      </c>
      <c r="K90" s="19">
        <v>0</v>
      </c>
      <c r="L90" s="19">
        <v>0</v>
      </c>
      <c r="M90" s="20">
        <v>3</v>
      </c>
      <c r="N90" s="19">
        <v>0</v>
      </c>
      <c r="O90" s="19">
        <v>0</v>
      </c>
      <c r="P90" s="19">
        <v>0</v>
      </c>
      <c r="Q90" s="19">
        <v>0</v>
      </c>
      <c r="R90" s="19">
        <v>0</v>
      </c>
      <c r="S90" s="19">
        <v>0</v>
      </c>
      <c r="T90" s="20">
        <v>30</v>
      </c>
      <c r="U90" s="17">
        <v>2</v>
      </c>
      <c r="V90" s="17">
        <v>37</v>
      </c>
    </row>
    <row r="91" spans="1:22" x14ac:dyDescent="0.2">
      <c r="A91" t="s">
        <v>1023</v>
      </c>
      <c r="B91" t="s">
        <v>851</v>
      </c>
      <c r="C91" t="s">
        <v>852</v>
      </c>
      <c r="D91" t="s">
        <v>1007</v>
      </c>
      <c r="E91" s="10" t="s">
        <v>1024</v>
      </c>
      <c r="F91" s="10"/>
      <c r="G91" s="10"/>
      <c r="H91" s="10" t="s">
        <v>1024</v>
      </c>
      <c r="I91" s="14">
        <v>2095980.8164775567</v>
      </c>
      <c r="J91" s="19">
        <v>0.76980742422519399</v>
      </c>
      <c r="K91" s="19">
        <v>0.21705353839573846</v>
      </c>
      <c r="L91" s="19">
        <v>1.3139037379067561E-2</v>
      </c>
      <c r="M91" s="20">
        <v>3</v>
      </c>
      <c r="N91" s="19">
        <v>0.11530828569592577</v>
      </c>
      <c r="O91" s="19">
        <v>0</v>
      </c>
      <c r="P91" s="19">
        <v>0.1017452526998127</v>
      </c>
      <c r="Q91" s="19">
        <v>4.4099031540287591E-3</v>
      </c>
      <c r="R91" s="19">
        <v>7.7585451259960378E-3</v>
      </c>
      <c r="S91" s="19">
        <v>9.7058909904276553E-4</v>
      </c>
      <c r="T91" s="20">
        <v>30</v>
      </c>
      <c r="U91" s="17">
        <v>2</v>
      </c>
      <c r="V91" s="17">
        <v>37</v>
      </c>
    </row>
    <row r="92" spans="1:22" x14ac:dyDescent="0.2">
      <c r="A92" t="s">
        <v>1025</v>
      </c>
      <c r="B92" t="s">
        <v>851</v>
      </c>
      <c r="C92" t="s">
        <v>852</v>
      </c>
      <c r="D92" t="s">
        <v>1007</v>
      </c>
      <c r="E92" s="10" t="s">
        <v>1026</v>
      </c>
      <c r="F92" s="10"/>
      <c r="G92" s="10"/>
      <c r="H92" s="10" t="s">
        <v>1026</v>
      </c>
      <c r="I92" s="14">
        <v>2663023.7043386176</v>
      </c>
      <c r="J92" s="19">
        <v>1</v>
      </c>
      <c r="K92" s="19">
        <v>0</v>
      </c>
      <c r="L92" s="19">
        <v>0</v>
      </c>
      <c r="M92" s="20">
        <v>3</v>
      </c>
      <c r="N92" s="19">
        <v>0</v>
      </c>
      <c r="O92" s="19">
        <v>0</v>
      </c>
      <c r="P92" s="19">
        <v>0</v>
      </c>
      <c r="Q92" s="19">
        <v>0</v>
      </c>
      <c r="R92" s="19">
        <v>0</v>
      </c>
      <c r="S92" s="19">
        <v>0</v>
      </c>
      <c r="T92" s="20">
        <v>30</v>
      </c>
      <c r="U92" s="17">
        <v>2</v>
      </c>
      <c r="V92" s="17">
        <v>37</v>
      </c>
    </row>
    <row r="93" spans="1:22" x14ac:dyDescent="0.2">
      <c r="A93" t="s">
        <v>1027</v>
      </c>
      <c r="B93" t="s">
        <v>851</v>
      </c>
      <c r="C93" t="s">
        <v>852</v>
      </c>
      <c r="D93" t="s">
        <v>1007</v>
      </c>
      <c r="E93" s="10" t="s">
        <v>1028</v>
      </c>
      <c r="F93" s="10"/>
      <c r="G93" s="10"/>
      <c r="H93" s="10" t="s">
        <v>1028</v>
      </c>
      <c r="I93" s="14">
        <v>2762628.1349705616</v>
      </c>
      <c r="J93" s="19">
        <v>0.73284046047709062</v>
      </c>
      <c r="K93" s="19">
        <v>0.21202257161364768</v>
      </c>
      <c r="L93" s="19">
        <v>5.5136967909261758E-2</v>
      </c>
      <c r="M93" s="20">
        <v>3</v>
      </c>
      <c r="N93" s="19">
        <v>5.6756034343222891E-2</v>
      </c>
      <c r="O93" s="19">
        <v>1.4574565797394174E-2</v>
      </c>
      <c r="P93" s="19">
        <v>0.14069197147303061</v>
      </c>
      <c r="Q93" s="19">
        <v>1.4397998164020858E-2</v>
      </c>
      <c r="R93" s="19">
        <v>3.7785961237483179E-2</v>
      </c>
      <c r="S93" s="19">
        <v>2.9530085077577256E-3</v>
      </c>
      <c r="T93" s="20">
        <v>30</v>
      </c>
      <c r="U93" s="17">
        <v>2</v>
      </c>
      <c r="V93" s="17">
        <v>37</v>
      </c>
    </row>
    <row r="94" spans="1:22" x14ac:dyDescent="0.2">
      <c r="A94" t="s">
        <v>1029</v>
      </c>
      <c r="B94" t="s">
        <v>851</v>
      </c>
      <c r="C94" t="s">
        <v>852</v>
      </c>
      <c r="D94" t="s">
        <v>1007</v>
      </c>
      <c r="E94" s="10" t="s">
        <v>1030</v>
      </c>
      <c r="F94" s="10"/>
      <c r="G94" s="10"/>
      <c r="H94" s="10" t="s">
        <v>1030</v>
      </c>
      <c r="I94" s="14">
        <v>1826285.0700811762</v>
      </c>
      <c r="J94" s="19">
        <v>0.35824827712923119</v>
      </c>
      <c r="K94" s="19">
        <v>0.59187306083339009</v>
      </c>
      <c r="L94" s="19">
        <v>4.9878662037378813E-2</v>
      </c>
      <c r="M94" s="20">
        <v>2</v>
      </c>
      <c r="N94" s="19">
        <v>0.35842657351392887</v>
      </c>
      <c r="O94" s="19">
        <v>4.3358589499914186E-3</v>
      </c>
      <c r="P94" s="19">
        <v>0.22911062836946974</v>
      </c>
      <c r="Q94" s="19">
        <v>1.5769329050431911E-2</v>
      </c>
      <c r="R94" s="19">
        <v>3.0658739990005273E-2</v>
      </c>
      <c r="S94" s="19">
        <v>3.4505929969416245E-3</v>
      </c>
      <c r="T94" s="20">
        <v>23</v>
      </c>
      <c r="U94" s="17">
        <v>2</v>
      </c>
      <c r="V94" s="17">
        <v>37</v>
      </c>
    </row>
    <row r="95" spans="1:22" x14ac:dyDescent="0.2">
      <c r="A95" t="s">
        <v>1031</v>
      </c>
      <c r="B95" t="s">
        <v>851</v>
      </c>
      <c r="C95" t="s">
        <v>852</v>
      </c>
      <c r="D95" t="s">
        <v>1007</v>
      </c>
      <c r="E95" s="10" t="s">
        <v>1032</v>
      </c>
      <c r="F95" s="10"/>
      <c r="G95" s="10"/>
      <c r="H95" s="10" t="s">
        <v>1032</v>
      </c>
      <c r="I95" s="14">
        <v>2493322.6246042848</v>
      </c>
      <c r="J95" s="19">
        <v>0.66893806083612628</v>
      </c>
      <c r="K95" s="19">
        <v>0.30338941259911817</v>
      </c>
      <c r="L95" s="19">
        <v>2.7672526564755672E-2</v>
      </c>
      <c r="M95" s="20">
        <v>3</v>
      </c>
      <c r="N95" s="19">
        <v>0.10440736006095289</v>
      </c>
      <c r="O95" s="19">
        <v>0</v>
      </c>
      <c r="P95" s="19">
        <v>0.19898205253816531</v>
      </c>
      <c r="Q95" s="19">
        <v>4.4547524805132049E-3</v>
      </c>
      <c r="R95" s="19">
        <v>2.1365518134136802E-2</v>
      </c>
      <c r="S95" s="19">
        <v>1.8522559501056679E-3</v>
      </c>
      <c r="T95" s="20">
        <v>30</v>
      </c>
      <c r="U95" s="17">
        <v>2</v>
      </c>
      <c r="V95" s="17">
        <v>37</v>
      </c>
    </row>
    <row r="96" spans="1:22" x14ac:dyDescent="0.2">
      <c r="A96" t="s">
        <v>1033</v>
      </c>
      <c r="B96" t="s">
        <v>851</v>
      </c>
      <c r="C96" t="s">
        <v>852</v>
      </c>
      <c r="D96" t="s">
        <v>1007</v>
      </c>
      <c r="E96" s="10" t="s">
        <v>1034</v>
      </c>
      <c r="F96" s="10"/>
      <c r="G96" s="10"/>
      <c r="H96" s="10" t="s">
        <v>1034</v>
      </c>
      <c r="I96" s="14">
        <v>3838571.9677128936</v>
      </c>
      <c r="J96" s="19">
        <v>0.99956972536493038</v>
      </c>
      <c r="K96" s="19">
        <v>4.3027463506956759E-4</v>
      </c>
      <c r="L96" s="19">
        <v>0</v>
      </c>
      <c r="M96" s="20">
        <v>3</v>
      </c>
      <c r="N96" s="19">
        <v>0</v>
      </c>
      <c r="O96" s="19">
        <v>0</v>
      </c>
      <c r="P96" s="19">
        <v>4.3027463506956759E-4</v>
      </c>
      <c r="Q96" s="19">
        <v>0</v>
      </c>
      <c r="R96" s="19">
        <v>0</v>
      </c>
      <c r="S96" s="19">
        <v>0</v>
      </c>
      <c r="T96" s="20">
        <v>30</v>
      </c>
      <c r="U96" s="17">
        <v>2</v>
      </c>
      <c r="V96" s="17">
        <v>37</v>
      </c>
    </row>
    <row r="97" spans="1:22" x14ac:dyDescent="0.2">
      <c r="A97" t="s">
        <v>1035</v>
      </c>
      <c r="B97" t="s">
        <v>851</v>
      </c>
      <c r="C97" t="s">
        <v>852</v>
      </c>
      <c r="D97" t="s">
        <v>1007</v>
      </c>
      <c r="E97" s="10" t="s">
        <v>1036</v>
      </c>
      <c r="F97" s="10"/>
      <c r="G97" s="10"/>
      <c r="H97" s="10" t="s">
        <v>1036</v>
      </c>
      <c r="I97" s="14">
        <v>3122087.9797136104</v>
      </c>
      <c r="J97" s="19">
        <v>1</v>
      </c>
      <c r="K97" s="19">
        <v>0</v>
      </c>
      <c r="L97" s="19">
        <v>0</v>
      </c>
      <c r="M97" s="20">
        <v>3</v>
      </c>
      <c r="N97" s="19">
        <v>0</v>
      </c>
      <c r="O97" s="19">
        <v>0</v>
      </c>
      <c r="P97" s="19">
        <v>0</v>
      </c>
      <c r="Q97" s="19">
        <v>0</v>
      </c>
      <c r="R97" s="19">
        <v>0</v>
      </c>
      <c r="S97" s="19">
        <v>0</v>
      </c>
      <c r="T97" s="20">
        <v>30</v>
      </c>
      <c r="U97" s="17">
        <v>2</v>
      </c>
      <c r="V97" s="17">
        <v>37</v>
      </c>
    </row>
    <row r="98" spans="1:22" x14ac:dyDescent="0.2">
      <c r="A98" t="s">
        <v>1037</v>
      </c>
      <c r="B98" t="s">
        <v>851</v>
      </c>
      <c r="C98" t="s">
        <v>852</v>
      </c>
      <c r="D98" t="s">
        <v>1007</v>
      </c>
      <c r="E98" s="10" t="s">
        <v>1038</v>
      </c>
      <c r="F98" s="10"/>
      <c r="G98" s="10"/>
      <c r="H98" s="10" t="s">
        <v>1038</v>
      </c>
      <c r="I98" s="14">
        <v>1182245.4607951066</v>
      </c>
      <c r="J98" s="19">
        <v>0.99899137570722552</v>
      </c>
      <c r="K98" s="19">
        <v>1.0086242927745083E-3</v>
      </c>
      <c r="L98" s="19">
        <v>0</v>
      </c>
      <c r="M98" s="20">
        <v>3</v>
      </c>
      <c r="N98" s="19">
        <v>0</v>
      </c>
      <c r="O98" s="19">
        <v>0</v>
      </c>
      <c r="P98" s="19">
        <v>1.0086242927745083E-3</v>
      </c>
      <c r="Q98" s="19">
        <v>0</v>
      </c>
      <c r="R98" s="19">
        <v>0</v>
      </c>
      <c r="S98" s="19">
        <v>0</v>
      </c>
      <c r="T98" s="20">
        <v>30</v>
      </c>
      <c r="U98" s="17">
        <v>2</v>
      </c>
      <c r="V98" s="17">
        <v>37</v>
      </c>
    </row>
    <row r="99" spans="1:22" x14ac:dyDescent="0.2">
      <c r="A99" t="s">
        <v>1039</v>
      </c>
      <c r="B99" t="s">
        <v>851</v>
      </c>
      <c r="C99" t="s">
        <v>852</v>
      </c>
      <c r="D99" t="s">
        <v>1007</v>
      </c>
      <c r="E99" s="10" t="s">
        <v>1040</v>
      </c>
      <c r="F99" s="10"/>
      <c r="G99" s="10"/>
      <c r="H99" s="10" t="s">
        <v>1040</v>
      </c>
      <c r="I99" s="14">
        <v>537462.69911027281</v>
      </c>
      <c r="J99" s="19">
        <v>0.99519880572335251</v>
      </c>
      <c r="K99" s="19">
        <v>4.2601120455176347E-3</v>
      </c>
      <c r="L99" s="19">
        <v>5.4108223112985963E-4</v>
      </c>
      <c r="M99" s="20">
        <v>3</v>
      </c>
      <c r="N99" s="19">
        <v>0</v>
      </c>
      <c r="O99" s="19">
        <v>0</v>
      </c>
      <c r="P99" s="19">
        <v>4.2601120455176347E-3</v>
      </c>
      <c r="Q99" s="19">
        <v>0</v>
      </c>
      <c r="R99" s="19">
        <v>5.4108223112985963E-4</v>
      </c>
      <c r="S99" s="19">
        <v>0</v>
      </c>
      <c r="T99" s="20">
        <v>30</v>
      </c>
      <c r="U99" s="17">
        <v>2</v>
      </c>
      <c r="V99" s="17">
        <v>37</v>
      </c>
    </row>
    <row r="100" spans="1:22" x14ac:dyDescent="0.2">
      <c r="A100" t="s">
        <v>1041</v>
      </c>
      <c r="B100" t="s">
        <v>851</v>
      </c>
      <c r="C100" t="s">
        <v>852</v>
      </c>
      <c r="D100" t="s">
        <v>1007</v>
      </c>
      <c r="E100" s="10" t="s">
        <v>1042</v>
      </c>
      <c r="F100" s="10"/>
      <c r="G100" s="10"/>
      <c r="H100" s="10" t="s">
        <v>1042</v>
      </c>
      <c r="I100" s="14">
        <v>437686.27725934424</v>
      </c>
      <c r="J100" s="19">
        <v>0.99620462750135863</v>
      </c>
      <c r="K100" s="19">
        <v>2.9948801650796428E-3</v>
      </c>
      <c r="L100" s="19">
        <v>8.0049233356155683E-4</v>
      </c>
      <c r="M100" s="20">
        <v>3</v>
      </c>
      <c r="N100" s="19">
        <v>0</v>
      </c>
      <c r="O100" s="19">
        <v>0</v>
      </c>
      <c r="P100" s="19">
        <v>2.9948801650796428E-3</v>
      </c>
      <c r="Q100" s="19">
        <v>0</v>
      </c>
      <c r="R100" s="19">
        <v>7.5093518404073187E-4</v>
      </c>
      <c r="S100" s="19">
        <v>4.9557149520825056E-5</v>
      </c>
      <c r="T100" s="20">
        <v>30</v>
      </c>
      <c r="U100" s="17">
        <v>2</v>
      </c>
      <c r="V100" s="17">
        <v>37</v>
      </c>
    </row>
    <row r="101" spans="1:22" x14ac:dyDescent="0.2">
      <c r="A101" t="s">
        <v>1043</v>
      </c>
      <c r="B101" t="s">
        <v>851</v>
      </c>
      <c r="C101" t="s">
        <v>852</v>
      </c>
      <c r="D101" t="s">
        <v>1007</v>
      </c>
      <c r="E101" s="10" t="s">
        <v>1044</v>
      </c>
      <c r="F101" s="10"/>
      <c r="G101" s="10"/>
      <c r="H101" s="10" t="s">
        <v>1044</v>
      </c>
      <c r="I101" s="14">
        <v>1191748.294086311</v>
      </c>
      <c r="J101" s="19">
        <v>0.98031427929238701</v>
      </c>
      <c r="K101" s="19">
        <v>1.7183863556576164E-2</v>
      </c>
      <c r="L101" s="19">
        <v>2.5018571510368281E-3</v>
      </c>
      <c r="M101" s="20">
        <v>3</v>
      </c>
      <c r="N101" s="19">
        <v>3.2357189373625819E-3</v>
      </c>
      <c r="O101" s="19">
        <v>0</v>
      </c>
      <c r="P101" s="19">
        <v>1.3948144619213582E-2</v>
      </c>
      <c r="Q101" s="19">
        <v>0</v>
      </c>
      <c r="R101" s="19">
        <v>2.4656437797238046E-3</v>
      </c>
      <c r="S101" s="19">
        <v>3.6213371313023758E-5</v>
      </c>
      <c r="T101" s="20">
        <v>30</v>
      </c>
      <c r="U101" s="17">
        <v>2</v>
      </c>
      <c r="V101" s="17">
        <v>37</v>
      </c>
    </row>
    <row r="102" spans="1:22" x14ac:dyDescent="0.2">
      <c r="A102" t="s">
        <v>1045</v>
      </c>
      <c r="B102" t="s">
        <v>851</v>
      </c>
      <c r="C102" t="s">
        <v>852</v>
      </c>
      <c r="D102" t="s">
        <v>1007</v>
      </c>
      <c r="E102" s="10" t="s">
        <v>1046</v>
      </c>
      <c r="F102" s="10"/>
      <c r="G102" s="10"/>
      <c r="H102" s="10" t="s">
        <v>1046</v>
      </c>
      <c r="I102" s="14">
        <v>1111729.1698229481</v>
      </c>
      <c r="J102" s="19">
        <v>0.57573389935884234</v>
      </c>
      <c r="K102" s="19">
        <v>0.37212920964287693</v>
      </c>
      <c r="L102" s="19">
        <v>5.2136890998280706E-2</v>
      </c>
      <c r="M102" s="20">
        <v>3</v>
      </c>
      <c r="N102" s="19">
        <v>0.17590949598261543</v>
      </c>
      <c r="O102" s="19">
        <v>1.1182373656483858E-2</v>
      </c>
      <c r="P102" s="19">
        <v>0.18503734000377767</v>
      </c>
      <c r="Q102" s="19">
        <v>1.8740036793514117E-2</v>
      </c>
      <c r="R102" s="19">
        <v>3.1355414833058072E-2</v>
      </c>
      <c r="S102" s="19">
        <v>2.0414393717085215E-3</v>
      </c>
      <c r="T102" s="20">
        <v>30</v>
      </c>
      <c r="U102" s="17">
        <v>2</v>
      </c>
      <c r="V102" s="17">
        <v>37</v>
      </c>
    </row>
    <row r="103" spans="1:22" x14ac:dyDescent="0.2">
      <c r="A103" t="s">
        <v>1047</v>
      </c>
      <c r="B103" t="s">
        <v>851</v>
      </c>
      <c r="C103" t="s">
        <v>852</v>
      </c>
      <c r="D103" t="s">
        <v>1007</v>
      </c>
      <c r="E103" s="10" t="s">
        <v>1048</v>
      </c>
      <c r="F103" s="10"/>
      <c r="G103" s="10"/>
      <c r="H103" s="10" t="s">
        <v>1048</v>
      </c>
      <c r="I103" s="14">
        <v>1292094.5180515428</v>
      </c>
      <c r="J103" s="19">
        <v>0.43847011178858536</v>
      </c>
      <c r="K103" s="19">
        <v>0.52515406820552646</v>
      </c>
      <c r="L103" s="19">
        <v>3.6375820005888175E-2</v>
      </c>
      <c r="M103" s="20">
        <v>2</v>
      </c>
      <c r="N103" s="19">
        <v>0.1791002379189103</v>
      </c>
      <c r="O103" s="19">
        <v>1.7896680255216908E-2</v>
      </c>
      <c r="P103" s="19">
        <v>0.32815715003139923</v>
      </c>
      <c r="Q103" s="19">
        <v>3.7548823305723683E-3</v>
      </c>
      <c r="R103" s="19">
        <v>2.9632662017652918E-2</v>
      </c>
      <c r="S103" s="19">
        <v>2.9882756576628902E-3</v>
      </c>
      <c r="T103" s="20">
        <v>23</v>
      </c>
      <c r="U103" s="17">
        <v>2</v>
      </c>
      <c r="V103" s="17">
        <v>37</v>
      </c>
    </row>
    <row r="104" spans="1:22" x14ac:dyDescent="0.2">
      <c r="A104" t="s">
        <v>1049</v>
      </c>
      <c r="B104" t="s">
        <v>851</v>
      </c>
      <c r="C104" t="s">
        <v>852</v>
      </c>
      <c r="D104" t="s">
        <v>1007</v>
      </c>
      <c r="E104" s="10" t="s">
        <v>1050</v>
      </c>
      <c r="F104" s="10"/>
      <c r="G104" s="10"/>
      <c r="H104" s="10" t="s">
        <v>1050</v>
      </c>
      <c r="I104" s="14">
        <v>963631.21408426098</v>
      </c>
      <c r="J104" s="19">
        <v>0.60669349252733074</v>
      </c>
      <c r="K104" s="19">
        <v>0.34795179738148863</v>
      </c>
      <c r="L104" s="19">
        <v>4.5354710091180771E-2</v>
      </c>
      <c r="M104" s="20">
        <v>3</v>
      </c>
      <c r="N104" s="19">
        <v>0.123202410763425</v>
      </c>
      <c r="O104" s="19">
        <v>1.3943254650677986E-2</v>
      </c>
      <c r="P104" s="19">
        <v>0.21080613196738565</v>
      </c>
      <c r="Q104" s="19">
        <v>1.0492857217632294E-2</v>
      </c>
      <c r="R104" s="19">
        <v>3.2742814438872857E-2</v>
      </c>
      <c r="S104" s="19">
        <v>2.1190384346756203E-3</v>
      </c>
      <c r="T104" s="20">
        <v>30</v>
      </c>
      <c r="U104" s="17">
        <v>2</v>
      </c>
      <c r="V104" s="17">
        <v>37</v>
      </c>
    </row>
    <row r="105" spans="1:22" x14ac:dyDescent="0.2">
      <c r="A105" t="s">
        <v>1051</v>
      </c>
      <c r="B105" t="s">
        <v>851</v>
      </c>
      <c r="C105" t="s">
        <v>852</v>
      </c>
      <c r="D105" t="s">
        <v>1007</v>
      </c>
      <c r="E105" s="10" t="s">
        <v>1052</v>
      </c>
      <c r="F105" s="10"/>
      <c r="G105" s="10"/>
      <c r="H105" s="10" t="s">
        <v>1052</v>
      </c>
      <c r="I105" s="14">
        <v>1637505.1306833159</v>
      </c>
      <c r="J105" s="19">
        <v>0.20942594650067248</v>
      </c>
      <c r="K105" s="19">
        <v>0.73970865490882831</v>
      </c>
      <c r="L105" s="19">
        <v>5.0865398590499177E-2</v>
      </c>
      <c r="M105" s="20">
        <v>2</v>
      </c>
      <c r="N105" s="19">
        <v>0.34089684005737464</v>
      </c>
      <c r="O105" s="19">
        <v>0</v>
      </c>
      <c r="P105" s="19">
        <v>0.39881181485145373</v>
      </c>
      <c r="Q105" s="19">
        <v>5.2137523138283881E-3</v>
      </c>
      <c r="R105" s="19">
        <v>4.2995893132403713E-2</v>
      </c>
      <c r="S105" s="19">
        <v>2.6557531442670738E-3</v>
      </c>
      <c r="T105" s="20">
        <v>23</v>
      </c>
      <c r="U105" s="17">
        <v>2</v>
      </c>
      <c r="V105" s="17">
        <v>37</v>
      </c>
    </row>
    <row r="106" spans="1:22" x14ac:dyDescent="0.2">
      <c r="A106" t="s">
        <v>1053</v>
      </c>
      <c r="B106" t="s">
        <v>851</v>
      </c>
      <c r="C106" t="s">
        <v>852</v>
      </c>
      <c r="D106" t="s">
        <v>1007</v>
      </c>
      <c r="E106" s="10" t="s">
        <v>1054</v>
      </c>
      <c r="F106" s="10"/>
      <c r="G106" s="10"/>
      <c r="H106" s="10" t="s">
        <v>1054</v>
      </c>
      <c r="I106" s="14">
        <v>2532722.5932997321</v>
      </c>
      <c r="J106" s="19">
        <v>0.52233825021162072</v>
      </c>
      <c r="K106" s="19">
        <v>0.38559040653338822</v>
      </c>
      <c r="L106" s="19">
        <v>9.2071343254991E-2</v>
      </c>
      <c r="M106" s="20">
        <v>3</v>
      </c>
      <c r="N106" s="19">
        <v>6.0510111030765507E-2</v>
      </c>
      <c r="O106" s="19">
        <v>2.878218284268623E-2</v>
      </c>
      <c r="P106" s="19">
        <v>0.2962981126599365</v>
      </c>
      <c r="Q106" s="19">
        <v>1.9277152939544535E-2</v>
      </c>
      <c r="R106" s="19">
        <v>6.8757816088328691E-2</v>
      </c>
      <c r="S106" s="19">
        <v>4.0363742271177809E-3</v>
      </c>
      <c r="T106" s="20">
        <v>30</v>
      </c>
      <c r="U106" s="17">
        <v>2</v>
      </c>
      <c r="V106" s="17">
        <v>37</v>
      </c>
    </row>
    <row r="107" spans="1:22" x14ac:dyDescent="0.2">
      <c r="A107" t="s">
        <v>1055</v>
      </c>
      <c r="B107" t="s">
        <v>851</v>
      </c>
      <c r="C107" t="s">
        <v>852</v>
      </c>
      <c r="D107" t="s">
        <v>1007</v>
      </c>
      <c r="E107" s="10" t="s">
        <v>1056</v>
      </c>
      <c r="F107" s="10"/>
      <c r="G107" s="10"/>
      <c r="H107" s="10" t="s">
        <v>1056</v>
      </c>
      <c r="I107" s="14">
        <v>1278582.321302763</v>
      </c>
      <c r="J107" s="19">
        <v>0.62818396521183562</v>
      </c>
      <c r="K107" s="19">
        <v>0.32173658306909025</v>
      </c>
      <c r="L107" s="19">
        <v>5.0079451719074124E-2</v>
      </c>
      <c r="M107" s="20">
        <v>3</v>
      </c>
      <c r="N107" s="19">
        <v>6.7661934693480849E-2</v>
      </c>
      <c r="O107" s="19">
        <v>8.4669935898223064E-3</v>
      </c>
      <c r="P107" s="19">
        <v>0.24560765478578711</v>
      </c>
      <c r="Q107" s="19">
        <v>8.9943343415158899E-3</v>
      </c>
      <c r="R107" s="19">
        <v>3.8653919956436987E-2</v>
      </c>
      <c r="S107" s="19">
        <v>2.4311974211212489E-3</v>
      </c>
      <c r="T107" s="20">
        <v>30</v>
      </c>
      <c r="U107" s="17">
        <v>2</v>
      </c>
      <c r="V107" s="17">
        <v>37</v>
      </c>
    </row>
    <row r="108" spans="1:22" x14ac:dyDescent="0.2">
      <c r="A108" t="s">
        <v>1057</v>
      </c>
      <c r="B108" t="s">
        <v>851</v>
      </c>
      <c r="C108" t="s">
        <v>852</v>
      </c>
      <c r="D108" t="s">
        <v>1007</v>
      </c>
      <c r="E108" s="10" t="s">
        <v>1058</v>
      </c>
      <c r="F108" s="10"/>
      <c r="G108" s="10"/>
      <c r="H108" s="10" t="s">
        <v>1058</v>
      </c>
      <c r="I108" s="14">
        <v>1838986.1865799474</v>
      </c>
      <c r="J108" s="19">
        <v>0.50968078169546638</v>
      </c>
      <c r="K108" s="19">
        <v>0.40865317358223469</v>
      </c>
      <c r="L108" s="19">
        <v>8.166604472229895E-2</v>
      </c>
      <c r="M108" s="20">
        <v>3</v>
      </c>
      <c r="N108" s="19">
        <v>4.2226185724452525E-2</v>
      </c>
      <c r="O108" s="19">
        <v>5.9651444735177972E-2</v>
      </c>
      <c r="P108" s="19">
        <v>0.30677554312260419</v>
      </c>
      <c r="Q108" s="19">
        <v>1.1453696370445432E-2</v>
      </c>
      <c r="R108" s="19">
        <v>6.6327479772679415E-2</v>
      </c>
      <c r="S108" s="19">
        <v>3.8848685791741024E-3</v>
      </c>
      <c r="T108" s="20">
        <v>30</v>
      </c>
      <c r="U108" s="17">
        <v>2</v>
      </c>
      <c r="V108" s="17">
        <v>37</v>
      </c>
    </row>
    <row r="109" spans="1:22" x14ac:dyDescent="0.2">
      <c r="A109" t="s">
        <v>1059</v>
      </c>
      <c r="B109" t="s">
        <v>851</v>
      </c>
      <c r="C109" t="s">
        <v>852</v>
      </c>
      <c r="D109" t="s">
        <v>1007</v>
      </c>
      <c r="E109" s="10" t="s">
        <v>1060</v>
      </c>
      <c r="F109" s="10"/>
      <c r="G109" s="10"/>
      <c r="H109" s="10" t="s">
        <v>1060</v>
      </c>
      <c r="I109" s="14">
        <v>1672.0989472270012</v>
      </c>
      <c r="J109" s="19">
        <v>0</v>
      </c>
      <c r="K109" s="19">
        <v>0.94295903643374623</v>
      </c>
      <c r="L109" s="19">
        <v>5.7040963566253815E-2</v>
      </c>
      <c r="M109" s="20">
        <v>2</v>
      </c>
      <c r="N109" s="19">
        <v>0.67510252248688762</v>
      </c>
      <c r="O109" s="19">
        <v>5.4035758418602857E-2</v>
      </c>
      <c r="P109" s="19">
        <v>0.21382075552825575</v>
      </c>
      <c r="Q109" s="19">
        <v>0</v>
      </c>
      <c r="R109" s="19">
        <v>5.027080716379452E-2</v>
      </c>
      <c r="S109" s="19">
        <v>6.7701564024592945E-3</v>
      </c>
      <c r="T109" s="20">
        <v>23</v>
      </c>
      <c r="U109" s="17">
        <v>2</v>
      </c>
      <c r="V109" s="17">
        <v>37</v>
      </c>
    </row>
    <row r="110" spans="1:22" x14ac:dyDescent="0.2">
      <c r="A110" t="s">
        <v>1061</v>
      </c>
      <c r="B110" t="s">
        <v>851</v>
      </c>
      <c r="C110" t="s">
        <v>852</v>
      </c>
      <c r="D110" t="s">
        <v>1062</v>
      </c>
      <c r="E110" s="10" t="s">
        <v>1063</v>
      </c>
      <c r="F110" s="10"/>
      <c r="G110" s="10"/>
      <c r="H110" s="10" t="s">
        <v>1063</v>
      </c>
      <c r="I110" s="14">
        <v>856601.44432018325</v>
      </c>
      <c r="J110" s="19">
        <v>0.45995145987011604</v>
      </c>
      <c r="K110" s="19">
        <v>0.46406695721242075</v>
      </c>
      <c r="L110" s="19">
        <v>7.5981582917463222E-2</v>
      </c>
      <c r="M110" s="20">
        <v>2</v>
      </c>
      <c r="N110" s="19">
        <v>6.7589386715763519E-2</v>
      </c>
      <c r="O110" s="19">
        <v>1.5958145776381345E-2</v>
      </c>
      <c r="P110" s="19">
        <v>0.38051942472027589</v>
      </c>
      <c r="Q110" s="19">
        <v>1.1096005653132908E-2</v>
      </c>
      <c r="R110" s="19">
        <v>6.2726745392903974E-2</v>
      </c>
      <c r="S110" s="19">
        <v>2.1588318714263494E-3</v>
      </c>
      <c r="T110" s="20">
        <v>23</v>
      </c>
      <c r="U110" s="17">
        <v>2</v>
      </c>
      <c r="V110" s="17">
        <v>37</v>
      </c>
    </row>
    <row r="111" spans="1:22" x14ac:dyDescent="0.2">
      <c r="A111" t="s">
        <v>1064</v>
      </c>
      <c r="B111" t="s">
        <v>851</v>
      </c>
      <c r="C111" t="s">
        <v>852</v>
      </c>
      <c r="D111" t="s">
        <v>1062</v>
      </c>
      <c r="E111" s="10" t="s">
        <v>1065</v>
      </c>
      <c r="F111" s="10"/>
      <c r="G111" s="10"/>
      <c r="H111" s="10" t="s">
        <v>1065</v>
      </c>
      <c r="I111" s="14">
        <v>1570279.370167562</v>
      </c>
      <c r="J111" s="19">
        <v>0.65604474941763002</v>
      </c>
      <c r="K111" s="19">
        <v>0.30842263719433693</v>
      </c>
      <c r="L111" s="19">
        <v>3.553261338803311E-2</v>
      </c>
      <c r="M111" s="20">
        <v>3</v>
      </c>
      <c r="N111" s="19">
        <v>8.0760574844619903E-2</v>
      </c>
      <c r="O111" s="19">
        <v>1.2647595717067509E-2</v>
      </c>
      <c r="P111" s="19">
        <v>0.2150144666326495</v>
      </c>
      <c r="Q111" s="19">
        <v>2.4003241107147483E-3</v>
      </c>
      <c r="R111" s="19">
        <v>3.1494566571028754E-2</v>
      </c>
      <c r="S111" s="19">
        <v>1.6377227062896083E-3</v>
      </c>
      <c r="T111" s="20">
        <v>30</v>
      </c>
      <c r="U111" s="17">
        <v>2</v>
      </c>
      <c r="V111" s="17">
        <v>37</v>
      </c>
    </row>
    <row r="112" spans="1:22" x14ac:dyDescent="0.2">
      <c r="A112" t="s">
        <v>1066</v>
      </c>
      <c r="B112" t="s">
        <v>851</v>
      </c>
      <c r="C112" t="s">
        <v>852</v>
      </c>
      <c r="D112" t="s">
        <v>1062</v>
      </c>
      <c r="E112" s="10" t="s">
        <v>1067</v>
      </c>
      <c r="F112" s="10"/>
      <c r="G112" s="10"/>
      <c r="H112" s="10" t="s">
        <v>1067</v>
      </c>
      <c r="I112" s="14">
        <v>795392.43157690868</v>
      </c>
      <c r="J112" s="19">
        <v>0.3103227475281442</v>
      </c>
      <c r="K112" s="19">
        <v>0.65492594647517777</v>
      </c>
      <c r="L112" s="19">
        <v>3.4751305996677855E-2</v>
      </c>
      <c r="M112" s="20">
        <v>2</v>
      </c>
      <c r="N112" s="19">
        <v>0.21008184095762233</v>
      </c>
      <c r="O112" s="19">
        <v>0</v>
      </c>
      <c r="P112" s="19">
        <v>0.44484410551755543</v>
      </c>
      <c r="Q112" s="19">
        <v>6.3154248593828375E-3</v>
      </c>
      <c r="R112" s="19">
        <v>2.6837123687996088E-2</v>
      </c>
      <c r="S112" s="19">
        <v>1.5987574492989304E-3</v>
      </c>
      <c r="T112" s="20">
        <v>23</v>
      </c>
      <c r="U112" s="17">
        <v>2</v>
      </c>
      <c r="V112" s="17">
        <v>37</v>
      </c>
    </row>
    <row r="113" spans="1:22" x14ac:dyDescent="0.2">
      <c r="A113" t="s">
        <v>1068</v>
      </c>
      <c r="B113" t="s">
        <v>851</v>
      </c>
      <c r="C113" t="s">
        <v>852</v>
      </c>
      <c r="D113" t="s">
        <v>1062</v>
      </c>
      <c r="E113" s="10" t="s">
        <v>1069</v>
      </c>
      <c r="F113" s="10"/>
      <c r="G113" s="10"/>
      <c r="H113" s="10" t="s">
        <v>1069</v>
      </c>
      <c r="I113" s="14">
        <v>853402.4114755732</v>
      </c>
      <c r="J113" s="19">
        <v>0.2317929024893309</v>
      </c>
      <c r="K113" s="19">
        <v>0.62561248312437578</v>
      </c>
      <c r="L113" s="19">
        <v>0.14259461438629328</v>
      </c>
      <c r="M113" s="20">
        <v>2</v>
      </c>
      <c r="N113" s="19">
        <v>9.0386865213998802E-2</v>
      </c>
      <c r="O113" s="19">
        <v>5.8497778777631404E-3</v>
      </c>
      <c r="P113" s="19">
        <v>0.52937584003261384</v>
      </c>
      <c r="Q113" s="19">
        <v>4.9486231178515083E-2</v>
      </c>
      <c r="R113" s="19">
        <v>8.9090266025249998E-2</v>
      </c>
      <c r="S113" s="19">
        <v>4.0181171825281964E-3</v>
      </c>
      <c r="T113" s="20">
        <v>21</v>
      </c>
      <c r="U113" s="17">
        <v>2</v>
      </c>
      <c r="V113" s="17">
        <v>37</v>
      </c>
    </row>
    <row r="114" spans="1:22" x14ac:dyDescent="0.2">
      <c r="A114" t="s">
        <v>1070</v>
      </c>
      <c r="B114" t="s">
        <v>851</v>
      </c>
      <c r="C114" t="s">
        <v>852</v>
      </c>
      <c r="D114" t="s">
        <v>1062</v>
      </c>
      <c r="E114" s="10" t="s">
        <v>1071</v>
      </c>
      <c r="F114" s="10"/>
      <c r="G114" s="10"/>
      <c r="H114" s="10" t="s">
        <v>1071</v>
      </c>
      <c r="I114" s="14">
        <v>955451.52775693103</v>
      </c>
      <c r="J114" s="19">
        <v>0.40111792699491916</v>
      </c>
      <c r="K114" s="19">
        <v>0.55437503855498071</v>
      </c>
      <c r="L114" s="19">
        <v>4.4507034450100062E-2</v>
      </c>
      <c r="M114" s="20">
        <v>2</v>
      </c>
      <c r="N114" s="19">
        <v>0.10843010677659112</v>
      </c>
      <c r="O114" s="19">
        <v>2.0380026776793646E-3</v>
      </c>
      <c r="P114" s="19">
        <v>0.44390692910071022</v>
      </c>
      <c r="Q114" s="19">
        <v>5.1665013531680013E-3</v>
      </c>
      <c r="R114" s="19">
        <v>3.8326896043150364E-2</v>
      </c>
      <c r="S114" s="19">
        <v>1.0136370537817082E-3</v>
      </c>
      <c r="T114" s="20">
        <v>23</v>
      </c>
      <c r="U114" s="17">
        <v>2</v>
      </c>
      <c r="V114" s="17">
        <v>37</v>
      </c>
    </row>
    <row r="115" spans="1:22" x14ac:dyDescent="0.2">
      <c r="A115" t="s">
        <v>1072</v>
      </c>
      <c r="B115" t="s">
        <v>851</v>
      </c>
      <c r="C115" t="s">
        <v>852</v>
      </c>
      <c r="D115" t="s">
        <v>1062</v>
      </c>
      <c r="E115" s="10" t="s">
        <v>1073</v>
      </c>
      <c r="F115" s="10"/>
      <c r="G115" s="10"/>
      <c r="H115" s="10" t="s">
        <v>1073</v>
      </c>
      <c r="I115" s="14">
        <v>1735178.0096015863</v>
      </c>
      <c r="J115" s="19">
        <v>0.5769539098402281</v>
      </c>
      <c r="K115" s="19">
        <v>0.37993242068117106</v>
      </c>
      <c r="L115" s="19">
        <v>4.3113669478600868E-2</v>
      </c>
      <c r="M115" s="20">
        <v>3</v>
      </c>
      <c r="N115" s="19">
        <v>0.18570787261955252</v>
      </c>
      <c r="O115" s="19">
        <v>1.375501525811758E-2</v>
      </c>
      <c r="P115" s="19">
        <v>0.18046953280350098</v>
      </c>
      <c r="Q115" s="19">
        <v>1.6505056584347848E-2</v>
      </c>
      <c r="R115" s="19">
        <v>2.4942188811626197E-2</v>
      </c>
      <c r="S115" s="19">
        <v>1.6664240826268246E-3</v>
      </c>
      <c r="T115" s="20">
        <v>30</v>
      </c>
      <c r="U115" s="17">
        <v>2</v>
      </c>
      <c r="V115" s="17">
        <v>37</v>
      </c>
    </row>
    <row r="116" spans="1:22" x14ac:dyDescent="0.2">
      <c r="A116" t="s">
        <v>1074</v>
      </c>
      <c r="B116" t="s">
        <v>851</v>
      </c>
      <c r="C116" t="s">
        <v>852</v>
      </c>
      <c r="D116" t="s">
        <v>1062</v>
      </c>
      <c r="E116" s="10" t="s">
        <v>1075</v>
      </c>
      <c r="F116" s="10"/>
      <c r="G116" s="10"/>
      <c r="H116" s="10" t="s">
        <v>1075</v>
      </c>
      <c r="I116" s="14">
        <v>1626298.5059633506</v>
      </c>
      <c r="J116" s="19">
        <v>0.57382526172095993</v>
      </c>
      <c r="K116" s="19">
        <v>0.33365163644366125</v>
      </c>
      <c r="L116" s="19">
        <v>9.2523101835378777E-2</v>
      </c>
      <c r="M116" s="20">
        <v>3</v>
      </c>
      <c r="N116" s="19">
        <v>0.10963629108973195</v>
      </c>
      <c r="O116" s="19">
        <v>2.5724155120508951E-4</v>
      </c>
      <c r="P116" s="19">
        <v>0.22375810380272423</v>
      </c>
      <c r="Q116" s="19">
        <v>2.2077349418776822E-2</v>
      </c>
      <c r="R116" s="19">
        <v>6.6098852015529799E-2</v>
      </c>
      <c r="S116" s="19">
        <v>4.3469004010721476E-3</v>
      </c>
      <c r="T116" s="20">
        <v>30</v>
      </c>
      <c r="U116" s="17">
        <v>2</v>
      </c>
      <c r="V116" s="17">
        <v>37</v>
      </c>
    </row>
    <row r="117" spans="1:22" x14ac:dyDescent="0.2">
      <c r="A117" t="s">
        <v>1076</v>
      </c>
      <c r="B117" t="s">
        <v>851</v>
      </c>
      <c r="C117" t="s">
        <v>852</v>
      </c>
      <c r="D117" t="s">
        <v>1062</v>
      </c>
      <c r="E117" s="10" t="s">
        <v>1077</v>
      </c>
      <c r="F117" s="10"/>
      <c r="G117" s="10"/>
      <c r="H117" s="10" t="s">
        <v>1077</v>
      </c>
      <c r="I117" s="14">
        <v>965481.23439339688</v>
      </c>
      <c r="J117" s="19">
        <v>0.40823617396709244</v>
      </c>
      <c r="K117" s="19">
        <v>0.55771374791592288</v>
      </c>
      <c r="L117" s="19">
        <v>3.4050078116984676E-2</v>
      </c>
      <c r="M117" s="20">
        <v>2</v>
      </c>
      <c r="N117" s="19">
        <v>0.17711846989912636</v>
      </c>
      <c r="O117" s="19">
        <v>0</v>
      </c>
      <c r="P117" s="19">
        <v>0.38059527801679655</v>
      </c>
      <c r="Q117" s="19">
        <v>7.0523116503745011E-3</v>
      </c>
      <c r="R117" s="19">
        <v>2.5378712985483554E-2</v>
      </c>
      <c r="S117" s="19">
        <v>1.61905348112662E-3</v>
      </c>
      <c r="T117" s="20">
        <v>23</v>
      </c>
      <c r="U117" s="17">
        <v>2</v>
      </c>
      <c r="V117" s="17">
        <v>37</v>
      </c>
    </row>
    <row r="118" spans="1:22" x14ac:dyDescent="0.2">
      <c r="A118" t="s">
        <v>1078</v>
      </c>
      <c r="B118" t="s">
        <v>851</v>
      </c>
      <c r="C118" t="s">
        <v>852</v>
      </c>
      <c r="D118" t="s">
        <v>1062</v>
      </c>
      <c r="E118" s="10" t="s">
        <v>1079</v>
      </c>
      <c r="F118" s="10"/>
      <c r="G118" s="10"/>
      <c r="H118" s="10" t="s">
        <v>1079</v>
      </c>
      <c r="I118" s="14">
        <v>1326761.2825451456</v>
      </c>
      <c r="J118" s="19">
        <v>0.12154630413699991</v>
      </c>
      <c r="K118" s="19">
        <v>0.82139956419023197</v>
      </c>
      <c r="L118" s="19">
        <v>5.7054131672768155E-2</v>
      </c>
      <c r="M118" s="20">
        <v>2</v>
      </c>
      <c r="N118" s="19">
        <v>0.24064711686181456</v>
      </c>
      <c r="O118" s="19">
        <v>1.069848143985354E-2</v>
      </c>
      <c r="P118" s="19">
        <v>0.57005396588856394</v>
      </c>
      <c r="Q118" s="19">
        <v>8.0485755853259931E-3</v>
      </c>
      <c r="R118" s="19">
        <v>4.6350064460624132E-2</v>
      </c>
      <c r="S118" s="19">
        <v>2.6554916268180283E-3</v>
      </c>
      <c r="T118" s="20">
        <v>21</v>
      </c>
      <c r="U118" s="17">
        <v>2</v>
      </c>
      <c r="V118" s="17">
        <v>37</v>
      </c>
    </row>
    <row r="119" spans="1:22" x14ac:dyDescent="0.2">
      <c r="A119" t="s">
        <v>1080</v>
      </c>
      <c r="B119" t="s">
        <v>851</v>
      </c>
      <c r="C119" t="s">
        <v>852</v>
      </c>
      <c r="D119" t="s">
        <v>1062</v>
      </c>
      <c r="E119" s="10" t="s">
        <v>1081</v>
      </c>
      <c r="F119" s="10"/>
      <c r="G119" s="10"/>
      <c r="H119" s="10" t="s">
        <v>1081</v>
      </c>
      <c r="I119" s="14">
        <v>1074088.3957227599</v>
      </c>
      <c r="J119" s="19">
        <v>0.66252693768603055</v>
      </c>
      <c r="K119" s="19">
        <v>0.29382151511277727</v>
      </c>
      <c r="L119" s="19">
        <v>4.3651547201192263E-2</v>
      </c>
      <c r="M119" s="20">
        <v>3</v>
      </c>
      <c r="N119" s="19">
        <v>9.5085033278367453E-2</v>
      </c>
      <c r="O119" s="19">
        <v>5.5804944472868934E-3</v>
      </c>
      <c r="P119" s="19">
        <v>0.19315598738712283</v>
      </c>
      <c r="Q119" s="19">
        <v>3.7304199578815605E-3</v>
      </c>
      <c r="R119" s="19">
        <v>3.8061612077610149E-2</v>
      </c>
      <c r="S119" s="19">
        <v>1.8595151657005468E-3</v>
      </c>
      <c r="T119" s="20">
        <v>30</v>
      </c>
      <c r="U119" s="17">
        <v>2</v>
      </c>
      <c r="V119" s="17">
        <v>37</v>
      </c>
    </row>
    <row r="120" spans="1:22" x14ac:dyDescent="0.2">
      <c r="A120" t="s">
        <v>1082</v>
      </c>
      <c r="B120" t="s">
        <v>851</v>
      </c>
      <c r="C120" t="s">
        <v>852</v>
      </c>
      <c r="D120" t="s">
        <v>1062</v>
      </c>
      <c r="E120" s="10" t="s">
        <v>1083</v>
      </c>
      <c r="F120" s="10"/>
      <c r="G120" s="10"/>
      <c r="H120" s="10" t="s">
        <v>1083</v>
      </c>
      <c r="I120" s="14">
        <v>844417.50985840301</v>
      </c>
      <c r="J120" s="19">
        <v>0.45048393085478455</v>
      </c>
      <c r="K120" s="19">
        <v>0.52115655182416309</v>
      </c>
      <c r="L120" s="19">
        <v>2.8359517321052449E-2</v>
      </c>
      <c r="M120" s="20">
        <v>2</v>
      </c>
      <c r="N120" s="19">
        <v>0.15159318157336393</v>
      </c>
      <c r="O120" s="19">
        <v>0</v>
      </c>
      <c r="P120" s="19">
        <v>0.36956337025079916</v>
      </c>
      <c r="Q120" s="19">
        <v>0</v>
      </c>
      <c r="R120" s="19">
        <v>2.7651247099633347E-2</v>
      </c>
      <c r="S120" s="19">
        <v>7.0827022141910299E-4</v>
      </c>
      <c r="T120" s="20">
        <v>23</v>
      </c>
      <c r="U120" s="17">
        <v>2</v>
      </c>
      <c r="V120" s="17">
        <v>37</v>
      </c>
    </row>
    <row r="121" spans="1:22" x14ac:dyDescent="0.2">
      <c r="A121" t="s">
        <v>1084</v>
      </c>
      <c r="B121" t="s">
        <v>851</v>
      </c>
      <c r="C121" t="s">
        <v>852</v>
      </c>
      <c r="D121" t="s">
        <v>1062</v>
      </c>
      <c r="E121" s="10" t="s">
        <v>1085</v>
      </c>
      <c r="F121" s="10"/>
      <c r="G121" s="10"/>
      <c r="H121" s="10" t="s">
        <v>1085</v>
      </c>
      <c r="I121" s="14">
        <v>1139265.1456440857</v>
      </c>
      <c r="J121" s="19">
        <v>0.39999575467194104</v>
      </c>
      <c r="K121" s="19">
        <v>0.53964950185354732</v>
      </c>
      <c r="L121" s="19">
        <v>6.0354743474511599E-2</v>
      </c>
      <c r="M121" s="20">
        <v>2</v>
      </c>
      <c r="N121" s="19">
        <v>0.12065194804817063</v>
      </c>
      <c r="O121" s="19">
        <v>1.7044009861982064E-2</v>
      </c>
      <c r="P121" s="19">
        <v>0.40195354394339461</v>
      </c>
      <c r="Q121" s="19">
        <v>6.9321881161374414E-3</v>
      </c>
      <c r="R121" s="19">
        <v>5.1815319177472813E-2</v>
      </c>
      <c r="S121" s="19">
        <v>1.6072361809013433E-3</v>
      </c>
      <c r="T121" s="20">
        <v>23</v>
      </c>
      <c r="U121" s="17">
        <v>2</v>
      </c>
      <c r="V121" s="17">
        <v>37</v>
      </c>
    </row>
    <row r="122" spans="1:22" x14ac:dyDescent="0.2">
      <c r="A122" t="s">
        <v>1086</v>
      </c>
      <c r="B122" t="s">
        <v>851</v>
      </c>
      <c r="C122" t="s">
        <v>852</v>
      </c>
      <c r="D122" t="s">
        <v>1062</v>
      </c>
      <c r="E122" s="10" t="s">
        <v>1087</v>
      </c>
      <c r="F122" s="10"/>
      <c r="G122" s="10"/>
      <c r="H122" s="10" t="s">
        <v>1087</v>
      </c>
      <c r="I122" s="14">
        <v>900605.10143646877</v>
      </c>
      <c r="J122" s="19">
        <v>0.5672335081178016</v>
      </c>
      <c r="K122" s="19">
        <v>0.3726356279073203</v>
      </c>
      <c r="L122" s="19">
        <v>6.0130863974878081E-2</v>
      </c>
      <c r="M122" s="20">
        <v>3</v>
      </c>
      <c r="N122" s="19">
        <v>0.10327462715661423</v>
      </c>
      <c r="O122" s="19">
        <v>1.4480308549881291E-2</v>
      </c>
      <c r="P122" s="19">
        <v>0.25488069220082477</v>
      </c>
      <c r="Q122" s="19">
        <v>2.1592986344183274E-2</v>
      </c>
      <c r="R122" s="19">
        <v>3.6773424970756641E-2</v>
      </c>
      <c r="S122" s="19">
        <v>1.764452659938173E-3</v>
      </c>
      <c r="T122" s="20">
        <v>30</v>
      </c>
      <c r="U122" s="17">
        <v>2</v>
      </c>
      <c r="V122" s="17">
        <v>37</v>
      </c>
    </row>
    <row r="123" spans="1:22" x14ac:dyDescent="0.2">
      <c r="A123" t="s">
        <v>1088</v>
      </c>
      <c r="B123" t="s">
        <v>851</v>
      </c>
      <c r="C123" t="s">
        <v>852</v>
      </c>
      <c r="D123" t="s">
        <v>1062</v>
      </c>
      <c r="E123" s="10" t="s">
        <v>1089</v>
      </c>
      <c r="F123" s="10"/>
      <c r="G123" s="10"/>
      <c r="H123" s="10" t="s">
        <v>1089</v>
      </c>
      <c r="I123" s="14">
        <v>1155297.6762711739</v>
      </c>
      <c r="J123" s="19">
        <v>0.57444503266098712</v>
      </c>
      <c r="K123" s="19">
        <v>0.41807080227727245</v>
      </c>
      <c r="L123" s="19">
        <v>7.4841650617404418E-3</v>
      </c>
      <c r="M123" s="20">
        <v>3</v>
      </c>
      <c r="N123" s="19">
        <v>0.13916181543434408</v>
      </c>
      <c r="O123" s="19">
        <v>0</v>
      </c>
      <c r="P123" s="19">
        <v>0.27890898684292842</v>
      </c>
      <c r="Q123" s="19">
        <v>0</v>
      </c>
      <c r="R123" s="19">
        <v>7.4841650617404418E-3</v>
      </c>
      <c r="S123" s="19">
        <v>0</v>
      </c>
      <c r="T123" s="20">
        <v>30</v>
      </c>
      <c r="U123" s="17">
        <v>2</v>
      </c>
      <c r="V123" s="17">
        <v>37</v>
      </c>
    </row>
    <row r="124" spans="1:22" x14ac:dyDescent="0.2">
      <c r="A124" t="s">
        <v>1090</v>
      </c>
      <c r="B124" t="s">
        <v>851</v>
      </c>
      <c r="C124" t="s">
        <v>852</v>
      </c>
      <c r="D124" t="s">
        <v>1062</v>
      </c>
      <c r="E124" s="10" t="s">
        <v>1091</v>
      </c>
      <c r="F124" s="10"/>
      <c r="G124" s="10"/>
      <c r="H124" s="10" t="s">
        <v>1091</v>
      </c>
      <c r="I124" s="14">
        <v>221981.97669569263</v>
      </c>
      <c r="J124" s="19">
        <v>0.99943440662616645</v>
      </c>
      <c r="K124" s="19">
        <v>5.6559337383350428E-4</v>
      </c>
      <c r="L124" s="19">
        <v>0</v>
      </c>
      <c r="M124" s="20">
        <v>3</v>
      </c>
      <c r="N124" s="19">
        <v>0</v>
      </c>
      <c r="O124" s="19">
        <v>0</v>
      </c>
      <c r="P124" s="19">
        <v>5.6559337383350428E-4</v>
      </c>
      <c r="Q124" s="19">
        <v>0</v>
      </c>
      <c r="R124" s="19">
        <v>0</v>
      </c>
      <c r="S124" s="19">
        <v>0</v>
      </c>
      <c r="T124" s="20">
        <v>30</v>
      </c>
      <c r="U124" s="17">
        <v>2</v>
      </c>
      <c r="V124" s="17">
        <v>37</v>
      </c>
    </row>
    <row r="125" spans="1:22" x14ac:dyDescent="0.2">
      <c r="A125" t="s">
        <v>1092</v>
      </c>
      <c r="B125" t="s">
        <v>851</v>
      </c>
      <c r="C125" t="s">
        <v>852</v>
      </c>
      <c r="D125" t="s">
        <v>1062</v>
      </c>
      <c r="E125" s="10" t="s">
        <v>1093</v>
      </c>
      <c r="F125" s="10"/>
      <c r="G125" s="10"/>
      <c r="H125" s="10" t="s">
        <v>1093</v>
      </c>
      <c r="I125" s="14">
        <v>228933.86637403676</v>
      </c>
      <c r="J125" s="19">
        <v>0.99990956632523298</v>
      </c>
      <c r="K125" s="19">
        <v>8.5918729770277072E-5</v>
      </c>
      <c r="L125" s="19">
        <v>4.5149449967968885E-6</v>
      </c>
      <c r="M125" s="20">
        <v>3</v>
      </c>
      <c r="N125" s="19">
        <v>0</v>
      </c>
      <c r="O125" s="19">
        <v>0</v>
      </c>
      <c r="P125" s="19">
        <v>8.5918729770277072E-5</v>
      </c>
      <c r="Q125" s="19">
        <v>0</v>
      </c>
      <c r="R125" s="19">
        <v>4.5149449967968885E-6</v>
      </c>
      <c r="S125" s="19">
        <v>0</v>
      </c>
      <c r="T125" s="20">
        <v>30</v>
      </c>
      <c r="U125" s="17">
        <v>2</v>
      </c>
      <c r="V125" s="17">
        <v>37</v>
      </c>
    </row>
    <row r="126" spans="1:22" x14ac:dyDescent="0.2">
      <c r="A126" t="s">
        <v>1094</v>
      </c>
      <c r="B126" t="s">
        <v>851</v>
      </c>
      <c r="C126" t="s">
        <v>852</v>
      </c>
      <c r="D126" t="s">
        <v>1062</v>
      </c>
      <c r="E126" s="10" t="s">
        <v>1095</v>
      </c>
      <c r="F126" s="10"/>
      <c r="G126" s="10"/>
      <c r="H126" s="10" t="s">
        <v>1095</v>
      </c>
      <c r="I126" s="14">
        <v>2036162.2832690866</v>
      </c>
      <c r="J126" s="19">
        <v>0.95959424971471174</v>
      </c>
      <c r="K126" s="19">
        <v>3.7672813873533884E-2</v>
      </c>
      <c r="L126" s="19">
        <v>2.7329364117544249E-3</v>
      </c>
      <c r="M126" s="20">
        <v>3</v>
      </c>
      <c r="N126" s="19">
        <v>7.3897293529908018E-3</v>
      </c>
      <c r="O126" s="19">
        <v>0</v>
      </c>
      <c r="P126" s="19">
        <v>3.0283084520543083E-2</v>
      </c>
      <c r="Q126" s="19">
        <v>0</v>
      </c>
      <c r="R126" s="19">
        <v>2.61715848969598E-3</v>
      </c>
      <c r="S126" s="19">
        <v>1.1577792205844429E-4</v>
      </c>
      <c r="T126" s="20">
        <v>30</v>
      </c>
      <c r="U126" s="17">
        <v>2</v>
      </c>
      <c r="V126" s="17">
        <v>37</v>
      </c>
    </row>
    <row r="127" spans="1:22" x14ac:dyDescent="0.2">
      <c r="A127" t="s">
        <v>1096</v>
      </c>
      <c r="B127" t="s">
        <v>851</v>
      </c>
      <c r="C127" t="s">
        <v>852</v>
      </c>
      <c r="D127" t="s">
        <v>1062</v>
      </c>
      <c r="E127" s="10" t="s">
        <v>1097</v>
      </c>
      <c r="F127" s="10"/>
      <c r="G127" s="10"/>
      <c r="H127" s="10" t="s">
        <v>1097</v>
      </c>
      <c r="I127" s="14">
        <v>225786.26536412328</v>
      </c>
      <c r="J127" s="19">
        <v>0.99626396201553535</v>
      </c>
      <c r="K127" s="19">
        <v>3.641139686845595E-3</v>
      </c>
      <c r="L127" s="19">
        <v>9.4898297619024476E-5</v>
      </c>
      <c r="M127" s="20">
        <v>3</v>
      </c>
      <c r="N127" s="19">
        <v>0</v>
      </c>
      <c r="O127" s="19">
        <v>0</v>
      </c>
      <c r="P127" s="19">
        <v>3.641139686845595E-3</v>
      </c>
      <c r="Q127" s="19">
        <v>0</v>
      </c>
      <c r="R127" s="19">
        <v>8.9887266293258002E-6</v>
      </c>
      <c r="S127" s="19">
        <v>8.5909570989698686E-5</v>
      </c>
      <c r="T127" s="20">
        <v>30</v>
      </c>
      <c r="U127" s="17">
        <v>2</v>
      </c>
      <c r="V127" s="17">
        <v>37</v>
      </c>
    </row>
    <row r="128" spans="1:22" x14ac:dyDescent="0.2">
      <c r="A128" t="s">
        <v>1098</v>
      </c>
      <c r="B128" t="s">
        <v>851</v>
      </c>
      <c r="C128" t="s">
        <v>852</v>
      </c>
      <c r="D128" t="s">
        <v>1062</v>
      </c>
      <c r="E128" s="10" t="s">
        <v>1099</v>
      </c>
      <c r="F128" s="10"/>
      <c r="G128" s="10"/>
      <c r="H128" s="10" t="s">
        <v>1099</v>
      </c>
      <c r="I128" s="14">
        <v>802737.86581567954</v>
      </c>
      <c r="J128" s="19">
        <v>0.81332877623734179</v>
      </c>
      <c r="K128" s="19">
        <v>0.1664050504855793</v>
      </c>
      <c r="L128" s="19">
        <v>2.0266173277078945E-2</v>
      </c>
      <c r="M128" s="20">
        <v>3</v>
      </c>
      <c r="N128" s="19">
        <v>5.8849161586047839E-2</v>
      </c>
      <c r="O128" s="19">
        <v>0</v>
      </c>
      <c r="P128" s="19">
        <v>0.10755588889953147</v>
      </c>
      <c r="Q128" s="19">
        <v>7.0597134259628774E-3</v>
      </c>
      <c r="R128" s="19">
        <v>1.256920971313974E-2</v>
      </c>
      <c r="S128" s="19">
        <v>6.3725013797632352E-4</v>
      </c>
      <c r="T128" s="20">
        <v>30</v>
      </c>
      <c r="U128" s="17">
        <v>2</v>
      </c>
      <c r="V128" s="17">
        <v>37</v>
      </c>
    </row>
    <row r="129" spans="1:22" x14ac:dyDescent="0.2">
      <c r="A129" t="s">
        <v>1100</v>
      </c>
      <c r="B129" t="s">
        <v>851</v>
      </c>
      <c r="C129" t="s">
        <v>852</v>
      </c>
      <c r="D129" t="s">
        <v>1062</v>
      </c>
      <c r="E129" s="10" t="s">
        <v>1101</v>
      </c>
      <c r="F129" s="10"/>
      <c r="G129" s="10"/>
      <c r="H129" s="10" t="s">
        <v>1101</v>
      </c>
      <c r="I129" s="14">
        <v>1102933.4954195484</v>
      </c>
      <c r="J129" s="19">
        <v>0.41824140279856548</v>
      </c>
      <c r="K129" s="19">
        <v>0.54952439143137877</v>
      </c>
      <c r="L129" s="19">
        <v>3.2234205770055736E-2</v>
      </c>
      <c r="M129" s="20">
        <v>2</v>
      </c>
      <c r="N129" s="19">
        <v>0.12686886822110285</v>
      </c>
      <c r="O129" s="19">
        <v>0</v>
      </c>
      <c r="P129" s="19">
        <v>0.42265552321027594</v>
      </c>
      <c r="Q129" s="19">
        <v>9.195028140429396E-4</v>
      </c>
      <c r="R129" s="19">
        <v>3.0432558326493286E-2</v>
      </c>
      <c r="S129" s="19">
        <v>8.8214462951951081E-4</v>
      </c>
      <c r="T129" s="20">
        <v>23</v>
      </c>
      <c r="U129" s="17">
        <v>2</v>
      </c>
      <c r="V129" s="17">
        <v>37</v>
      </c>
    </row>
    <row r="130" spans="1:22" x14ac:dyDescent="0.2">
      <c r="A130" t="s">
        <v>1102</v>
      </c>
      <c r="B130" t="s">
        <v>851</v>
      </c>
      <c r="C130" t="s">
        <v>852</v>
      </c>
      <c r="D130" t="s">
        <v>1062</v>
      </c>
      <c r="E130" s="10" t="s">
        <v>1103</v>
      </c>
      <c r="F130" s="10"/>
      <c r="G130" s="10"/>
      <c r="H130" s="10" t="s">
        <v>1103</v>
      </c>
      <c r="I130" s="14">
        <v>1187814.9333358947</v>
      </c>
      <c r="J130" s="19">
        <v>0.34931247298463802</v>
      </c>
      <c r="K130" s="19">
        <v>0.57231270845062665</v>
      </c>
      <c r="L130" s="19">
        <v>7.8374818564735313E-2</v>
      </c>
      <c r="M130" s="20">
        <v>2</v>
      </c>
      <c r="N130" s="19">
        <v>0.187992698842876</v>
      </c>
      <c r="O130" s="19">
        <v>6.1723143667878682E-3</v>
      </c>
      <c r="P130" s="19">
        <v>0.37814769524096281</v>
      </c>
      <c r="Q130" s="19">
        <v>2.2632363924689248E-2</v>
      </c>
      <c r="R130" s="19">
        <v>5.3206870524636837E-2</v>
      </c>
      <c r="S130" s="19">
        <v>2.5355841154092373E-3</v>
      </c>
      <c r="T130" s="20">
        <v>23</v>
      </c>
      <c r="U130" s="17">
        <v>2</v>
      </c>
      <c r="V130" s="17">
        <v>37</v>
      </c>
    </row>
    <row r="131" spans="1:22" x14ac:dyDescent="0.2">
      <c r="A131" t="s">
        <v>1104</v>
      </c>
      <c r="B131" t="s">
        <v>851</v>
      </c>
      <c r="C131" t="s">
        <v>852</v>
      </c>
      <c r="D131" t="s">
        <v>1062</v>
      </c>
      <c r="E131" s="10" t="s">
        <v>1105</v>
      </c>
      <c r="F131" s="10"/>
      <c r="G131" s="10"/>
      <c r="H131" s="10" t="s">
        <v>1105</v>
      </c>
      <c r="I131" s="14">
        <v>835558.95639247971</v>
      </c>
      <c r="J131" s="19">
        <v>0.66342039007085596</v>
      </c>
      <c r="K131" s="19">
        <v>0.28597631905512533</v>
      </c>
      <c r="L131" s="19">
        <v>5.0603290874018506E-2</v>
      </c>
      <c r="M131" s="20">
        <v>3</v>
      </c>
      <c r="N131" s="19">
        <v>5.958982619390172E-2</v>
      </c>
      <c r="O131" s="19">
        <v>1.9590442360050652E-2</v>
      </c>
      <c r="P131" s="19">
        <v>0.20679605050117297</v>
      </c>
      <c r="Q131" s="19">
        <v>8.4466084602331654E-3</v>
      </c>
      <c r="R131" s="19">
        <v>3.9372768631449943E-2</v>
      </c>
      <c r="S131" s="19">
        <v>2.7839137823353977E-3</v>
      </c>
      <c r="T131" s="20">
        <v>30</v>
      </c>
      <c r="U131" s="17">
        <v>2</v>
      </c>
      <c r="V131" s="17">
        <v>37</v>
      </c>
    </row>
    <row r="132" spans="1:22" x14ac:dyDescent="0.2">
      <c r="A132" t="s">
        <v>1106</v>
      </c>
      <c r="B132" t="s">
        <v>851</v>
      </c>
      <c r="C132" t="s">
        <v>852</v>
      </c>
      <c r="D132" t="s">
        <v>1062</v>
      </c>
      <c r="E132" s="10" t="s">
        <v>1107</v>
      </c>
      <c r="F132" s="10"/>
      <c r="G132" s="10"/>
      <c r="H132" s="10" t="s">
        <v>1107</v>
      </c>
      <c r="I132" s="14">
        <v>1254107.6387368492</v>
      </c>
      <c r="J132" s="19">
        <v>0.56264780735490105</v>
      </c>
      <c r="K132" s="19">
        <v>0.40396506683195721</v>
      </c>
      <c r="L132" s="19">
        <v>3.3387125813141759E-2</v>
      </c>
      <c r="M132" s="20">
        <v>3</v>
      </c>
      <c r="N132" s="19">
        <v>0.15227473546183337</v>
      </c>
      <c r="O132" s="19">
        <v>2.2810542438491881E-2</v>
      </c>
      <c r="P132" s="19">
        <v>0.22887978893163197</v>
      </c>
      <c r="Q132" s="19">
        <v>6.8711143956261831E-3</v>
      </c>
      <c r="R132" s="19">
        <v>2.464720849170924E-2</v>
      </c>
      <c r="S132" s="19">
        <v>1.8688029258063386E-3</v>
      </c>
      <c r="T132" s="20">
        <v>30</v>
      </c>
      <c r="U132" s="17">
        <v>2</v>
      </c>
      <c r="V132" s="17">
        <v>37</v>
      </c>
    </row>
    <row r="133" spans="1:22" x14ac:dyDescent="0.2">
      <c r="A133" t="s">
        <v>1108</v>
      </c>
      <c r="B133" t="s">
        <v>851</v>
      </c>
      <c r="C133" t="s">
        <v>852</v>
      </c>
      <c r="D133" t="s">
        <v>1062</v>
      </c>
      <c r="E133" s="10" t="s">
        <v>1109</v>
      </c>
      <c r="F133" s="10"/>
      <c r="G133" s="10"/>
      <c r="H133" s="10" t="s">
        <v>1109</v>
      </c>
      <c r="I133" s="14">
        <v>862417.38338483975</v>
      </c>
      <c r="J133" s="19">
        <v>0.64117979777823242</v>
      </c>
      <c r="K133" s="19">
        <v>0.32205037228004979</v>
      </c>
      <c r="L133" s="19">
        <v>3.6769829941717916E-2</v>
      </c>
      <c r="M133" s="20">
        <v>3</v>
      </c>
      <c r="N133" s="19">
        <v>4.6200468697052438E-2</v>
      </c>
      <c r="O133" s="19">
        <v>0</v>
      </c>
      <c r="P133" s="19">
        <v>0.27584990358299732</v>
      </c>
      <c r="Q133" s="19">
        <v>7.4833327735499798E-3</v>
      </c>
      <c r="R133" s="19">
        <v>2.7771517353744481E-2</v>
      </c>
      <c r="S133" s="19">
        <v>1.5149798144234563E-3</v>
      </c>
      <c r="T133" s="20">
        <v>30</v>
      </c>
      <c r="U133" s="17">
        <v>2</v>
      </c>
      <c r="V133" s="17">
        <v>37</v>
      </c>
    </row>
    <row r="134" spans="1:22" x14ac:dyDescent="0.2">
      <c r="A134" t="s">
        <v>1110</v>
      </c>
      <c r="B134" t="s">
        <v>851</v>
      </c>
      <c r="C134" t="s">
        <v>852</v>
      </c>
      <c r="D134" t="s">
        <v>1062</v>
      </c>
      <c r="E134" s="10" t="s">
        <v>1111</v>
      </c>
      <c r="F134" s="10"/>
      <c r="G134" s="10"/>
      <c r="H134" s="10" t="s">
        <v>1111</v>
      </c>
      <c r="I134" s="14">
        <v>686885.22062946763</v>
      </c>
      <c r="J134" s="19">
        <v>0.42977334403193074</v>
      </c>
      <c r="K134" s="19">
        <v>0.4443112189392876</v>
      </c>
      <c r="L134" s="19">
        <v>0.12591543702878169</v>
      </c>
      <c r="M134" s="20">
        <v>2</v>
      </c>
      <c r="N134" s="19">
        <v>2.1580416708708718E-2</v>
      </c>
      <c r="O134" s="19">
        <v>0</v>
      </c>
      <c r="P134" s="19">
        <v>0.42273080223057885</v>
      </c>
      <c r="Q134" s="19">
        <v>2.7887899569287833E-2</v>
      </c>
      <c r="R134" s="19">
        <v>9.4327956381428449E-2</v>
      </c>
      <c r="S134" s="19">
        <v>3.6995810780654182E-3</v>
      </c>
      <c r="T134" s="20">
        <v>23</v>
      </c>
      <c r="U134" s="17">
        <v>2</v>
      </c>
      <c r="V134" s="17">
        <v>37</v>
      </c>
    </row>
    <row r="135" spans="1:22" x14ac:dyDescent="0.2">
      <c r="A135" t="s">
        <v>1112</v>
      </c>
      <c r="B135" t="s">
        <v>851</v>
      </c>
      <c r="C135" t="s">
        <v>852</v>
      </c>
      <c r="D135" t="s">
        <v>1062</v>
      </c>
      <c r="E135" s="10" t="s">
        <v>1113</v>
      </c>
      <c r="F135" s="10"/>
      <c r="G135" s="10"/>
      <c r="H135" s="10" t="s">
        <v>1113</v>
      </c>
      <c r="I135" s="14">
        <v>598131.63193972129</v>
      </c>
      <c r="J135" s="19">
        <v>0.23661174647217376</v>
      </c>
      <c r="K135" s="19">
        <v>0.69045341688323991</v>
      </c>
      <c r="L135" s="19">
        <v>7.2934836644586359E-2</v>
      </c>
      <c r="M135" s="20">
        <v>2</v>
      </c>
      <c r="N135" s="19">
        <v>0.14445621899253336</v>
      </c>
      <c r="O135" s="19">
        <v>1.0900917755906906E-2</v>
      </c>
      <c r="P135" s="19">
        <v>0.5350962801347996</v>
      </c>
      <c r="Q135" s="19">
        <v>1.2162451827129593E-2</v>
      </c>
      <c r="R135" s="19">
        <v>5.7086394735771907E-2</v>
      </c>
      <c r="S135" s="19">
        <v>3.6859900816848517E-3</v>
      </c>
      <c r="T135" s="20">
        <v>21</v>
      </c>
      <c r="U135" s="17">
        <v>2</v>
      </c>
      <c r="V135" s="17">
        <v>37</v>
      </c>
    </row>
    <row r="136" spans="1:22" x14ac:dyDescent="0.2">
      <c r="A136" t="s">
        <v>1114</v>
      </c>
      <c r="B136" t="s">
        <v>851</v>
      </c>
      <c r="C136" t="s">
        <v>852</v>
      </c>
      <c r="D136" t="s">
        <v>1062</v>
      </c>
      <c r="E136" s="10" t="s">
        <v>1115</v>
      </c>
      <c r="F136" s="10"/>
      <c r="G136" s="10"/>
      <c r="H136" s="10" t="s">
        <v>1115</v>
      </c>
      <c r="I136" s="14">
        <v>202987.73985397347</v>
      </c>
      <c r="J136" s="19">
        <v>0.9350232666481092</v>
      </c>
      <c r="K136" s="19">
        <v>6.4976733351890928E-2</v>
      </c>
      <c r="L136" s="19">
        <v>0</v>
      </c>
      <c r="M136" s="20">
        <v>3</v>
      </c>
      <c r="N136" s="19">
        <v>0</v>
      </c>
      <c r="O136" s="19">
        <v>0</v>
      </c>
      <c r="P136" s="19">
        <v>6.4976733351890928E-2</v>
      </c>
      <c r="Q136" s="19">
        <v>0</v>
      </c>
      <c r="R136" s="19">
        <v>0</v>
      </c>
      <c r="S136" s="19">
        <v>0</v>
      </c>
      <c r="T136" s="20">
        <v>30</v>
      </c>
      <c r="U136" s="17">
        <v>2</v>
      </c>
      <c r="V136" s="17">
        <v>37</v>
      </c>
    </row>
    <row r="137" spans="1:22" x14ac:dyDescent="0.2">
      <c r="A137" t="s">
        <v>1116</v>
      </c>
      <c r="B137" t="s">
        <v>851</v>
      </c>
      <c r="C137" t="s">
        <v>852</v>
      </c>
      <c r="D137" t="s">
        <v>1062</v>
      </c>
      <c r="E137" s="10" t="s">
        <v>1117</v>
      </c>
      <c r="F137" s="10"/>
      <c r="G137" s="10"/>
      <c r="H137" s="10" t="s">
        <v>1117</v>
      </c>
      <c r="I137" s="14">
        <v>947160.76590972254</v>
      </c>
      <c r="J137" s="19">
        <v>0.5904963486994248</v>
      </c>
      <c r="K137" s="19">
        <v>0.34339451473741189</v>
      </c>
      <c r="L137" s="19">
        <v>6.6109136563163307E-2</v>
      </c>
      <c r="M137" s="20">
        <v>3</v>
      </c>
      <c r="N137" s="19">
        <v>4.8662594446600094E-2</v>
      </c>
      <c r="O137" s="19">
        <v>3.2207161159340312E-3</v>
      </c>
      <c r="P137" s="19">
        <v>0.29151120417487775</v>
      </c>
      <c r="Q137" s="19">
        <v>9.813532171423521E-3</v>
      </c>
      <c r="R137" s="19">
        <v>5.4854849144471481E-2</v>
      </c>
      <c r="S137" s="19">
        <v>1.4407552472683093E-3</v>
      </c>
      <c r="T137" s="20">
        <v>30</v>
      </c>
      <c r="U137" s="17">
        <v>2</v>
      </c>
      <c r="V137" s="17">
        <v>37</v>
      </c>
    </row>
    <row r="138" spans="1:22" x14ac:dyDescent="0.2">
      <c r="A138" t="s">
        <v>1118</v>
      </c>
      <c r="B138" t="s">
        <v>851</v>
      </c>
      <c r="C138" t="s">
        <v>852</v>
      </c>
      <c r="D138" t="s">
        <v>1062</v>
      </c>
      <c r="E138" s="10" t="s">
        <v>1119</v>
      </c>
      <c r="F138" s="10"/>
      <c r="G138" s="10"/>
      <c r="H138" s="10" t="s">
        <v>1119</v>
      </c>
      <c r="I138" s="14">
        <v>872188.08659534995</v>
      </c>
      <c r="J138" s="19">
        <v>0.16139395033380252</v>
      </c>
      <c r="K138" s="19">
        <v>0.78639797910582288</v>
      </c>
      <c r="L138" s="19">
        <v>5.2208070560374555E-2</v>
      </c>
      <c r="M138" s="20">
        <v>2</v>
      </c>
      <c r="N138" s="19">
        <v>0.23810743460799086</v>
      </c>
      <c r="O138" s="19">
        <v>0</v>
      </c>
      <c r="P138" s="19">
        <v>0.54829054449783199</v>
      </c>
      <c r="Q138" s="19">
        <v>6.884292156095346E-3</v>
      </c>
      <c r="R138" s="19">
        <v>4.4076131248243264E-2</v>
      </c>
      <c r="S138" s="19">
        <v>1.247647156035943E-3</v>
      </c>
      <c r="T138" s="20">
        <v>21</v>
      </c>
      <c r="U138" s="17">
        <v>2</v>
      </c>
      <c r="V138" s="17">
        <v>37</v>
      </c>
    </row>
    <row r="139" spans="1:22" x14ac:dyDescent="0.2">
      <c r="A139" t="s">
        <v>1120</v>
      </c>
      <c r="B139" t="s">
        <v>851</v>
      </c>
      <c r="C139" t="s">
        <v>852</v>
      </c>
      <c r="D139" t="s">
        <v>1062</v>
      </c>
      <c r="E139" s="10" t="s">
        <v>1121</v>
      </c>
      <c r="F139" s="10"/>
      <c r="G139" s="10"/>
      <c r="H139" s="10" t="s">
        <v>1121</v>
      </c>
      <c r="I139" s="14">
        <v>890867.49200176611</v>
      </c>
      <c r="J139" s="19">
        <v>0.7634537907846688</v>
      </c>
      <c r="K139" s="19">
        <v>0.22486835031398941</v>
      </c>
      <c r="L139" s="19">
        <v>1.1677858901341749E-2</v>
      </c>
      <c r="M139" s="20">
        <v>3</v>
      </c>
      <c r="N139" s="19">
        <v>1.8630656202282138E-2</v>
      </c>
      <c r="O139" s="19">
        <v>0</v>
      </c>
      <c r="P139" s="19">
        <v>0.20623769411170728</v>
      </c>
      <c r="Q139" s="19">
        <v>0</v>
      </c>
      <c r="R139" s="19">
        <v>1.1449578912010585E-2</v>
      </c>
      <c r="S139" s="19">
        <v>2.2827998933116226E-4</v>
      </c>
      <c r="T139" s="20">
        <v>30</v>
      </c>
      <c r="U139" s="17">
        <v>2</v>
      </c>
      <c r="V139" s="17">
        <v>37</v>
      </c>
    </row>
    <row r="140" spans="1:22" x14ac:dyDescent="0.2">
      <c r="A140" t="s">
        <v>1122</v>
      </c>
      <c r="B140" t="s">
        <v>851</v>
      </c>
      <c r="C140" t="s">
        <v>852</v>
      </c>
      <c r="D140" t="s">
        <v>1062</v>
      </c>
      <c r="E140" s="10" t="s">
        <v>1123</v>
      </c>
      <c r="F140" s="10"/>
      <c r="G140" s="10"/>
      <c r="H140" s="10" t="s">
        <v>1123</v>
      </c>
      <c r="I140" s="14">
        <v>382534.04142857809</v>
      </c>
      <c r="J140" s="19">
        <v>1</v>
      </c>
      <c r="K140" s="19">
        <v>0</v>
      </c>
      <c r="L140" s="19">
        <v>0</v>
      </c>
      <c r="M140" s="20">
        <v>3</v>
      </c>
      <c r="N140" s="19">
        <v>0</v>
      </c>
      <c r="O140" s="19">
        <v>0</v>
      </c>
      <c r="P140" s="19">
        <v>0</v>
      </c>
      <c r="Q140" s="19">
        <v>0</v>
      </c>
      <c r="R140" s="19">
        <v>0</v>
      </c>
      <c r="S140" s="19">
        <v>0</v>
      </c>
      <c r="T140" s="20">
        <v>30</v>
      </c>
      <c r="U140" s="17">
        <v>2</v>
      </c>
      <c r="V140" s="17">
        <v>37</v>
      </c>
    </row>
    <row r="141" spans="1:22" x14ac:dyDescent="0.2">
      <c r="A141" t="s">
        <v>1124</v>
      </c>
      <c r="B141" t="s">
        <v>851</v>
      </c>
      <c r="C141" t="s">
        <v>852</v>
      </c>
      <c r="D141" t="s">
        <v>1062</v>
      </c>
      <c r="E141" s="10" t="s">
        <v>1125</v>
      </c>
      <c r="F141" s="10"/>
      <c r="G141" s="10"/>
      <c r="H141" s="10" t="s">
        <v>1125</v>
      </c>
      <c r="I141" s="14">
        <v>1390042.5945767248</v>
      </c>
      <c r="J141" s="19">
        <v>0.6781651876421686</v>
      </c>
      <c r="K141" s="19">
        <v>0.30277492661821248</v>
      </c>
      <c r="L141" s="19">
        <v>1.905988573961882E-2</v>
      </c>
      <c r="M141" s="20">
        <v>3</v>
      </c>
      <c r="N141" s="19">
        <v>0.11737146967622417</v>
      </c>
      <c r="O141" s="19">
        <v>0</v>
      </c>
      <c r="P141" s="19">
        <v>0.18540345694198831</v>
      </c>
      <c r="Q141" s="19">
        <v>4.5366056890262839E-3</v>
      </c>
      <c r="R141" s="19">
        <v>1.3086079443078494E-2</v>
      </c>
      <c r="S141" s="19">
        <v>1.4372006075140408E-3</v>
      </c>
      <c r="T141" s="20">
        <v>30</v>
      </c>
      <c r="U141" s="17">
        <v>2</v>
      </c>
      <c r="V141" s="17">
        <v>37</v>
      </c>
    </row>
    <row r="142" spans="1:22" x14ac:dyDescent="0.2">
      <c r="A142" t="s">
        <v>1126</v>
      </c>
      <c r="B142" t="s">
        <v>851</v>
      </c>
      <c r="C142" t="s">
        <v>852</v>
      </c>
      <c r="D142" t="s">
        <v>1062</v>
      </c>
      <c r="E142" s="10" t="s">
        <v>1127</v>
      </c>
      <c r="F142" s="10"/>
      <c r="G142" s="10"/>
      <c r="H142" s="10" t="s">
        <v>1127</v>
      </c>
      <c r="I142" s="14">
        <v>704247.56118324294</v>
      </c>
      <c r="J142" s="19">
        <v>0.38743921078864613</v>
      </c>
      <c r="K142" s="19">
        <v>0.56789874127357653</v>
      </c>
      <c r="L142" s="19">
        <v>4.466204793777754E-2</v>
      </c>
      <c r="M142" s="20">
        <v>2</v>
      </c>
      <c r="N142" s="19">
        <v>0.14231305834846156</v>
      </c>
      <c r="O142" s="19">
        <v>0</v>
      </c>
      <c r="P142" s="19">
        <v>0.42558568292511495</v>
      </c>
      <c r="Q142" s="19">
        <v>3.9867473528461461E-3</v>
      </c>
      <c r="R142" s="19">
        <v>3.94244396785969E-2</v>
      </c>
      <c r="S142" s="19">
        <v>1.2508609063344954E-3</v>
      </c>
      <c r="T142" s="20">
        <v>23</v>
      </c>
      <c r="U142" s="17">
        <v>2</v>
      </c>
      <c r="V142" s="17">
        <v>37</v>
      </c>
    </row>
    <row r="143" spans="1:22" x14ac:dyDescent="0.2">
      <c r="A143" t="s">
        <v>1128</v>
      </c>
      <c r="B143" t="s">
        <v>851</v>
      </c>
      <c r="C143" t="s">
        <v>852</v>
      </c>
      <c r="D143" t="s">
        <v>1062</v>
      </c>
      <c r="E143" s="10" t="s">
        <v>1129</v>
      </c>
      <c r="F143" s="10"/>
      <c r="G143" s="10"/>
      <c r="H143" s="10" t="s">
        <v>1129</v>
      </c>
      <c r="I143" s="14">
        <v>20.097399152815342</v>
      </c>
      <c r="J143" s="19">
        <v>0</v>
      </c>
      <c r="K143" s="19">
        <v>0.25913647021345637</v>
      </c>
      <c r="L143" s="19">
        <v>0.74086352978654357</v>
      </c>
      <c r="M143" s="20">
        <v>1</v>
      </c>
      <c r="N143" s="19">
        <v>0</v>
      </c>
      <c r="O143" s="19">
        <v>0</v>
      </c>
      <c r="P143" s="19">
        <v>0.25913647021345637</v>
      </c>
      <c r="Q143" s="19">
        <v>0.56739126432337561</v>
      </c>
      <c r="R143" s="19">
        <v>0.1662275206870982</v>
      </c>
      <c r="S143" s="19">
        <v>7.2447447760697779E-3</v>
      </c>
      <c r="T143" s="20">
        <v>13</v>
      </c>
      <c r="U143" s="17">
        <v>2</v>
      </c>
      <c r="V143" s="17">
        <v>37</v>
      </c>
    </row>
    <row r="144" spans="1:22" x14ac:dyDescent="0.2">
      <c r="A144" t="s">
        <v>1130</v>
      </c>
      <c r="B144" t="s">
        <v>851</v>
      </c>
      <c r="C144" t="s">
        <v>852</v>
      </c>
      <c r="D144" t="s">
        <v>1062</v>
      </c>
      <c r="E144" s="10" t="s">
        <v>1131</v>
      </c>
      <c r="F144" s="10"/>
      <c r="G144" s="10"/>
      <c r="H144" s="10" t="s">
        <v>1131</v>
      </c>
      <c r="I144" s="14">
        <v>910235.36824478291</v>
      </c>
      <c r="J144" s="19">
        <v>0.11009179486218598</v>
      </c>
      <c r="K144" s="19">
        <v>0.74423190779904536</v>
      </c>
      <c r="L144" s="19">
        <v>0.14567629733876877</v>
      </c>
      <c r="M144" s="20">
        <v>2</v>
      </c>
      <c r="N144" s="19">
        <v>0.15824341018738147</v>
      </c>
      <c r="O144" s="19">
        <v>8.1633611139903875E-3</v>
      </c>
      <c r="P144" s="19">
        <v>0.57782513649767353</v>
      </c>
      <c r="Q144" s="19">
        <v>1.169596966115456E-2</v>
      </c>
      <c r="R144" s="19">
        <v>0.13025211387121388</v>
      </c>
      <c r="S144" s="19">
        <v>3.7282138064003399E-3</v>
      </c>
      <c r="T144" s="20">
        <v>21</v>
      </c>
      <c r="U144" s="17">
        <v>2</v>
      </c>
      <c r="V144" s="17">
        <v>37</v>
      </c>
    </row>
    <row r="145" spans="1:22" x14ac:dyDescent="0.2">
      <c r="A145" t="s">
        <v>1132</v>
      </c>
      <c r="B145" t="s">
        <v>851</v>
      </c>
      <c r="C145" t="s">
        <v>852</v>
      </c>
      <c r="D145" t="s">
        <v>1062</v>
      </c>
      <c r="E145" s="10" t="s">
        <v>1133</v>
      </c>
      <c r="F145" s="10"/>
      <c r="G145" s="10"/>
      <c r="H145" s="10" t="s">
        <v>1133</v>
      </c>
      <c r="I145" s="14">
        <v>763501.36487668566</v>
      </c>
      <c r="J145" s="19">
        <v>0.3895503180679839</v>
      </c>
      <c r="K145" s="19">
        <v>0.54385820667598039</v>
      </c>
      <c r="L145" s="19">
        <v>6.6591475256035731E-2</v>
      </c>
      <c r="M145" s="20">
        <v>2</v>
      </c>
      <c r="N145" s="19">
        <v>0.11298646830915535</v>
      </c>
      <c r="O145" s="19">
        <v>0</v>
      </c>
      <c r="P145" s="19">
        <v>0.43087173836682502</v>
      </c>
      <c r="Q145" s="19">
        <v>6.2963146395892773E-3</v>
      </c>
      <c r="R145" s="19">
        <v>5.8424025909979194E-2</v>
      </c>
      <c r="S145" s="19">
        <v>1.871134706467264E-3</v>
      </c>
      <c r="T145" s="20">
        <v>23</v>
      </c>
      <c r="U145" s="17">
        <v>2</v>
      </c>
      <c r="V145" s="17">
        <v>37</v>
      </c>
    </row>
    <row r="146" spans="1:22" x14ac:dyDescent="0.2">
      <c r="A146" t="s">
        <v>1134</v>
      </c>
      <c r="B146" t="s">
        <v>851</v>
      </c>
      <c r="C146" t="s">
        <v>852</v>
      </c>
      <c r="D146" t="s">
        <v>1135</v>
      </c>
      <c r="E146" s="10" t="s">
        <v>1136</v>
      </c>
      <c r="F146" s="10"/>
      <c r="G146" s="10"/>
      <c r="H146" s="10" t="s">
        <v>1136</v>
      </c>
      <c r="I146" s="14">
        <v>950454.16490934975</v>
      </c>
      <c r="J146" s="19">
        <v>9.012592050460333E-2</v>
      </c>
      <c r="K146" s="19">
        <v>0.86744616180697165</v>
      </c>
      <c r="L146" s="19">
        <v>4.2427917688424868E-2</v>
      </c>
      <c r="M146" s="20">
        <v>2</v>
      </c>
      <c r="N146" s="19">
        <v>0.17204977886110828</v>
      </c>
      <c r="O146" s="19">
        <v>0</v>
      </c>
      <c r="P146" s="19">
        <v>0.69539638294586348</v>
      </c>
      <c r="Q146" s="19">
        <v>0</v>
      </c>
      <c r="R146" s="19">
        <v>4.1644745621384233E-2</v>
      </c>
      <c r="S146" s="19">
        <v>7.8317206704063514E-4</v>
      </c>
      <c r="T146" s="20">
        <v>21</v>
      </c>
      <c r="U146" s="17">
        <v>2</v>
      </c>
      <c r="V146" s="17">
        <v>37</v>
      </c>
    </row>
    <row r="147" spans="1:22" x14ac:dyDescent="0.2">
      <c r="A147" t="s">
        <v>1137</v>
      </c>
      <c r="B147" t="s">
        <v>851</v>
      </c>
      <c r="C147" t="s">
        <v>852</v>
      </c>
      <c r="D147" t="s">
        <v>1135</v>
      </c>
      <c r="E147" s="10" t="s">
        <v>1138</v>
      </c>
      <c r="F147" s="10"/>
      <c r="G147" s="10"/>
      <c r="H147" s="10" t="s">
        <v>1138</v>
      </c>
      <c r="I147" s="14">
        <v>1594028.7661609738</v>
      </c>
      <c r="J147" s="19">
        <v>0.34075267259693803</v>
      </c>
      <c r="K147" s="19">
        <v>0.59851925310660126</v>
      </c>
      <c r="L147" s="19">
        <v>6.0728074296460745E-2</v>
      </c>
      <c r="M147" s="20">
        <v>2</v>
      </c>
      <c r="N147" s="19">
        <v>0.19635195020552629</v>
      </c>
      <c r="O147" s="19">
        <v>1.0432146296932199E-2</v>
      </c>
      <c r="P147" s="19">
        <v>0.39173515660414271</v>
      </c>
      <c r="Q147" s="19">
        <v>8.6260763728582945E-3</v>
      </c>
      <c r="R147" s="19">
        <v>4.8842316660565918E-2</v>
      </c>
      <c r="S147" s="19">
        <v>3.2596812630365335E-3</v>
      </c>
      <c r="T147" s="20">
        <v>23</v>
      </c>
      <c r="U147" s="17">
        <v>2</v>
      </c>
      <c r="V147" s="17">
        <v>37</v>
      </c>
    </row>
    <row r="148" spans="1:22" x14ac:dyDescent="0.2">
      <c r="A148" t="s">
        <v>1139</v>
      </c>
      <c r="B148" t="s">
        <v>851</v>
      </c>
      <c r="C148" t="s">
        <v>852</v>
      </c>
      <c r="D148" t="s">
        <v>1135</v>
      </c>
      <c r="E148" s="10" t="s">
        <v>1140</v>
      </c>
      <c r="F148" s="10"/>
      <c r="G148" s="10"/>
      <c r="H148" s="10" t="s">
        <v>1140</v>
      </c>
      <c r="I148" s="14">
        <v>193212.92351372726</v>
      </c>
      <c r="J148" s="19">
        <v>0.82962875390206092</v>
      </c>
      <c r="K148" s="19">
        <v>0.15262755200250996</v>
      </c>
      <c r="L148" s="19">
        <v>1.7743694095429134E-2</v>
      </c>
      <c r="M148" s="20">
        <v>3</v>
      </c>
      <c r="N148" s="19">
        <v>2.5154107607550564E-2</v>
      </c>
      <c r="O148" s="19">
        <v>0</v>
      </c>
      <c r="P148" s="19">
        <v>0.12747344439495942</v>
      </c>
      <c r="Q148" s="19">
        <v>6.4627703847574894E-3</v>
      </c>
      <c r="R148" s="19">
        <v>9.0938125762287988E-3</v>
      </c>
      <c r="S148" s="19">
        <v>2.1871111344428469E-3</v>
      </c>
      <c r="T148" s="20">
        <v>30</v>
      </c>
      <c r="U148" s="17">
        <v>2</v>
      </c>
      <c r="V148" s="17">
        <v>37</v>
      </c>
    </row>
    <row r="149" spans="1:22" x14ac:dyDescent="0.2">
      <c r="A149" t="s">
        <v>1141</v>
      </c>
      <c r="B149" t="s">
        <v>851</v>
      </c>
      <c r="C149" t="s">
        <v>852</v>
      </c>
      <c r="D149" t="s">
        <v>1135</v>
      </c>
      <c r="E149" s="10" t="s">
        <v>1142</v>
      </c>
      <c r="F149" s="10"/>
      <c r="G149" s="10"/>
      <c r="H149" s="10" t="s">
        <v>1142</v>
      </c>
      <c r="I149" s="14">
        <v>1148448.8229627742</v>
      </c>
      <c r="J149" s="19">
        <v>0.46689230762084538</v>
      </c>
      <c r="K149" s="19">
        <v>0.44368088282819079</v>
      </c>
      <c r="L149" s="19">
        <v>8.9426809550963812E-2</v>
      </c>
      <c r="M149" s="20">
        <v>2</v>
      </c>
      <c r="N149" s="19">
        <v>0.12760102105305446</v>
      </c>
      <c r="O149" s="19">
        <v>1.5655679982419266E-2</v>
      </c>
      <c r="P149" s="19">
        <v>0.30042418179271707</v>
      </c>
      <c r="Q149" s="19">
        <v>1.0897512384141324E-2</v>
      </c>
      <c r="R149" s="19">
        <v>7.5629685576826283E-2</v>
      </c>
      <c r="S149" s="19">
        <v>2.899611589996205E-3</v>
      </c>
      <c r="T149" s="20">
        <v>23</v>
      </c>
      <c r="U149" s="17">
        <v>2</v>
      </c>
      <c r="V149" s="17">
        <v>37</v>
      </c>
    </row>
    <row r="150" spans="1:22" x14ac:dyDescent="0.2">
      <c r="A150" t="s">
        <v>1143</v>
      </c>
      <c r="B150" t="s">
        <v>851</v>
      </c>
      <c r="C150" t="s">
        <v>852</v>
      </c>
      <c r="D150" t="s">
        <v>1135</v>
      </c>
      <c r="E150" s="10" t="s">
        <v>1144</v>
      </c>
      <c r="F150" s="10"/>
      <c r="G150" s="10"/>
      <c r="H150" s="10" t="s">
        <v>1144</v>
      </c>
      <c r="I150" s="14">
        <v>1213432.0433544512</v>
      </c>
      <c r="J150" s="19">
        <v>0.27544920975260173</v>
      </c>
      <c r="K150" s="19">
        <v>0.6448848479309901</v>
      </c>
      <c r="L150" s="19">
        <v>7.9665942316408167E-2</v>
      </c>
      <c r="M150" s="20">
        <v>2</v>
      </c>
      <c r="N150" s="19">
        <v>0.12444831898678099</v>
      </c>
      <c r="O150" s="19">
        <v>2.8836900171385977E-2</v>
      </c>
      <c r="P150" s="19">
        <v>0.49159962877282315</v>
      </c>
      <c r="Q150" s="19">
        <v>1.5092087771526177E-2</v>
      </c>
      <c r="R150" s="19">
        <v>6.0338190727548945E-2</v>
      </c>
      <c r="S150" s="19">
        <v>4.2356638173330413E-3</v>
      </c>
      <c r="T150" s="20">
        <v>23</v>
      </c>
      <c r="U150" s="17">
        <v>2</v>
      </c>
      <c r="V150" s="17">
        <v>37</v>
      </c>
    </row>
    <row r="151" spans="1:22" x14ac:dyDescent="0.2">
      <c r="A151" t="s">
        <v>1145</v>
      </c>
      <c r="B151" t="s">
        <v>851</v>
      </c>
      <c r="C151" t="s">
        <v>852</v>
      </c>
      <c r="D151" t="s">
        <v>1135</v>
      </c>
      <c r="E151" s="10" t="s">
        <v>1146</v>
      </c>
      <c r="F151" s="10"/>
      <c r="G151" s="10"/>
      <c r="H151" s="10" t="s">
        <v>1146</v>
      </c>
      <c r="I151" s="14">
        <v>761478.87096890714</v>
      </c>
      <c r="J151" s="19">
        <v>0.21672064894825177</v>
      </c>
      <c r="K151" s="19">
        <v>0.71343166812350178</v>
      </c>
      <c r="L151" s="19">
        <v>6.9847682928246474E-2</v>
      </c>
      <c r="M151" s="20">
        <v>2</v>
      </c>
      <c r="N151" s="19">
        <v>0.1211854665607663</v>
      </c>
      <c r="O151" s="19">
        <v>1.033070854297408E-2</v>
      </c>
      <c r="P151" s="19">
        <v>0.58191549301976131</v>
      </c>
      <c r="Q151" s="19">
        <v>1.0283902102551982E-2</v>
      </c>
      <c r="R151" s="19">
        <v>5.681018655886818E-2</v>
      </c>
      <c r="S151" s="19">
        <v>2.7535942668263239E-3</v>
      </c>
      <c r="T151" s="20">
        <v>21</v>
      </c>
      <c r="U151" s="17">
        <v>2</v>
      </c>
      <c r="V151" s="17">
        <v>37</v>
      </c>
    </row>
    <row r="152" spans="1:22" x14ac:dyDescent="0.2">
      <c r="A152" t="s">
        <v>1147</v>
      </c>
      <c r="B152" t="s">
        <v>851</v>
      </c>
      <c r="C152" t="s">
        <v>852</v>
      </c>
      <c r="D152" t="s">
        <v>1135</v>
      </c>
      <c r="E152" s="10" t="s">
        <v>1148</v>
      </c>
      <c r="F152" s="10"/>
      <c r="G152" s="10"/>
      <c r="H152" s="10" t="s">
        <v>1148</v>
      </c>
      <c r="I152" s="14">
        <v>1225996.8902378443</v>
      </c>
      <c r="J152" s="19">
        <v>0.60351478102359946</v>
      </c>
      <c r="K152" s="19">
        <v>0.36023185918159978</v>
      </c>
      <c r="L152" s="19">
        <v>3.6253359794800807E-2</v>
      </c>
      <c r="M152" s="20">
        <v>3</v>
      </c>
      <c r="N152" s="19">
        <v>0.1008877908041796</v>
      </c>
      <c r="O152" s="19">
        <v>1.833050376709134E-2</v>
      </c>
      <c r="P152" s="19">
        <v>0.24101356461032883</v>
      </c>
      <c r="Q152" s="19">
        <v>6.1197629610610163E-3</v>
      </c>
      <c r="R152" s="19">
        <v>2.8216823833750185E-2</v>
      </c>
      <c r="S152" s="19">
        <v>1.9167729999896093E-3</v>
      </c>
      <c r="T152" s="20">
        <v>30</v>
      </c>
      <c r="U152" s="17">
        <v>2</v>
      </c>
      <c r="V152" s="17">
        <v>37</v>
      </c>
    </row>
    <row r="153" spans="1:22" x14ac:dyDescent="0.2">
      <c r="A153" t="s">
        <v>1149</v>
      </c>
      <c r="B153" t="s">
        <v>851</v>
      </c>
      <c r="C153" t="s">
        <v>852</v>
      </c>
      <c r="D153" t="s">
        <v>1135</v>
      </c>
      <c r="E153" s="10" t="s">
        <v>1150</v>
      </c>
      <c r="F153" s="10"/>
      <c r="G153" s="10"/>
      <c r="H153" s="10" t="s">
        <v>1150</v>
      </c>
      <c r="I153" s="14">
        <v>2423690.3554009218</v>
      </c>
      <c r="J153" s="19">
        <v>0.50851022399253409</v>
      </c>
      <c r="K153" s="19">
        <v>0.45494488527265864</v>
      </c>
      <c r="L153" s="19">
        <v>3.6544890734807323E-2</v>
      </c>
      <c r="M153" s="20">
        <v>3</v>
      </c>
      <c r="N153" s="19">
        <v>0.1487466564741107</v>
      </c>
      <c r="O153" s="19">
        <v>6.1037296445295604E-3</v>
      </c>
      <c r="P153" s="19">
        <v>0.30009449915401837</v>
      </c>
      <c r="Q153" s="19">
        <v>4.3047244217468781E-3</v>
      </c>
      <c r="R153" s="19">
        <v>3.02175068709187E-2</v>
      </c>
      <c r="S153" s="19">
        <v>2.0226594421417416E-3</v>
      </c>
      <c r="T153" s="20">
        <v>30</v>
      </c>
      <c r="U153" s="17">
        <v>2</v>
      </c>
      <c r="V153" s="17">
        <v>37</v>
      </c>
    </row>
    <row r="154" spans="1:22" x14ac:dyDescent="0.2">
      <c r="A154" t="s">
        <v>1151</v>
      </c>
      <c r="B154" t="s">
        <v>851</v>
      </c>
      <c r="C154" t="s">
        <v>852</v>
      </c>
      <c r="D154" t="s">
        <v>1135</v>
      </c>
      <c r="E154" s="10" t="s">
        <v>1152</v>
      </c>
      <c r="F154" s="10"/>
      <c r="G154" s="10"/>
      <c r="H154" s="10" t="s">
        <v>1152</v>
      </c>
      <c r="I154" s="14">
        <v>1239475.5731487556</v>
      </c>
      <c r="J154" s="19">
        <v>0.42894716671720029</v>
      </c>
      <c r="K154" s="19">
        <v>0.54201644165209784</v>
      </c>
      <c r="L154" s="19">
        <v>2.9036391630701881E-2</v>
      </c>
      <c r="M154" s="20">
        <v>2</v>
      </c>
      <c r="N154" s="19">
        <v>0.20453800054644569</v>
      </c>
      <c r="O154" s="19">
        <v>8.8684964974994947E-3</v>
      </c>
      <c r="P154" s="19">
        <v>0.32860994460815263</v>
      </c>
      <c r="Q154" s="19">
        <v>5.1891324717048401E-3</v>
      </c>
      <c r="R154" s="19">
        <v>2.2996766214879588E-2</v>
      </c>
      <c r="S154" s="19">
        <v>8.5049294411745479E-4</v>
      </c>
      <c r="T154" s="20">
        <v>23</v>
      </c>
      <c r="U154" s="17">
        <v>2</v>
      </c>
      <c r="V154" s="17">
        <v>37</v>
      </c>
    </row>
    <row r="155" spans="1:22" x14ac:dyDescent="0.2">
      <c r="A155" t="s">
        <v>1153</v>
      </c>
      <c r="B155" t="s">
        <v>851</v>
      </c>
      <c r="C155" t="s">
        <v>852</v>
      </c>
      <c r="D155" t="s">
        <v>1135</v>
      </c>
      <c r="E155" s="10" t="s">
        <v>1154</v>
      </c>
      <c r="F155" s="10"/>
      <c r="G155" s="10"/>
      <c r="H155" s="10" t="s">
        <v>1154</v>
      </c>
      <c r="I155" s="14">
        <v>1545404.2708909577</v>
      </c>
      <c r="J155" s="19">
        <v>0.3499631269389088</v>
      </c>
      <c r="K155" s="19">
        <v>0.61416604071438574</v>
      </c>
      <c r="L155" s="19">
        <v>3.5870832346705489E-2</v>
      </c>
      <c r="M155" s="20">
        <v>2</v>
      </c>
      <c r="N155" s="19">
        <v>0.23825986613170588</v>
      </c>
      <c r="O155" s="19">
        <v>1.1806423589507886E-3</v>
      </c>
      <c r="P155" s="19">
        <v>0.37472553222372906</v>
      </c>
      <c r="Q155" s="19">
        <v>5.441046232778534E-3</v>
      </c>
      <c r="R155" s="19">
        <v>2.9032472046325475E-2</v>
      </c>
      <c r="S155" s="19">
        <v>1.3973140676014802E-3</v>
      </c>
      <c r="T155" s="20">
        <v>23</v>
      </c>
      <c r="U155" s="17">
        <v>2</v>
      </c>
      <c r="V155" s="17">
        <v>37</v>
      </c>
    </row>
    <row r="156" spans="1:22" x14ac:dyDescent="0.2">
      <c r="A156" t="s">
        <v>1155</v>
      </c>
      <c r="B156" t="s">
        <v>851</v>
      </c>
      <c r="C156" t="s">
        <v>852</v>
      </c>
      <c r="D156" t="s">
        <v>1135</v>
      </c>
      <c r="E156" s="10" t="s">
        <v>1156</v>
      </c>
      <c r="F156" s="10"/>
      <c r="G156" s="10"/>
      <c r="H156" s="10" t="s">
        <v>1156</v>
      </c>
      <c r="I156" s="14">
        <v>145178.10393574205</v>
      </c>
      <c r="J156" s="19">
        <v>0.99992841931425902</v>
      </c>
      <c r="K156" s="19">
        <v>7.1580685740940054E-5</v>
      </c>
      <c r="L156" s="19">
        <v>0</v>
      </c>
      <c r="M156" s="20">
        <v>3</v>
      </c>
      <c r="N156" s="19">
        <v>0</v>
      </c>
      <c r="O156" s="19">
        <v>0</v>
      </c>
      <c r="P156" s="19">
        <v>7.1580685740940054E-5</v>
      </c>
      <c r="Q156" s="19">
        <v>0</v>
      </c>
      <c r="R156" s="19">
        <v>0</v>
      </c>
      <c r="S156" s="19">
        <v>0</v>
      </c>
      <c r="T156" s="20">
        <v>30</v>
      </c>
      <c r="U156" s="17">
        <v>2</v>
      </c>
      <c r="V156" s="17">
        <v>37</v>
      </c>
    </row>
    <row r="157" spans="1:22" x14ac:dyDescent="0.2">
      <c r="A157" t="s">
        <v>1157</v>
      </c>
      <c r="B157" t="s">
        <v>851</v>
      </c>
      <c r="C157" t="s">
        <v>852</v>
      </c>
      <c r="D157" t="s">
        <v>1135</v>
      </c>
      <c r="E157" s="10" t="s">
        <v>1158</v>
      </c>
      <c r="F157" s="10"/>
      <c r="G157" s="10"/>
      <c r="H157" s="10" t="s">
        <v>1158</v>
      </c>
      <c r="I157" s="14">
        <v>288660.89588328055</v>
      </c>
      <c r="J157" s="19">
        <v>0.95560665596933347</v>
      </c>
      <c r="K157" s="19">
        <v>4.3131592337232988E-2</v>
      </c>
      <c r="L157" s="19">
        <v>1.2617516934335677E-3</v>
      </c>
      <c r="M157" s="20">
        <v>3</v>
      </c>
      <c r="N157" s="19">
        <v>0</v>
      </c>
      <c r="O157" s="19">
        <v>0</v>
      </c>
      <c r="P157" s="19">
        <v>4.3131592337232988E-2</v>
      </c>
      <c r="Q157" s="19">
        <v>0</v>
      </c>
      <c r="R157" s="19">
        <v>1.2365480716980937E-3</v>
      </c>
      <c r="S157" s="19">
        <v>2.5203621735473949E-5</v>
      </c>
      <c r="T157" s="20">
        <v>30</v>
      </c>
      <c r="U157" s="17">
        <v>2</v>
      </c>
      <c r="V157" s="17">
        <v>37</v>
      </c>
    </row>
    <row r="158" spans="1:22" x14ac:dyDescent="0.2">
      <c r="A158" t="s">
        <v>1159</v>
      </c>
      <c r="B158" t="s">
        <v>851</v>
      </c>
      <c r="C158" t="s">
        <v>852</v>
      </c>
      <c r="D158" t="s">
        <v>1135</v>
      </c>
      <c r="E158" s="10" t="s">
        <v>1160</v>
      </c>
      <c r="F158" s="10"/>
      <c r="G158" s="10"/>
      <c r="H158" s="10" t="s">
        <v>1160</v>
      </c>
      <c r="I158" s="14">
        <v>193633.84909337922</v>
      </c>
      <c r="J158" s="19">
        <v>0.99029935769075472</v>
      </c>
      <c r="K158" s="19">
        <v>9.7006423092452637E-3</v>
      </c>
      <c r="L158" s="19">
        <v>0</v>
      </c>
      <c r="M158" s="20">
        <v>3</v>
      </c>
      <c r="N158" s="19">
        <v>0</v>
      </c>
      <c r="O158" s="19">
        <v>0</v>
      </c>
      <c r="P158" s="19">
        <v>9.7006423092452637E-3</v>
      </c>
      <c r="Q158" s="19">
        <v>0</v>
      </c>
      <c r="R158" s="19">
        <v>0</v>
      </c>
      <c r="S158" s="19">
        <v>0</v>
      </c>
      <c r="T158" s="20">
        <v>30</v>
      </c>
      <c r="U158" s="17">
        <v>2</v>
      </c>
      <c r="V158" s="17">
        <v>37</v>
      </c>
    </row>
    <row r="159" spans="1:22" x14ac:dyDescent="0.2">
      <c r="A159" t="s">
        <v>1161</v>
      </c>
      <c r="B159" t="s">
        <v>851</v>
      </c>
      <c r="C159" t="s">
        <v>852</v>
      </c>
      <c r="D159" t="s">
        <v>1135</v>
      </c>
      <c r="E159" s="10" t="s">
        <v>1162</v>
      </c>
      <c r="F159" s="10"/>
      <c r="G159" s="10"/>
      <c r="H159" s="10" t="s">
        <v>1162</v>
      </c>
      <c r="I159" s="14">
        <v>1070051.4050039039</v>
      </c>
      <c r="J159" s="19">
        <v>0.99271658265511553</v>
      </c>
      <c r="K159" s="19">
        <v>6.7977231707729768E-3</v>
      </c>
      <c r="L159" s="19">
        <v>4.8569417411146803E-4</v>
      </c>
      <c r="M159" s="20">
        <v>3</v>
      </c>
      <c r="N159" s="19">
        <v>0</v>
      </c>
      <c r="O159" s="19">
        <v>0</v>
      </c>
      <c r="P159" s="19">
        <v>6.7977231707729768E-3</v>
      </c>
      <c r="Q159" s="19">
        <v>0</v>
      </c>
      <c r="R159" s="19">
        <v>4.6840894570775404E-4</v>
      </c>
      <c r="S159" s="19">
        <v>1.7285228403714E-5</v>
      </c>
      <c r="T159" s="20">
        <v>30</v>
      </c>
      <c r="U159" s="17">
        <v>2</v>
      </c>
      <c r="V159" s="17">
        <v>37</v>
      </c>
    </row>
    <row r="160" spans="1:22" x14ac:dyDescent="0.2">
      <c r="A160" t="s">
        <v>1163</v>
      </c>
      <c r="B160" t="s">
        <v>851</v>
      </c>
      <c r="C160" t="s">
        <v>852</v>
      </c>
      <c r="D160" t="s">
        <v>1135</v>
      </c>
      <c r="E160" s="10" t="s">
        <v>1164</v>
      </c>
      <c r="F160" s="10"/>
      <c r="G160" s="10"/>
      <c r="H160" s="10" t="s">
        <v>1164</v>
      </c>
      <c r="I160" s="14">
        <v>152860.68614854664</v>
      </c>
      <c r="J160" s="19">
        <v>1</v>
      </c>
      <c r="K160" s="19">
        <v>0</v>
      </c>
      <c r="L160" s="19">
        <v>0</v>
      </c>
      <c r="M160" s="20">
        <v>3</v>
      </c>
      <c r="N160" s="19">
        <v>0</v>
      </c>
      <c r="O160" s="19">
        <v>0</v>
      </c>
      <c r="P160" s="19">
        <v>0</v>
      </c>
      <c r="Q160" s="19">
        <v>0</v>
      </c>
      <c r="R160" s="19">
        <v>0</v>
      </c>
      <c r="S160" s="19">
        <v>0</v>
      </c>
      <c r="T160" s="20">
        <v>30</v>
      </c>
      <c r="U160" s="17">
        <v>2</v>
      </c>
      <c r="V160" s="17">
        <v>37</v>
      </c>
    </row>
    <row r="161" spans="1:22" x14ac:dyDescent="0.2">
      <c r="A161" t="s">
        <v>1165</v>
      </c>
      <c r="B161" t="s">
        <v>851</v>
      </c>
      <c r="C161" t="s">
        <v>852</v>
      </c>
      <c r="D161" t="s">
        <v>1135</v>
      </c>
      <c r="E161" s="10" t="s">
        <v>1166</v>
      </c>
      <c r="F161" s="10"/>
      <c r="G161" s="10"/>
      <c r="H161" s="10" t="s">
        <v>1166</v>
      </c>
      <c r="I161" s="14">
        <v>180430.30651536398</v>
      </c>
      <c r="J161" s="19">
        <v>0.96735997123353423</v>
      </c>
      <c r="K161" s="19">
        <v>3.1648281860578525E-2</v>
      </c>
      <c r="L161" s="19">
        <v>9.9174690588718466E-4</v>
      </c>
      <c r="M161" s="20">
        <v>3</v>
      </c>
      <c r="N161" s="19">
        <v>0</v>
      </c>
      <c r="O161" s="19">
        <v>0</v>
      </c>
      <c r="P161" s="19">
        <v>3.1648281860578525E-2</v>
      </c>
      <c r="Q161" s="19">
        <v>0</v>
      </c>
      <c r="R161" s="19">
        <v>8.0391816224489746E-4</v>
      </c>
      <c r="S161" s="19">
        <v>1.8782874364228723E-4</v>
      </c>
      <c r="T161" s="20">
        <v>30</v>
      </c>
      <c r="U161" s="17">
        <v>2</v>
      </c>
      <c r="V161" s="17">
        <v>37</v>
      </c>
    </row>
    <row r="162" spans="1:22" x14ac:dyDescent="0.2">
      <c r="A162" t="s">
        <v>1167</v>
      </c>
      <c r="B162" t="s">
        <v>851</v>
      </c>
      <c r="C162" t="s">
        <v>852</v>
      </c>
      <c r="D162" t="s">
        <v>1135</v>
      </c>
      <c r="E162" s="10" t="s">
        <v>1168</v>
      </c>
      <c r="F162" s="10"/>
      <c r="G162" s="10"/>
      <c r="H162" s="10" t="s">
        <v>1168</v>
      </c>
      <c r="I162" s="14">
        <v>261662.67370473593</v>
      </c>
      <c r="J162" s="19">
        <v>0.99782000761604306</v>
      </c>
      <c r="K162" s="19">
        <v>2.1394596487040876E-3</v>
      </c>
      <c r="L162" s="19">
        <v>4.0532735252777713E-5</v>
      </c>
      <c r="M162" s="20">
        <v>3</v>
      </c>
      <c r="N162" s="19">
        <v>0</v>
      </c>
      <c r="O162" s="19">
        <v>0</v>
      </c>
      <c r="P162" s="19">
        <v>2.1394596487040876E-3</v>
      </c>
      <c r="Q162" s="19">
        <v>0</v>
      </c>
      <c r="R162" s="19">
        <v>4.0532735252777713E-5</v>
      </c>
      <c r="S162" s="19">
        <v>0</v>
      </c>
      <c r="T162" s="20">
        <v>30</v>
      </c>
      <c r="U162" s="17">
        <v>2</v>
      </c>
      <c r="V162" s="17">
        <v>37</v>
      </c>
    </row>
    <row r="163" spans="1:22" x14ac:dyDescent="0.2">
      <c r="A163" t="s">
        <v>1169</v>
      </c>
      <c r="B163" t="s">
        <v>851</v>
      </c>
      <c r="C163" t="s">
        <v>852</v>
      </c>
      <c r="D163" t="s">
        <v>1135</v>
      </c>
      <c r="E163" s="10" t="s">
        <v>1170</v>
      </c>
      <c r="F163" s="10"/>
      <c r="G163" s="10"/>
      <c r="H163" s="10" t="s">
        <v>1170</v>
      </c>
      <c r="I163" s="14">
        <v>1187547.5961162029</v>
      </c>
      <c r="J163" s="19">
        <v>0.13158458562329231</v>
      </c>
      <c r="K163" s="19">
        <v>0.81859224429450017</v>
      </c>
      <c r="L163" s="19">
        <v>4.9823170082207519E-2</v>
      </c>
      <c r="M163" s="20">
        <v>2</v>
      </c>
      <c r="N163" s="19">
        <v>0.28137686244203519</v>
      </c>
      <c r="O163" s="19">
        <v>0</v>
      </c>
      <c r="P163" s="19">
        <v>0.53721538185246498</v>
      </c>
      <c r="Q163" s="19">
        <v>3.2378915022259719E-3</v>
      </c>
      <c r="R163" s="19">
        <v>4.378181613971828E-2</v>
      </c>
      <c r="S163" s="19">
        <v>2.8034624402632664E-3</v>
      </c>
      <c r="T163" s="20">
        <v>21</v>
      </c>
      <c r="U163" s="17">
        <v>2</v>
      </c>
      <c r="V163" s="17">
        <v>37</v>
      </c>
    </row>
    <row r="164" spans="1:22" x14ac:dyDescent="0.2">
      <c r="A164" t="s">
        <v>1171</v>
      </c>
      <c r="B164" t="s">
        <v>851</v>
      </c>
      <c r="C164" t="s">
        <v>852</v>
      </c>
      <c r="D164" t="s">
        <v>1135</v>
      </c>
      <c r="E164" s="10" t="s">
        <v>1172</v>
      </c>
      <c r="F164" s="10"/>
      <c r="G164" s="10"/>
      <c r="H164" s="10" t="s">
        <v>1172</v>
      </c>
      <c r="I164" s="14">
        <v>1011916.4972146652</v>
      </c>
      <c r="J164" s="19">
        <v>0.26724348324189329</v>
      </c>
      <c r="K164" s="19">
        <v>0.6579594264274945</v>
      </c>
      <c r="L164" s="19">
        <v>7.479709033061234E-2</v>
      </c>
      <c r="M164" s="20">
        <v>2</v>
      </c>
      <c r="N164" s="19">
        <v>0.17521684978907404</v>
      </c>
      <c r="O164" s="19">
        <v>0</v>
      </c>
      <c r="P164" s="19">
        <v>0.4827425766384203</v>
      </c>
      <c r="Q164" s="19">
        <v>8.0284844641276155E-3</v>
      </c>
      <c r="R164" s="19">
        <v>6.4358631853644169E-2</v>
      </c>
      <c r="S164" s="19">
        <v>2.4099740128405512E-3</v>
      </c>
      <c r="T164" s="20">
        <v>23</v>
      </c>
      <c r="U164" s="17">
        <v>2</v>
      </c>
      <c r="V164" s="17">
        <v>37</v>
      </c>
    </row>
    <row r="165" spans="1:22" x14ac:dyDescent="0.2">
      <c r="A165" t="s">
        <v>1173</v>
      </c>
      <c r="B165" t="s">
        <v>851</v>
      </c>
      <c r="C165" t="s">
        <v>852</v>
      </c>
      <c r="D165" t="s">
        <v>1135</v>
      </c>
      <c r="E165" s="10" t="s">
        <v>1174</v>
      </c>
      <c r="F165" s="10"/>
      <c r="G165" s="10"/>
      <c r="H165" s="10" t="s">
        <v>1174</v>
      </c>
      <c r="I165" s="14">
        <v>666686.96294137486</v>
      </c>
      <c r="J165" s="19">
        <v>0.40130217675421914</v>
      </c>
      <c r="K165" s="19">
        <v>0.51709805078795423</v>
      </c>
      <c r="L165" s="19">
        <v>8.1599772457826625E-2</v>
      </c>
      <c r="M165" s="20">
        <v>2</v>
      </c>
      <c r="N165" s="19">
        <v>0.10172669508036222</v>
      </c>
      <c r="O165" s="19">
        <v>2.5857119864991767E-2</v>
      </c>
      <c r="P165" s="19">
        <v>0.38951423584260025</v>
      </c>
      <c r="Q165" s="19">
        <v>2.288545325396809E-2</v>
      </c>
      <c r="R165" s="19">
        <v>5.5549376976222954E-2</v>
      </c>
      <c r="S165" s="19">
        <v>3.1649422276356001E-3</v>
      </c>
      <c r="T165" s="20">
        <v>23</v>
      </c>
      <c r="U165" s="17">
        <v>2</v>
      </c>
      <c r="V165" s="17">
        <v>37</v>
      </c>
    </row>
    <row r="166" spans="1:22" x14ac:dyDescent="0.2">
      <c r="A166" t="s">
        <v>1175</v>
      </c>
      <c r="B166" t="s">
        <v>851</v>
      </c>
      <c r="C166" t="s">
        <v>852</v>
      </c>
      <c r="D166" t="s">
        <v>1135</v>
      </c>
      <c r="E166" s="10" t="s">
        <v>1176</v>
      </c>
      <c r="F166" s="10"/>
      <c r="G166" s="10"/>
      <c r="H166" s="10" t="s">
        <v>1176</v>
      </c>
      <c r="I166" s="14">
        <v>626243.2160543853</v>
      </c>
      <c r="J166" s="19">
        <v>0.18731315522644115</v>
      </c>
      <c r="K166" s="19">
        <v>0.7789145507612083</v>
      </c>
      <c r="L166" s="19">
        <v>3.3772294012350573E-2</v>
      </c>
      <c r="M166" s="20">
        <v>2</v>
      </c>
      <c r="N166" s="19">
        <v>0.28524118199132331</v>
      </c>
      <c r="O166" s="19">
        <v>0</v>
      </c>
      <c r="P166" s="19">
        <v>0.49367336876988499</v>
      </c>
      <c r="Q166" s="19">
        <v>0</v>
      </c>
      <c r="R166" s="19">
        <v>3.2715833599761227E-2</v>
      </c>
      <c r="S166" s="19">
        <v>1.0564604125893494E-3</v>
      </c>
      <c r="T166" s="20">
        <v>23</v>
      </c>
      <c r="U166" s="17">
        <v>2</v>
      </c>
      <c r="V166" s="17">
        <v>37</v>
      </c>
    </row>
    <row r="167" spans="1:22" x14ac:dyDescent="0.2">
      <c r="A167" t="s">
        <v>1177</v>
      </c>
      <c r="B167" t="s">
        <v>851</v>
      </c>
      <c r="C167" t="s">
        <v>852</v>
      </c>
      <c r="D167" t="s">
        <v>1135</v>
      </c>
      <c r="E167" s="10" t="s">
        <v>1178</v>
      </c>
      <c r="F167" s="10"/>
      <c r="G167" s="10"/>
      <c r="H167" s="10" t="s">
        <v>1178</v>
      </c>
      <c r="I167" s="14">
        <v>2367745.8505614344</v>
      </c>
      <c r="J167" s="19">
        <v>0.41946292870749868</v>
      </c>
      <c r="K167" s="19">
        <v>0.50464632587968206</v>
      </c>
      <c r="L167" s="19">
        <v>7.589074541281933E-2</v>
      </c>
      <c r="M167" s="20">
        <v>2</v>
      </c>
      <c r="N167" s="19">
        <v>0.16725323067514086</v>
      </c>
      <c r="O167" s="19">
        <v>1.0100447331436484E-2</v>
      </c>
      <c r="P167" s="19">
        <v>0.32729264787310469</v>
      </c>
      <c r="Q167" s="19">
        <v>1.2322877277936494E-2</v>
      </c>
      <c r="R167" s="19">
        <v>6.1179171879451329E-2</v>
      </c>
      <c r="S167" s="19">
        <v>2.3886962554315054E-3</v>
      </c>
      <c r="T167" s="20">
        <v>23</v>
      </c>
      <c r="U167" s="17">
        <v>2</v>
      </c>
      <c r="V167" s="17">
        <v>37</v>
      </c>
    </row>
    <row r="168" spans="1:22" x14ac:dyDescent="0.2">
      <c r="A168" t="s">
        <v>1179</v>
      </c>
      <c r="B168" t="s">
        <v>851</v>
      </c>
      <c r="C168" t="s">
        <v>852</v>
      </c>
      <c r="D168" t="s">
        <v>1135</v>
      </c>
      <c r="E168" s="10" t="s">
        <v>1180</v>
      </c>
      <c r="F168" s="10"/>
      <c r="G168" s="10"/>
      <c r="H168" s="10" t="s">
        <v>1180</v>
      </c>
      <c r="I168" s="14">
        <v>1051138.6338846046</v>
      </c>
      <c r="J168" s="19">
        <v>0.60758061973677246</v>
      </c>
      <c r="K168" s="19">
        <v>0.37085045246695364</v>
      </c>
      <c r="L168" s="19">
        <v>2.1568927796273861E-2</v>
      </c>
      <c r="M168" s="20">
        <v>3</v>
      </c>
      <c r="N168" s="19">
        <v>9.6704856015233362E-2</v>
      </c>
      <c r="O168" s="19">
        <v>0</v>
      </c>
      <c r="P168" s="19">
        <v>0.27414559645172032</v>
      </c>
      <c r="Q168" s="19">
        <v>0</v>
      </c>
      <c r="R168" s="19">
        <v>2.0679765247571032E-2</v>
      </c>
      <c r="S168" s="19">
        <v>8.8916254870283218E-4</v>
      </c>
      <c r="T168" s="20">
        <v>30</v>
      </c>
      <c r="U168" s="17">
        <v>2</v>
      </c>
      <c r="V168" s="17">
        <v>37</v>
      </c>
    </row>
    <row r="169" spans="1:22" x14ac:dyDescent="0.2">
      <c r="A169" t="s">
        <v>1181</v>
      </c>
      <c r="B169" t="s">
        <v>851</v>
      </c>
      <c r="C169" t="s">
        <v>852</v>
      </c>
      <c r="D169" t="s">
        <v>1135</v>
      </c>
      <c r="E169" s="10" t="s">
        <v>1182</v>
      </c>
      <c r="F169" s="10"/>
      <c r="G169" s="10"/>
      <c r="H169" s="10" t="s">
        <v>1182</v>
      </c>
      <c r="I169" s="14">
        <v>1048256.4903407787</v>
      </c>
      <c r="J169" s="19">
        <v>0.45569792129761283</v>
      </c>
      <c r="K169" s="19">
        <v>0.50288803682570227</v>
      </c>
      <c r="L169" s="19">
        <v>4.1414041876684987E-2</v>
      </c>
      <c r="M169" s="20">
        <v>2</v>
      </c>
      <c r="N169" s="19">
        <v>0.13173606369646829</v>
      </c>
      <c r="O169" s="19">
        <v>1.6872950720102795E-2</v>
      </c>
      <c r="P169" s="19">
        <v>0.35427902240913123</v>
      </c>
      <c r="Q169" s="19">
        <v>9.4590288298839892E-3</v>
      </c>
      <c r="R169" s="19">
        <v>3.0621187052941937E-2</v>
      </c>
      <c r="S169" s="19">
        <v>1.33382599385906E-3</v>
      </c>
      <c r="T169" s="20">
        <v>23</v>
      </c>
      <c r="U169" s="17">
        <v>2</v>
      </c>
      <c r="V169" s="17">
        <v>37</v>
      </c>
    </row>
    <row r="170" spans="1:22" x14ac:dyDescent="0.2">
      <c r="A170" t="s">
        <v>1183</v>
      </c>
      <c r="B170" t="s">
        <v>851</v>
      </c>
      <c r="C170" t="s">
        <v>852</v>
      </c>
      <c r="D170" t="s">
        <v>1135</v>
      </c>
      <c r="E170" s="10" t="s">
        <v>1184</v>
      </c>
      <c r="F170" s="10"/>
      <c r="G170" s="10"/>
      <c r="H170" s="10" t="s">
        <v>1184</v>
      </c>
      <c r="I170" s="14">
        <v>820399.81946054357</v>
      </c>
      <c r="J170" s="19">
        <v>0.10671421753500548</v>
      </c>
      <c r="K170" s="19">
        <v>0.82474901443331361</v>
      </c>
      <c r="L170" s="19">
        <v>6.853676803168085E-2</v>
      </c>
      <c r="M170" s="20">
        <v>2</v>
      </c>
      <c r="N170" s="19">
        <v>0.21729846830204511</v>
      </c>
      <c r="O170" s="19">
        <v>0</v>
      </c>
      <c r="P170" s="19">
        <v>0.60745054613126859</v>
      </c>
      <c r="Q170" s="19">
        <v>7.7052657205666942E-3</v>
      </c>
      <c r="R170" s="19">
        <v>5.7998241584145585E-2</v>
      </c>
      <c r="S170" s="19">
        <v>2.8332607269685641E-3</v>
      </c>
      <c r="T170" s="20">
        <v>21</v>
      </c>
      <c r="U170" s="17">
        <v>2</v>
      </c>
      <c r="V170" s="17">
        <v>37</v>
      </c>
    </row>
    <row r="171" spans="1:22" x14ac:dyDescent="0.2">
      <c r="A171" t="s">
        <v>1185</v>
      </c>
      <c r="B171" t="s">
        <v>851</v>
      </c>
      <c r="C171" t="s">
        <v>852</v>
      </c>
      <c r="D171" t="s">
        <v>1135</v>
      </c>
      <c r="E171" s="10" t="s">
        <v>1186</v>
      </c>
      <c r="F171" s="10"/>
      <c r="G171" s="10"/>
      <c r="H171" s="10" t="s">
        <v>1186</v>
      </c>
      <c r="I171" s="14">
        <v>551721.94475803431</v>
      </c>
      <c r="J171" s="19">
        <v>0.32656352615715101</v>
      </c>
      <c r="K171" s="19">
        <v>0.36253419170832452</v>
      </c>
      <c r="L171" s="19">
        <v>0.31090228213452442</v>
      </c>
      <c r="M171" s="20">
        <v>2</v>
      </c>
      <c r="N171" s="19">
        <v>1.3035404246547649E-2</v>
      </c>
      <c r="O171" s="19">
        <v>0.18885145955893265</v>
      </c>
      <c r="P171" s="19">
        <v>0.16064732790284425</v>
      </c>
      <c r="Q171" s="19">
        <v>6.235280716124459E-2</v>
      </c>
      <c r="R171" s="19">
        <v>0.24202264461427186</v>
      </c>
      <c r="S171" s="19">
        <v>6.5268303590079978E-3</v>
      </c>
      <c r="T171" s="20">
        <v>22</v>
      </c>
      <c r="U171" s="17">
        <v>2</v>
      </c>
      <c r="V171" s="17">
        <v>37</v>
      </c>
    </row>
    <row r="172" spans="1:22" x14ac:dyDescent="0.2">
      <c r="A172" t="s">
        <v>1187</v>
      </c>
      <c r="B172" t="s">
        <v>851</v>
      </c>
      <c r="C172" t="s">
        <v>852</v>
      </c>
      <c r="D172" t="s">
        <v>1135</v>
      </c>
      <c r="E172" s="10" t="s">
        <v>1188</v>
      </c>
      <c r="F172" s="10"/>
      <c r="G172" s="10"/>
      <c r="H172" s="10" t="s">
        <v>1188</v>
      </c>
      <c r="I172" s="14">
        <v>837317.11557658168</v>
      </c>
      <c r="J172" s="19">
        <v>0.34046776694482284</v>
      </c>
      <c r="K172" s="19">
        <v>0.6416436195594124</v>
      </c>
      <c r="L172" s="19">
        <v>1.7888613495764621E-2</v>
      </c>
      <c r="M172" s="20">
        <v>2</v>
      </c>
      <c r="N172" s="19">
        <v>9.4332592173715507E-2</v>
      </c>
      <c r="O172" s="19">
        <v>0</v>
      </c>
      <c r="P172" s="19">
        <v>0.54731102738569692</v>
      </c>
      <c r="Q172" s="19">
        <v>1.5337984272202048E-3</v>
      </c>
      <c r="R172" s="19">
        <v>1.6222303167601697E-2</v>
      </c>
      <c r="S172" s="19">
        <v>1.3251190094271876E-4</v>
      </c>
      <c r="T172" s="20">
        <v>21</v>
      </c>
      <c r="U172" s="17">
        <v>2</v>
      </c>
      <c r="V172" s="17">
        <v>37</v>
      </c>
    </row>
    <row r="173" spans="1:22" x14ac:dyDescent="0.2">
      <c r="A173" t="s">
        <v>1189</v>
      </c>
      <c r="B173" t="s">
        <v>851</v>
      </c>
      <c r="C173" t="s">
        <v>852</v>
      </c>
      <c r="D173" t="s">
        <v>1135</v>
      </c>
      <c r="E173" s="10" t="s">
        <v>1190</v>
      </c>
      <c r="F173" s="10"/>
      <c r="G173" s="10"/>
      <c r="H173" s="10" t="s">
        <v>1190</v>
      </c>
      <c r="I173" s="14">
        <v>1609814.2223157259</v>
      </c>
      <c r="J173" s="19">
        <v>0.60724799960412179</v>
      </c>
      <c r="K173" s="19">
        <v>0.35825046272151395</v>
      </c>
      <c r="L173" s="19">
        <v>3.4501537674364237E-2</v>
      </c>
      <c r="M173" s="20">
        <v>3</v>
      </c>
      <c r="N173" s="19">
        <v>7.7176591368230685E-2</v>
      </c>
      <c r="O173" s="19">
        <v>8.2340265066571886E-3</v>
      </c>
      <c r="P173" s="19">
        <v>0.27283984484662605</v>
      </c>
      <c r="Q173" s="19">
        <v>7.0224977890067262E-3</v>
      </c>
      <c r="R173" s="19">
        <v>2.6272246431003742E-2</v>
      </c>
      <c r="S173" s="19">
        <v>1.2067934543537673E-3</v>
      </c>
      <c r="T173" s="20">
        <v>30</v>
      </c>
      <c r="U173" s="17">
        <v>2</v>
      </c>
      <c r="V173" s="17">
        <v>37</v>
      </c>
    </row>
    <row r="174" spans="1:22" x14ac:dyDescent="0.2">
      <c r="A174" t="s">
        <v>1191</v>
      </c>
      <c r="B174" t="s">
        <v>851</v>
      </c>
      <c r="C174" t="s">
        <v>852</v>
      </c>
      <c r="D174" t="s">
        <v>1135</v>
      </c>
      <c r="E174" s="10" t="s">
        <v>1192</v>
      </c>
      <c r="F174" s="10"/>
      <c r="G174" s="10"/>
      <c r="H174" s="10" t="s">
        <v>1192</v>
      </c>
      <c r="I174" s="14">
        <v>867446.92177593382</v>
      </c>
      <c r="J174" s="19">
        <v>0.42638063076772215</v>
      </c>
      <c r="K174" s="19">
        <v>0.47700070053787347</v>
      </c>
      <c r="L174" s="19">
        <v>9.6618668694404289E-2</v>
      </c>
      <c r="M174" s="20">
        <v>2</v>
      </c>
      <c r="N174" s="19">
        <v>0.10656058595637767</v>
      </c>
      <c r="O174" s="19">
        <v>5.1269385145238273E-5</v>
      </c>
      <c r="P174" s="19">
        <v>0.37038884519635057</v>
      </c>
      <c r="Q174" s="19">
        <v>5.4000475136339651E-3</v>
      </c>
      <c r="R174" s="19">
        <v>8.7377464119846898E-2</v>
      </c>
      <c r="S174" s="19">
        <v>3.8411570609234338E-3</v>
      </c>
      <c r="T174" s="20">
        <v>23</v>
      </c>
      <c r="U174" s="17">
        <v>2</v>
      </c>
      <c r="V174" s="17">
        <v>37</v>
      </c>
    </row>
    <row r="175" spans="1:22" x14ac:dyDescent="0.2">
      <c r="A175" t="s">
        <v>1193</v>
      </c>
      <c r="B175" t="s">
        <v>851</v>
      </c>
      <c r="C175" t="s">
        <v>852</v>
      </c>
      <c r="D175" t="s">
        <v>1135</v>
      </c>
      <c r="E175" s="10" t="s">
        <v>1194</v>
      </c>
      <c r="F175" s="10"/>
      <c r="G175" s="10"/>
      <c r="H175" s="10" t="s">
        <v>1194</v>
      </c>
      <c r="I175" s="14">
        <v>1108010.1481752545</v>
      </c>
      <c r="J175" s="19">
        <v>0.3549735238485498</v>
      </c>
      <c r="K175" s="19">
        <v>0.56799733240895267</v>
      </c>
      <c r="L175" s="19">
        <v>7.7029143742497572E-2</v>
      </c>
      <c r="M175" s="20">
        <v>2</v>
      </c>
      <c r="N175" s="19">
        <v>0.10596780061357612</v>
      </c>
      <c r="O175" s="19">
        <v>2.4587629350872185E-2</v>
      </c>
      <c r="P175" s="19">
        <v>0.43744190244450432</v>
      </c>
      <c r="Q175" s="19">
        <v>1.4619903342127425E-2</v>
      </c>
      <c r="R175" s="19">
        <v>5.9994093573493355E-2</v>
      </c>
      <c r="S175" s="19">
        <v>2.415146826876791E-3</v>
      </c>
      <c r="T175" s="20">
        <v>23</v>
      </c>
      <c r="U175" s="17">
        <v>2</v>
      </c>
      <c r="V175" s="17">
        <v>37</v>
      </c>
    </row>
    <row r="176" spans="1:22" x14ac:dyDescent="0.2">
      <c r="A176" t="s">
        <v>1195</v>
      </c>
      <c r="B176" t="s">
        <v>851</v>
      </c>
      <c r="C176" t="s">
        <v>852</v>
      </c>
      <c r="D176" t="s">
        <v>1135</v>
      </c>
      <c r="E176" s="10" t="s">
        <v>1196</v>
      </c>
      <c r="F176" s="10"/>
      <c r="G176" s="10"/>
      <c r="H176" s="10" t="s">
        <v>1196</v>
      </c>
      <c r="I176" s="14">
        <v>934654.64615472034</v>
      </c>
      <c r="J176" s="19">
        <v>0.16445717854305439</v>
      </c>
      <c r="K176" s="19">
        <v>0.80254626067933088</v>
      </c>
      <c r="L176" s="19">
        <v>3.2996560777614738E-2</v>
      </c>
      <c r="M176" s="20">
        <v>2</v>
      </c>
      <c r="N176" s="19">
        <v>0.10094267719846234</v>
      </c>
      <c r="O176" s="19">
        <v>0</v>
      </c>
      <c r="P176" s="19">
        <v>0.7016035834808686</v>
      </c>
      <c r="Q176" s="19">
        <v>1.1227094090053475E-3</v>
      </c>
      <c r="R176" s="19">
        <v>3.1224558724203419E-2</v>
      </c>
      <c r="S176" s="19">
        <v>6.492926444059728E-4</v>
      </c>
      <c r="T176" s="20">
        <v>21</v>
      </c>
      <c r="U176" s="17">
        <v>2</v>
      </c>
      <c r="V176" s="17">
        <v>37</v>
      </c>
    </row>
    <row r="177" spans="1:22" x14ac:dyDescent="0.2">
      <c r="A177" t="s">
        <v>1197</v>
      </c>
      <c r="B177" t="s">
        <v>851</v>
      </c>
      <c r="C177" t="s">
        <v>852</v>
      </c>
      <c r="D177" t="s">
        <v>1135</v>
      </c>
      <c r="E177" s="10" t="s">
        <v>1198</v>
      </c>
      <c r="F177" s="10"/>
      <c r="G177" s="10"/>
      <c r="H177" s="10" t="s">
        <v>1198</v>
      </c>
      <c r="I177" s="14">
        <v>2124318.6865325859</v>
      </c>
      <c r="J177" s="19">
        <v>0.97061707241781503</v>
      </c>
      <c r="K177" s="19">
        <v>2.6826175453586006E-2</v>
      </c>
      <c r="L177" s="19">
        <v>2.5567521285989507E-3</v>
      </c>
      <c r="M177" s="20">
        <v>3</v>
      </c>
      <c r="N177" s="19">
        <v>6.6249807175702072E-3</v>
      </c>
      <c r="O177" s="19">
        <v>0</v>
      </c>
      <c r="P177" s="19">
        <v>2.0201194736015799E-2</v>
      </c>
      <c r="Q177" s="19">
        <v>2.6548816156987985E-4</v>
      </c>
      <c r="R177" s="19">
        <v>2.1082345331473028E-3</v>
      </c>
      <c r="S177" s="19">
        <v>1.8302943388176805E-4</v>
      </c>
      <c r="T177" s="20">
        <v>30</v>
      </c>
      <c r="U177" s="17">
        <v>2</v>
      </c>
      <c r="V177" s="17">
        <v>37</v>
      </c>
    </row>
    <row r="178" spans="1:22" x14ac:dyDescent="0.2">
      <c r="A178" t="s">
        <v>1199</v>
      </c>
      <c r="B178" t="s">
        <v>851</v>
      </c>
      <c r="C178" t="s">
        <v>852</v>
      </c>
      <c r="D178" t="s">
        <v>1135</v>
      </c>
      <c r="E178" s="10" t="s">
        <v>1200</v>
      </c>
      <c r="F178" s="10"/>
      <c r="G178" s="10"/>
      <c r="H178" s="10" t="s">
        <v>1200</v>
      </c>
      <c r="I178" s="14">
        <v>667766.74640440708</v>
      </c>
      <c r="J178" s="19">
        <v>0.38594796896692335</v>
      </c>
      <c r="K178" s="19">
        <v>0.52299078995158754</v>
      </c>
      <c r="L178" s="19">
        <v>9.1061241081489094E-2</v>
      </c>
      <c r="M178" s="20">
        <v>2</v>
      </c>
      <c r="N178" s="19">
        <v>0.15528421937554596</v>
      </c>
      <c r="O178" s="19">
        <v>0</v>
      </c>
      <c r="P178" s="19">
        <v>0.36770657057604161</v>
      </c>
      <c r="Q178" s="19">
        <v>1.755584016950687E-2</v>
      </c>
      <c r="R178" s="19">
        <v>6.8539238330036778E-2</v>
      </c>
      <c r="S178" s="19">
        <v>4.9661625819454368E-3</v>
      </c>
      <c r="T178" s="20">
        <v>23</v>
      </c>
      <c r="U178" s="17">
        <v>2</v>
      </c>
      <c r="V178" s="17">
        <v>37</v>
      </c>
    </row>
    <row r="179" spans="1:22" x14ac:dyDescent="0.2">
      <c r="A179" t="s">
        <v>1201</v>
      </c>
      <c r="B179" t="s">
        <v>851</v>
      </c>
      <c r="C179" t="s">
        <v>852</v>
      </c>
      <c r="D179" t="s">
        <v>1135</v>
      </c>
      <c r="E179" s="10" t="s">
        <v>1202</v>
      </c>
      <c r="F179" s="10"/>
      <c r="G179" s="10"/>
      <c r="H179" s="10" t="s">
        <v>1202</v>
      </c>
      <c r="I179" s="14">
        <v>1049350.6439576615</v>
      </c>
      <c r="J179" s="19">
        <v>0.1597031233499302</v>
      </c>
      <c r="K179" s="19">
        <v>0.7325215941068276</v>
      </c>
      <c r="L179" s="19">
        <v>0.10777528254324223</v>
      </c>
      <c r="M179" s="20">
        <v>2</v>
      </c>
      <c r="N179" s="19">
        <v>0.10167891496083611</v>
      </c>
      <c r="O179" s="19">
        <v>5.2758336511604199E-2</v>
      </c>
      <c r="P179" s="19">
        <v>0.57808434263438724</v>
      </c>
      <c r="Q179" s="19">
        <v>2.8978065620356843E-2</v>
      </c>
      <c r="R179" s="19">
        <v>7.5647646665393101E-2</v>
      </c>
      <c r="S179" s="19">
        <v>3.1495702574922679E-3</v>
      </c>
      <c r="T179" s="20">
        <v>21</v>
      </c>
      <c r="U179" s="17">
        <v>2</v>
      </c>
      <c r="V179" s="17">
        <v>37</v>
      </c>
    </row>
    <row r="180" spans="1:22" x14ac:dyDescent="0.2">
      <c r="A180" t="s">
        <v>1203</v>
      </c>
      <c r="B180" t="s">
        <v>851</v>
      </c>
      <c r="C180" t="s">
        <v>852</v>
      </c>
      <c r="D180" t="s">
        <v>1135</v>
      </c>
      <c r="E180" s="10" t="s">
        <v>1204</v>
      </c>
      <c r="F180" s="10"/>
      <c r="G180" s="10"/>
      <c r="H180" s="10" t="s">
        <v>1204</v>
      </c>
      <c r="I180" s="14">
        <v>2939043.1759395516</v>
      </c>
      <c r="J180" s="19">
        <v>0.99643279162088272</v>
      </c>
      <c r="K180" s="19">
        <v>3.1167338072659694E-3</v>
      </c>
      <c r="L180" s="19">
        <v>4.5047457185136544E-4</v>
      </c>
      <c r="M180" s="20">
        <v>3</v>
      </c>
      <c r="N180" s="19">
        <v>0</v>
      </c>
      <c r="O180" s="19">
        <v>0</v>
      </c>
      <c r="P180" s="19">
        <v>3.1167338072659694E-3</v>
      </c>
      <c r="Q180" s="19">
        <v>0</v>
      </c>
      <c r="R180" s="19">
        <v>4.2656643840761682E-4</v>
      </c>
      <c r="S180" s="19">
        <v>2.3908133443748604E-5</v>
      </c>
      <c r="T180" s="20">
        <v>30</v>
      </c>
      <c r="U180" s="17">
        <v>2</v>
      </c>
      <c r="V180" s="17">
        <v>37</v>
      </c>
    </row>
    <row r="181" spans="1:22" x14ac:dyDescent="0.2">
      <c r="A181" t="s">
        <v>1205</v>
      </c>
      <c r="B181" t="s">
        <v>851</v>
      </c>
      <c r="C181" t="s">
        <v>852</v>
      </c>
      <c r="D181" t="s">
        <v>1135</v>
      </c>
      <c r="E181" s="10" t="s">
        <v>1206</v>
      </c>
      <c r="F181" s="10"/>
      <c r="G181" s="10"/>
      <c r="H181" s="10" t="s">
        <v>1206</v>
      </c>
      <c r="I181" s="14">
        <v>690012.64893585118</v>
      </c>
      <c r="J181" s="19">
        <v>0.34443211602518392</v>
      </c>
      <c r="K181" s="19">
        <v>0.51142045827354332</v>
      </c>
      <c r="L181" s="19">
        <v>0.1441474257012727</v>
      </c>
      <c r="M181" s="20">
        <v>2</v>
      </c>
      <c r="N181" s="19">
        <v>0.22981786458628728</v>
      </c>
      <c r="O181" s="19">
        <v>1.5848082425794064E-4</v>
      </c>
      <c r="P181" s="19">
        <v>0.28144411286299814</v>
      </c>
      <c r="Q181" s="19">
        <v>2.3223393777949176E-2</v>
      </c>
      <c r="R181" s="19">
        <v>0.11650868434566705</v>
      </c>
      <c r="S181" s="19">
        <v>4.4153475776565042E-3</v>
      </c>
      <c r="T181" s="20">
        <v>23</v>
      </c>
      <c r="U181" s="17">
        <v>2</v>
      </c>
      <c r="V181" s="17">
        <v>37</v>
      </c>
    </row>
    <row r="182" spans="1:22" x14ac:dyDescent="0.2">
      <c r="A182" t="s">
        <v>1207</v>
      </c>
      <c r="B182" t="s">
        <v>851</v>
      </c>
      <c r="C182" t="s">
        <v>852</v>
      </c>
      <c r="D182" t="s">
        <v>1135</v>
      </c>
      <c r="E182" s="10" t="s">
        <v>1208</v>
      </c>
      <c r="F182" s="10"/>
      <c r="G182" s="10"/>
      <c r="H182" s="10" t="s">
        <v>1208</v>
      </c>
      <c r="I182" s="14">
        <v>1143143.4108281876</v>
      </c>
      <c r="J182" s="19">
        <v>0.1790397354249596</v>
      </c>
      <c r="K182" s="19">
        <v>0.69647521972149096</v>
      </c>
      <c r="L182" s="19">
        <v>0.12448504485354947</v>
      </c>
      <c r="M182" s="20">
        <v>2</v>
      </c>
      <c r="N182" s="19">
        <v>0.28136624513278452</v>
      </c>
      <c r="O182" s="19">
        <v>0</v>
      </c>
      <c r="P182" s="19">
        <v>0.41510897458870644</v>
      </c>
      <c r="Q182" s="19">
        <v>6.5206844507868802E-2</v>
      </c>
      <c r="R182" s="19">
        <v>5.4780289608164758E-2</v>
      </c>
      <c r="S182" s="19">
        <v>4.497910737515912E-3</v>
      </c>
      <c r="T182" s="20">
        <v>23</v>
      </c>
      <c r="U182" s="17">
        <v>2</v>
      </c>
      <c r="V182" s="17">
        <v>37</v>
      </c>
    </row>
    <row r="183" spans="1:22" x14ac:dyDescent="0.2">
      <c r="A183" t="s">
        <v>1209</v>
      </c>
      <c r="B183" t="s">
        <v>851</v>
      </c>
      <c r="C183" t="s">
        <v>852</v>
      </c>
      <c r="D183" t="s">
        <v>1135</v>
      </c>
      <c r="E183" s="10" t="s">
        <v>1210</v>
      </c>
      <c r="F183" s="10"/>
      <c r="G183" s="10"/>
      <c r="H183" s="10" t="s">
        <v>1210</v>
      </c>
      <c r="I183" s="14">
        <v>1022552.1257085181</v>
      </c>
      <c r="J183" s="19">
        <v>0.65009509286876588</v>
      </c>
      <c r="K183" s="19">
        <v>0.29344842974341639</v>
      </c>
      <c r="L183" s="19">
        <v>5.64564773878177E-2</v>
      </c>
      <c r="M183" s="20">
        <v>3</v>
      </c>
      <c r="N183" s="19">
        <v>7.6175983568363886E-2</v>
      </c>
      <c r="O183" s="19">
        <v>0</v>
      </c>
      <c r="P183" s="19">
        <v>0.21727244617505251</v>
      </c>
      <c r="Q183" s="19">
        <v>9.2549131320564335E-3</v>
      </c>
      <c r="R183" s="19">
        <v>4.4654468422763501E-2</v>
      </c>
      <c r="S183" s="19">
        <v>2.5470958329977728E-3</v>
      </c>
      <c r="T183" s="20">
        <v>30</v>
      </c>
      <c r="U183" s="17">
        <v>2</v>
      </c>
      <c r="V183" s="17">
        <v>37</v>
      </c>
    </row>
    <row r="184" spans="1:22" x14ac:dyDescent="0.2">
      <c r="A184" t="s">
        <v>1211</v>
      </c>
      <c r="B184" t="s">
        <v>851</v>
      </c>
      <c r="C184" t="s">
        <v>852</v>
      </c>
      <c r="D184" t="s">
        <v>1212</v>
      </c>
      <c r="E184" s="10" t="s">
        <v>1213</v>
      </c>
      <c r="F184" s="10"/>
      <c r="G184" s="10"/>
      <c r="H184" s="10" t="s">
        <v>1213</v>
      </c>
      <c r="I184" s="14">
        <v>244193.15739855496</v>
      </c>
      <c r="J184" s="19">
        <v>0</v>
      </c>
      <c r="K184" s="19">
        <v>0.27185106552896082</v>
      </c>
      <c r="L184" s="19">
        <v>0.72814893447103912</v>
      </c>
      <c r="M184" s="20">
        <v>1</v>
      </c>
      <c r="N184" s="19">
        <v>0.11017758223948654</v>
      </c>
      <c r="O184" s="19">
        <v>6.9813062965755263E-2</v>
      </c>
      <c r="P184" s="19">
        <v>9.1860420323719036E-2</v>
      </c>
      <c r="Q184" s="19">
        <v>0.22347229365120758</v>
      </c>
      <c r="R184" s="19">
        <v>0.44572245099832719</v>
      </c>
      <c r="S184" s="19">
        <v>5.8954189821504424E-2</v>
      </c>
      <c r="T184" s="20">
        <v>12</v>
      </c>
      <c r="U184" s="17">
        <v>2</v>
      </c>
      <c r="V184" s="17">
        <v>37</v>
      </c>
    </row>
    <row r="185" spans="1:22" x14ac:dyDescent="0.2">
      <c r="A185" t="s">
        <v>1214</v>
      </c>
      <c r="B185" t="s">
        <v>851</v>
      </c>
      <c r="C185" t="s">
        <v>852</v>
      </c>
      <c r="D185" t="s">
        <v>1212</v>
      </c>
      <c r="E185" s="10" t="s">
        <v>1215</v>
      </c>
      <c r="F185" s="10"/>
      <c r="G185" s="10"/>
      <c r="H185" s="10" t="s">
        <v>1215</v>
      </c>
      <c r="I185" s="14">
        <v>253868.50915168598</v>
      </c>
      <c r="J185" s="19">
        <v>0</v>
      </c>
      <c r="K185" s="19">
        <v>0.26111426873839977</v>
      </c>
      <c r="L185" s="19">
        <v>0.73888573126160006</v>
      </c>
      <c r="M185" s="20">
        <v>1</v>
      </c>
      <c r="N185" s="19">
        <v>0.19176407707683768</v>
      </c>
      <c r="O185" s="19">
        <v>2.1963311706715533E-2</v>
      </c>
      <c r="P185" s="19">
        <v>4.7386879954846611E-2</v>
      </c>
      <c r="Q185" s="19">
        <v>0.26889488462015976</v>
      </c>
      <c r="R185" s="19">
        <v>0.41434798181225396</v>
      </c>
      <c r="S185" s="19">
        <v>5.5642864829186456E-2</v>
      </c>
      <c r="T185" s="20">
        <v>12</v>
      </c>
      <c r="U185" s="17">
        <v>2</v>
      </c>
      <c r="V185" s="17">
        <v>37</v>
      </c>
    </row>
    <row r="186" spans="1:22" x14ac:dyDescent="0.2">
      <c r="A186" t="s">
        <v>1216</v>
      </c>
      <c r="B186" t="s">
        <v>851</v>
      </c>
      <c r="C186" t="s">
        <v>852</v>
      </c>
      <c r="D186" t="s">
        <v>1212</v>
      </c>
      <c r="E186" s="10" t="s">
        <v>1217</v>
      </c>
      <c r="F186" s="10"/>
      <c r="G186" s="10"/>
      <c r="H186" s="10" t="s">
        <v>1217</v>
      </c>
      <c r="I186" s="14">
        <v>109739.04176070075</v>
      </c>
      <c r="J186" s="19">
        <v>0</v>
      </c>
      <c r="K186" s="19">
        <v>0.26951430879437599</v>
      </c>
      <c r="L186" s="19">
        <v>0.73048569120562401</v>
      </c>
      <c r="M186" s="20">
        <v>1</v>
      </c>
      <c r="N186" s="19">
        <v>0</v>
      </c>
      <c r="O186" s="19">
        <v>0.26951430879437599</v>
      </c>
      <c r="P186" s="19">
        <v>0</v>
      </c>
      <c r="Q186" s="19">
        <v>0.2888428964833743</v>
      </c>
      <c r="R186" s="19">
        <v>0.39615299009120286</v>
      </c>
      <c r="S186" s="19">
        <v>4.5489804631046828E-2</v>
      </c>
      <c r="T186" s="20">
        <v>12</v>
      </c>
      <c r="U186" s="17">
        <v>2</v>
      </c>
      <c r="V186" s="17">
        <v>37</v>
      </c>
    </row>
    <row r="187" spans="1:22" x14ac:dyDescent="0.2">
      <c r="A187" t="s">
        <v>1218</v>
      </c>
      <c r="B187" t="s">
        <v>851</v>
      </c>
      <c r="C187" t="s">
        <v>852</v>
      </c>
      <c r="D187" t="s">
        <v>1212</v>
      </c>
      <c r="E187" s="10" t="s">
        <v>1219</v>
      </c>
      <c r="F187" s="10"/>
      <c r="G187" s="10"/>
      <c r="H187" s="10" t="s">
        <v>1219</v>
      </c>
      <c r="I187" s="14">
        <v>484974.43135171471</v>
      </c>
      <c r="J187" s="19">
        <v>0.33972291420926581</v>
      </c>
      <c r="K187" s="19">
        <v>0.1489678009902978</v>
      </c>
      <c r="L187" s="19">
        <v>0.51130928480043658</v>
      </c>
      <c r="M187" s="20">
        <v>1</v>
      </c>
      <c r="N187" s="19">
        <v>5.683458159840496E-2</v>
      </c>
      <c r="O187" s="19">
        <v>2.191254171060561E-2</v>
      </c>
      <c r="P187" s="19">
        <v>7.0220677681287216E-2</v>
      </c>
      <c r="Q187" s="19">
        <v>0.10241022441622608</v>
      </c>
      <c r="R187" s="19">
        <v>0.34145007928240362</v>
      </c>
      <c r="S187" s="19">
        <v>6.7448981101806832E-2</v>
      </c>
      <c r="T187" s="20">
        <v>12</v>
      </c>
      <c r="U187" s="17">
        <v>2</v>
      </c>
      <c r="V187" s="17">
        <v>37</v>
      </c>
    </row>
    <row r="188" spans="1:22" x14ac:dyDescent="0.2">
      <c r="A188" t="s">
        <v>1220</v>
      </c>
      <c r="B188" t="s">
        <v>851</v>
      </c>
      <c r="C188" t="s">
        <v>852</v>
      </c>
      <c r="D188" t="s">
        <v>1212</v>
      </c>
      <c r="E188" s="10" t="s">
        <v>1221</v>
      </c>
      <c r="F188" s="10"/>
      <c r="G188" s="10"/>
      <c r="H188" s="10" t="s">
        <v>1221</v>
      </c>
      <c r="I188" s="14">
        <v>539630.68581923284</v>
      </c>
      <c r="J188" s="19">
        <v>0.97173904271475664</v>
      </c>
      <c r="K188" s="19">
        <v>2.5531300071108397E-2</v>
      </c>
      <c r="L188" s="19">
        <v>2.7296572141349614E-3</v>
      </c>
      <c r="M188" s="20">
        <v>3</v>
      </c>
      <c r="N188" s="19">
        <v>0</v>
      </c>
      <c r="O188" s="19">
        <v>0</v>
      </c>
      <c r="P188" s="19">
        <v>2.5531300071108397E-2</v>
      </c>
      <c r="Q188" s="19">
        <v>0</v>
      </c>
      <c r="R188" s="19">
        <v>2.6548073275636558E-3</v>
      </c>
      <c r="S188" s="19">
        <v>7.4849886571305845E-5</v>
      </c>
      <c r="T188" s="20">
        <v>30</v>
      </c>
      <c r="U188" s="17">
        <v>2</v>
      </c>
      <c r="V188" s="17">
        <v>37</v>
      </c>
    </row>
    <row r="189" spans="1:22" x14ac:dyDescent="0.2">
      <c r="A189" t="s">
        <v>1222</v>
      </c>
      <c r="B189" t="s">
        <v>851</v>
      </c>
      <c r="C189" t="s">
        <v>852</v>
      </c>
      <c r="D189" t="s">
        <v>1212</v>
      </c>
      <c r="E189" s="10" t="s">
        <v>1223</v>
      </c>
      <c r="F189" s="10"/>
      <c r="G189" s="10"/>
      <c r="H189" s="10" t="s">
        <v>1223</v>
      </c>
      <c r="I189" s="14">
        <v>700783.42240771744</v>
      </c>
      <c r="J189" s="19">
        <v>0.34677282145947669</v>
      </c>
      <c r="K189" s="19">
        <v>0.29162498193948261</v>
      </c>
      <c r="L189" s="19">
        <v>0.36160219660104076</v>
      </c>
      <c r="M189" s="20">
        <v>2</v>
      </c>
      <c r="N189" s="19">
        <v>2.6332824350681322E-2</v>
      </c>
      <c r="O189" s="19">
        <v>7.4528019701448095E-2</v>
      </c>
      <c r="P189" s="19">
        <v>0.19076413788735319</v>
      </c>
      <c r="Q189" s="19">
        <v>0.11584711414538154</v>
      </c>
      <c r="R189" s="19">
        <v>0.2224421800407386</v>
      </c>
      <c r="S189" s="19">
        <v>2.331290241492058E-2</v>
      </c>
      <c r="T189" s="20">
        <v>22</v>
      </c>
      <c r="U189" s="17">
        <v>2</v>
      </c>
      <c r="V189" s="17">
        <v>37</v>
      </c>
    </row>
    <row r="190" spans="1:22" x14ac:dyDescent="0.2">
      <c r="A190" t="s">
        <v>1224</v>
      </c>
      <c r="B190" t="s">
        <v>851</v>
      </c>
      <c r="C190" t="s">
        <v>852</v>
      </c>
      <c r="D190" t="s">
        <v>1212</v>
      </c>
      <c r="E190" s="10" t="s">
        <v>1225</v>
      </c>
      <c r="F190" s="10"/>
      <c r="G190" s="10"/>
      <c r="H190" s="10" t="s">
        <v>1225</v>
      </c>
      <c r="I190" s="14">
        <v>357294.9818870537</v>
      </c>
      <c r="J190" s="19">
        <v>0.15462003111404168</v>
      </c>
      <c r="K190" s="19">
        <v>7.4738433530390225E-2</v>
      </c>
      <c r="L190" s="19">
        <v>0.77064153535556812</v>
      </c>
      <c r="M190" s="20">
        <v>1</v>
      </c>
      <c r="N190" s="19">
        <v>0</v>
      </c>
      <c r="O190" s="19">
        <v>4.224569095830661E-2</v>
      </c>
      <c r="P190" s="19">
        <v>3.2492742572083615E-2</v>
      </c>
      <c r="Q190" s="19">
        <v>0.16709059788399394</v>
      </c>
      <c r="R190" s="19">
        <v>0.54828876027255558</v>
      </c>
      <c r="S190" s="19">
        <v>5.526217719901854E-2</v>
      </c>
      <c r="T190" s="20">
        <v>12</v>
      </c>
      <c r="U190" s="17">
        <v>2</v>
      </c>
      <c r="V190" s="17">
        <v>37</v>
      </c>
    </row>
    <row r="191" spans="1:22" x14ac:dyDescent="0.2">
      <c r="A191" t="s">
        <v>1226</v>
      </c>
      <c r="B191" t="s">
        <v>851</v>
      </c>
      <c r="C191" t="s">
        <v>852</v>
      </c>
      <c r="D191" t="s">
        <v>1212</v>
      </c>
      <c r="E191" s="10" t="s">
        <v>1227</v>
      </c>
      <c r="F191" s="10"/>
      <c r="G191" s="10"/>
      <c r="H191" s="10" t="s">
        <v>1227</v>
      </c>
      <c r="I191" s="14">
        <v>217418.13287695078</v>
      </c>
      <c r="J191" s="19">
        <v>0.2625647745044602</v>
      </c>
      <c r="K191" s="19">
        <v>0.11852030107547344</v>
      </c>
      <c r="L191" s="19">
        <v>0.61891492442006635</v>
      </c>
      <c r="M191" s="20">
        <v>1</v>
      </c>
      <c r="N191" s="19">
        <v>0</v>
      </c>
      <c r="O191" s="19">
        <v>4.5399008878608232E-2</v>
      </c>
      <c r="P191" s="19">
        <v>7.3121292196865209E-2</v>
      </c>
      <c r="Q191" s="19">
        <v>0.25371834768521367</v>
      </c>
      <c r="R191" s="19">
        <v>0.32435118142943914</v>
      </c>
      <c r="S191" s="19">
        <v>4.0845395305413548E-2</v>
      </c>
      <c r="T191" s="20">
        <v>12</v>
      </c>
      <c r="U191" s="17">
        <v>2</v>
      </c>
      <c r="V191" s="17">
        <v>37</v>
      </c>
    </row>
    <row r="192" spans="1:22" x14ac:dyDescent="0.2">
      <c r="A192" t="s">
        <v>1228</v>
      </c>
      <c r="B192" t="s">
        <v>851</v>
      </c>
      <c r="C192" t="s">
        <v>852</v>
      </c>
      <c r="D192" t="s">
        <v>1212</v>
      </c>
      <c r="E192" s="10" t="s">
        <v>1229</v>
      </c>
      <c r="F192" s="10"/>
      <c r="G192" s="10"/>
      <c r="H192" s="10" t="s">
        <v>1229</v>
      </c>
      <c r="I192" s="14">
        <v>250111.34509475576</v>
      </c>
      <c r="J192" s="19">
        <v>2.4229625075673878E-2</v>
      </c>
      <c r="K192" s="19">
        <v>0.70078970668235996</v>
      </c>
      <c r="L192" s="19">
        <v>0.27498066824196615</v>
      </c>
      <c r="M192" s="20">
        <v>2</v>
      </c>
      <c r="N192" s="19">
        <v>0.2583927171449546</v>
      </c>
      <c r="O192" s="19">
        <v>0.10660895834915744</v>
      </c>
      <c r="P192" s="19">
        <v>0.3357880311882479</v>
      </c>
      <c r="Q192" s="19">
        <v>3.8168034612268247E-2</v>
      </c>
      <c r="R192" s="19">
        <v>0.21577947983205462</v>
      </c>
      <c r="S192" s="19">
        <v>2.1033153797643298E-2</v>
      </c>
      <c r="T192" s="20">
        <v>23</v>
      </c>
      <c r="U192" s="17">
        <v>2</v>
      </c>
      <c r="V192" s="17">
        <v>37</v>
      </c>
    </row>
    <row r="193" spans="1:22" x14ac:dyDescent="0.2">
      <c r="A193" t="s">
        <v>1230</v>
      </c>
      <c r="B193" t="s">
        <v>851</v>
      </c>
      <c r="C193" t="s">
        <v>852</v>
      </c>
      <c r="D193" t="s">
        <v>1212</v>
      </c>
      <c r="E193" s="10" t="s">
        <v>1231</v>
      </c>
      <c r="F193" s="10"/>
      <c r="G193" s="10"/>
      <c r="H193" s="10" t="s">
        <v>1231</v>
      </c>
      <c r="I193" s="14">
        <v>603284.66225679335</v>
      </c>
      <c r="J193" s="19">
        <v>0.18144598005813461</v>
      </c>
      <c r="K193" s="19">
        <v>0.50941196547898504</v>
      </c>
      <c r="L193" s="19">
        <v>0.30914205446288034</v>
      </c>
      <c r="M193" s="20">
        <v>2</v>
      </c>
      <c r="N193" s="19">
        <v>7.259053832497997E-2</v>
      </c>
      <c r="O193" s="19">
        <v>1.9805109269333297E-2</v>
      </c>
      <c r="P193" s="19">
        <v>0.41701631788467181</v>
      </c>
      <c r="Q193" s="19">
        <v>7.9367462021960558E-2</v>
      </c>
      <c r="R193" s="19">
        <v>0.20720738406783992</v>
      </c>
      <c r="S193" s="19">
        <v>2.256720837307984E-2</v>
      </c>
      <c r="T193" s="20">
        <v>23</v>
      </c>
      <c r="U193" s="17">
        <v>2</v>
      </c>
      <c r="V193" s="17">
        <v>37</v>
      </c>
    </row>
    <row r="194" spans="1:22" x14ac:dyDescent="0.2">
      <c r="A194" t="s">
        <v>1232</v>
      </c>
      <c r="B194" t="s">
        <v>851</v>
      </c>
      <c r="C194" t="s">
        <v>852</v>
      </c>
      <c r="D194" t="s">
        <v>1212</v>
      </c>
      <c r="E194" s="10" t="s">
        <v>1233</v>
      </c>
      <c r="F194" s="10"/>
      <c r="G194" s="10"/>
      <c r="H194" s="10" t="s">
        <v>1233</v>
      </c>
      <c r="I194" s="14">
        <v>457785.53315557679</v>
      </c>
      <c r="J194" s="19">
        <v>0.1420292169254726</v>
      </c>
      <c r="K194" s="19">
        <v>0.16811965753867367</v>
      </c>
      <c r="L194" s="19">
        <v>0.6898511255358537</v>
      </c>
      <c r="M194" s="20">
        <v>1</v>
      </c>
      <c r="N194" s="19">
        <v>7.2970960616704661E-2</v>
      </c>
      <c r="O194" s="19">
        <v>3.3935076850853708E-2</v>
      </c>
      <c r="P194" s="19">
        <v>6.1213620071115291E-2</v>
      </c>
      <c r="Q194" s="19">
        <v>0.18898968685087519</v>
      </c>
      <c r="R194" s="19">
        <v>0.44487672288034125</v>
      </c>
      <c r="S194" s="19">
        <v>5.5984715804637306E-2</v>
      </c>
      <c r="T194" s="20">
        <v>12</v>
      </c>
      <c r="U194" s="17">
        <v>2</v>
      </c>
      <c r="V194" s="17">
        <v>37</v>
      </c>
    </row>
    <row r="195" spans="1:22" x14ac:dyDescent="0.2">
      <c r="A195" t="s">
        <v>1234</v>
      </c>
      <c r="B195" t="s">
        <v>851</v>
      </c>
      <c r="C195" t="s">
        <v>852</v>
      </c>
      <c r="D195" t="s">
        <v>1212</v>
      </c>
      <c r="E195" s="10" t="s">
        <v>1235</v>
      </c>
      <c r="F195" s="10"/>
      <c r="G195" s="10"/>
      <c r="H195" s="10" t="s">
        <v>1235</v>
      </c>
      <c r="I195" s="14">
        <v>198723.28704465227</v>
      </c>
      <c r="J195" s="19">
        <v>0</v>
      </c>
      <c r="K195" s="19">
        <v>0.25103046360680026</v>
      </c>
      <c r="L195" s="19">
        <v>0.74896953639319974</v>
      </c>
      <c r="M195" s="20">
        <v>1</v>
      </c>
      <c r="N195" s="19">
        <v>0.16180973435524112</v>
      </c>
      <c r="O195" s="19">
        <v>5.2125463378541646E-2</v>
      </c>
      <c r="P195" s="19">
        <v>3.7095265873017466E-2</v>
      </c>
      <c r="Q195" s="19">
        <v>0.2220740975797178</v>
      </c>
      <c r="R195" s="19">
        <v>0.45662541834506953</v>
      </c>
      <c r="S195" s="19">
        <v>7.0270020468412395E-2</v>
      </c>
      <c r="T195" s="20">
        <v>12</v>
      </c>
      <c r="U195" s="17">
        <v>2</v>
      </c>
      <c r="V195" s="17">
        <v>37</v>
      </c>
    </row>
    <row r="196" spans="1:22" x14ac:dyDescent="0.2">
      <c r="A196" t="s">
        <v>1236</v>
      </c>
      <c r="B196" t="s">
        <v>851</v>
      </c>
      <c r="C196" t="s">
        <v>852</v>
      </c>
      <c r="D196" t="s">
        <v>1212</v>
      </c>
      <c r="E196" s="10" t="s">
        <v>1237</v>
      </c>
      <c r="F196" s="10"/>
      <c r="G196" s="10"/>
      <c r="H196" s="10" t="s">
        <v>1237</v>
      </c>
      <c r="I196" s="14">
        <v>225129.7647750373</v>
      </c>
      <c r="J196" s="19">
        <v>0.74088419915558523</v>
      </c>
      <c r="K196" s="19">
        <v>0.17151956735865603</v>
      </c>
      <c r="L196" s="19">
        <v>8.7596233485758776E-2</v>
      </c>
      <c r="M196" s="20">
        <v>3</v>
      </c>
      <c r="N196" s="19">
        <v>0</v>
      </c>
      <c r="O196" s="19">
        <v>5.2304205628315691E-3</v>
      </c>
      <c r="P196" s="19">
        <v>0.16628914679582446</v>
      </c>
      <c r="Q196" s="19">
        <v>1.4585161479270151E-2</v>
      </c>
      <c r="R196" s="19">
        <v>6.6765179258436988E-2</v>
      </c>
      <c r="S196" s="19">
        <v>6.2458927480516201E-3</v>
      </c>
      <c r="T196" s="20">
        <v>30</v>
      </c>
      <c r="U196" s="17">
        <v>2</v>
      </c>
      <c r="V196" s="17">
        <v>37</v>
      </c>
    </row>
    <row r="197" spans="1:22" x14ac:dyDescent="0.2">
      <c r="A197" t="s">
        <v>1238</v>
      </c>
      <c r="B197" t="s">
        <v>851</v>
      </c>
      <c r="C197" t="s">
        <v>852</v>
      </c>
      <c r="D197" t="s">
        <v>1212</v>
      </c>
      <c r="E197" s="10" t="s">
        <v>1239</v>
      </c>
      <c r="F197" s="10"/>
      <c r="G197" s="10"/>
      <c r="H197" s="10" t="s">
        <v>1239</v>
      </c>
      <c r="I197" s="14">
        <v>346825.97574553639</v>
      </c>
      <c r="J197" s="19">
        <v>0.35385736417983438</v>
      </c>
      <c r="K197" s="19">
        <v>5.460614246045916E-2</v>
      </c>
      <c r="L197" s="19">
        <v>0.59153649335970648</v>
      </c>
      <c r="M197" s="20">
        <v>1</v>
      </c>
      <c r="N197" s="19">
        <v>0</v>
      </c>
      <c r="O197" s="19">
        <v>0</v>
      </c>
      <c r="P197" s="19">
        <v>5.460614246045916E-2</v>
      </c>
      <c r="Q197" s="19">
        <v>0.15534696710330609</v>
      </c>
      <c r="R197" s="19">
        <v>0.35447092098289201</v>
      </c>
      <c r="S197" s="19">
        <v>8.1718605273508341E-2</v>
      </c>
      <c r="T197" s="20">
        <v>12</v>
      </c>
      <c r="U197" s="17">
        <v>2</v>
      </c>
      <c r="V197" s="17">
        <v>37</v>
      </c>
    </row>
    <row r="198" spans="1:22" x14ac:dyDescent="0.2">
      <c r="A198" t="s">
        <v>1240</v>
      </c>
      <c r="B198" t="s">
        <v>851</v>
      </c>
      <c r="C198" t="s">
        <v>852</v>
      </c>
      <c r="D198" t="s">
        <v>1241</v>
      </c>
      <c r="E198" s="10" t="s">
        <v>1242</v>
      </c>
      <c r="F198" s="10"/>
      <c r="G198" s="10"/>
      <c r="H198" s="10" t="s">
        <v>1242</v>
      </c>
      <c r="I198" s="14">
        <v>116363.08833116201</v>
      </c>
      <c r="J198" s="19">
        <v>0</v>
      </c>
      <c r="K198" s="19">
        <v>0.58569439208854879</v>
      </c>
      <c r="L198" s="19">
        <v>0.41430560791145105</v>
      </c>
      <c r="M198" s="20">
        <v>2</v>
      </c>
      <c r="N198" s="19">
        <v>0.14814858648979137</v>
      </c>
      <c r="O198" s="19">
        <v>0.17959978156308631</v>
      </c>
      <c r="P198" s="19">
        <v>0.25794602403567107</v>
      </c>
      <c r="Q198" s="19">
        <v>0.12809246184797332</v>
      </c>
      <c r="R198" s="19">
        <v>0.25869789196472798</v>
      </c>
      <c r="S198" s="19">
        <v>2.7515254098749792E-2</v>
      </c>
      <c r="T198" s="20">
        <v>22</v>
      </c>
      <c r="U198" s="17">
        <v>2</v>
      </c>
      <c r="V198" s="17">
        <v>37</v>
      </c>
    </row>
    <row r="199" spans="1:22" x14ac:dyDescent="0.2">
      <c r="A199" t="s">
        <v>1243</v>
      </c>
      <c r="B199" t="s">
        <v>851</v>
      </c>
      <c r="C199" t="s">
        <v>852</v>
      </c>
      <c r="D199" t="s">
        <v>1241</v>
      </c>
      <c r="E199" s="10" t="s">
        <v>1012</v>
      </c>
      <c r="F199" s="10"/>
      <c r="G199" s="10"/>
      <c r="H199" s="10" t="s">
        <v>1012</v>
      </c>
      <c r="I199" s="14">
        <v>513518.08008933946</v>
      </c>
      <c r="J199" s="19">
        <v>0.22984637165260666</v>
      </c>
      <c r="K199" s="19">
        <v>0.48109433255934747</v>
      </c>
      <c r="L199" s="19">
        <v>0.28905929578804596</v>
      </c>
      <c r="M199" s="20">
        <v>2</v>
      </c>
      <c r="N199" s="19">
        <v>7.7999690648613257E-2</v>
      </c>
      <c r="O199" s="19">
        <v>4.4660338487489598E-2</v>
      </c>
      <c r="P199" s="19">
        <v>0.35843430342324462</v>
      </c>
      <c r="Q199" s="19">
        <v>7.8559937255080578E-2</v>
      </c>
      <c r="R199" s="19">
        <v>0.18958972896139212</v>
      </c>
      <c r="S199" s="19">
        <v>2.0909629571573267E-2</v>
      </c>
      <c r="T199" s="20">
        <v>23</v>
      </c>
      <c r="U199" s="17">
        <v>2</v>
      </c>
      <c r="V199" s="17">
        <v>37</v>
      </c>
    </row>
    <row r="200" spans="1:22" x14ac:dyDescent="0.2">
      <c r="A200" t="s">
        <v>1244</v>
      </c>
      <c r="B200" t="s">
        <v>851</v>
      </c>
      <c r="C200" t="s">
        <v>852</v>
      </c>
      <c r="D200" t="s">
        <v>1241</v>
      </c>
      <c r="E200" s="10" t="s">
        <v>1245</v>
      </c>
      <c r="F200" s="10"/>
      <c r="G200" s="10"/>
      <c r="H200" s="10" t="s">
        <v>1245</v>
      </c>
      <c r="I200" s="14">
        <v>237893.01602158276</v>
      </c>
      <c r="J200" s="19">
        <v>0.63136607144380241</v>
      </c>
      <c r="K200" s="19">
        <v>0.30585237814000021</v>
      </c>
      <c r="L200" s="19">
        <v>6.278155041619736E-2</v>
      </c>
      <c r="M200" s="20">
        <v>3</v>
      </c>
      <c r="N200" s="19">
        <v>0.1359184795418657</v>
      </c>
      <c r="O200" s="19">
        <v>0</v>
      </c>
      <c r="P200" s="19">
        <v>0.16993389859813454</v>
      </c>
      <c r="Q200" s="19">
        <v>8.3035586022641352E-3</v>
      </c>
      <c r="R200" s="19">
        <v>4.9396939916872717E-2</v>
      </c>
      <c r="S200" s="19">
        <v>5.0810518970605192E-3</v>
      </c>
      <c r="T200" s="20">
        <v>30</v>
      </c>
      <c r="U200" s="17">
        <v>2</v>
      </c>
      <c r="V200" s="17">
        <v>37</v>
      </c>
    </row>
    <row r="201" spans="1:22" x14ac:dyDescent="0.2">
      <c r="A201" t="s">
        <v>1246</v>
      </c>
      <c r="B201" t="s">
        <v>851</v>
      </c>
      <c r="C201" t="s">
        <v>852</v>
      </c>
      <c r="D201" t="s">
        <v>1241</v>
      </c>
      <c r="E201" s="10" t="s">
        <v>1247</v>
      </c>
      <c r="F201" s="10"/>
      <c r="G201" s="10"/>
      <c r="H201" s="10" t="s">
        <v>1247</v>
      </c>
      <c r="I201" s="14">
        <v>769326.79468541685</v>
      </c>
      <c r="J201" s="19">
        <v>0.99516259681772179</v>
      </c>
      <c r="K201" s="19">
        <v>4.6862224115220364E-3</v>
      </c>
      <c r="L201" s="19">
        <v>1.5118077075613245E-4</v>
      </c>
      <c r="M201" s="20">
        <v>3</v>
      </c>
      <c r="N201" s="19">
        <v>0</v>
      </c>
      <c r="O201" s="19">
        <v>0</v>
      </c>
      <c r="P201" s="19">
        <v>4.6862224115220364E-3</v>
      </c>
      <c r="Q201" s="19">
        <v>0</v>
      </c>
      <c r="R201" s="19">
        <v>1.0963034901178648E-4</v>
      </c>
      <c r="S201" s="19">
        <v>4.1550421744345996E-5</v>
      </c>
      <c r="T201" s="20">
        <v>30</v>
      </c>
      <c r="U201" s="17">
        <v>2</v>
      </c>
      <c r="V201" s="17">
        <v>37</v>
      </c>
    </row>
    <row r="202" spans="1:22" x14ac:dyDescent="0.2">
      <c r="A202" t="s">
        <v>1248</v>
      </c>
      <c r="B202" t="s">
        <v>851</v>
      </c>
      <c r="C202" t="s">
        <v>852</v>
      </c>
      <c r="D202" t="s">
        <v>1241</v>
      </c>
      <c r="E202" s="10" t="s">
        <v>1249</v>
      </c>
      <c r="F202" s="10"/>
      <c r="G202" s="10"/>
      <c r="H202" s="10" t="s">
        <v>1249</v>
      </c>
      <c r="I202" s="14">
        <v>324437.6768290475</v>
      </c>
      <c r="J202" s="19">
        <v>0.23160285087734592</v>
      </c>
      <c r="K202" s="19">
        <v>0.42651502304317723</v>
      </c>
      <c r="L202" s="19">
        <v>0.34188212607947682</v>
      </c>
      <c r="M202" s="20">
        <v>2</v>
      </c>
      <c r="N202" s="19">
        <v>9.3525064249604314E-2</v>
      </c>
      <c r="O202" s="19">
        <v>0.12471110878845583</v>
      </c>
      <c r="P202" s="19">
        <v>0.20827885000511712</v>
      </c>
      <c r="Q202" s="19">
        <v>0.11259709154409486</v>
      </c>
      <c r="R202" s="19">
        <v>0.20578443217209014</v>
      </c>
      <c r="S202" s="19">
        <v>2.3500602363291819E-2</v>
      </c>
      <c r="T202" s="20">
        <v>22</v>
      </c>
      <c r="U202" s="17">
        <v>2</v>
      </c>
      <c r="V202" s="17">
        <v>37</v>
      </c>
    </row>
    <row r="203" spans="1:22" x14ac:dyDescent="0.2">
      <c r="A203" t="s">
        <v>1250</v>
      </c>
      <c r="B203" t="s">
        <v>851</v>
      </c>
      <c r="C203" t="s">
        <v>852</v>
      </c>
      <c r="D203" t="s">
        <v>1241</v>
      </c>
      <c r="E203" s="10" t="s">
        <v>1251</v>
      </c>
      <c r="F203" s="10"/>
      <c r="G203" s="10"/>
      <c r="H203" s="10" t="s">
        <v>1251</v>
      </c>
      <c r="I203" s="14">
        <v>238714.40490923543</v>
      </c>
      <c r="J203" s="19">
        <v>0.33706132786021248</v>
      </c>
      <c r="K203" s="19">
        <v>0.46226299100272195</v>
      </c>
      <c r="L203" s="19">
        <v>0.20067568113706558</v>
      </c>
      <c r="M203" s="20">
        <v>2</v>
      </c>
      <c r="N203" s="19">
        <v>0.13408839133406342</v>
      </c>
      <c r="O203" s="19">
        <v>0</v>
      </c>
      <c r="P203" s="19">
        <v>0.32817459966865853</v>
      </c>
      <c r="Q203" s="19">
        <v>3.5215628352164782E-2</v>
      </c>
      <c r="R203" s="19">
        <v>0.15170920712691688</v>
      </c>
      <c r="S203" s="19">
        <v>1.3750845657983908E-2</v>
      </c>
      <c r="T203" s="20">
        <v>23</v>
      </c>
      <c r="U203" s="17">
        <v>2</v>
      </c>
      <c r="V203" s="17">
        <v>37</v>
      </c>
    </row>
    <row r="204" spans="1:22" x14ac:dyDescent="0.2">
      <c r="A204" t="s">
        <v>1252</v>
      </c>
      <c r="B204" t="s">
        <v>851</v>
      </c>
      <c r="C204" t="s">
        <v>852</v>
      </c>
      <c r="D204" t="s">
        <v>1241</v>
      </c>
      <c r="E204" s="10" t="s">
        <v>1253</v>
      </c>
      <c r="F204" s="10"/>
      <c r="G204" s="10"/>
      <c r="H204" s="10" t="s">
        <v>1253</v>
      </c>
      <c r="I204" s="14">
        <v>279211.95208304934</v>
      </c>
      <c r="J204" s="19">
        <v>0.26829717125624686</v>
      </c>
      <c r="K204" s="19">
        <v>0.57491284156125622</v>
      </c>
      <c r="L204" s="19">
        <v>0.15678998718249693</v>
      </c>
      <c r="M204" s="20">
        <v>2</v>
      </c>
      <c r="N204" s="19">
        <v>0</v>
      </c>
      <c r="O204" s="19">
        <v>3.6057502251465672E-3</v>
      </c>
      <c r="P204" s="19">
        <v>0.57130709133610968</v>
      </c>
      <c r="Q204" s="19">
        <v>4.1210739436368778E-2</v>
      </c>
      <c r="R204" s="19">
        <v>0.10517443885436911</v>
      </c>
      <c r="S204" s="19">
        <v>1.040480889175901E-2</v>
      </c>
      <c r="T204" s="20">
        <v>21</v>
      </c>
      <c r="U204" s="17">
        <v>2</v>
      </c>
      <c r="V204" s="17">
        <v>37</v>
      </c>
    </row>
    <row r="205" spans="1:22" x14ac:dyDescent="0.2">
      <c r="A205" t="s">
        <v>1254</v>
      </c>
      <c r="B205" t="s">
        <v>851</v>
      </c>
      <c r="C205" t="s">
        <v>852</v>
      </c>
      <c r="D205" t="s">
        <v>1241</v>
      </c>
      <c r="E205" s="10" t="s">
        <v>1255</v>
      </c>
      <c r="F205" s="10"/>
      <c r="G205" s="10"/>
      <c r="H205" s="10" t="s">
        <v>1255</v>
      </c>
      <c r="I205" s="14">
        <v>235605.51210354877</v>
      </c>
      <c r="J205" s="19">
        <v>0.46283366459812314</v>
      </c>
      <c r="K205" s="19">
        <v>0.43668325763824467</v>
      </c>
      <c r="L205" s="19">
        <v>0.10048307776363208</v>
      </c>
      <c r="M205" s="20">
        <v>2</v>
      </c>
      <c r="N205" s="19">
        <v>0</v>
      </c>
      <c r="O205" s="19">
        <v>0</v>
      </c>
      <c r="P205" s="19">
        <v>0.43668325763824467</v>
      </c>
      <c r="Q205" s="19">
        <v>3.1921146612990642E-2</v>
      </c>
      <c r="R205" s="19">
        <v>6.3107737000965586E-2</v>
      </c>
      <c r="S205" s="19">
        <v>5.4541941496758627E-3</v>
      </c>
      <c r="T205" s="20">
        <v>23</v>
      </c>
      <c r="U205" s="17">
        <v>2</v>
      </c>
      <c r="V205" s="17">
        <v>37</v>
      </c>
    </row>
    <row r="206" spans="1:22" x14ac:dyDescent="0.2">
      <c r="A206" t="s">
        <v>1256</v>
      </c>
      <c r="B206" t="s">
        <v>851</v>
      </c>
      <c r="C206" t="s">
        <v>852</v>
      </c>
      <c r="D206" t="s">
        <v>1241</v>
      </c>
      <c r="E206" s="10" t="s">
        <v>1257</v>
      </c>
      <c r="F206" s="10"/>
      <c r="G206" s="10"/>
      <c r="H206" s="10" t="s">
        <v>1257</v>
      </c>
      <c r="I206" s="14">
        <v>354786.25766365509</v>
      </c>
      <c r="J206" s="19">
        <v>0.26993185497888145</v>
      </c>
      <c r="K206" s="19">
        <v>0.14632690093947795</v>
      </c>
      <c r="L206" s="19">
        <v>0.58374124408164063</v>
      </c>
      <c r="M206" s="20">
        <v>1</v>
      </c>
      <c r="N206" s="19">
        <v>3.9192760113908487E-2</v>
      </c>
      <c r="O206" s="19">
        <v>3.2971966873896592E-2</v>
      </c>
      <c r="P206" s="19">
        <v>7.4162173951672863E-2</v>
      </c>
      <c r="Q206" s="19">
        <v>0.23347893977565867</v>
      </c>
      <c r="R206" s="19">
        <v>0.3004058773168653</v>
      </c>
      <c r="S206" s="19">
        <v>4.985642698911661E-2</v>
      </c>
      <c r="T206" s="20">
        <v>12</v>
      </c>
      <c r="U206" s="17">
        <v>2</v>
      </c>
      <c r="V206" s="17">
        <v>37</v>
      </c>
    </row>
    <row r="207" spans="1:22" x14ac:dyDescent="0.2">
      <c r="A207" t="s">
        <v>1258</v>
      </c>
      <c r="B207" t="s">
        <v>851</v>
      </c>
      <c r="C207" t="s">
        <v>852</v>
      </c>
      <c r="D207" t="s">
        <v>1241</v>
      </c>
      <c r="E207" s="10" t="s">
        <v>1259</v>
      </c>
      <c r="F207" s="10"/>
      <c r="G207" s="10"/>
      <c r="H207" s="10" t="s">
        <v>1259</v>
      </c>
      <c r="I207" s="14">
        <v>265166.6762166163</v>
      </c>
      <c r="J207" s="19">
        <v>0.35649258436235942</v>
      </c>
      <c r="K207" s="19">
        <v>0.25259792948523513</v>
      </c>
      <c r="L207" s="19">
        <v>0.39090948615240551</v>
      </c>
      <c r="M207" s="20">
        <v>2</v>
      </c>
      <c r="N207" s="19">
        <v>0</v>
      </c>
      <c r="O207" s="19">
        <v>5.2058146963582179E-2</v>
      </c>
      <c r="P207" s="19">
        <v>0.20053978252165294</v>
      </c>
      <c r="Q207" s="19">
        <v>0.14100145799418315</v>
      </c>
      <c r="R207" s="19">
        <v>0.23123707786252587</v>
      </c>
      <c r="S207" s="19">
        <v>1.8670950295696431E-2</v>
      </c>
      <c r="T207" s="20">
        <v>22</v>
      </c>
      <c r="U207" s="17">
        <v>2</v>
      </c>
      <c r="V207" s="17">
        <v>37</v>
      </c>
    </row>
    <row r="208" spans="1:22" x14ac:dyDescent="0.2">
      <c r="A208" t="s">
        <v>1260</v>
      </c>
      <c r="B208" t="s">
        <v>851</v>
      </c>
      <c r="C208" t="s">
        <v>852</v>
      </c>
      <c r="D208" t="s">
        <v>1241</v>
      </c>
      <c r="E208" s="10" t="s">
        <v>1261</v>
      </c>
      <c r="F208" s="10"/>
      <c r="G208" s="10"/>
      <c r="H208" s="10" t="s">
        <v>1261</v>
      </c>
      <c r="I208" s="14">
        <v>315968.45826552343</v>
      </c>
      <c r="J208" s="19">
        <v>0.19324117456254544</v>
      </c>
      <c r="K208" s="19">
        <v>0.34478936220531708</v>
      </c>
      <c r="L208" s="19">
        <v>0.4619694632321375</v>
      </c>
      <c r="M208" s="20">
        <v>2</v>
      </c>
      <c r="N208" s="19">
        <v>0.18911584364276998</v>
      </c>
      <c r="O208" s="19">
        <v>5.6649871596899916E-2</v>
      </c>
      <c r="P208" s="19">
        <v>9.9023646965647208E-2</v>
      </c>
      <c r="Q208" s="19">
        <v>0.1768673622380125</v>
      </c>
      <c r="R208" s="19">
        <v>0.24146045339133318</v>
      </c>
      <c r="S208" s="19">
        <v>4.3641647602791787E-2</v>
      </c>
      <c r="T208" s="20">
        <v>23</v>
      </c>
      <c r="U208" s="17">
        <v>2</v>
      </c>
      <c r="V208" s="17">
        <v>37</v>
      </c>
    </row>
    <row r="209" spans="1:22" x14ac:dyDescent="0.2">
      <c r="A209" t="s">
        <v>1262</v>
      </c>
      <c r="B209" t="s">
        <v>851</v>
      </c>
      <c r="C209" t="s">
        <v>852</v>
      </c>
      <c r="D209" t="s">
        <v>1241</v>
      </c>
      <c r="E209" s="10" t="s">
        <v>1263</v>
      </c>
      <c r="F209" s="10"/>
      <c r="G209" s="10"/>
      <c r="H209" s="10" t="s">
        <v>1263</v>
      </c>
      <c r="I209" s="14">
        <v>357966.69212207943</v>
      </c>
      <c r="J209" s="19">
        <v>0.20581583856616203</v>
      </c>
      <c r="K209" s="19">
        <v>0.28159953943981514</v>
      </c>
      <c r="L209" s="19">
        <v>0.51258462199402288</v>
      </c>
      <c r="M209" s="20">
        <v>1</v>
      </c>
      <c r="N209" s="19">
        <v>4.0568984996959684E-2</v>
      </c>
      <c r="O209" s="19">
        <v>7.5326773663178415E-2</v>
      </c>
      <c r="P209" s="19">
        <v>0.16570378077967704</v>
      </c>
      <c r="Q209" s="19">
        <v>0.21236461637282006</v>
      </c>
      <c r="R209" s="19">
        <v>0.26826355655333561</v>
      </c>
      <c r="S209" s="19">
        <v>3.1956449067867147E-2</v>
      </c>
      <c r="T209" s="20">
        <v>12</v>
      </c>
      <c r="U209" s="17">
        <v>2</v>
      </c>
      <c r="V209" s="17">
        <v>37</v>
      </c>
    </row>
    <row r="210" spans="1:22" x14ac:dyDescent="0.2">
      <c r="A210" t="s">
        <v>1264</v>
      </c>
      <c r="B210" t="s">
        <v>851</v>
      </c>
      <c r="C210" t="s">
        <v>852</v>
      </c>
      <c r="D210" t="s">
        <v>1241</v>
      </c>
      <c r="E210" s="10" t="s">
        <v>1265</v>
      </c>
      <c r="F210" s="10"/>
      <c r="G210" s="10"/>
      <c r="H210" s="10" t="s">
        <v>1265</v>
      </c>
      <c r="I210" s="14">
        <v>216880.18297986127</v>
      </c>
      <c r="J210" s="19">
        <v>0</v>
      </c>
      <c r="K210" s="19">
        <v>0.63591277001367763</v>
      </c>
      <c r="L210" s="19">
        <v>0.36408722998632226</v>
      </c>
      <c r="M210" s="20">
        <v>2</v>
      </c>
      <c r="N210" s="19">
        <v>0.20851526616150393</v>
      </c>
      <c r="O210" s="19">
        <v>5.2499467604513954E-2</v>
      </c>
      <c r="P210" s="19">
        <v>0.37489803624765983</v>
      </c>
      <c r="Q210" s="19">
        <v>0.11436313270732289</v>
      </c>
      <c r="R210" s="19">
        <v>0.22083332257510646</v>
      </c>
      <c r="S210" s="19">
        <v>2.8890774703892962E-2</v>
      </c>
      <c r="T210" s="20">
        <v>23</v>
      </c>
      <c r="U210" s="17">
        <v>2</v>
      </c>
      <c r="V210" s="17">
        <v>37</v>
      </c>
    </row>
    <row r="211" spans="1:22" x14ac:dyDescent="0.2">
      <c r="A211" t="s">
        <v>1266</v>
      </c>
      <c r="B211" t="s">
        <v>851</v>
      </c>
      <c r="C211" t="s">
        <v>852</v>
      </c>
      <c r="D211" t="s">
        <v>1267</v>
      </c>
      <c r="E211" s="10" t="s">
        <v>1268</v>
      </c>
      <c r="F211" s="10"/>
      <c r="G211" s="10"/>
      <c r="H211" s="10" t="s">
        <v>1268</v>
      </c>
      <c r="I211" s="14">
        <v>167693.74701449368</v>
      </c>
      <c r="J211" s="19">
        <v>0.4120426703922247</v>
      </c>
      <c r="K211" s="19">
        <v>0.13498213846200086</v>
      </c>
      <c r="L211" s="19">
        <v>0.45297519114577439</v>
      </c>
      <c r="M211" s="20">
        <v>2</v>
      </c>
      <c r="N211" s="19">
        <v>3.4489313549762327E-2</v>
      </c>
      <c r="O211" s="19">
        <v>6.2078460470872301E-2</v>
      </c>
      <c r="P211" s="19">
        <v>3.8414364441366262E-2</v>
      </c>
      <c r="Q211" s="19">
        <v>0.25441692043586861</v>
      </c>
      <c r="R211" s="19">
        <v>0.1649312073530361</v>
      </c>
      <c r="S211" s="19">
        <v>3.3627063356869658E-2</v>
      </c>
      <c r="T211" s="20">
        <v>22</v>
      </c>
      <c r="U211" s="17">
        <v>2</v>
      </c>
      <c r="V211" s="17">
        <v>37</v>
      </c>
    </row>
    <row r="212" spans="1:22" x14ac:dyDescent="0.2">
      <c r="A212" t="s">
        <v>1269</v>
      </c>
      <c r="B212" t="s">
        <v>851</v>
      </c>
      <c r="C212" t="s">
        <v>852</v>
      </c>
      <c r="D212" t="s">
        <v>1267</v>
      </c>
      <c r="E212" s="10" t="s">
        <v>1270</v>
      </c>
      <c r="F212" s="10"/>
      <c r="G212" s="10"/>
      <c r="H212" s="10" t="s">
        <v>1270</v>
      </c>
      <c r="I212" s="14">
        <v>103140.65551439626</v>
      </c>
      <c r="J212" s="19">
        <v>0</v>
      </c>
      <c r="K212" s="19">
        <v>0.32810262919259681</v>
      </c>
      <c r="L212" s="19">
        <v>0.67189737080740319</v>
      </c>
      <c r="M212" s="20">
        <v>1</v>
      </c>
      <c r="N212" s="19">
        <v>0.11407400296772095</v>
      </c>
      <c r="O212" s="19">
        <v>0</v>
      </c>
      <c r="P212" s="19">
        <v>0.21402862622487587</v>
      </c>
      <c r="Q212" s="19">
        <v>0.17218875065367162</v>
      </c>
      <c r="R212" s="19">
        <v>0.43717065155515328</v>
      </c>
      <c r="S212" s="19">
        <v>6.2537968598578256E-2</v>
      </c>
      <c r="T212" s="20">
        <v>12</v>
      </c>
      <c r="U212" s="17">
        <v>2</v>
      </c>
      <c r="V212" s="17">
        <v>37</v>
      </c>
    </row>
    <row r="213" spans="1:22" x14ac:dyDescent="0.2">
      <c r="A213" t="s">
        <v>1271</v>
      </c>
      <c r="B213" t="s">
        <v>851</v>
      </c>
      <c r="C213" t="s">
        <v>852</v>
      </c>
      <c r="D213" t="s">
        <v>1267</v>
      </c>
      <c r="E213" s="10" t="s">
        <v>1272</v>
      </c>
      <c r="F213" s="10"/>
      <c r="G213" s="10"/>
      <c r="H213" s="10" t="s">
        <v>1272</v>
      </c>
      <c r="I213" s="14">
        <v>132292.46419339813</v>
      </c>
      <c r="J213" s="19">
        <v>0.54782805764172249</v>
      </c>
      <c r="K213" s="19">
        <v>3.455359140102298E-2</v>
      </c>
      <c r="L213" s="19">
        <v>0.41761835095725452</v>
      </c>
      <c r="M213" s="20">
        <v>3</v>
      </c>
      <c r="N213" s="19">
        <v>0</v>
      </c>
      <c r="O213" s="19">
        <v>0</v>
      </c>
      <c r="P213" s="19">
        <v>3.455359140102298E-2</v>
      </c>
      <c r="Q213" s="19">
        <v>0.11706746248734184</v>
      </c>
      <c r="R213" s="19">
        <v>0.23341073618897276</v>
      </c>
      <c r="S213" s="19">
        <v>6.7140152280939933E-2</v>
      </c>
      <c r="T213" s="20">
        <v>30</v>
      </c>
      <c r="U213" s="17">
        <v>2</v>
      </c>
      <c r="V213" s="17">
        <v>37</v>
      </c>
    </row>
    <row r="214" spans="1:22" x14ac:dyDescent="0.2">
      <c r="A214" t="s">
        <v>1273</v>
      </c>
      <c r="B214" t="s">
        <v>851</v>
      </c>
      <c r="C214" t="s">
        <v>852</v>
      </c>
      <c r="D214" t="s">
        <v>1267</v>
      </c>
      <c r="E214" s="10" t="s">
        <v>1274</v>
      </c>
      <c r="F214" s="10"/>
      <c r="G214" s="10"/>
      <c r="H214" s="10" t="s">
        <v>1274</v>
      </c>
      <c r="I214" s="14">
        <v>161260.7038147347</v>
      </c>
      <c r="J214" s="19">
        <v>0</v>
      </c>
      <c r="K214" s="19">
        <v>0.2293071673271749</v>
      </c>
      <c r="L214" s="19">
        <v>0.77069283267282496</v>
      </c>
      <c r="M214" s="20">
        <v>1</v>
      </c>
      <c r="N214" s="19">
        <v>0.13915754199418678</v>
      </c>
      <c r="O214" s="19">
        <v>0</v>
      </c>
      <c r="P214" s="19">
        <v>9.0149625332988134E-2</v>
      </c>
      <c r="Q214" s="19">
        <v>0.36550189704803698</v>
      </c>
      <c r="R214" s="19">
        <v>0.33592834406146316</v>
      </c>
      <c r="S214" s="19">
        <v>6.9262591563324941E-2</v>
      </c>
      <c r="T214" s="20">
        <v>13</v>
      </c>
      <c r="U214" s="17">
        <v>2</v>
      </c>
      <c r="V214" s="17">
        <v>37</v>
      </c>
    </row>
    <row r="215" spans="1:22" x14ac:dyDescent="0.2">
      <c r="A215" t="s">
        <v>1275</v>
      </c>
      <c r="B215" t="s">
        <v>851</v>
      </c>
      <c r="C215" t="s">
        <v>852</v>
      </c>
      <c r="D215" t="s">
        <v>1267</v>
      </c>
      <c r="E215" s="10" t="s">
        <v>1276</v>
      </c>
      <c r="F215" s="10"/>
      <c r="G215" s="10"/>
      <c r="H215" s="10" t="s">
        <v>1276</v>
      </c>
      <c r="I215" s="14">
        <v>309642.42977595783</v>
      </c>
      <c r="J215" s="19">
        <v>0.31863227332969646</v>
      </c>
      <c r="K215" s="19">
        <v>0.1583721938131479</v>
      </c>
      <c r="L215" s="19">
        <v>0.52299553285715561</v>
      </c>
      <c r="M215" s="20">
        <v>1</v>
      </c>
      <c r="N215" s="19">
        <v>0</v>
      </c>
      <c r="O215" s="19">
        <v>2.296120897452299E-2</v>
      </c>
      <c r="P215" s="19">
        <v>0.1354109848386249</v>
      </c>
      <c r="Q215" s="19">
        <v>0.126401054522985</v>
      </c>
      <c r="R215" s="19">
        <v>0.33599814127375721</v>
      </c>
      <c r="S215" s="19">
        <v>6.0596337060413424E-2</v>
      </c>
      <c r="T215" s="20">
        <v>12</v>
      </c>
      <c r="U215" s="17">
        <v>2</v>
      </c>
      <c r="V215" s="17">
        <v>37</v>
      </c>
    </row>
    <row r="216" spans="1:22" x14ac:dyDescent="0.2">
      <c r="A216" t="s">
        <v>1277</v>
      </c>
      <c r="B216" t="s">
        <v>851</v>
      </c>
      <c r="C216" t="s">
        <v>852</v>
      </c>
      <c r="D216" t="s">
        <v>1267</v>
      </c>
      <c r="E216" s="10" t="s">
        <v>1278</v>
      </c>
      <c r="F216" s="10"/>
      <c r="G216" s="10"/>
      <c r="H216" s="10" t="s">
        <v>1278</v>
      </c>
      <c r="I216" s="14">
        <v>165026.19581041113</v>
      </c>
      <c r="J216" s="19">
        <v>0</v>
      </c>
      <c r="K216" s="19">
        <v>0.38430538702024902</v>
      </c>
      <c r="L216" s="19">
        <v>0.61569461297975092</v>
      </c>
      <c r="M216" s="20">
        <v>1</v>
      </c>
      <c r="N216" s="19">
        <v>0.16817263749607619</v>
      </c>
      <c r="O216" s="19">
        <v>8.0195121994844118E-2</v>
      </c>
      <c r="P216" s="19">
        <v>0.13593762752932875</v>
      </c>
      <c r="Q216" s="19">
        <v>0.16677382360658324</v>
      </c>
      <c r="R216" s="19">
        <v>0.37059482117725334</v>
      </c>
      <c r="S216" s="19">
        <v>7.8325968195914378E-2</v>
      </c>
      <c r="T216" s="20">
        <v>12</v>
      </c>
      <c r="U216" s="17">
        <v>2</v>
      </c>
      <c r="V216" s="17">
        <v>37</v>
      </c>
    </row>
    <row r="217" spans="1:22" x14ac:dyDescent="0.2">
      <c r="A217" t="s">
        <v>1279</v>
      </c>
      <c r="B217" t="s">
        <v>851</v>
      </c>
      <c r="C217" t="s">
        <v>852</v>
      </c>
      <c r="D217" t="s">
        <v>1267</v>
      </c>
      <c r="E217" s="10" t="s">
        <v>1280</v>
      </c>
      <c r="F217" s="10"/>
      <c r="G217" s="10"/>
      <c r="H217" s="10" t="s">
        <v>1280</v>
      </c>
      <c r="I217" s="14">
        <v>268862.97752071731</v>
      </c>
      <c r="J217" s="19">
        <v>0.44472026239699769</v>
      </c>
      <c r="K217" s="19">
        <v>0.21729860280866081</v>
      </c>
      <c r="L217" s="19">
        <v>0.3379811347943415</v>
      </c>
      <c r="M217" s="20">
        <v>2</v>
      </c>
      <c r="N217" s="19">
        <v>0.12543377140946571</v>
      </c>
      <c r="O217" s="19">
        <v>0</v>
      </c>
      <c r="P217" s="19">
        <v>9.1864831399195102E-2</v>
      </c>
      <c r="Q217" s="19">
        <v>9.4995999523282804E-2</v>
      </c>
      <c r="R217" s="19">
        <v>0.19098659879068453</v>
      </c>
      <c r="S217" s="19">
        <v>5.1998536480374169E-2</v>
      </c>
      <c r="T217" s="20">
        <v>23</v>
      </c>
      <c r="U217" s="17">
        <v>2</v>
      </c>
      <c r="V217" s="17">
        <v>37</v>
      </c>
    </row>
    <row r="218" spans="1:22" x14ac:dyDescent="0.2">
      <c r="A218" t="s">
        <v>1281</v>
      </c>
      <c r="B218" t="s">
        <v>851</v>
      </c>
      <c r="C218" t="s">
        <v>852</v>
      </c>
      <c r="D218" t="s">
        <v>1267</v>
      </c>
      <c r="E218" s="10" t="s">
        <v>1282</v>
      </c>
      <c r="F218" s="10"/>
      <c r="G218" s="10"/>
      <c r="H218" s="10" t="s">
        <v>1282</v>
      </c>
      <c r="I218" s="14">
        <v>437030.32589592232</v>
      </c>
      <c r="J218" s="19">
        <v>0.5153092074202088</v>
      </c>
      <c r="K218" s="19">
        <v>8.0794498239358137E-2</v>
      </c>
      <c r="L218" s="19">
        <v>0.40389629434043295</v>
      </c>
      <c r="M218" s="20">
        <v>3</v>
      </c>
      <c r="N218" s="19">
        <v>0</v>
      </c>
      <c r="O218" s="19">
        <v>4.2328747112974706E-2</v>
      </c>
      <c r="P218" s="19">
        <v>3.8465751126383438E-2</v>
      </c>
      <c r="Q218" s="19">
        <v>9.0669430471552709E-2</v>
      </c>
      <c r="R218" s="19">
        <v>0.25617702879070631</v>
      </c>
      <c r="S218" s="19">
        <v>5.7049835078173926E-2</v>
      </c>
      <c r="T218" s="20">
        <v>30</v>
      </c>
      <c r="U218" s="17">
        <v>2</v>
      </c>
      <c r="V218" s="17">
        <v>37</v>
      </c>
    </row>
    <row r="219" spans="1:22" x14ac:dyDescent="0.2">
      <c r="A219" t="s">
        <v>1283</v>
      </c>
      <c r="B219" t="s">
        <v>851</v>
      </c>
      <c r="C219" t="s">
        <v>852</v>
      </c>
      <c r="D219" t="s">
        <v>1267</v>
      </c>
      <c r="E219" s="10" t="s">
        <v>1284</v>
      </c>
      <c r="F219" s="10"/>
      <c r="G219" s="10"/>
      <c r="H219" s="10" t="s">
        <v>1284</v>
      </c>
      <c r="I219" s="14">
        <v>100671.23400606775</v>
      </c>
      <c r="J219" s="19">
        <v>0</v>
      </c>
      <c r="K219" s="19">
        <v>5.2224585892237371E-2</v>
      </c>
      <c r="L219" s="19">
        <v>0.94777541410776256</v>
      </c>
      <c r="M219" s="20">
        <v>1</v>
      </c>
      <c r="N219" s="19">
        <v>0</v>
      </c>
      <c r="O219" s="19">
        <v>5.2224585892237371E-2</v>
      </c>
      <c r="P219" s="19">
        <v>0</v>
      </c>
      <c r="Q219" s="19">
        <v>0.44661586272259723</v>
      </c>
      <c r="R219" s="19">
        <v>0.43430430893427374</v>
      </c>
      <c r="S219" s="19">
        <v>6.6855242450891486E-2</v>
      </c>
      <c r="T219" s="20">
        <v>13</v>
      </c>
      <c r="U219" s="17">
        <v>2</v>
      </c>
      <c r="V219" s="17">
        <v>37</v>
      </c>
    </row>
    <row r="220" spans="1:22" x14ac:dyDescent="0.2">
      <c r="A220" t="s">
        <v>1285</v>
      </c>
      <c r="B220" t="s">
        <v>851</v>
      </c>
      <c r="C220" t="s">
        <v>852</v>
      </c>
      <c r="D220" t="s">
        <v>1267</v>
      </c>
      <c r="E220" s="10" t="s">
        <v>1286</v>
      </c>
      <c r="F220" s="10"/>
      <c r="G220" s="10"/>
      <c r="H220" s="10" t="s">
        <v>1286</v>
      </c>
      <c r="I220" s="14">
        <v>117066.44661751762</v>
      </c>
      <c r="J220" s="19">
        <v>0</v>
      </c>
      <c r="K220" s="19">
        <v>0.50970558253165144</v>
      </c>
      <c r="L220" s="19">
        <v>0.49029441746834851</v>
      </c>
      <c r="M220" s="20">
        <v>2</v>
      </c>
      <c r="N220" s="19">
        <v>0.28850429960004581</v>
      </c>
      <c r="O220" s="19">
        <v>0.1208643164033887</v>
      </c>
      <c r="P220" s="19">
        <v>0.10033696652821697</v>
      </c>
      <c r="Q220" s="19">
        <v>0.15146173125754647</v>
      </c>
      <c r="R220" s="19">
        <v>0.29358307256266764</v>
      </c>
      <c r="S220" s="19">
        <v>4.5249613648134394E-2</v>
      </c>
      <c r="T220" s="20">
        <v>23</v>
      </c>
      <c r="U220" s="17">
        <v>2</v>
      </c>
      <c r="V220" s="17">
        <v>37</v>
      </c>
    </row>
    <row r="221" spans="1:22" x14ac:dyDescent="0.2">
      <c r="A221" t="s">
        <v>1287</v>
      </c>
      <c r="B221" t="s">
        <v>851</v>
      </c>
      <c r="C221" t="s">
        <v>852</v>
      </c>
      <c r="D221" t="s">
        <v>1267</v>
      </c>
      <c r="E221" s="10" t="s">
        <v>1288</v>
      </c>
      <c r="F221" s="10"/>
      <c r="G221" s="10"/>
      <c r="H221" s="10" t="s">
        <v>1288</v>
      </c>
      <c r="I221" s="14">
        <v>281871.32608110365</v>
      </c>
      <c r="J221" s="19">
        <v>0.34766319335940693</v>
      </c>
      <c r="K221" s="19">
        <v>0.43983247610306081</v>
      </c>
      <c r="L221" s="19">
        <v>0.21250433053753226</v>
      </c>
      <c r="M221" s="20">
        <v>2</v>
      </c>
      <c r="N221" s="19">
        <v>0.19780770650402768</v>
      </c>
      <c r="O221" s="19">
        <v>4.2999974379475864E-2</v>
      </c>
      <c r="P221" s="19">
        <v>0.19902479521955729</v>
      </c>
      <c r="Q221" s="19">
        <v>0.12047610298108204</v>
      </c>
      <c r="R221" s="19">
        <v>7.7813264284553249E-2</v>
      </c>
      <c r="S221" s="19">
        <v>1.4214963271896988E-2</v>
      </c>
      <c r="T221" s="20">
        <v>23</v>
      </c>
      <c r="U221" s="17">
        <v>2</v>
      </c>
      <c r="V221" s="17">
        <v>37</v>
      </c>
    </row>
    <row r="222" spans="1:22" x14ac:dyDescent="0.2">
      <c r="A222" t="s">
        <v>1289</v>
      </c>
      <c r="B222" t="s">
        <v>851</v>
      </c>
      <c r="C222" t="s">
        <v>852</v>
      </c>
      <c r="D222" t="s">
        <v>1267</v>
      </c>
      <c r="E222" s="10" t="s">
        <v>1290</v>
      </c>
      <c r="F222" s="10"/>
      <c r="G222" s="10"/>
      <c r="H222" s="10" t="s">
        <v>1290</v>
      </c>
      <c r="I222" s="14">
        <v>124030.38968390775</v>
      </c>
      <c r="J222" s="19">
        <v>0</v>
      </c>
      <c r="K222" s="19">
        <v>0.5519001672238707</v>
      </c>
      <c r="L222" s="19">
        <v>0.44809983277612914</v>
      </c>
      <c r="M222" s="20">
        <v>2</v>
      </c>
      <c r="N222" s="19">
        <v>0.20435148527801997</v>
      </c>
      <c r="O222" s="19">
        <v>0.24768152512755459</v>
      </c>
      <c r="P222" s="19">
        <v>9.9867156818296179E-2</v>
      </c>
      <c r="Q222" s="19">
        <v>0.17022921334837748</v>
      </c>
      <c r="R222" s="19">
        <v>0.21231660966498914</v>
      </c>
      <c r="S222" s="19">
        <v>6.555400976276253E-2</v>
      </c>
      <c r="T222" s="20">
        <v>22</v>
      </c>
      <c r="U222" s="17">
        <v>2</v>
      </c>
      <c r="V222" s="17">
        <v>37</v>
      </c>
    </row>
    <row r="223" spans="1:22" x14ac:dyDescent="0.2">
      <c r="A223" t="s">
        <v>1291</v>
      </c>
      <c r="B223" t="s">
        <v>851</v>
      </c>
      <c r="C223" t="s">
        <v>852</v>
      </c>
      <c r="D223" t="s">
        <v>1267</v>
      </c>
      <c r="E223" s="10" t="s">
        <v>1292</v>
      </c>
      <c r="F223" s="10"/>
      <c r="G223" s="10"/>
      <c r="H223" s="10" t="s">
        <v>1292</v>
      </c>
      <c r="I223" s="14">
        <v>183584.48076157086</v>
      </c>
      <c r="J223" s="19">
        <v>0</v>
      </c>
      <c r="K223" s="19">
        <v>0.3106526561385568</v>
      </c>
      <c r="L223" s="19">
        <v>0.68934734386144314</v>
      </c>
      <c r="M223" s="20">
        <v>1</v>
      </c>
      <c r="N223" s="19">
        <v>0.2240332639296069</v>
      </c>
      <c r="O223" s="19">
        <v>0</v>
      </c>
      <c r="P223" s="19">
        <v>8.6619392208949916E-2</v>
      </c>
      <c r="Q223" s="19">
        <v>0.25324708041012378</v>
      </c>
      <c r="R223" s="19">
        <v>0.38019789866313686</v>
      </c>
      <c r="S223" s="19">
        <v>5.5902364788182543E-2</v>
      </c>
      <c r="T223" s="20">
        <v>12</v>
      </c>
      <c r="U223" s="17">
        <v>2</v>
      </c>
      <c r="V223" s="17">
        <v>37</v>
      </c>
    </row>
    <row r="224" spans="1:22" x14ac:dyDescent="0.2">
      <c r="A224" t="s">
        <v>1293</v>
      </c>
      <c r="B224" t="s">
        <v>851</v>
      </c>
      <c r="C224" t="s">
        <v>852</v>
      </c>
      <c r="D224" t="s">
        <v>1267</v>
      </c>
      <c r="E224" s="10" t="s">
        <v>1294</v>
      </c>
      <c r="F224" s="10"/>
      <c r="G224" s="10"/>
      <c r="H224" s="10" t="s">
        <v>1294</v>
      </c>
      <c r="I224" s="14">
        <v>49606.235358865</v>
      </c>
      <c r="J224" s="19">
        <v>0</v>
      </c>
      <c r="K224" s="19">
        <v>0.19600483879904465</v>
      </c>
      <c r="L224" s="19">
        <v>0.80399516120095538</v>
      </c>
      <c r="M224" s="20">
        <v>1</v>
      </c>
      <c r="N224" s="19">
        <v>0.12452377407622497</v>
      </c>
      <c r="O224" s="19">
        <v>0</v>
      </c>
      <c r="P224" s="19">
        <v>7.1481064722819662E-2</v>
      </c>
      <c r="Q224" s="19">
        <v>0.38504028052382333</v>
      </c>
      <c r="R224" s="19">
        <v>0.34657673788805943</v>
      </c>
      <c r="S224" s="19">
        <v>7.2378142789072591E-2</v>
      </c>
      <c r="T224" s="20">
        <v>13</v>
      </c>
      <c r="U224" s="17">
        <v>2</v>
      </c>
      <c r="V224" s="17">
        <v>37</v>
      </c>
    </row>
    <row r="225" spans="1:22" x14ac:dyDescent="0.2">
      <c r="A225" t="s">
        <v>1295</v>
      </c>
      <c r="B225" t="s">
        <v>851</v>
      </c>
      <c r="C225" t="s">
        <v>852</v>
      </c>
      <c r="D225" t="s">
        <v>1296</v>
      </c>
      <c r="E225" s="10" t="s">
        <v>1297</v>
      </c>
      <c r="F225" s="10"/>
      <c r="G225" s="10"/>
      <c r="H225" s="10" t="s">
        <v>1297</v>
      </c>
      <c r="I225" s="14">
        <v>684534.03252246208</v>
      </c>
      <c r="J225" s="19">
        <v>0.95029658461321187</v>
      </c>
      <c r="K225" s="19">
        <v>2.5393650265131931E-2</v>
      </c>
      <c r="L225" s="19">
        <v>2.4309765121656148E-2</v>
      </c>
      <c r="M225" s="20">
        <v>3</v>
      </c>
      <c r="N225" s="19">
        <v>0</v>
      </c>
      <c r="O225" s="19">
        <v>0</v>
      </c>
      <c r="P225" s="19">
        <v>2.5393650265131931E-2</v>
      </c>
      <c r="Q225" s="19">
        <v>8.7713544138178015E-3</v>
      </c>
      <c r="R225" s="19">
        <v>1.3238230506969307E-2</v>
      </c>
      <c r="S225" s="19">
        <v>2.3001802008690386E-3</v>
      </c>
      <c r="T225" s="20">
        <v>30</v>
      </c>
      <c r="U225" s="17">
        <v>2</v>
      </c>
      <c r="V225" s="17">
        <v>37</v>
      </c>
    </row>
    <row r="226" spans="1:22" x14ac:dyDescent="0.2">
      <c r="A226" t="s">
        <v>1298</v>
      </c>
      <c r="B226" t="s">
        <v>851</v>
      </c>
      <c r="C226" t="s">
        <v>852</v>
      </c>
      <c r="D226" t="s">
        <v>1296</v>
      </c>
      <c r="E226" s="10" t="s">
        <v>1299</v>
      </c>
      <c r="F226" s="10"/>
      <c r="G226" s="10"/>
      <c r="H226" s="10" t="s">
        <v>1299</v>
      </c>
      <c r="I226" s="14">
        <v>248062.09987927927</v>
      </c>
      <c r="J226" s="19">
        <v>0.40712056007929209</v>
      </c>
      <c r="K226" s="19">
        <v>0.16898506178349551</v>
      </c>
      <c r="L226" s="19">
        <v>0.42389437813721242</v>
      </c>
      <c r="M226" s="20">
        <v>2</v>
      </c>
      <c r="N226" s="19">
        <v>0.10364642169408615</v>
      </c>
      <c r="O226" s="19">
        <v>0</v>
      </c>
      <c r="P226" s="19">
        <v>6.5338640089409344E-2</v>
      </c>
      <c r="Q226" s="19">
        <v>0.13534867130251085</v>
      </c>
      <c r="R226" s="19">
        <v>0.22215653611046182</v>
      </c>
      <c r="S226" s="19">
        <v>6.6389170724239735E-2</v>
      </c>
      <c r="T226" s="20">
        <v>23</v>
      </c>
      <c r="U226" s="17">
        <v>2</v>
      </c>
      <c r="V226" s="17">
        <v>37</v>
      </c>
    </row>
    <row r="227" spans="1:22" x14ac:dyDescent="0.2">
      <c r="A227" t="s">
        <v>1300</v>
      </c>
      <c r="B227" t="s">
        <v>851</v>
      </c>
      <c r="C227" t="s">
        <v>852</v>
      </c>
      <c r="D227" t="s">
        <v>1296</v>
      </c>
      <c r="E227" s="10" t="s">
        <v>1301</v>
      </c>
      <c r="F227" s="10"/>
      <c r="G227" s="10"/>
      <c r="H227" s="10" t="s">
        <v>1301</v>
      </c>
      <c r="I227" s="14">
        <v>182571.83665207983</v>
      </c>
      <c r="J227" s="19">
        <v>0.69562278564782543</v>
      </c>
      <c r="K227" s="19">
        <v>0.27224824341598469</v>
      </c>
      <c r="L227" s="19">
        <v>3.2128970936189834E-2</v>
      </c>
      <c r="M227" s="20">
        <v>3</v>
      </c>
      <c r="N227" s="19">
        <v>0.20190553974172037</v>
      </c>
      <c r="O227" s="19">
        <v>0</v>
      </c>
      <c r="P227" s="19">
        <v>7.0342703674264304E-2</v>
      </c>
      <c r="Q227" s="19">
        <v>5.0057638746419351E-3</v>
      </c>
      <c r="R227" s="19">
        <v>2.4687049572768016E-2</v>
      </c>
      <c r="S227" s="19">
        <v>2.4361574887798837E-3</v>
      </c>
      <c r="T227" s="20">
        <v>30</v>
      </c>
      <c r="U227" s="17">
        <v>2</v>
      </c>
      <c r="V227" s="17">
        <v>37</v>
      </c>
    </row>
    <row r="228" spans="1:22" x14ac:dyDescent="0.2">
      <c r="A228" t="s">
        <v>1302</v>
      </c>
      <c r="B228" t="s">
        <v>851</v>
      </c>
      <c r="C228" t="s">
        <v>852</v>
      </c>
      <c r="D228" t="s">
        <v>1296</v>
      </c>
      <c r="E228" s="10" t="s">
        <v>1303</v>
      </c>
      <c r="F228" s="10"/>
      <c r="G228" s="10"/>
      <c r="H228" s="10" t="s">
        <v>1303</v>
      </c>
      <c r="I228" s="14">
        <v>163496.88550100476</v>
      </c>
      <c r="J228" s="19">
        <v>0.33601970908528256</v>
      </c>
      <c r="K228" s="19">
        <v>0.17607485017560937</v>
      </c>
      <c r="L228" s="19">
        <v>0.48790544073910808</v>
      </c>
      <c r="M228" s="20">
        <v>2</v>
      </c>
      <c r="N228" s="19">
        <v>3.5247492412488465E-2</v>
      </c>
      <c r="O228" s="19">
        <v>0</v>
      </c>
      <c r="P228" s="19">
        <v>0.14082735776312089</v>
      </c>
      <c r="Q228" s="19">
        <v>0.16496020808005632</v>
      </c>
      <c r="R228" s="19">
        <v>0.23760753357815104</v>
      </c>
      <c r="S228" s="19">
        <v>8.5337699080900692E-2</v>
      </c>
      <c r="T228" s="20">
        <v>23</v>
      </c>
      <c r="U228" s="17">
        <v>2</v>
      </c>
      <c r="V228" s="17">
        <v>37</v>
      </c>
    </row>
    <row r="229" spans="1:22" x14ac:dyDescent="0.2">
      <c r="A229" t="s">
        <v>1304</v>
      </c>
      <c r="B229" t="s">
        <v>851</v>
      </c>
      <c r="C229" t="s">
        <v>852</v>
      </c>
      <c r="D229" t="s">
        <v>1296</v>
      </c>
      <c r="E229" s="10" t="s">
        <v>1305</v>
      </c>
      <c r="F229" s="10"/>
      <c r="G229" s="10"/>
      <c r="H229" s="10" t="s">
        <v>1305</v>
      </c>
      <c r="I229" s="14">
        <v>210423.64997195735</v>
      </c>
      <c r="J229" s="19">
        <v>0</v>
      </c>
      <c r="K229" s="19">
        <v>0.33254339688204421</v>
      </c>
      <c r="L229" s="19">
        <v>0.66745660311795563</v>
      </c>
      <c r="M229" s="20">
        <v>1</v>
      </c>
      <c r="N229" s="19">
        <v>0.15828509882788466</v>
      </c>
      <c r="O229" s="19">
        <v>6.4949685997859954E-2</v>
      </c>
      <c r="P229" s="19">
        <v>0.1093086120562996</v>
      </c>
      <c r="Q229" s="19">
        <v>0.23640625143534907</v>
      </c>
      <c r="R229" s="19">
        <v>0.34168005760896036</v>
      </c>
      <c r="S229" s="19">
        <v>8.9370294073646217E-2</v>
      </c>
      <c r="T229" s="20">
        <v>12</v>
      </c>
      <c r="U229" s="17">
        <v>2</v>
      </c>
      <c r="V229" s="17">
        <v>37</v>
      </c>
    </row>
    <row r="230" spans="1:22" x14ac:dyDescent="0.2">
      <c r="A230" t="s">
        <v>1306</v>
      </c>
      <c r="B230" t="s">
        <v>851</v>
      </c>
      <c r="C230" t="s">
        <v>852</v>
      </c>
      <c r="D230" t="s">
        <v>1296</v>
      </c>
      <c r="E230" s="10" t="s">
        <v>1307</v>
      </c>
      <c r="F230" s="10"/>
      <c r="G230" s="10"/>
      <c r="H230" s="10" t="s">
        <v>1307</v>
      </c>
      <c r="I230" s="14">
        <v>640358.48468195228</v>
      </c>
      <c r="J230" s="19">
        <v>0.1584133778855529</v>
      </c>
      <c r="K230" s="19">
        <v>0.37788133254202749</v>
      </c>
      <c r="L230" s="19">
        <v>0.46370528957241963</v>
      </c>
      <c r="M230" s="20">
        <v>2</v>
      </c>
      <c r="N230" s="19">
        <v>0.15654757199096392</v>
      </c>
      <c r="O230" s="19">
        <v>5.5632709062330733E-2</v>
      </c>
      <c r="P230" s="19">
        <v>0.16570105148873279</v>
      </c>
      <c r="Q230" s="19">
        <v>0.15763479925094789</v>
      </c>
      <c r="R230" s="19">
        <v>0.24523769817659377</v>
      </c>
      <c r="S230" s="19">
        <v>6.0832792144877988E-2</v>
      </c>
      <c r="T230" s="20">
        <v>23</v>
      </c>
      <c r="U230" s="17">
        <v>2</v>
      </c>
      <c r="V230" s="17">
        <v>37</v>
      </c>
    </row>
    <row r="231" spans="1:22" x14ac:dyDescent="0.2">
      <c r="A231" t="s">
        <v>1308</v>
      </c>
      <c r="B231" t="s">
        <v>851</v>
      </c>
      <c r="C231" t="s">
        <v>852</v>
      </c>
      <c r="D231" t="s">
        <v>1296</v>
      </c>
      <c r="E231" s="10" t="s">
        <v>1309</v>
      </c>
      <c r="F231" s="10"/>
      <c r="G231" s="10"/>
      <c r="H231" s="10" t="s">
        <v>1309</v>
      </c>
      <c r="I231" s="14">
        <v>382830.27639541449</v>
      </c>
      <c r="J231" s="19">
        <v>0.31380685471059827</v>
      </c>
      <c r="K231" s="19">
        <v>0.14845688307023144</v>
      </c>
      <c r="L231" s="19">
        <v>0.53773626221917037</v>
      </c>
      <c r="M231" s="20">
        <v>1</v>
      </c>
      <c r="N231" s="19">
        <v>2.6424865513752064E-2</v>
      </c>
      <c r="O231" s="19">
        <v>7.9083605517723435E-2</v>
      </c>
      <c r="P231" s="19">
        <v>4.2948412038755955E-2</v>
      </c>
      <c r="Q231" s="19">
        <v>0.12381878190081341</v>
      </c>
      <c r="R231" s="19">
        <v>0.3269757815769655</v>
      </c>
      <c r="S231" s="19">
        <v>8.6941698741391391E-2</v>
      </c>
      <c r="T231" s="20">
        <v>12</v>
      </c>
      <c r="U231" s="17">
        <v>2</v>
      </c>
      <c r="V231" s="17">
        <v>37</v>
      </c>
    </row>
    <row r="232" spans="1:22" x14ac:dyDescent="0.2">
      <c r="A232" t="s">
        <v>1310</v>
      </c>
      <c r="B232" t="s">
        <v>851</v>
      </c>
      <c r="C232" t="s">
        <v>852</v>
      </c>
      <c r="D232" t="s">
        <v>1296</v>
      </c>
      <c r="E232" s="10" t="s">
        <v>1311</v>
      </c>
      <c r="F232" s="10"/>
      <c r="G232" s="10"/>
      <c r="H232" s="10" t="s">
        <v>1311</v>
      </c>
      <c r="I232" s="14">
        <v>91075.889639787376</v>
      </c>
      <c r="J232" s="19">
        <v>0</v>
      </c>
      <c r="K232" s="19">
        <v>0.52002268284407294</v>
      </c>
      <c r="L232" s="19">
        <v>0.47997731715592706</v>
      </c>
      <c r="M232" s="20">
        <v>2</v>
      </c>
      <c r="N232" s="19">
        <v>0.23134574527007945</v>
      </c>
      <c r="O232" s="19">
        <v>0</v>
      </c>
      <c r="P232" s="19">
        <v>0.28867693757399349</v>
      </c>
      <c r="Q232" s="19">
        <v>0.19099924553831085</v>
      </c>
      <c r="R232" s="19">
        <v>0.23659783405093773</v>
      </c>
      <c r="S232" s="19">
        <v>5.2380237566678485E-2</v>
      </c>
      <c r="T232" s="20">
        <v>23</v>
      </c>
      <c r="U232" s="17">
        <v>2</v>
      </c>
      <c r="V232" s="17">
        <v>37</v>
      </c>
    </row>
    <row r="233" spans="1:22" x14ac:dyDescent="0.2">
      <c r="A233" t="s">
        <v>1312</v>
      </c>
      <c r="B233" t="s">
        <v>851</v>
      </c>
      <c r="C233" t="s">
        <v>852</v>
      </c>
      <c r="D233" t="s">
        <v>1296</v>
      </c>
      <c r="E233" s="10" t="s">
        <v>1313</v>
      </c>
      <c r="F233" s="10"/>
      <c r="G233" s="10"/>
      <c r="H233" s="10" t="s">
        <v>1313</v>
      </c>
      <c r="I233" s="14">
        <v>184853.28981791859</v>
      </c>
      <c r="J233" s="19">
        <v>0.3636348011792882</v>
      </c>
      <c r="K233" s="19">
        <v>0.15940784173709507</v>
      </c>
      <c r="L233" s="19">
        <v>0.47695735708361653</v>
      </c>
      <c r="M233" s="20">
        <v>2</v>
      </c>
      <c r="N233" s="19">
        <v>0</v>
      </c>
      <c r="O233" s="19">
        <v>8.0767328800274138E-2</v>
      </c>
      <c r="P233" s="19">
        <v>7.8640512936820936E-2</v>
      </c>
      <c r="Q233" s="19">
        <v>0.11484345506695351</v>
      </c>
      <c r="R233" s="19">
        <v>0.29151213196617581</v>
      </c>
      <c r="S233" s="19">
        <v>7.0601770050487206E-2</v>
      </c>
      <c r="T233" s="20">
        <v>22</v>
      </c>
      <c r="U233" s="17">
        <v>2</v>
      </c>
      <c r="V233" s="17">
        <v>37</v>
      </c>
    </row>
    <row r="234" spans="1:22" x14ac:dyDescent="0.2">
      <c r="A234" t="s">
        <v>1314</v>
      </c>
      <c r="B234" t="s">
        <v>851</v>
      </c>
      <c r="C234" t="s">
        <v>852</v>
      </c>
      <c r="D234" t="s">
        <v>1296</v>
      </c>
      <c r="E234" s="10" t="s">
        <v>1315</v>
      </c>
      <c r="F234" s="10"/>
      <c r="G234" s="10"/>
      <c r="H234" s="10" t="s">
        <v>1315</v>
      </c>
      <c r="I234" s="14">
        <v>303274.19833753444</v>
      </c>
      <c r="J234" s="19">
        <v>0.23211206360946998</v>
      </c>
      <c r="K234" s="19">
        <v>0.2156492437171704</v>
      </c>
      <c r="L234" s="19">
        <v>0.55223869267335957</v>
      </c>
      <c r="M234" s="20">
        <v>1</v>
      </c>
      <c r="N234" s="19">
        <v>6.0217317830395023E-2</v>
      </c>
      <c r="O234" s="19">
        <v>5.4580835784628565E-2</v>
      </c>
      <c r="P234" s="19">
        <v>0.10085109010214682</v>
      </c>
      <c r="Q234" s="19">
        <v>0.20256782114404698</v>
      </c>
      <c r="R234" s="19">
        <v>0.28500116148351823</v>
      </c>
      <c r="S234" s="19">
        <v>6.4669710045794401E-2</v>
      </c>
      <c r="T234" s="20">
        <v>12</v>
      </c>
      <c r="U234" s="17">
        <v>2</v>
      </c>
      <c r="V234" s="17">
        <v>37</v>
      </c>
    </row>
    <row r="235" spans="1:22" x14ac:dyDescent="0.2">
      <c r="A235" t="s">
        <v>1316</v>
      </c>
      <c r="B235" t="s">
        <v>851</v>
      </c>
      <c r="C235" t="s">
        <v>852</v>
      </c>
      <c r="D235" t="s">
        <v>1296</v>
      </c>
      <c r="E235" s="10" t="s">
        <v>1317</v>
      </c>
      <c r="F235" s="10"/>
      <c r="G235" s="10"/>
      <c r="H235" s="10" t="s">
        <v>1317</v>
      </c>
      <c r="I235" s="14">
        <v>195415.86630880181</v>
      </c>
      <c r="J235" s="19">
        <v>0</v>
      </c>
      <c r="K235" s="19">
        <v>0.6248596327952195</v>
      </c>
      <c r="L235" s="19">
        <v>0.37514036720478056</v>
      </c>
      <c r="M235" s="20">
        <v>2</v>
      </c>
      <c r="N235" s="19">
        <v>0.2465010346709455</v>
      </c>
      <c r="O235" s="19">
        <v>0.20499627163594733</v>
      </c>
      <c r="P235" s="19">
        <v>0.17336232648832667</v>
      </c>
      <c r="Q235" s="19">
        <v>0.10202314467023497</v>
      </c>
      <c r="R235" s="19">
        <v>0.23507375859241783</v>
      </c>
      <c r="S235" s="19">
        <v>3.8043463942127674E-2</v>
      </c>
      <c r="T235" s="20">
        <v>23</v>
      </c>
      <c r="U235" s="17">
        <v>2</v>
      </c>
      <c r="V235" s="17">
        <v>37</v>
      </c>
    </row>
    <row r="236" spans="1:22" x14ac:dyDescent="0.2">
      <c r="A236" t="s">
        <v>1318</v>
      </c>
      <c r="B236" t="s">
        <v>851</v>
      </c>
      <c r="C236" t="s">
        <v>852</v>
      </c>
      <c r="D236" t="s">
        <v>1296</v>
      </c>
      <c r="E236" s="10" t="s">
        <v>1319</v>
      </c>
      <c r="F236" s="10"/>
      <c r="G236" s="10"/>
      <c r="H236" s="10" t="s">
        <v>1319</v>
      </c>
      <c r="I236" s="14">
        <v>1224440.5662257792</v>
      </c>
      <c r="J236" s="19">
        <v>0.89571252796389222</v>
      </c>
      <c r="K236" s="19">
        <v>8.3390406571660164E-2</v>
      </c>
      <c r="L236" s="19">
        <v>2.0897065464447615E-2</v>
      </c>
      <c r="M236" s="20">
        <v>3</v>
      </c>
      <c r="N236" s="19">
        <v>2.5764647043379545E-2</v>
      </c>
      <c r="O236" s="19">
        <v>0</v>
      </c>
      <c r="P236" s="19">
        <v>5.7625759528280626E-2</v>
      </c>
      <c r="Q236" s="19">
        <v>4.4632089570618453E-3</v>
      </c>
      <c r="R236" s="19">
        <v>1.4385581431896425E-2</v>
      </c>
      <c r="S236" s="19">
        <v>2.048275075489347E-3</v>
      </c>
      <c r="T236" s="20">
        <v>30</v>
      </c>
      <c r="U236" s="17">
        <v>2</v>
      </c>
      <c r="V236" s="17">
        <v>37</v>
      </c>
    </row>
    <row r="237" spans="1:22" x14ac:dyDescent="0.2">
      <c r="A237" t="s">
        <v>1320</v>
      </c>
      <c r="B237" t="s">
        <v>851</v>
      </c>
      <c r="C237" t="s">
        <v>852</v>
      </c>
      <c r="D237" t="s">
        <v>1296</v>
      </c>
      <c r="E237" s="10" t="s">
        <v>1321</v>
      </c>
      <c r="F237" s="10"/>
      <c r="G237" s="10"/>
      <c r="H237" s="10" t="s">
        <v>1321</v>
      </c>
      <c r="I237" s="14">
        <v>15252.474310996477</v>
      </c>
      <c r="J237" s="19">
        <v>0</v>
      </c>
      <c r="K237" s="19">
        <v>0</v>
      </c>
      <c r="L237" s="19">
        <v>1</v>
      </c>
      <c r="M237" s="20">
        <v>1</v>
      </c>
      <c r="N237" s="19">
        <v>0</v>
      </c>
      <c r="O237" s="19">
        <v>0</v>
      </c>
      <c r="P237" s="19">
        <v>0</v>
      </c>
      <c r="Q237" s="19">
        <v>0.25044257234552431</v>
      </c>
      <c r="R237" s="19">
        <v>0.51069757621319023</v>
      </c>
      <c r="S237" s="19">
        <v>0.23885985144128549</v>
      </c>
      <c r="T237" s="20">
        <v>12</v>
      </c>
      <c r="U237" s="17">
        <v>2</v>
      </c>
      <c r="V237" s="17">
        <v>37</v>
      </c>
    </row>
    <row r="238" spans="1:22" x14ac:dyDescent="0.2">
      <c r="A238" t="s">
        <v>1322</v>
      </c>
      <c r="B238" t="s">
        <v>851</v>
      </c>
      <c r="C238" t="s">
        <v>852</v>
      </c>
      <c r="D238" t="s">
        <v>1296</v>
      </c>
      <c r="E238" s="10" t="s">
        <v>1323</v>
      </c>
      <c r="F238" s="10"/>
      <c r="G238" s="10"/>
      <c r="H238" s="10" t="s">
        <v>1323</v>
      </c>
      <c r="I238" s="14">
        <v>269240.04922746238</v>
      </c>
      <c r="J238" s="19">
        <v>0.88890551105275561</v>
      </c>
      <c r="K238" s="19">
        <v>6.6220979605839336E-2</v>
      </c>
      <c r="L238" s="19">
        <v>4.4873509341405014E-2</v>
      </c>
      <c r="M238" s="20">
        <v>3</v>
      </c>
      <c r="N238" s="19">
        <v>1.2884439640393414E-3</v>
      </c>
      <c r="O238" s="19">
        <v>0</v>
      </c>
      <c r="P238" s="19">
        <v>6.4932535641799988E-2</v>
      </c>
      <c r="Q238" s="19">
        <v>1.9283727068670264E-2</v>
      </c>
      <c r="R238" s="19">
        <v>2.3347522406928056E-2</v>
      </c>
      <c r="S238" s="19">
        <v>2.2422598658066962E-3</v>
      </c>
      <c r="T238" s="20">
        <v>30</v>
      </c>
      <c r="U238" s="17">
        <v>2</v>
      </c>
      <c r="V238" s="17">
        <v>37</v>
      </c>
    </row>
    <row r="239" spans="1:22" x14ac:dyDescent="0.2">
      <c r="A239" t="s">
        <v>1324</v>
      </c>
      <c r="B239" t="s">
        <v>851</v>
      </c>
      <c r="C239" t="s">
        <v>852</v>
      </c>
      <c r="D239" t="s">
        <v>1325</v>
      </c>
      <c r="E239" s="10" t="s">
        <v>1326</v>
      </c>
      <c r="F239" s="10"/>
      <c r="G239" s="10"/>
      <c r="H239" s="10" t="s">
        <v>1326</v>
      </c>
      <c r="I239" s="14">
        <v>1451504.2428375515</v>
      </c>
      <c r="J239" s="19">
        <v>0.86557206749380855</v>
      </c>
      <c r="K239" s="19">
        <v>0.11326682128380679</v>
      </c>
      <c r="L239" s="19">
        <v>2.1161111222384631E-2</v>
      </c>
      <c r="M239" s="20">
        <v>3</v>
      </c>
      <c r="N239" s="19">
        <v>8.0031384133124189E-2</v>
      </c>
      <c r="O239" s="19">
        <v>0</v>
      </c>
      <c r="P239" s="19">
        <v>3.3235437150682584E-2</v>
      </c>
      <c r="Q239" s="19">
        <v>3.7164930134885861E-3</v>
      </c>
      <c r="R239" s="19">
        <v>1.4965828180262103E-2</v>
      </c>
      <c r="S239" s="19">
        <v>2.4787900286339397E-3</v>
      </c>
      <c r="T239" s="20">
        <v>30</v>
      </c>
      <c r="U239" s="17">
        <v>2</v>
      </c>
      <c r="V239" s="17">
        <v>37</v>
      </c>
    </row>
    <row r="240" spans="1:22" x14ac:dyDescent="0.2">
      <c r="A240" t="s">
        <v>1327</v>
      </c>
      <c r="B240" t="s">
        <v>851</v>
      </c>
      <c r="C240" t="s">
        <v>852</v>
      </c>
      <c r="D240" t="s">
        <v>1325</v>
      </c>
      <c r="E240" s="10" t="s">
        <v>1328</v>
      </c>
      <c r="F240" s="10"/>
      <c r="G240" s="10"/>
      <c r="H240" s="10" t="s">
        <v>1328</v>
      </c>
      <c r="I240" s="14">
        <v>354218.17970030545</v>
      </c>
      <c r="J240" s="19">
        <v>0.17937197418001408</v>
      </c>
      <c r="K240" s="19">
        <v>0.71740252612609534</v>
      </c>
      <c r="L240" s="19">
        <v>0.10322549969389058</v>
      </c>
      <c r="M240" s="20">
        <v>2</v>
      </c>
      <c r="N240" s="19">
        <v>0.48512743290581456</v>
      </c>
      <c r="O240" s="19">
        <v>1.966499493719405E-2</v>
      </c>
      <c r="P240" s="19">
        <v>0.21261009828308677</v>
      </c>
      <c r="Q240" s="19">
        <v>2.019207416776311E-2</v>
      </c>
      <c r="R240" s="19">
        <v>6.4993576532669448E-2</v>
      </c>
      <c r="S240" s="19">
        <v>1.8039848993458021E-2</v>
      </c>
      <c r="T240" s="20">
        <v>23</v>
      </c>
      <c r="U240" s="17">
        <v>2</v>
      </c>
      <c r="V240" s="17">
        <v>37</v>
      </c>
    </row>
    <row r="241" spans="1:22" x14ac:dyDescent="0.2">
      <c r="A241" t="s">
        <v>1329</v>
      </c>
      <c r="B241" t="s">
        <v>851</v>
      </c>
      <c r="C241" t="s">
        <v>852</v>
      </c>
      <c r="D241" t="s">
        <v>1325</v>
      </c>
      <c r="E241" s="10" t="s">
        <v>1330</v>
      </c>
      <c r="F241" s="10"/>
      <c r="G241" s="10"/>
      <c r="H241" s="10" t="s">
        <v>1330</v>
      </c>
      <c r="I241" s="14">
        <v>292391.21832173411</v>
      </c>
      <c r="J241" s="19">
        <v>0.51068554818482337</v>
      </c>
      <c r="K241" s="19">
        <v>0.26158657038831606</v>
      </c>
      <c r="L241" s="19">
        <v>0.2277278814268606</v>
      </c>
      <c r="M241" s="20">
        <v>3</v>
      </c>
      <c r="N241" s="19">
        <v>0.13078718993519736</v>
      </c>
      <c r="O241" s="19">
        <v>0</v>
      </c>
      <c r="P241" s="19">
        <v>0.1307993804531187</v>
      </c>
      <c r="Q241" s="19">
        <v>6.6810719887380493E-2</v>
      </c>
      <c r="R241" s="19">
        <v>0.14580990939048188</v>
      </c>
      <c r="S241" s="19">
        <v>1.5107252148998223E-2</v>
      </c>
      <c r="T241" s="20">
        <v>30</v>
      </c>
      <c r="U241" s="17">
        <v>2</v>
      </c>
      <c r="V241" s="17">
        <v>37</v>
      </c>
    </row>
    <row r="242" spans="1:22" x14ac:dyDescent="0.2">
      <c r="A242" t="s">
        <v>1331</v>
      </c>
      <c r="B242" t="s">
        <v>851</v>
      </c>
      <c r="C242" t="s">
        <v>852</v>
      </c>
      <c r="D242" t="s">
        <v>1325</v>
      </c>
      <c r="E242" s="10" t="s">
        <v>1332</v>
      </c>
      <c r="F242" s="10"/>
      <c r="G242" s="10"/>
      <c r="H242" s="10" t="s">
        <v>1332</v>
      </c>
      <c r="I242" s="14">
        <v>18052.127355694771</v>
      </c>
      <c r="J242" s="19">
        <v>0</v>
      </c>
      <c r="K242" s="19">
        <v>0.40186911179643836</v>
      </c>
      <c r="L242" s="19">
        <v>0.59813088820356164</v>
      </c>
      <c r="M242" s="20">
        <v>1</v>
      </c>
      <c r="N242" s="19">
        <v>0.37442250579482267</v>
      </c>
      <c r="O242" s="19">
        <v>0</v>
      </c>
      <c r="P242" s="19">
        <v>2.7446606001615709E-2</v>
      </c>
      <c r="Q242" s="19">
        <v>0.12155865236416172</v>
      </c>
      <c r="R242" s="19">
        <v>0.4102454423068389</v>
      </c>
      <c r="S242" s="19">
        <v>6.6326793532561032E-2</v>
      </c>
      <c r="T242" s="20">
        <v>12</v>
      </c>
      <c r="U242" s="17">
        <v>2</v>
      </c>
      <c r="V242" s="17">
        <v>37</v>
      </c>
    </row>
    <row r="243" spans="1:22" x14ac:dyDescent="0.2">
      <c r="A243" t="s">
        <v>1333</v>
      </c>
      <c r="B243" t="s">
        <v>851</v>
      </c>
      <c r="C243" t="s">
        <v>852</v>
      </c>
      <c r="D243" t="s">
        <v>1325</v>
      </c>
      <c r="E243" s="10" t="s">
        <v>1334</v>
      </c>
      <c r="F243" s="10"/>
      <c r="G243" s="10"/>
      <c r="H243" s="10" t="s">
        <v>1334</v>
      </c>
      <c r="I243" s="14">
        <v>109704.53415855719</v>
      </c>
      <c r="J243" s="19">
        <v>0</v>
      </c>
      <c r="K243" s="19">
        <v>0.48426474886611981</v>
      </c>
      <c r="L243" s="19">
        <v>0.51573525113388019</v>
      </c>
      <c r="M243" s="20">
        <v>1</v>
      </c>
      <c r="N243" s="19">
        <v>0.40164226718987783</v>
      </c>
      <c r="O243" s="19">
        <v>7.1668350148446677E-2</v>
      </c>
      <c r="P243" s="19">
        <v>1.0954131527795362E-2</v>
      </c>
      <c r="Q243" s="19">
        <v>0.19073442768735702</v>
      </c>
      <c r="R243" s="19">
        <v>0.29685831427561726</v>
      </c>
      <c r="S243" s="19">
        <v>2.8142509170905879E-2</v>
      </c>
      <c r="T243" s="20">
        <v>12</v>
      </c>
      <c r="U243" s="17">
        <v>2</v>
      </c>
      <c r="V243" s="17">
        <v>37</v>
      </c>
    </row>
    <row r="244" spans="1:22" x14ac:dyDescent="0.2">
      <c r="A244" t="s">
        <v>1335</v>
      </c>
      <c r="B244" t="s">
        <v>851</v>
      </c>
      <c r="C244" t="s">
        <v>852</v>
      </c>
      <c r="D244" t="s">
        <v>1325</v>
      </c>
      <c r="E244" s="10" t="s">
        <v>1336</v>
      </c>
      <c r="F244" s="10"/>
      <c r="G244" s="10"/>
      <c r="H244" s="10" t="s">
        <v>1336</v>
      </c>
      <c r="I244" s="14">
        <v>73967.112002134323</v>
      </c>
      <c r="J244" s="19">
        <v>0</v>
      </c>
      <c r="K244" s="19">
        <v>0.42242416542339017</v>
      </c>
      <c r="L244" s="19">
        <v>0.57757583457660988</v>
      </c>
      <c r="M244" s="20">
        <v>1</v>
      </c>
      <c r="N244" s="19">
        <v>0.28643666352593439</v>
      </c>
      <c r="O244" s="19">
        <v>0</v>
      </c>
      <c r="P244" s="19">
        <v>0.13598750189745579</v>
      </c>
      <c r="Q244" s="19">
        <v>0.21943424550735019</v>
      </c>
      <c r="R244" s="19">
        <v>0.3111151259635162</v>
      </c>
      <c r="S244" s="19">
        <v>4.7026463105743439E-2</v>
      </c>
      <c r="T244" s="20">
        <v>12</v>
      </c>
      <c r="U244" s="17">
        <v>2</v>
      </c>
      <c r="V244" s="17">
        <v>37</v>
      </c>
    </row>
    <row r="245" spans="1:22" x14ac:dyDescent="0.2">
      <c r="A245" t="s">
        <v>1337</v>
      </c>
      <c r="B245" t="s">
        <v>851</v>
      </c>
      <c r="C245" t="s">
        <v>852</v>
      </c>
      <c r="D245" t="s">
        <v>1325</v>
      </c>
      <c r="E245" s="10" t="s">
        <v>1338</v>
      </c>
      <c r="F245" s="10"/>
      <c r="G245" s="10"/>
      <c r="H245" s="10" t="s">
        <v>1338</v>
      </c>
      <c r="I245" s="14">
        <v>149529.65524926106</v>
      </c>
      <c r="J245" s="19">
        <v>0.83988532296324603</v>
      </c>
      <c r="K245" s="19">
        <v>0.11637115938431968</v>
      </c>
      <c r="L245" s="19">
        <v>4.3743517652434338E-2</v>
      </c>
      <c r="M245" s="20">
        <v>3</v>
      </c>
      <c r="N245" s="19">
        <v>0</v>
      </c>
      <c r="O245" s="19">
        <v>0</v>
      </c>
      <c r="P245" s="19">
        <v>0.11637115938431968</v>
      </c>
      <c r="Q245" s="19">
        <v>0</v>
      </c>
      <c r="R245" s="19">
        <v>3.8186127283876256E-2</v>
      </c>
      <c r="S245" s="19">
        <v>5.5573903685580848E-3</v>
      </c>
      <c r="T245" s="20">
        <v>30</v>
      </c>
      <c r="U245" s="17">
        <v>2</v>
      </c>
      <c r="V245" s="17">
        <v>37</v>
      </c>
    </row>
    <row r="246" spans="1:22" x14ac:dyDescent="0.2">
      <c r="A246" t="s">
        <v>1339</v>
      </c>
      <c r="B246" t="s">
        <v>851</v>
      </c>
      <c r="C246" t="s">
        <v>852</v>
      </c>
      <c r="D246" t="s">
        <v>1340</v>
      </c>
      <c r="E246" s="10" t="s">
        <v>1341</v>
      </c>
      <c r="F246" s="10"/>
      <c r="G246" s="10"/>
      <c r="H246" s="10" t="s">
        <v>1341</v>
      </c>
      <c r="I246" s="14">
        <v>1034308.3814986949</v>
      </c>
      <c r="J246" s="19">
        <v>0.9626732396999681</v>
      </c>
      <c r="K246" s="19">
        <v>3.5327811895055711E-2</v>
      </c>
      <c r="L246" s="19">
        <v>1.9989484049762383E-3</v>
      </c>
      <c r="M246" s="20">
        <v>3</v>
      </c>
      <c r="N246" s="19">
        <v>2.2512177169845028E-2</v>
      </c>
      <c r="O246" s="19">
        <v>0</v>
      </c>
      <c r="P246" s="19">
        <v>1.2815634725210679E-2</v>
      </c>
      <c r="Q246" s="19">
        <v>0</v>
      </c>
      <c r="R246" s="19">
        <v>1.788076144303635E-3</v>
      </c>
      <c r="S246" s="19">
        <v>2.108722606726031E-4</v>
      </c>
      <c r="T246" s="20">
        <v>30</v>
      </c>
      <c r="U246" s="17">
        <v>2</v>
      </c>
      <c r="V246" s="17">
        <v>37</v>
      </c>
    </row>
    <row r="247" spans="1:22" x14ac:dyDescent="0.2">
      <c r="A247" t="s">
        <v>1342</v>
      </c>
      <c r="B247" t="s">
        <v>851</v>
      </c>
      <c r="C247" t="s">
        <v>852</v>
      </c>
      <c r="D247" t="s">
        <v>1340</v>
      </c>
      <c r="E247" s="10" t="s">
        <v>1343</v>
      </c>
      <c r="F247" s="10"/>
      <c r="G247" s="10"/>
      <c r="H247" s="10" t="s">
        <v>1343</v>
      </c>
      <c r="I247" s="14">
        <v>477915.9382396508</v>
      </c>
      <c r="J247" s="19">
        <v>0</v>
      </c>
      <c r="K247" s="19">
        <v>0.57618621456806263</v>
      </c>
      <c r="L247" s="19">
        <v>0.42381378543193743</v>
      </c>
      <c r="M247" s="20">
        <v>2</v>
      </c>
      <c r="N247" s="19">
        <v>0.21750435240640018</v>
      </c>
      <c r="O247" s="19">
        <v>0.12020998165284986</v>
      </c>
      <c r="P247" s="19">
        <v>0.23847188050881254</v>
      </c>
      <c r="Q247" s="19">
        <v>0.11424576273036675</v>
      </c>
      <c r="R247" s="19">
        <v>0.26610338683961449</v>
      </c>
      <c r="S247" s="19">
        <v>4.3464635861956168E-2</v>
      </c>
      <c r="T247" s="20">
        <v>23</v>
      </c>
      <c r="U247" s="17">
        <v>2</v>
      </c>
      <c r="V247" s="17">
        <v>37</v>
      </c>
    </row>
    <row r="248" spans="1:22" x14ac:dyDescent="0.2">
      <c r="A248" t="s">
        <v>1344</v>
      </c>
      <c r="B248" t="s">
        <v>851</v>
      </c>
      <c r="C248" t="s">
        <v>852</v>
      </c>
      <c r="D248" t="s">
        <v>1340</v>
      </c>
      <c r="E248" s="10" t="s">
        <v>1345</v>
      </c>
      <c r="F248" s="10"/>
      <c r="G248" s="10"/>
      <c r="H248" s="10" t="s">
        <v>1345</v>
      </c>
      <c r="I248" s="14">
        <v>1065275.7070680449</v>
      </c>
      <c r="J248" s="19">
        <v>0.26953423476213373</v>
      </c>
      <c r="K248" s="19">
        <v>0.59495201609515214</v>
      </c>
      <c r="L248" s="19">
        <v>0.13551374914271411</v>
      </c>
      <c r="M248" s="20">
        <v>2</v>
      </c>
      <c r="N248" s="19">
        <v>0.18202948010720363</v>
      </c>
      <c r="O248" s="19">
        <v>9.5848588575389929E-3</v>
      </c>
      <c r="P248" s="19">
        <v>0.40333767713040952</v>
      </c>
      <c r="Q248" s="19">
        <v>2.610217844635929E-2</v>
      </c>
      <c r="R248" s="19">
        <v>0.10344284795989223</v>
      </c>
      <c r="S248" s="19">
        <v>5.9687227364625768E-3</v>
      </c>
      <c r="T248" s="20">
        <v>23</v>
      </c>
      <c r="U248" s="17">
        <v>2</v>
      </c>
      <c r="V248" s="17">
        <v>37</v>
      </c>
    </row>
    <row r="249" spans="1:22" x14ac:dyDescent="0.2">
      <c r="A249" t="s">
        <v>1346</v>
      </c>
      <c r="B249" t="s">
        <v>851</v>
      </c>
      <c r="C249" t="s">
        <v>852</v>
      </c>
      <c r="D249" t="s">
        <v>1340</v>
      </c>
      <c r="E249" s="10" t="s">
        <v>1347</v>
      </c>
      <c r="F249" s="10"/>
      <c r="G249" s="10"/>
      <c r="H249" s="10" t="s">
        <v>1347</v>
      </c>
      <c r="I249" s="14">
        <v>1568565.421438168</v>
      </c>
      <c r="J249" s="19">
        <v>0.14679539668023392</v>
      </c>
      <c r="K249" s="19">
        <v>0.70837726667603307</v>
      </c>
      <c r="L249" s="19">
        <v>0.1448273366437331</v>
      </c>
      <c r="M249" s="20">
        <v>2</v>
      </c>
      <c r="N249" s="19">
        <v>0.21880460936532639</v>
      </c>
      <c r="O249" s="19">
        <v>4.849804517666554E-2</v>
      </c>
      <c r="P249" s="19">
        <v>0.44107461213404109</v>
      </c>
      <c r="Q249" s="19">
        <v>4.0011923951200089E-2</v>
      </c>
      <c r="R249" s="19">
        <v>9.7391871618735276E-2</v>
      </c>
      <c r="S249" s="19">
        <v>7.4235410737977046E-3</v>
      </c>
      <c r="T249" s="20">
        <v>23</v>
      </c>
      <c r="U249" s="17">
        <v>2</v>
      </c>
      <c r="V249" s="17">
        <v>37</v>
      </c>
    </row>
    <row r="250" spans="1:22" x14ac:dyDescent="0.2">
      <c r="A250" t="s">
        <v>1348</v>
      </c>
      <c r="B250" t="s">
        <v>851</v>
      </c>
      <c r="C250" t="s">
        <v>852</v>
      </c>
      <c r="D250" t="s">
        <v>1340</v>
      </c>
      <c r="E250" s="10" t="s">
        <v>1349</v>
      </c>
      <c r="F250" s="10"/>
      <c r="G250" s="10"/>
      <c r="H250" s="10" t="s">
        <v>1349</v>
      </c>
      <c r="I250" s="14">
        <v>972615.58516165882</v>
      </c>
      <c r="J250" s="19">
        <v>0.10977794496746232</v>
      </c>
      <c r="K250" s="19">
        <v>0.68046003017892687</v>
      </c>
      <c r="L250" s="19">
        <v>0.20976202485361067</v>
      </c>
      <c r="M250" s="20">
        <v>2</v>
      </c>
      <c r="N250" s="19">
        <v>0.17922795415508211</v>
      </c>
      <c r="O250" s="19">
        <v>5.5517369587025571E-2</v>
      </c>
      <c r="P250" s="19">
        <v>0.44571470643681921</v>
      </c>
      <c r="Q250" s="19">
        <v>6.3227265864643528E-2</v>
      </c>
      <c r="R250" s="19">
        <v>0.13776834414714606</v>
      </c>
      <c r="S250" s="19">
        <v>8.7664148418210401E-3</v>
      </c>
      <c r="T250" s="20">
        <v>23</v>
      </c>
      <c r="U250" s="17">
        <v>2</v>
      </c>
      <c r="V250" s="17">
        <v>37</v>
      </c>
    </row>
    <row r="251" spans="1:22" x14ac:dyDescent="0.2">
      <c r="A251" t="s">
        <v>1350</v>
      </c>
      <c r="B251" t="s">
        <v>851</v>
      </c>
      <c r="C251" t="s">
        <v>852</v>
      </c>
      <c r="D251" t="s">
        <v>1340</v>
      </c>
      <c r="E251" s="10" t="s">
        <v>1351</v>
      </c>
      <c r="F251" s="10"/>
      <c r="G251" s="10"/>
      <c r="H251" s="10" t="s">
        <v>1351</v>
      </c>
      <c r="I251" s="14">
        <v>679255.53138127876</v>
      </c>
      <c r="J251" s="19">
        <v>0.28645663116292419</v>
      </c>
      <c r="K251" s="19">
        <v>0.41675996358767886</v>
      </c>
      <c r="L251" s="19">
        <v>0.29678340524939689</v>
      </c>
      <c r="M251" s="20">
        <v>2</v>
      </c>
      <c r="N251" s="19">
        <v>6.9908998035135908E-2</v>
      </c>
      <c r="O251" s="19">
        <v>5.0024507633199919E-2</v>
      </c>
      <c r="P251" s="19">
        <v>0.29682645791934303</v>
      </c>
      <c r="Q251" s="19">
        <v>0.10995501360935449</v>
      </c>
      <c r="R251" s="19">
        <v>0.17098393111601884</v>
      </c>
      <c r="S251" s="19">
        <v>1.5844460524023583E-2</v>
      </c>
      <c r="T251" s="20">
        <v>23</v>
      </c>
      <c r="U251" s="17">
        <v>2</v>
      </c>
      <c r="V251" s="17">
        <v>37</v>
      </c>
    </row>
    <row r="252" spans="1:22" x14ac:dyDescent="0.2">
      <c r="A252" t="s">
        <v>1352</v>
      </c>
      <c r="B252" t="s">
        <v>851</v>
      </c>
      <c r="C252" t="s">
        <v>852</v>
      </c>
      <c r="D252" t="s">
        <v>1340</v>
      </c>
      <c r="E252" s="10" t="s">
        <v>1353</v>
      </c>
      <c r="F252" s="10"/>
      <c r="G252" s="10"/>
      <c r="H252" s="10" t="s">
        <v>1353</v>
      </c>
      <c r="I252" s="14">
        <v>120785.31175631494</v>
      </c>
      <c r="J252" s="19">
        <v>0</v>
      </c>
      <c r="K252" s="19">
        <v>0.11761979254336272</v>
      </c>
      <c r="L252" s="19">
        <v>0.88238020745663737</v>
      </c>
      <c r="M252" s="20">
        <v>1</v>
      </c>
      <c r="N252" s="19">
        <v>0</v>
      </c>
      <c r="O252" s="19">
        <v>0.11761979254336272</v>
      </c>
      <c r="P252" s="19">
        <v>0</v>
      </c>
      <c r="Q252" s="19">
        <v>0.36194316094574996</v>
      </c>
      <c r="R252" s="19">
        <v>0.46907484506578895</v>
      </c>
      <c r="S252" s="19">
        <v>5.1362201445098385E-2</v>
      </c>
      <c r="T252" s="20">
        <v>12</v>
      </c>
      <c r="U252" s="17">
        <v>2</v>
      </c>
      <c r="V252" s="17">
        <v>37</v>
      </c>
    </row>
    <row r="253" spans="1:22" x14ac:dyDescent="0.2">
      <c r="A253" t="s">
        <v>1354</v>
      </c>
      <c r="B253" t="s">
        <v>851</v>
      </c>
      <c r="C253" t="s">
        <v>852</v>
      </c>
      <c r="D253" t="s">
        <v>1340</v>
      </c>
      <c r="E253" s="10" t="s">
        <v>1355</v>
      </c>
      <c r="F253" s="10"/>
      <c r="G253" s="10"/>
      <c r="H253" s="10" t="s">
        <v>1355</v>
      </c>
      <c r="I253" s="14">
        <v>163217.07056122809</v>
      </c>
      <c r="J253" s="19">
        <v>0.87905680025726152</v>
      </c>
      <c r="K253" s="19">
        <v>0.11005433482615337</v>
      </c>
      <c r="L253" s="19">
        <v>1.0888864916585137E-2</v>
      </c>
      <c r="M253" s="20">
        <v>3</v>
      </c>
      <c r="N253" s="19">
        <v>0</v>
      </c>
      <c r="O253" s="19">
        <v>0</v>
      </c>
      <c r="P253" s="19">
        <v>0.11005433482615337</v>
      </c>
      <c r="Q253" s="19">
        <v>0</v>
      </c>
      <c r="R253" s="19">
        <v>1.0486979575670073E-2</v>
      </c>
      <c r="S253" s="19">
        <v>4.0188534091506624E-4</v>
      </c>
      <c r="T253" s="20">
        <v>30</v>
      </c>
      <c r="U253" s="17">
        <v>2</v>
      </c>
      <c r="V253" s="17">
        <v>37</v>
      </c>
    </row>
    <row r="254" spans="1:22" x14ac:dyDescent="0.2">
      <c r="A254" t="s">
        <v>1356</v>
      </c>
      <c r="B254" t="s">
        <v>851</v>
      </c>
      <c r="C254" t="s">
        <v>852</v>
      </c>
      <c r="D254" t="s">
        <v>1340</v>
      </c>
      <c r="E254" s="10" t="s">
        <v>1357</v>
      </c>
      <c r="F254" s="10"/>
      <c r="G254" s="10"/>
      <c r="H254" s="10" t="s">
        <v>1357</v>
      </c>
      <c r="I254" s="14">
        <v>495444.38854693156</v>
      </c>
      <c r="J254" s="19">
        <v>0.17937369108817497</v>
      </c>
      <c r="K254" s="19">
        <v>0.67449735567994418</v>
      </c>
      <c r="L254" s="19">
        <v>0.14612895323188083</v>
      </c>
      <c r="M254" s="20">
        <v>2</v>
      </c>
      <c r="N254" s="19">
        <v>0.18917394503168503</v>
      </c>
      <c r="O254" s="19">
        <v>7.7528014954264424E-2</v>
      </c>
      <c r="P254" s="19">
        <v>0.40779539569399476</v>
      </c>
      <c r="Q254" s="19">
        <v>4.1253126149996509E-2</v>
      </c>
      <c r="R254" s="19">
        <v>9.6133266800495776E-2</v>
      </c>
      <c r="S254" s="19">
        <v>8.7425602813885357E-3</v>
      </c>
      <c r="T254" s="20">
        <v>23</v>
      </c>
      <c r="U254" s="17">
        <v>2</v>
      </c>
      <c r="V254" s="17">
        <v>37</v>
      </c>
    </row>
    <row r="255" spans="1:22" x14ac:dyDescent="0.2">
      <c r="A255" t="s">
        <v>1358</v>
      </c>
      <c r="B255" t="s">
        <v>851</v>
      </c>
      <c r="C255" t="s">
        <v>852</v>
      </c>
      <c r="D255" t="s">
        <v>1340</v>
      </c>
      <c r="E255" s="10" t="s">
        <v>1359</v>
      </c>
      <c r="F255" s="10"/>
      <c r="G255" s="10"/>
      <c r="H255" s="10" t="s">
        <v>1359</v>
      </c>
      <c r="I255" s="14">
        <v>370967.94028715044</v>
      </c>
      <c r="J255" s="19">
        <v>0.34924467260908387</v>
      </c>
      <c r="K255" s="19">
        <v>0.57877788837198252</v>
      </c>
      <c r="L255" s="19">
        <v>7.1977439018933637E-2</v>
      </c>
      <c r="M255" s="20">
        <v>2</v>
      </c>
      <c r="N255" s="19">
        <v>0.24899775580804209</v>
      </c>
      <c r="O255" s="19">
        <v>0</v>
      </c>
      <c r="P255" s="19">
        <v>0.3297801325639404</v>
      </c>
      <c r="Q255" s="19">
        <v>0</v>
      </c>
      <c r="R255" s="19">
        <v>6.6883580688257949E-2</v>
      </c>
      <c r="S255" s="19">
        <v>5.0938583306756931E-3</v>
      </c>
      <c r="T255" s="20">
        <v>23</v>
      </c>
      <c r="U255" s="17">
        <v>2</v>
      </c>
      <c r="V255" s="17">
        <v>37</v>
      </c>
    </row>
    <row r="256" spans="1:22" x14ac:dyDescent="0.2">
      <c r="A256" t="s">
        <v>1360</v>
      </c>
      <c r="B256" t="s">
        <v>851</v>
      </c>
      <c r="C256" t="s">
        <v>852</v>
      </c>
      <c r="D256" t="s">
        <v>1340</v>
      </c>
      <c r="E256" s="10" t="s">
        <v>1361</v>
      </c>
      <c r="F256" s="10"/>
      <c r="G256" s="10"/>
      <c r="H256" s="10" t="s">
        <v>1361</v>
      </c>
      <c r="I256" s="14">
        <v>564281.71849602181</v>
      </c>
      <c r="J256" s="19">
        <v>0</v>
      </c>
      <c r="K256" s="19">
        <v>0.78729851014630148</v>
      </c>
      <c r="L256" s="19">
        <v>0.21270148985369855</v>
      </c>
      <c r="M256" s="20">
        <v>2</v>
      </c>
      <c r="N256" s="19">
        <v>0.41261223501009364</v>
      </c>
      <c r="O256" s="19">
        <v>7.2222158450070947E-2</v>
      </c>
      <c r="P256" s="19">
        <v>0.30246411668613687</v>
      </c>
      <c r="Q256" s="19">
        <v>5.3225007168278278E-2</v>
      </c>
      <c r="R256" s="19">
        <v>0.1353062253352976</v>
      </c>
      <c r="S256" s="19">
        <v>2.4170257350122678E-2</v>
      </c>
      <c r="T256" s="20">
        <v>23</v>
      </c>
      <c r="U256" s="17">
        <v>2</v>
      </c>
      <c r="V256" s="17">
        <v>37</v>
      </c>
    </row>
    <row r="257" spans="1:22" x14ac:dyDescent="0.2">
      <c r="A257" t="s">
        <v>1362</v>
      </c>
      <c r="B257" t="s">
        <v>851</v>
      </c>
      <c r="C257" t="s">
        <v>852</v>
      </c>
      <c r="D257" t="s">
        <v>1340</v>
      </c>
      <c r="E257" s="10" t="s">
        <v>1363</v>
      </c>
      <c r="F257" s="10"/>
      <c r="G257" s="10"/>
      <c r="H257" s="10" t="s">
        <v>1363</v>
      </c>
      <c r="I257" s="14">
        <v>253333.71879498824</v>
      </c>
      <c r="J257" s="19">
        <v>0</v>
      </c>
      <c r="K257" s="19">
        <v>0.6224379298525089</v>
      </c>
      <c r="L257" s="19">
        <v>0.37756207014749099</v>
      </c>
      <c r="M257" s="20">
        <v>2</v>
      </c>
      <c r="N257" s="19">
        <v>0.17723279290839822</v>
      </c>
      <c r="O257" s="19">
        <v>0.11398356674075169</v>
      </c>
      <c r="P257" s="19">
        <v>0.33122157020335902</v>
      </c>
      <c r="Q257" s="19">
        <v>0.19168567728417332</v>
      </c>
      <c r="R257" s="19">
        <v>0.17097205459395626</v>
      </c>
      <c r="S257" s="19">
        <v>1.4904338269361479E-2</v>
      </c>
      <c r="T257" s="20">
        <v>23</v>
      </c>
      <c r="U257" s="17">
        <v>2</v>
      </c>
      <c r="V257" s="17">
        <v>37</v>
      </c>
    </row>
    <row r="258" spans="1:22" x14ac:dyDescent="0.2">
      <c r="A258" t="s">
        <v>1364</v>
      </c>
      <c r="B258" t="s">
        <v>851</v>
      </c>
      <c r="C258" t="s">
        <v>852</v>
      </c>
      <c r="D258" t="s">
        <v>1340</v>
      </c>
      <c r="E258" s="10" t="s">
        <v>1365</v>
      </c>
      <c r="F258" s="10"/>
      <c r="G258" s="10"/>
      <c r="H258" s="10" t="s">
        <v>1365</v>
      </c>
      <c r="I258" s="14">
        <v>267746.52436963702</v>
      </c>
      <c r="J258" s="19">
        <v>0</v>
      </c>
      <c r="K258" s="19">
        <v>0.43717236060693154</v>
      </c>
      <c r="L258" s="19">
        <v>0.56282763939306846</v>
      </c>
      <c r="M258" s="20">
        <v>1</v>
      </c>
      <c r="N258" s="19">
        <v>0.18972334112870032</v>
      </c>
      <c r="O258" s="19">
        <v>5.6069170032254256E-2</v>
      </c>
      <c r="P258" s="19">
        <v>0.19137984944597691</v>
      </c>
      <c r="Q258" s="19">
        <v>0.19413867511452348</v>
      </c>
      <c r="R258" s="19">
        <v>0.33417692963412327</v>
      </c>
      <c r="S258" s="19">
        <v>3.4512034644421791E-2</v>
      </c>
      <c r="T258" s="20">
        <v>12</v>
      </c>
      <c r="U258" s="17">
        <v>2</v>
      </c>
      <c r="V258" s="17">
        <v>37</v>
      </c>
    </row>
    <row r="259" spans="1:22" x14ac:dyDescent="0.2">
      <c r="A259" t="s">
        <v>1366</v>
      </c>
      <c r="B259" t="s">
        <v>851</v>
      </c>
      <c r="C259" t="s">
        <v>852</v>
      </c>
      <c r="D259" t="s">
        <v>1340</v>
      </c>
      <c r="E259" s="10" t="s">
        <v>1367</v>
      </c>
      <c r="F259" s="10"/>
      <c r="G259" s="10"/>
      <c r="H259" s="10" t="s">
        <v>1367</v>
      </c>
      <c r="I259" s="14">
        <v>390755.71026954614</v>
      </c>
      <c r="J259" s="19">
        <v>0</v>
      </c>
      <c r="K259" s="19">
        <v>0.32108614172530753</v>
      </c>
      <c r="L259" s="19">
        <v>0.67891385827469231</v>
      </c>
      <c r="M259" s="20">
        <v>1</v>
      </c>
      <c r="N259" s="19">
        <v>7.4971381430995646E-2</v>
      </c>
      <c r="O259" s="19">
        <v>0.13526891008835434</v>
      </c>
      <c r="P259" s="19">
        <v>0.11084585020595755</v>
      </c>
      <c r="Q259" s="19">
        <v>0.31493724891701935</v>
      </c>
      <c r="R259" s="19">
        <v>0.33017264837383853</v>
      </c>
      <c r="S259" s="19">
        <v>3.3803960983834522E-2</v>
      </c>
      <c r="T259" s="20">
        <v>12</v>
      </c>
      <c r="U259" s="17">
        <v>2</v>
      </c>
      <c r="V259" s="17">
        <v>37</v>
      </c>
    </row>
    <row r="260" spans="1:22" x14ac:dyDescent="0.2">
      <c r="A260" t="s">
        <v>1368</v>
      </c>
      <c r="B260" t="s">
        <v>851</v>
      </c>
      <c r="C260" t="s">
        <v>852</v>
      </c>
      <c r="D260" t="s">
        <v>1369</v>
      </c>
      <c r="E260" s="10" t="s">
        <v>1370</v>
      </c>
      <c r="F260" s="10"/>
      <c r="G260" s="10"/>
      <c r="H260" s="10" t="s">
        <v>1370</v>
      </c>
      <c r="I260" s="14">
        <v>514767.7575214142</v>
      </c>
      <c r="J260" s="19">
        <v>0.91197900251170694</v>
      </c>
      <c r="K260" s="19">
        <v>7.1577876025749984E-2</v>
      </c>
      <c r="L260" s="19">
        <v>1.644312146254303E-2</v>
      </c>
      <c r="M260" s="20">
        <v>3</v>
      </c>
      <c r="N260" s="19">
        <v>1.274267763012534E-2</v>
      </c>
      <c r="O260" s="19">
        <v>1.4525283669392796E-2</v>
      </c>
      <c r="P260" s="19">
        <v>4.4309914726231851E-2</v>
      </c>
      <c r="Q260" s="19">
        <v>3.1756742641417699E-3</v>
      </c>
      <c r="R260" s="19">
        <v>1.1995274463219916E-2</v>
      </c>
      <c r="S260" s="19">
        <v>1.272172735181342E-3</v>
      </c>
      <c r="T260" s="20">
        <v>30</v>
      </c>
      <c r="U260" s="17">
        <v>2</v>
      </c>
      <c r="V260" s="17">
        <v>37</v>
      </c>
    </row>
    <row r="261" spans="1:22" x14ac:dyDescent="0.2">
      <c r="A261" t="s">
        <v>1371</v>
      </c>
      <c r="B261" t="s">
        <v>851</v>
      </c>
      <c r="C261" t="s">
        <v>852</v>
      </c>
      <c r="D261" t="s">
        <v>1369</v>
      </c>
      <c r="E261" s="10" t="s">
        <v>1372</v>
      </c>
      <c r="F261" s="10"/>
      <c r="G261" s="10"/>
      <c r="H261" s="10" t="s">
        <v>1372</v>
      </c>
      <c r="I261" s="14">
        <v>140275.59697615262</v>
      </c>
      <c r="J261" s="19">
        <v>0</v>
      </c>
      <c r="K261" s="19">
        <v>0.47797048085092486</v>
      </c>
      <c r="L261" s="19">
        <v>0.52202951914907514</v>
      </c>
      <c r="M261" s="20">
        <v>1</v>
      </c>
      <c r="N261" s="19">
        <v>0.33855663587696899</v>
      </c>
      <c r="O261" s="19">
        <v>3.5787279576625856E-2</v>
      </c>
      <c r="P261" s="19">
        <v>0.10362656539733002</v>
      </c>
      <c r="Q261" s="19">
        <v>0.35175293618529924</v>
      </c>
      <c r="R261" s="19">
        <v>0.15031499471107426</v>
      </c>
      <c r="S261" s="19">
        <v>1.9961588252701633E-2</v>
      </c>
      <c r="T261" s="20">
        <v>13</v>
      </c>
      <c r="U261" s="17">
        <v>2</v>
      </c>
      <c r="V261" s="17">
        <v>37</v>
      </c>
    </row>
    <row r="262" spans="1:22" x14ac:dyDescent="0.2">
      <c r="A262" t="s">
        <v>1373</v>
      </c>
      <c r="B262" t="s">
        <v>851</v>
      </c>
      <c r="C262" t="s">
        <v>852</v>
      </c>
      <c r="D262" t="s">
        <v>1369</v>
      </c>
      <c r="E262" s="10" t="s">
        <v>1374</v>
      </c>
      <c r="F262" s="10"/>
      <c r="G262" s="10"/>
      <c r="H262" s="10" t="s">
        <v>1374</v>
      </c>
      <c r="I262" s="14">
        <v>66104.921052321792</v>
      </c>
      <c r="J262" s="19">
        <v>0</v>
      </c>
      <c r="K262" s="19">
        <v>0.3773718595835161</v>
      </c>
      <c r="L262" s="19">
        <v>0.62262814041648396</v>
      </c>
      <c r="M262" s="20">
        <v>1</v>
      </c>
      <c r="N262" s="19">
        <v>0.25447935461336263</v>
      </c>
      <c r="O262" s="19">
        <v>8.4532247701481961E-2</v>
      </c>
      <c r="P262" s="19">
        <v>3.836025726867151E-2</v>
      </c>
      <c r="Q262" s="19">
        <v>0.40368563636313609</v>
      </c>
      <c r="R262" s="19">
        <v>0.18362743012867289</v>
      </c>
      <c r="S262" s="19">
        <v>3.531507392467486E-2</v>
      </c>
      <c r="T262" s="20">
        <v>13</v>
      </c>
      <c r="U262" s="17">
        <v>2</v>
      </c>
      <c r="V262" s="17">
        <v>37</v>
      </c>
    </row>
    <row r="263" spans="1:22" x14ac:dyDescent="0.2">
      <c r="A263" t="s">
        <v>1375</v>
      </c>
      <c r="B263" t="s">
        <v>851</v>
      </c>
      <c r="C263" t="s">
        <v>852</v>
      </c>
      <c r="D263" t="s">
        <v>1369</v>
      </c>
      <c r="E263" s="10" t="s">
        <v>1376</v>
      </c>
      <c r="F263" s="10"/>
      <c r="G263" s="10"/>
      <c r="H263" s="10" t="s">
        <v>1376</v>
      </c>
      <c r="I263" s="14">
        <v>100558.92716018856</v>
      </c>
      <c r="J263" s="19">
        <v>0.59235260767382514</v>
      </c>
      <c r="K263" s="19">
        <v>5.6680643697831885E-2</v>
      </c>
      <c r="L263" s="19">
        <v>0.35096674862834304</v>
      </c>
      <c r="M263" s="20">
        <v>3</v>
      </c>
      <c r="N263" s="19">
        <v>0</v>
      </c>
      <c r="O263" s="19">
        <v>0</v>
      </c>
      <c r="P263" s="19">
        <v>5.6680643697831885E-2</v>
      </c>
      <c r="Q263" s="19">
        <v>0.11471550543208965</v>
      </c>
      <c r="R263" s="19">
        <v>0.22301648459694667</v>
      </c>
      <c r="S263" s="19">
        <v>1.323475859930672E-2</v>
      </c>
      <c r="T263" s="20">
        <v>30</v>
      </c>
      <c r="U263" s="17">
        <v>2</v>
      </c>
      <c r="V263" s="17">
        <v>37</v>
      </c>
    </row>
    <row r="264" spans="1:22" x14ac:dyDescent="0.2">
      <c r="A264" t="s">
        <v>1377</v>
      </c>
      <c r="B264" t="s">
        <v>851</v>
      </c>
      <c r="C264" t="s">
        <v>852</v>
      </c>
      <c r="D264" t="s">
        <v>1369</v>
      </c>
      <c r="E264" s="10" t="s">
        <v>1378</v>
      </c>
      <c r="F264" s="10"/>
      <c r="G264" s="10"/>
      <c r="H264" s="10" t="s">
        <v>1378</v>
      </c>
      <c r="I264" s="14">
        <v>60803.264679646127</v>
      </c>
      <c r="J264" s="19">
        <v>0</v>
      </c>
      <c r="K264" s="19">
        <v>0.1169195244967484</v>
      </c>
      <c r="L264" s="19">
        <v>0.88308047550325153</v>
      </c>
      <c r="M264" s="20">
        <v>1</v>
      </c>
      <c r="N264" s="19">
        <v>0</v>
      </c>
      <c r="O264" s="19">
        <v>0.1169195244967484</v>
      </c>
      <c r="P264" s="19">
        <v>0</v>
      </c>
      <c r="Q264" s="19">
        <v>0.45186449365696174</v>
      </c>
      <c r="R264" s="19">
        <v>0.39859424964513368</v>
      </c>
      <c r="S264" s="19">
        <v>3.2621732201156065E-2</v>
      </c>
      <c r="T264" s="20">
        <v>13</v>
      </c>
      <c r="U264" s="17">
        <v>2</v>
      </c>
      <c r="V264" s="17">
        <v>37</v>
      </c>
    </row>
    <row r="265" spans="1:22" x14ac:dyDescent="0.2">
      <c r="A265" t="s">
        <v>1379</v>
      </c>
      <c r="B265" t="s">
        <v>851</v>
      </c>
      <c r="C265" t="s">
        <v>852</v>
      </c>
      <c r="D265" t="s">
        <v>1369</v>
      </c>
      <c r="E265" s="10" t="s">
        <v>1380</v>
      </c>
      <c r="F265" s="10"/>
      <c r="G265" s="10"/>
      <c r="H265" s="10" t="s">
        <v>1380</v>
      </c>
      <c r="I265" s="14">
        <v>481522.01246046927</v>
      </c>
      <c r="J265" s="19">
        <v>0.21097755044206651</v>
      </c>
      <c r="K265" s="19">
        <v>0.4343460359673893</v>
      </c>
      <c r="L265" s="19">
        <v>0.35467641359054419</v>
      </c>
      <c r="M265" s="20">
        <v>2</v>
      </c>
      <c r="N265" s="19">
        <v>0.13249279842640119</v>
      </c>
      <c r="O265" s="19">
        <v>0.17965997455094906</v>
      </c>
      <c r="P265" s="19">
        <v>0.12219326299003905</v>
      </c>
      <c r="Q265" s="19">
        <v>0.23375870786527364</v>
      </c>
      <c r="R265" s="19">
        <v>0.11031615501779163</v>
      </c>
      <c r="S265" s="19">
        <v>1.0601550707478903E-2</v>
      </c>
      <c r="T265" s="20">
        <v>22</v>
      </c>
      <c r="U265" s="17">
        <v>2</v>
      </c>
      <c r="V265" s="17">
        <v>37</v>
      </c>
    </row>
    <row r="266" spans="1:22" x14ac:dyDescent="0.2">
      <c r="A266" t="s">
        <v>1381</v>
      </c>
      <c r="B266" t="s">
        <v>851</v>
      </c>
      <c r="C266" t="s">
        <v>852</v>
      </c>
      <c r="D266" t="s">
        <v>1369</v>
      </c>
      <c r="E266" s="10" t="s">
        <v>1382</v>
      </c>
      <c r="F266" s="10"/>
      <c r="G266" s="10"/>
      <c r="H266" s="10" t="s">
        <v>1382</v>
      </c>
      <c r="I266" s="14">
        <v>89694.483103312552</v>
      </c>
      <c r="J266" s="19">
        <v>0.46817090259406841</v>
      </c>
      <c r="K266" s="19">
        <v>3.9218495187513372E-2</v>
      </c>
      <c r="L266" s="19">
        <v>0.49261060221841824</v>
      </c>
      <c r="M266" s="20">
        <v>2</v>
      </c>
      <c r="N266" s="19">
        <v>0</v>
      </c>
      <c r="O266" s="19">
        <v>0</v>
      </c>
      <c r="P266" s="19">
        <v>3.9218495187513372E-2</v>
      </c>
      <c r="Q266" s="19">
        <v>0.2791368982256881</v>
      </c>
      <c r="R266" s="19">
        <v>0.20192466220337335</v>
      </c>
      <c r="S266" s="19">
        <v>1.1549041789356788E-2</v>
      </c>
      <c r="T266" s="20">
        <v>23</v>
      </c>
      <c r="U266" s="17">
        <v>2</v>
      </c>
      <c r="V266" s="17">
        <v>37</v>
      </c>
    </row>
    <row r="267" spans="1:22" x14ac:dyDescent="0.2">
      <c r="A267" t="s">
        <v>1383</v>
      </c>
      <c r="B267" t="s">
        <v>851</v>
      </c>
      <c r="C267" t="s">
        <v>852</v>
      </c>
      <c r="D267" t="s">
        <v>1369</v>
      </c>
      <c r="E267" s="10" t="s">
        <v>1384</v>
      </c>
      <c r="F267" s="10"/>
      <c r="G267" s="10"/>
      <c r="H267" s="10" t="s">
        <v>1384</v>
      </c>
      <c r="I267" s="14">
        <v>104919.7223154828</v>
      </c>
      <c r="J267" s="19">
        <v>0</v>
      </c>
      <c r="K267" s="19">
        <v>0.60650869254058704</v>
      </c>
      <c r="L267" s="19">
        <v>0.39349130745941302</v>
      </c>
      <c r="M267" s="20">
        <v>2</v>
      </c>
      <c r="N267" s="19">
        <v>0.55432593527376628</v>
      </c>
      <c r="O267" s="19">
        <v>0</v>
      </c>
      <c r="P267" s="19">
        <v>5.2182757266820715E-2</v>
      </c>
      <c r="Q267" s="19">
        <v>0.26707293754385675</v>
      </c>
      <c r="R267" s="19">
        <v>0.10476335411529103</v>
      </c>
      <c r="S267" s="19">
        <v>2.1655015800265246E-2</v>
      </c>
      <c r="T267" s="20">
        <v>23</v>
      </c>
      <c r="U267" s="17">
        <v>2</v>
      </c>
      <c r="V267" s="17">
        <v>37</v>
      </c>
    </row>
    <row r="268" spans="1:22" x14ac:dyDescent="0.2">
      <c r="A268" t="s">
        <v>1385</v>
      </c>
      <c r="B268" t="s">
        <v>851</v>
      </c>
      <c r="C268" t="s">
        <v>852</v>
      </c>
      <c r="D268" t="s">
        <v>1369</v>
      </c>
      <c r="E268" s="10" t="s">
        <v>1386</v>
      </c>
      <c r="F268" s="10"/>
      <c r="G268" s="10"/>
      <c r="H268" s="10" t="s">
        <v>1386</v>
      </c>
      <c r="I268" s="14">
        <v>200687.58494330384</v>
      </c>
      <c r="J268" s="19">
        <v>0</v>
      </c>
      <c r="K268" s="19">
        <v>0.51184308439546866</v>
      </c>
      <c r="L268" s="19">
        <v>0.48815691560453134</v>
      </c>
      <c r="M268" s="20">
        <v>2</v>
      </c>
      <c r="N268" s="19">
        <v>0.34784632687608552</v>
      </c>
      <c r="O268" s="19">
        <v>5.5385123629087797E-2</v>
      </c>
      <c r="P268" s="19">
        <v>0.10861163389029539</v>
      </c>
      <c r="Q268" s="19">
        <v>0.35923297918517955</v>
      </c>
      <c r="R268" s="19">
        <v>0.11722695623401398</v>
      </c>
      <c r="S268" s="19">
        <v>1.1696980185337795E-2</v>
      </c>
      <c r="T268" s="20">
        <v>23</v>
      </c>
      <c r="U268" s="17">
        <v>2</v>
      </c>
      <c r="V268" s="17">
        <v>37</v>
      </c>
    </row>
    <row r="269" spans="1:22" x14ac:dyDescent="0.2">
      <c r="A269" t="s">
        <v>1387</v>
      </c>
      <c r="B269" t="s">
        <v>851</v>
      </c>
      <c r="C269" t="s">
        <v>852</v>
      </c>
      <c r="D269" t="s">
        <v>1369</v>
      </c>
      <c r="E269" s="10" t="s">
        <v>1388</v>
      </c>
      <c r="F269" s="10"/>
      <c r="G269" s="10"/>
      <c r="H269" s="10" t="s">
        <v>1388</v>
      </c>
      <c r="I269" s="14">
        <v>83924.114842978306</v>
      </c>
      <c r="J269" s="19">
        <v>0</v>
      </c>
      <c r="K269" s="19">
        <v>0.32572183886139278</v>
      </c>
      <c r="L269" s="19">
        <v>0.67427816113860717</v>
      </c>
      <c r="M269" s="20">
        <v>1</v>
      </c>
      <c r="N269" s="19">
        <v>0.20473498800047793</v>
      </c>
      <c r="O269" s="19">
        <v>0</v>
      </c>
      <c r="P269" s="19">
        <v>0.12098685086091485</v>
      </c>
      <c r="Q269" s="19">
        <v>0.35686653928101553</v>
      </c>
      <c r="R269" s="19">
        <v>0.28810770486655513</v>
      </c>
      <c r="S269" s="19">
        <v>2.9303916991036589E-2</v>
      </c>
      <c r="T269" s="20">
        <v>13</v>
      </c>
      <c r="U269" s="17">
        <v>2</v>
      </c>
      <c r="V269" s="17">
        <v>37</v>
      </c>
    </row>
    <row r="270" spans="1:22" x14ac:dyDescent="0.2">
      <c r="A270" t="s">
        <v>1389</v>
      </c>
      <c r="B270" t="s">
        <v>851</v>
      </c>
      <c r="C270" t="s">
        <v>852</v>
      </c>
      <c r="D270" t="s">
        <v>1369</v>
      </c>
      <c r="E270" s="10" t="s">
        <v>1390</v>
      </c>
      <c r="F270" s="10"/>
      <c r="G270" s="10"/>
      <c r="H270" s="10" t="s">
        <v>1390</v>
      </c>
      <c r="I270" s="14">
        <v>62198.008016323671</v>
      </c>
      <c r="J270" s="19">
        <v>0.86277341638275795</v>
      </c>
      <c r="K270" s="19">
        <v>1.5298649834981188E-2</v>
      </c>
      <c r="L270" s="19">
        <v>0.12192793378226083</v>
      </c>
      <c r="M270" s="20">
        <v>3</v>
      </c>
      <c r="N270" s="19">
        <v>0</v>
      </c>
      <c r="O270" s="19">
        <v>0</v>
      </c>
      <c r="P270" s="19">
        <v>1.5298649834981188E-2</v>
      </c>
      <c r="Q270" s="19">
        <v>6.101927209950931E-2</v>
      </c>
      <c r="R270" s="19">
        <v>5.7454376951366751E-2</v>
      </c>
      <c r="S270" s="19">
        <v>3.4542847313848045E-3</v>
      </c>
      <c r="T270" s="20">
        <v>30</v>
      </c>
      <c r="U270" s="17">
        <v>2</v>
      </c>
      <c r="V270" s="17">
        <v>37</v>
      </c>
    </row>
    <row r="271" spans="1:22" x14ac:dyDescent="0.2">
      <c r="A271" t="s">
        <v>1391</v>
      </c>
      <c r="B271" t="s">
        <v>851</v>
      </c>
      <c r="C271" t="s">
        <v>852</v>
      </c>
      <c r="D271" t="s">
        <v>1392</v>
      </c>
      <c r="E271" s="10" t="s">
        <v>1393</v>
      </c>
      <c r="F271" s="10"/>
      <c r="G271" s="10"/>
      <c r="H271" s="10" t="s">
        <v>1393</v>
      </c>
      <c r="I271" s="14">
        <v>151588.55538556026</v>
      </c>
      <c r="J271" s="19">
        <v>0</v>
      </c>
      <c r="K271" s="19">
        <v>0.64258377681186429</v>
      </c>
      <c r="L271" s="19">
        <v>0.3574162231881356</v>
      </c>
      <c r="M271" s="20">
        <v>2</v>
      </c>
      <c r="N271" s="19">
        <v>0.28884201375155927</v>
      </c>
      <c r="O271" s="19">
        <v>0.12366546272902859</v>
      </c>
      <c r="P271" s="19">
        <v>0.23007630033127649</v>
      </c>
      <c r="Q271" s="19">
        <v>0.23418168676935339</v>
      </c>
      <c r="R271" s="19">
        <v>0.11176493780750676</v>
      </c>
      <c r="S271" s="19">
        <v>1.1469598611275446E-2</v>
      </c>
      <c r="T271" s="20">
        <v>23</v>
      </c>
      <c r="U271" s="17">
        <v>2</v>
      </c>
      <c r="V271" s="17">
        <v>37</v>
      </c>
    </row>
    <row r="272" spans="1:22" x14ac:dyDescent="0.2">
      <c r="A272" t="s">
        <v>1394</v>
      </c>
      <c r="B272" t="s">
        <v>851</v>
      </c>
      <c r="C272" t="s">
        <v>852</v>
      </c>
      <c r="D272" t="s">
        <v>1392</v>
      </c>
      <c r="E272" s="10" t="s">
        <v>1395</v>
      </c>
      <c r="F272" s="10"/>
      <c r="G272" s="10"/>
      <c r="H272" s="10" t="s">
        <v>1395</v>
      </c>
      <c r="I272" s="14">
        <v>294203.12841110397</v>
      </c>
      <c r="J272" s="19">
        <v>0.24881020012849933</v>
      </c>
      <c r="K272" s="19">
        <v>0.22111802167671621</v>
      </c>
      <c r="L272" s="19">
        <v>0.53007177819478446</v>
      </c>
      <c r="M272" s="20">
        <v>1</v>
      </c>
      <c r="N272" s="19">
        <v>0.14763478887323686</v>
      </c>
      <c r="O272" s="19">
        <v>2.5888899212357853E-2</v>
      </c>
      <c r="P272" s="19">
        <v>4.7594333591121488E-2</v>
      </c>
      <c r="Q272" s="19">
        <v>0.37242431603683335</v>
      </c>
      <c r="R272" s="19">
        <v>0.14772544928090661</v>
      </c>
      <c r="S272" s="19">
        <v>9.9220128770445039E-3</v>
      </c>
      <c r="T272" s="20">
        <v>13</v>
      </c>
      <c r="U272" s="17">
        <v>2</v>
      </c>
      <c r="V272" s="17">
        <v>37</v>
      </c>
    </row>
    <row r="273" spans="1:22" x14ac:dyDescent="0.2">
      <c r="A273" t="s">
        <v>1396</v>
      </c>
      <c r="B273" t="s">
        <v>851</v>
      </c>
      <c r="C273" t="s">
        <v>852</v>
      </c>
      <c r="D273" t="s">
        <v>1392</v>
      </c>
      <c r="E273" s="10" t="s">
        <v>1397</v>
      </c>
      <c r="F273" s="10"/>
      <c r="G273" s="10"/>
      <c r="H273" s="10" t="s">
        <v>1397</v>
      </c>
      <c r="I273" s="14">
        <v>53739.209112007171</v>
      </c>
      <c r="J273" s="19">
        <v>0</v>
      </c>
      <c r="K273" s="19">
        <v>0.37582653808537647</v>
      </c>
      <c r="L273" s="19">
        <v>0.62417346191462353</v>
      </c>
      <c r="M273" s="20">
        <v>1</v>
      </c>
      <c r="N273" s="19">
        <v>0.30091902203048676</v>
      </c>
      <c r="O273" s="19">
        <v>0</v>
      </c>
      <c r="P273" s="19">
        <v>7.4907516054889739E-2</v>
      </c>
      <c r="Q273" s="19">
        <v>0.42634116045297632</v>
      </c>
      <c r="R273" s="19">
        <v>0.17450552310856318</v>
      </c>
      <c r="S273" s="19">
        <v>2.3326778353084034E-2</v>
      </c>
      <c r="T273" s="20">
        <v>13</v>
      </c>
      <c r="U273" s="17">
        <v>2</v>
      </c>
      <c r="V273" s="17">
        <v>37</v>
      </c>
    </row>
    <row r="274" spans="1:22" x14ac:dyDescent="0.2">
      <c r="A274" t="s">
        <v>1398</v>
      </c>
      <c r="B274" t="s">
        <v>851</v>
      </c>
      <c r="C274" t="s">
        <v>852</v>
      </c>
      <c r="D274" t="s">
        <v>1392</v>
      </c>
      <c r="E274" s="10" t="s">
        <v>1399</v>
      </c>
      <c r="F274" s="10"/>
      <c r="G274" s="10"/>
      <c r="H274" s="10" t="s">
        <v>1399</v>
      </c>
      <c r="I274" s="14">
        <v>104073.82704524137</v>
      </c>
      <c r="J274" s="19">
        <v>0</v>
      </c>
      <c r="K274" s="19">
        <v>0.42209410556223509</v>
      </c>
      <c r="L274" s="19">
        <v>0.57790589443776497</v>
      </c>
      <c r="M274" s="20">
        <v>1</v>
      </c>
      <c r="N274" s="19">
        <v>0.22496951726576395</v>
      </c>
      <c r="O274" s="19">
        <v>8.4874424000001572E-2</v>
      </c>
      <c r="P274" s="19">
        <v>0.11225016429646957</v>
      </c>
      <c r="Q274" s="19">
        <v>0.37508064007887637</v>
      </c>
      <c r="R274" s="19">
        <v>0.18190230024299686</v>
      </c>
      <c r="S274" s="19">
        <v>2.0922954115891689E-2</v>
      </c>
      <c r="T274" s="20">
        <v>13</v>
      </c>
      <c r="U274" s="17">
        <v>2</v>
      </c>
      <c r="V274" s="17">
        <v>37</v>
      </c>
    </row>
    <row r="275" spans="1:22" x14ac:dyDescent="0.2">
      <c r="A275" t="s">
        <v>1400</v>
      </c>
      <c r="B275" t="s">
        <v>851</v>
      </c>
      <c r="C275" t="s">
        <v>852</v>
      </c>
      <c r="D275" t="s">
        <v>1392</v>
      </c>
      <c r="E275" s="10" t="s">
        <v>1401</v>
      </c>
      <c r="F275" s="10"/>
      <c r="G275" s="10"/>
      <c r="H275" s="10" t="s">
        <v>1401</v>
      </c>
      <c r="I275" s="14">
        <v>239853.69618398181</v>
      </c>
      <c r="J275" s="19">
        <v>0.38930197574699149</v>
      </c>
      <c r="K275" s="19">
        <v>0.31196842039439776</v>
      </c>
      <c r="L275" s="19">
        <v>0.29872960385861086</v>
      </c>
      <c r="M275" s="20">
        <v>2</v>
      </c>
      <c r="N275" s="19">
        <v>0.17780711085863282</v>
      </c>
      <c r="O275" s="19">
        <v>4.3524633843131107E-2</v>
      </c>
      <c r="P275" s="19">
        <v>9.0636675692633839E-2</v>
      </c>
      <c r="Q275" s="19">
        <v>0.15982945675454821</v>
      </c>
      <c r="R275" s="19">
        <v>0.12606716990418265</v>
      </c>
      <c r="S275" s="19">
        <v>1.2832977199879973E-2</v>
      </c>
      <c r="T275" s="20">
        <v>23</v>
      </c>
      <c r="U275" s="17">
        <v>2</v>
      </c>
      <c r="V275" s="17">
        <v>37</v>
      </c>
    </row>
    <row r="276" spans="1:22" x14ac:dyDescent="0.2">
      <c r="A276" t="s">
        <v>1402</v>
      </c>
      <c r="B276" t="s">
        <v>851</v>
      </c>
      <c r="C276" t="s">
        <v>852</v>
      </c>
      <c r="D276" t="s">
        <v>1392</v>
      </c>
      <c r="E276" s="10" t="s">
        <v>1403</v>
      </c>
      <c r="F276" s="10"/>
      <c r="G276" s="10"/>
      <c r="H276" s="10" t="s">
        <v>1403</v>
      </c>
      <c r="I276" s="14">
        <v>192648.41529464815</v>
      </c>
      <c r="J276" s="19">
        <v>0.25850708378636383</v>
      </c>
      <c r="K276" s="19">
        <v>0.2918244620021832</v>
      </c>
      <c r="L276" s="19">
        <v>0.44966845421145296</v>
      </c>
      <c r="M276" s="20">
        <v>2</v>
      </c>
      <c r="N276" s="19">
        <v>0.20518356477282101</v>
      </c>
      <c r="O276" s="19">
        <v>2.7546969898451724E-2</v>
      </c>
      <c r="P276" s="19">
        <v>5.9093927330910526E-2</v>
      </c>
      <c r="Q276" s="19">
        <v>0.32669569109888963</v>
      </c>
      <c r="R276" s="19">
        <v>0.10840640594194993</v>
      </c>
      <c r="S276" s="19">
        <v>1.4566357170613392E-2</v>
      </c>
      <c r="T276" s="20">
        <v>23</v>
      </c>
      <c r="U276" s="17">
        <v>2</v>
      </c>
      <c r="V276" s="17">
        <v>37</v>
      </c>
    </row>
    <row r="277" spans="1:22" x14ac:dyDescent="0.2">
      <c r="A277" t="s">
        <v>1404</v>
      </c>
      <c r="B277" t="s">
        <v>851</v>
      </c>
      <c r="C277" t="s">
        <v>852</v>
      </c>
      <c r="D277" t="s">
        <v>1392</v>
      </c>
      <c r="E277" s="10" t="s">
        <v>1405</v>
      </c>
      <c r="F277" s="10"/>
      <c r="G277" s="10"/>
      <c r="H277" s="10" t="s">
        <v>1405</v>
      </c>
      <c r="I277" s="14">
        <v>78033.543117890134</v>
      </c>
      <c r="J277" s="19">
        <v>0</v>
      </c>
      <c r="K277" s="19">
        <v>0.32195426740595351</v>
      </c>
      <c r="L277" s="19">
        <v>0.67804573259404644</v>
      </c>
      <c r="M277" s="20">
        <v>1</v>
      </c>
      <c r="N277" s="19">
        <v>0.19799795025573819</v>
      </c>
      <c r="O277" s="19">
        <v>0</v>
      </c>
      <c r="P277" s="19">
        <v>0.12395631715021534</v>
      </c>
      <c r="Q277" s="19">
        <v>0.48966279085315051</v>
      </c>
      <c r="R277" s="19">
        <v>0.17211100056708706</v>
      </c>
      <c r="S277" s="19">
        <v>1.6271941173808924E-2</v>
      </c>
      <c r="T277" s="20">
        <v>13</v>
      </c>
      <c r="U277" s="17">
        <v>2</v>
      </c>
      <c r="V277" s="17">
        <v>37</v>
      </c>
    </row>
    <row r="278" spans="1:22" x14ac:dyDescent="0.2">
      <c r="A278" t="s">
        <v>1406</v>
      </c>
      <c r="B278" t="s">
        <v>851</v>
      </c>
      <c r="C278" t="s">
        <v>852</v>
      </c>
      <c r="D278" t="s">
        <v>1392</v>
      </c>
      <c r="E278" s="10" t="s">
        <v>1407</v>
      </c>
      <c r="F278" s="10"/>
      <c r="G278" s="10"/>
      <c r="H278" s="10" t="s">
        <v>1407</v>
      </c>
      <c r="I278" s="14">
        <v>251003.69469094207</v>
      </c>
      <c r="J278" s="19">
        <v>0.91399421727822094</v>
      </c>
      <c r="K278" s="19">
        <v>3.9053152735728999E-2</v>
      </c>
      <c r="L278" s="19">
        <v>4.6952629986050057E-2</v>
      </c>
      <c r="M278" s="20">
        <v>3</v>
      </c>
      <c r="N278" s="19">
        <v>0</v>
      </c>
      <c r="O278" s="19">
        <v>0</v>
      </c>
      <c r="P278" s="19">
        <v>3.9053152735728999E-2</v>
      </c>
      <c r="Q278" s="19">
        <v>2.3805290049774434E-2</v>
      </c>
      <c r="R278" s="19">
        <v>2.2319587290048366E-2</v>
      </c>
      <c r="S278" s="19">
        <v>8.2775264622724377E-4</v>
      </c>
      <c r="T278" s="20">
        <v>30</v>
      </c>
      <c r="U278" s="17">
        <v>2</v>
      </c>
      <c r="V278" s="17">
        <v>37</v>
      </c>
    </row>
    <row r="279" spans="1:22" x14ac:dyDescent="0.2">
      <c r="A279" t="s">
        <v>1408</v>
      </c>
      <c r="B279" t="s">
        <v>851</v>
      </c>
      <c r="C279" t="s">
        <v>852</v>
      </c>
      <c r="D279" t="s">
        <v>1392</v>
      </c>
      <c r="E279" s="10" t="s">
        <v>1409</v>
      </c>
      <c r="F279" s="10"/>
      <c r="G279" s="10"/>
      <c r="H279" s="10" t="s">
        <v>1409</v>
      </c>
      <c r="I279" s="14">
        <v>124403.30579466886</v>
      </c>
      <c r="J279" s="19">
        <v>0</v>
      </c>
      <c r="K279" s="19">
        <v>0.79764035723334703</v>
      </c>
      <c r="L279" s="19">
        <v>0.20235964276665286</v>
      </c>
      <c r="M279" s="20">
        <v>2</v>
      </c>
      <c r="N279" s="19">
        <v>0.43678101246290624</v>
      </c>
      <c r="O279" s="19">
        <v>0</v>
      </c>
      <c r="P279" s="19">
        <v>0.36085934477044074</v>
      </c>
      <c r="Q279" s="19">
        <v>7.3454413280995515E-2</v>
      </c>
      <c r="R279" s="19">
        <v>0.12102032220715936</v>
      </c>
      <c r="S279" s="19">
        <v>7.8849072784979799E-3</v>
      </c>
      <c r="T279" s="20">
        <v>23</v>
      </c>
      <c r="U279" s="17">
        <v>2</v>
      </c>
      <c r="V279" s="17">
        <v>37</v>
      </c>
    </row>
    <row r="280" spans="1:22" x14ac:dyDescent="0.2">
      <c r="A280" t="s">
        <v>1410</v>
      </c>
      <c r="B280" t="s">
        <v>851</v>
      </c>
      <c r="C280" t="s">
        <v>852</v>
      </c>
      <c r="D280" t="s">
        <v>1411</v>
      </c>
      <c r="E280" s="10" t="s">
        <v>1412</v>
      </c>
      <c r="F280" s="10"/>
      <c r="G280" s="10"/>
      <c r="H280" s="10" t="s">
        <v>1412</v>
      </c>
      <c r="I280" s="14">
        <v>485014.59746394027</v>
      </c>
      <c r="J280" s="19">
        <v>0</v>
      </c>
      <c r="K280" s="19">
        <v>0.76993159106636366</v>
      </c>
      <c r="L280" s="19">
        <v>0.23006840893363636</v>
      </c>
      <c r="M280" s="20">
        <v>2</v>
      </c>
      <c r="N280" s="19">
        <v>0.4364851085202347</v>
      </c>
      <c r="O280" s="19">
        <v>0.10570333995420081</v>
      </c>
      <c r="P280" s="19">
        <v>0.22774314259192813</v>
      </c>
      <c r="Q280" s="19">
        <v>0.13403105889350664</v>
      </c>
      <c r="R280" s="19">
        <v>8.7552525414601873E-2</v>
      </c>
      <c r="S280" s="19">
        <v>8.4848246255278554E-3</v>
      </c>
      <c r="T280" s="20">
        <v>23</v>
      </c>
      <c r="U280" s="17">
        <v>2</v>
      </c>
      <c r="V280" s="17">
        <v>37</v>
      </c>
    </row>
    <row r="281" spans="1:22" x14ac:dyDescent="0.2">
      <c r="A281" t="s">
        <v>1413</v>
      </c>
      <c r="B281" t="s">
        <v>851</v>
      </c>
      <c r="C281" t="s">
        <v>852</v>
      </c>
      <c r="D281" t="s">
        <v>1411</v>
      </c>
      <c r="E281" s="10" t="s">
        <v>1414</v>
      </c>
      <c r="F281" s="10"/>
      <c r="G281" s="10"/>
      <c r="H281" s="10" t="s">
        <v>1414</v>
      </c>
      <c r="I281" s="14">
        <v>245184.5028397385</v>
      </c>
      <c r="J281" s="19">
        <v>0.42018032228280378</v>
      </c>
      <c r="K281" s="19">
        <v>0.30988729786949487</v>
      </c>
      <c r="L281" s="19">
        <v>0.26993237984770135</v>
      </c>
      <c r="M281" s="20">
        <v>2</v>
      </c>
      <c r="N281" s="19">
        <v>4.4250510504564973E-2</v>
      </c>
      <c r="O281" s="19">
        <v>0.17423167886761118</v>
      </c>
      <c r="P281" s="19">
        <v>9.1405108497318741E-2</v>
      </c>
      <c r="Q281" s="19">
        <v>0.12015771187324829</v>
      </c>
      <c r="R281" s="19">
        <v>0.13437344772197285</v>
      </c>
      <c r="S281" s="19">
        <v>1.5401220252480186E-2</v>
      </c>
      <c r="T281" s="20">
        <v>22</v>
      </c>
      <c r="U281" s="17">
        <v>2</v>
      </c>
      <c r="V281" s="17">
        <v>37</v>
      </c>
    </row>
    <row r="282" spans="1:22" x14ac:dyDescent="0.2">
      <c r="A282" t="s">
        <v>1415</v>
      </c>
      <c r="B282" t="s">
        <v>851</v>
      </c>
      <c r="C282" t="s">
        <v>852</v>
      </c>
      <c r="D282" t="s">
        <v>1411</v>
      </c>
      <c r="E282" s="10" t="s">
        <v>1416</v>
      </c>
      <c r="F282" s="10"/>
      <c r="G282" s="10"/>
      <c r="H282" s="10" t="s">
        <v>1416</v>
      </c>
      <c r="I282" s="14">
        <v>148898.5603960529</v>
      </c>
      <c r="J282" s="19">
        <v>0.85068140538752113</v>
      </c>
      <c r="K282" s="19">
        <v>9.1001196912378068E-2</v>
      </c>
      <c r="L282" s="19">
        <v>5.8317397700100762E-2</v>
      </c>
      <c r="M282" s="20">
        <v>3</v>
      </c>
      <c r="N282" s="19">
        <v>0</v>
      </c>
      <c r="O282" s="19">
        <v>0</v>
      </c>
      <c r="P282" s="19">
        <v>9.1001196912378068E-2</v>
      </c>
      <c r="Q282" s="19">
        <v>2.4857428082876106E-2</v>
      </c>
      <c r="R282" s="19">
        <v>2.9709968128488116E-2</v>
      </c>
      <c r="S282" s="19">
        <v>3.750001488736531E-3</v>
      </c>
      <c r="T282" s="20">
        <v>30</v>
      </c>
      <c r="U282" s="17">
        <v>2</v>
      </c>
      <c r="V282" s="17">
        <v>37</v>
      </c>
    </row>
    <row r="283" spans="1:22" x14ac:dyDescent="0.2">
      <c r="A283" t="s">
        <v>1417</v>
      </c>
      <c r="B283" t="s">
        <v>851</v>
      </c>
      <c r="C283" t="s">
        <v>852</v>
      </c>
      <c r="D283" t="s">
        <v>1411</v>
      </c>
      <c r="E283" s="10" t="s">
        <v>1418</v>
      </c>
      <c r="F283" s="10"/>
      <c r="G283" s="10"/>
      <c r="H283" s="10" t="s">
        <v>1418</v>
      </c>
      <c r="I283" s="14">
        <v>640623.76087954734</v>
      </c>
      <c r="J283" s="19">
        <v>0.66929876581537207</v>
      </c>
      <c r="K283" s="19">
        <v>0.2531423752723827</v>
      </c>
      <c r="L283" s="19">
        <v>7.7558858912245204E-2</v>
      </c>
      <c r="M283" s="20">
        <v>3</v>
      </c>
      <c r="N283" s="19">
        <v>0.10894980631699523</v>
      </c>
      <c r="O283" s="19">
        <v>8.4837228472468187E-3</v>
      </c>
      <c r="P283" s="19">
        <v>0.13570884610814066</v>
      </c>
      <c r="Q283" s="19">
        <v>2.3933700172024237E-2</v>
      </c>
      <c r="R283" s="19">
        <v>4.9066625295855572E-2</v>
      </c>
      <c r="S283" s="19">
        <v>4.5585334443653917E-3</v>
      </c>
      <c r="T283" s="20">
        <v>30</v>
      </c>
      <c r="U283" s="17">
        <v>2</v>
      </c>
      <c r="V283" s="17">
        <v>37</v>
      </c>
    </row>
    <row r="284" spans="1:22" x14ac:dyDescent="0.2">
      <c r="A284" t="s">
        <v>1419</v>
      </c>
      <c r="B284" t="s">
        <v>851</v>
      </c>
      <c r="C284" t="s">
        <v>852</v>
      </c>
      <c r="D284" t="s">
        <v>1411</v>
      </c>
      <c r="E284" s="10" t="s">
        <v>1420</v>
      </c>
      <c r="F284" s="10"/>
      <c r="G284" s="10"/>
      <c r="H284" s="10" t="s">
        <v>1420</v>
      </c>
      <c r="I284" s="14">
        <v>935820.82901508315</v>
      </c>
      <c r="J284" s="19">
        <v>0.18822433265907737</v>
      </c>
      <c r="K284" s="19">
        <v>0.75642977535014544</v>
      </c>
      <c r="L284" s="19">
        <v>5.5345891990777218E-2</v>
      </c>
      <c r="M284" s="20">
        <v>2</v>
      </c>
      <c r="N284" s="19">
        <v>0.26505141473095084</v>
      </c>
      <c r="O284" s="19">
        <v>1.3927026954848711E-2</v>
      </c>
      <c r="P284" s="19">
        <v>0.47745133366434589</v>
      </c>
      <c r="Q284" s="19">
        <v>1.2325368950919961E-2</v>
      </c>
      <c r="R284" s="19">
        <v>4.074633564888476E-2</v>
      </c>
      <c r="S284" s="19">
        <v>2.2741873909725013E-3</v>
      </c>
      <c r="T284" s="20">
        <v>23</v>
      </c>
      <c r="U284" s="17">
        <v>2</v>
      </c>
      <c r="V284" s="17">
        <v>37</v>
      </c>
    </row>
    <row r="285" spans="1:22" x14ac:dyDescent="0.2">
      <c r="A285" t="s">
        <v>1421</v>
      </c>
      <c r="B285" t="s">
        <v>851</v>
      </c>
      <c r="C285" t="s">
        <v>852</v>
      </c>
      <c r="D285" t="s">
        <v>1411</v>
      </c>
      <c r="E285" s="10" t="s">
        <v>1422</v>
      </c>
      <c r="F285" s="10"/>
      <c r="G285" s="10"/>
      <c r="H285" s="10" t="s">
        <v>1422</v>
      </c>
      <c r="I285" s="14">
        <v>1280137.0323648113</v>
      </c>
      <c r="J285" s="19">
        <v>0.46472167966265898</v>
      </c>
      <c r="K285" s="19">
        <v>0.49903169019641508</v>
      </c>
      <c r="L285" s="19">
        <v>3.6246630140925981E-2</v>
      </c>
      <c r="M285" s="20">
        <v>2</v>
      </c>
      <c r="N285" s="19">
        <v>0.20164728160109299</v>
      </c>
      <c r="O285" s="19">
        <v>1.4375275203883915E-2</v>
      </c>
      <c r="P285" s="19">
        <v>0.28300913339143818</v>
      </c>
      <c r="Q285" s="19">
        <v>9.7397742069670855E-3</v>
      </c>
      <c r="R285" s="19">
        <v>2.4647538208431106E-2</v>
      </c>
      <c r="S285" s="19">
        <v>1.8593177255277898E-3</v>
      </c>
      <c r="T285" s="20">
        <v>23</v>
      </c>
      <c r="U285" s="17">
        <v>2</v>
      </c>
      <c r="V285" s="17">
        <v>37</v>
      </c>
    </row>
    <row r="286" spans="1:22" x14ac:dyDescent="0.2">
      <c r="A286" t="s">
        <v>1423</v>
      </c>
      <c r="B286" t="s">
        <v>851</v>
      </c>
      <c r="C286" t="s">
        <v>852</v>
      </c>
      <c r="D286" t="s">
        <v>1411</v>
      </c>
      <c r="E286" s="10" t="s">
        <v>1424</v>
      </c>
      <c r="F286" s="10"/>
      <c r="G286" s="10"/>
      <c r="H286" s="10" t="s">
        <v>1424</v>
      </c>
      <c r="I286" s="14">
        <v>222868.47689059749</v>
      </c>
      <c r="J286" s="19">
        <v>0</v>
      </c>
      <c r="K286" s="19">
        <v>0.8160143064048001</v>
      </c>
      <c r="L286" s="19">
        <v>0.18398569359519987</v>
      </c>
      <c r="M286" s="20">
        <v>2</v>
      </c>
      <c r="N286" s="19">
        <v>0.23239981044375294</v>
      </c>
      <c r="O286" s="19">
        <v>0</v>
      </c>
      <c r="P286" s="19">
        <v>0.5836144959610472</v>
      </c>
      <c r="Q286" s="19">
        <v>2.5554441770566583E-2</v>
      </c>
      <c r="R286" s="19">
        <v>0.15179786167827949</v>
      </c>
      <c r="S286" s="19">
        <v>6.6333901463537862E-3</v>
      </c>
      <c r="T286" s="20">
        <v>21</v>
      </c>
      <c r="U286" s="17">
        <v>2</v>
      </c>
      <c r="V286" s="17">
        <v>37</v>
      </c>
    </row>
    <row r="287" spans="1:22" x14ac:dyDescent="0.2">
      <c r="A287" t="s">
        <v>1425</v>
      </c>
      <c r="B287" t="s">
        <v>851</v>
      </c>
      <c r="C287" t="s">
        <v>852</v>
      </c>
      <c r="D287" t="s">
        <v>1411</v>
      </c>
      <c r="E287" s="10" t="s">
        <v>1426</v>
      </c>
      <c r="F287" s="10"/>
      <c r="G287" s="10"/>
      <c r="H287" s="10" t="s">
        <v>1426</v>
      </c>
      <c r="I287" s="14">
        <v>517802.26747598179</v>
      </c>
      <c r="J287" s="19">
        <v>0.99999999999999978</v>
      </c>
      <c r="K287" s="19">
        <v>0</v>
      </c>
      <c r="L287" s="19">
        <v>0</v>
      </c>
      <c r="M287" s="20">
        <v>3</v>
      </c>
      <c r="N287" s="19">
        <v>0</v>
      </c>
      <c r="O287" s="19">
        <v>0</v>
      </c>
      <c r="P287" s="19">
        <v>0</v>
      </c>
      <c r="Q287" s="19">
        <v>0</v>
      </c>
      <c r="R287" s="19">
        <v>0</v>
      </c>
      <c r="S287" s="19">
        <v>0</v>
      </c>
      <c r="T287" s="20">
        <v>30</v>
      </c>
      <c r="U287" s="17">
        <v>2</v>
      </c>
      <c r="V287" s="17">
        <v>37</v>
      </c>
    </row>
    <row r="288" spans="1:22" x14ac:dyDescent="0.2">
      <c r="A288" t="s">
        <v>1427</v>
      </c>
      <c r="B288" t="s">
        <v>851</v>
      </c>
      <c r="C288" t="s">
        <v>852</v>
      </c>
      <c r="D288" t="s">
        <v>1411</v>
      </c>
      <c r="E288" s="10" t="s">
        <v>1428</v>
      </c>
      <c r="F288" s="10"/>
      <c r="G288" s="10"/>
      <c r="H288" s="10" t="s">
        <v>1428</v>
      </c>
      <c r="I288" s="14">
        <v>465365.18548371736</v>
      </c>
      <c r="J288" s="19">
        <v>0.35155202139596237</v>
      </c>
      <c r="K288" s="19">
        <v>0.34648678952619871</v>
      </c>
      <c r="L288" s="19">
        <v>0.30196118907783892</v>
      </c>
      <c r="M288" s="20">
        <v>2</v>
      </c>
      <c r="N288" s="19">
        <v>0.12189674486326729</v>
      </c>
      <c r="O288" s="19">
        <v>0.13322787361871719</v>
      </c>
      <c r="P288" s="19">
        <v>9.1362171044214208E-2</v>
      </c>
      <c r="Q288" s="19">
        <v>0.14371699279689332</v>
      </c>
      <c r="R288" s="19">
        <v>0.13484655364942114</v>
      </c>
      <c r="S288" s="19">
        <v>2.3397642631524471E-2</v>
      </c>
      <c r="T288" s="20">
        <v>22</v>
      </c>
      <c r="U288" s="17">
        <v>2</v>
      </c>
      <c r="V288" s="17">
        <v>37</v>
      </c>
    </row>
    <row r="289" spans="1:22" x14ac:dyDescent="0.2">
      <c r="A289" t="s">
        <v>1429</v>
      </c>
      <c r="B289" t="s">
        <v>851</v>
      </c>
      <c r="C289" t="s">
        <v>852</v>
      </c>
      <c r="D289" t="s">
        <v>1411</v>
      </c>
      <c r="E289" s="10" t="s">
        <v>1430</v>
      </c>
      <c r="F289" s="10"/>
      <c r="G289" s="10"/>
      <c r="H289" s="10" t="s">
        <v>1430</v>
      </c>
      <c r="I289" s="14">
        <v>129660.14845845662</v>
      </c>
      <c r="J289" s="19">
        <v>0</v>
      </c>
      <c r="K289" s="19">
        <v>0.66669232229909237</v>
      </c>
      <c r="L289" s="19">
        <v>0.33330767770090763</v>
      </c>
      <c r="M289" s="20">
        <v>2</v>
      </c>
      <c r="N289" s="19">
        <v>0.35710203368088855</v>
      </c>
      <c r="O289" s="19">
        <v>0.18250024706654028</v>
      </c>
      <c r="P289" s="19">
        <v>0.12709004155166351</v>
      </c>
      <c r="Q289" s="19">
        <v>0.15524034281740021</v>
      </c>
      <c r="R289" s="19">
        <v>0.15918556368390344</v>
      </c>
      <c r="S289" s="19">
        <v>1.8881771199604016E-2</v>
      </c>
      <c r="T289" s="20">
        <v>23</v>
      </c>
      <c r="U289" s="17">
        <v>2</v>
      </c>
      <c r="V289" s="17">
        <v>37</v>
      </c>
    </row>
    <row r="290" spans="1:22" x14ac:dyDescent="0.2">
      <c r="A290" t="s">
        <v>1431</v>
      </c>
      <c r="B290" t="s">
        <v>851</v>
      </c>
      <c r="C290" t="s">
        <v>852</v>
      </c>
      <c r="D290" t="s">
        <v>1432</v>
      </c>
      <c r="E290" s="10" t="s">
        <v>1433</v>
      </c>
      <c r="F290" s="10"/>
      <c r="G290" s="10"/>
      <c r="H290" s="10" t="s">
        <v>1433</v>
      </c>
      <c r="I290" s="14">
        <v>214255.94641211582</v>
      </c>
      <c r="J290" s="19">
        <v>0.34702020672074552</v>
      </c>
      <c r="K290" s="19">
        <v>0.1613377535032966</v>
      </c>
      <c r="L290" s="19">
        <v>0.49164203977595788</v>
      </c>
      <c r="M290" s="20">
        <v>2</v>
      </c>
      <c r="N290" s="19">
        <v>0</v>
      </c>
      <c r="O290" s="19">
        <v>2.3745939862822307E-2</v>
      </c>
      <c r="P290" s="19">
        <v>0.13759181364047432</v>
      </c>
      <c r="Q290" s="19">
        <v>0.17535367043419647</v>
      </c>
      <c r="R290" s="19">
        <v>0.29013317809147721</v>
      </c>
      <c r="S290" s="19">
        <v>2.615519125028427E-2</v>
      </c>
      <c r="T290" s="20">
        <v>22</v>
      </c>
      <c r="U290" s="17">
        <v>2</v>
      </c>
      <c r="V290" s="17">
        <v>37</v>
      </c>
    </row>
    <row r="291" spans="1:22" x14ac:dyDescent="0.2">
      <c r="A291" t="s">
        <v>1434</v>
      </c>
      <c r="B291" t="s">
        <v>851</v>
      </c>
      <c r="C291" t="s">
        <v>852</v>
      </c>
      <c r="D291" t="s">
        <v>1432</v>
      </c>
      <c r="E291" s="10" t="s">
        <v>1435</v>
      </c>
      <c r="F291" s="10"/>
      <c r="G291" s="10"/>
      <c r="H291" s="10" t="s">
        <v>1435</v>
      </c>
      <c r="I291" s="14">
        <v>420628.77316318825</v>
      </c>
      <c r="J291" s="19">
        <v>0.30737725273236133</v>
      </c>
      <c r="K291" s="19">
        <v>0.2423209679235975</v>
      </c>
      <c r="L291" s="19">
        <v>0.4503017793440412</v>
      </c>
      <c r="M291" s="20">
        <v>2</v>
      </c>
      <c r="N291" s="19">
        <v>5.697829656425437E-2</v>
      </c>
      <c r="O291" s="19">
        <v>2.0358754330960068E-2</v>
      </c>
      <c r="P291" s="19">
        <v>0.16498391702838305</v>
      </c>
      <c r="Q291" s="19">
        <v>0.17762847049311298</v>
      </c>
      <c r="R291" s="19">
        <v>0.25455855167084895</v>
      </c>
      <c r="S291" s="19">
        <v>1.8114757180079242E-2</v>
      </c>
      <c r="T291" s="20">
        <v>23</v>
      </c>
      <c r="U291" s="17">
        <v>2</v>
      </c>
      <c r="V291" s="17">
        <v>37</v>
      </c>
    </row>
    <row r="292" spans="1:22" x14ac:dyDescent="0.2">
      <c r="A292" t="s">
        <v>1436</v>
      </c>
      <c r="B292" t="s">
        <v>851</v>
      </c>
      <c r="C292" t="s">
        <v>852</v>
      </c>
      <c r="D292" t="s">
        <v>1432</v>
      </c>
      <c r="E292" s="10" t="s">
        <v>1437</v>
      </c>
      <c r="F292" s="10"/>
      <c r="G292" s="10"/>
      <c r="H292" s="10" t="s">
        <v>1437</v>
      </c>
      <c r="I292" s="14">
        <v>289517.2837853767</v>
      </c>
      <c r="J292" s="19">
        <v>0.61238983556508597</v>
      </c>
      <c r="K292" s="19">
        <v>2.6186069541944253E-2</v>
      </c>
      <c r="L292" s="19">
        <v>0.36142409489296967</v>
      </c>
      <c r="M292" s="20">
        <v>3</v>
      </c>
      <c r="N292" s="19">
        <v>0</v>
      </c>
      <c r="O292" s="19">
        <v>0</v>
      </c>
      <c r="P292" s="19">
        <v>2.6186069541944253E-2</v>
      </c>
      <c r="Q292" s="19">
        <v>0.11820366939684403</v>
      </c>
      <c r="R292" s="19">
        <v>0.21912553184569147</v>
      </c>
      <c r="S292" s="19">
        <v>2.409489365043424E-2</v>
      </c>
      <c r="T292" s="20">
        <v>30</v>
      </c>
      <c r="U292" s="17">
        <v>2</v>
      </c>
      <c r="V292" s="17">
        <v>37</v>
      </c>
    </row>
    <row r="293" spans="1:22" x14ac:dyDescent="0.2">
      <c r="A293" t="s">
        <v>1438</v>
      </c>
      <c r="B293" t="s">
        <v>851</v>
      </c>
      <c r="C293" t="s">
        <v>852</v>
      </c>
      <c r="D293" t="s">
        <v>1432</v>
      </c>
      <c r="E293" s="10" t="s">
        <v>1439</v>
      </c>
      <c r="F293" s="10"/>
      <c r="G293" s="10"/>
      <c r="H293" s="10" t="s">
        <v>1439</v>
      </c>
      <c r="I293" s="14">
        <v>265106.01768706925</v>
      </c>
      <c r="J293" s="19">
        <v>0.19844702787887808</v>
      </c>
      <c r="K293" s="19">
        <v>0.40683439610999161</v>
      </c>
      <c r="L293" s="19">
        <v>0.39471857601113031</v>
      </c>
      <c r="M293" s="20">
        <v>2</v>
      </c>
      <c r="N293" s="19">
        <v>0.16315159447138736</v>
      </c>
      <c r="O293" s="19">
        <v>0.11126097410385646</v>
      </c>
      <c r="P293" s="19">
        <v>0.13242182753474782</v>
      </c>
      <c r="Q293" s="19">
        <v>0.24609121323440064</v>
      </c>
      <c r="R293" s="19">
        <v>0.13846913857612336</v>
      </c>
      <c r="S293" s="19">
        <v>1.0158224200606285E-2</v>
      </c>
      <c r="T293" s="20">
        <v>23</v>
      </c>
      <c r="U293" s="17">
        <v>2</v>
      </c>
      <c r="V293" s="17">
        <v>37</v>
      </c>
    </row>
    <row r="294" spans="1:22" x14ac:dyDescent="0.2">
      <c r="A294" t="s">
        <v>1440</v>
      </c>
      <c r="B294" t="s">
        <v>851</v>
      </c>
      <c r="C294" t="s">
        <v>852</v>
      </c>
      <c r="D294" t="s">
        <v>1432</v>
      </c>
      <c r="E294" s="10" t="s">
        <v>1441</v>
      </c>
      <c r="F294" s="10"/>
      <c r="G294" s="10"/>
      <c r="H294" s="10" t="s">
        <v>1441</v>
      </c>
      <c r="I294" s="14">
        <v>483172.80150438892</v>
      </c>
      <c r="J294" s="19">
        <v>0.94374361289728148</v>
      </c>
      <c r="K294" s="19">
        <v>4.6828313884713868E-2</v>
      </c>
      <c r="L294" s="19">
        <v>9.4280732180046581E-3</v>
      </c>
      <c r="M294" s="20">
        <v>3</v>
      </c>
      <c r="N294" s="19">
        <v>2.1150549564721361E-2</v>
      </c>
      <c r="O294" s="19">
        <v>0</v>
      </c>
      <c r="P294" s="19">
        <v>2.5677764319992507E-2</v>
      </c>
      <c r="Q294" s="19">
        <v>0</v>
      </c>
      <c r="R294" s="19">
        <v>8.7012609527102654E-3</v>
      </c>
      <c r="S294" s="19">
        <v>7.2681226529439319E-4</v>
      </c>
      <c r="T294" s="20">
        <v>30</v>
      </c>
      <c r="U294" s="17">
        <v>2</v>
      </c>
      <c r="V294" s="17">
        <v>37</v>
      </c>
    </row>
    <row r="295" spans="1:22" x14ac:dyDescent="0.2">
      <c r="A295" t="s">
        <v>1442</v>
      </c>
      <c r="B295" t="s">
        <v>851</v>
      </c>
      <c r="C295" t="s">
        <v>852</v>
      </c>
      <c r="D295" t="s">
        <v>1432</v>
      </c>
      <c r="E295" s="10" t="s">
        <v>1443</v>
      </c>
      <c r="F295" s="10"/>
      <c r="G295" s="10"/>
      <c r="H295" s="10" t="s">
        <v>1443</v>
      </c>
      <c r="I295" s="14">
        <v>288927.31073558284</v>
      </c>
      <c r="J295" s="19">
        <v>0.14541769345674485</v>
      </c>
      <c r="K295" s="19">
        <v>0.21965985101775184</v>
      </c>
      <c r="L295" s="19">
        <v>0.6349224555255033</v>
      </c>
      <c r="M295" s="20">
        <v>1</v>
      </c>
      <c r="N295" s="19">
        <v>2.1671802807373863E-2</v>
      </c>
      <c r="O295" s="19">
        <v>2.0132820927517479E-2</v>
      </c>
      <c r="P295" s="19">
        <v>0.17785522728286052</v>
      </c>
      <c r="Q295" s="19">
        <v>0.16630355513520392</v>
      </c>
      <c r="R295" s="19">
        <v>0.41873863590999383</v>
      </c>
      <c r="S295" s="19">
        <v>4.9880264480305594E-2</v>
      </c>
      <c r="T295" s="20">
        <v>12</v>
      </c>
      <c r="U295" s="17">
        <v>2</v>
      </c>
      <c r="V295" s="17">
        <v>37</v>
      </c>
    </row>
    <row r="296" spans="1:22" x14ac:dyDescent="0.2">
      <c r="A296" t="s">
        <v>1444</v>
      </c>
      <c r="B296" t="s">
        <v>851</v>
      </c>
      <c r="C296" t="s">
        <v>852</v>
      </c>
      <c r="D296" t="s">
        <v>1432</v>
      </c>
      <c r="E296" s="10" t="s">
        <v>1445</v>
      </c>
      <c r="F296" s="10"/>
      <c r="G296" s="10"/>
      <c r="H296" s="10" t="s">
        <v>1445</v>
      </c>
      <c r="I296" s="14">
        <v>131535.21122362884</v>
      </c>
      <c r="J296" s="19">
        <v>0.43096777972769246</v>
      </c>
      <c r="K296" s="19">
        <v>0.18643175724380076</v>
      </c>
      <c r="L296" s="19">
        <v>0.38260046302850681</v>
      </c>
      <c r="M296" s="20">
        <v>2</v>
      </c>
      <c r="N296" s="19">
        <v>0</v>
      </c>
      <c r="O296" s="19">
        <v>0.13965200579425124</v>
      </c>
      <c r="P296" s="19">
        <v>4.6779751449549517E-2</v>
      </c>
      <c r="Q296" s="19">
        <v>0.21110825038290446</v>
      </c>
      <c r="R296" s="19">
        <v>0.15061440251882871</v>
      </c>
      <c r="S296" s="19">
        <v>2.0877810126773592E-2</v>
      </c>
      <c r="T296" s="20">
        <v>22</v>
      </c>
      <c r="U296" s="17">
        <v>2</v>
      </c>
      <c r="V296" s="17">
        <v>37</v>
      </c>
    </row>
    <row r="297" spans="1:22" x14ac:dyDescent="0.2">
      <c r="A297" t="s">
        <v>1446</v>
      </c>
      <c r="B297" t="s">
        <v>851</v>
      </c>
      <c r="C297" t="s">
        <v>852</v>
      </c>
      <c r="D297" t="s">
        <v>1432</v>
      </c>
      <c r="E297" s="10" t="s">
        <v>1447</v>
      </c>
      <c r="F297" s="10"/>
      <c r="G297" s="10"/>
      <c r="H297" s="10" t="s">
        <v>1447</v>
      </c>
      <c r="I297" s="14">
        <v>348600.44055362884</v>
      </c>
      <c r="J297" s="19">
        <v>0.34526832936880264</v>
      </c>
      <c r="K297" s="19">
        <v>0.32789680708854646</v>
      </c>
      <c r="L297" s="19">
        <v>0.32683486354265084</v>
      </c>
      <c r="M297" s="20">
        <v>2</v>
      </c>
      <c r="N297" s="19">
        <v>3.3879091395854842E-2</v>
      </c>
      <c r="O297" s="19">
        <v>9.3618456758518639E-2</v>
      </c>
      <c r="P297" s="19">
        <v>0.20039925893417301</v>
      </c>
      <c r="Q297" s="19">
        <v>0.11132873176792972</v>
      </c>
      <c r="R297" s="19">
        <v>0.20551212849190736</v>
      </c>
      <c r="S297" s="19">
        <v>9.9940032828137616E-3</v>
      </c>
      <c r="T297" s="20">
        <v>22</v>
      </c>
      <c r="U297" s="17">
        <v>2</v>
      </c>
      <c r="V297" s="17">
        <v>37</v>
      </c>
    </row>
    <row r="298" spans="1:22" x14ac:dyDescent="0.2">
      <c r="A298" t="s">
        <v>1448</v>
      </c>
      <c r="B298" t="s">
        <v>851</v>
      </c>
      <c r="C298" t="s">
        <v>852</v>
      </c>
      <c r="D298" t="s">
        <v>1432</v>
      </c>
      <c r="E298" s="10" t="s">
        <v>1449</v>
      </c>
      <c r="F298" s="10"/>
      <c r="G298" s="10"/>
      <c r="H298" s="10" t="s">
        <v>1449</v>
      </c>
      <c r="I298" s="14">
        <v>261182.71375903208</v>
      </c>
      <c r="J298" s="19">
        <v>0.26080384408745871</v>
      </c>
      <c r="K298" s="19">
        <v>0.18174973154575416</v>
      </c>
      <c r="L298" s="19">
        <v>0.55744642436678715</v>
      </c>
      <c r="M298" s="20">
        <v>1</v>
      </c>
      <c r="N298" s="19">
        <v>0</v>
      </c>
      <c r="O298" s="19">
        <v>0.13375329198066108</v>
      </c>
      <c r="P298" s="19">
        <v>4.7996439565093085E-2</v>
      </c>
      <c r="Q298" s="19">
        <v>0.17680791657898956</v>
      </c>
      <c r="R298" s="19">
        <v>0.34841880181819773</v>
      </c>
      <c r="S298" s="19">
        <v>3.2219705969599818E-2</v>
      </c>
      <c r="T298" s="20">
        <v>12</v>
      </c>
      <c r="U298" s="17">
        <v>2</v>
      </c>
      <c r="V298" s="17">
        <v>37</v>
      </c>
    </row>
    <row r="299" spans="1:22" x14ac:dyDescent="0.2">
      <c r="A299" t="s">
        <v>1450</v>
      </c>
      <c r="B299" t="s">
        <v>851</v>
      </c>
      <c r="C299" t="s">
        <v>852</v>
      </c>
      <c r="D299" t="s">
        <v>1432</v>
      </c>
      <c r="E299" s="10" t="s">
        <v>1451</v>
      </c>
      <c r="F299" s="10"/>
      <c r="G299" s="10"/>
      <c r="H299" s="10" t="s">
        <v>1451</v>
      </c>
      <c r="I299" s="14">
        <v>298864.26340105105</v>
      </c>
      <c r="J299" s="19">
        <v>0</v>
      </c>
      <c r="K299" s="19">
        <v>0.44706235810676093</v>
      </c>
      <c r="L299" s="19">
        <v>0.55293764189323902</v>
      </c>
      <c r="M299" s="20">
        <v>1</v>
      </c>
      <c r="N299" s="19">
        <v>5.6642511836641908E-2</v>
      </c>
      <c r="O299" s="19">
        <v>0.20695047658977492</v>
      </c>
      <c r="P299" s="19">
        <v>0.18346936968034414</v>
      </c>
      <c r="Q299" s="19">
        <v>0.21481126567245623</v>
      </c>
      <c r="R299" s="19">
        <v>0.31653173108834987</v>
      </c>
      <c r="S299" s="19">
        <v>2.159464513243296E-2</v>
      </c>
      <c r="T299" s="20">
        <v>12</v>
      </c>
      <c r="U299" s="17">
        <v>2</v>
      </c>
      <c r="V299" s="17">
        <v>37</v>
      </c>
    </row>
    <row r="300" spans="1:22" x14ac:dyDescent="0.2">
      <c r="A300" t="s">
        <v>1452</v>
      </c>
      <c r="B300" t="s">
        <v>851</v>
      </c>
      <c r="C300" t="s">
        <v>852</v>
      </c>
      <c r="D300" t="s">
        <v>1432</v>
      </c>
      <c r="E300" s="10" t="s">
        <v>1453</v>
      </c>
      <c r="F300" s="10"/>
      <c r="G300" s="10"/>
      <c r="H300" s="10" t="s">
        <v>1453</v>
      </c>
      <c r="I300" s="14">
        <v>159272.73839527601</v>
      </c>
      <c r="J300" s="19">
        <v>0</v>
      </c>
      <c r="K300" s="19">
        <v>0.40301598908151287</v>
      </c>
      <c r="L300" s="19">
        <v>0.59698401091848718</v>
      </c>
      <c r="M300" s="20">
        <v>1</v>
      </c>
      <c r="N300" s="19">
        <v>0.23166893705797251</v>
      </c>
      <c r="O300" s="19">
        <v>8.1453916767990783E-2</v>
      </c>
      <c r="P300" s="19">
        <v>8.9893135255549525E-2</v>
      </c>
      <c r="Q300" s="19">
        <v>0.24760896821478756</v>
      </c>
      <c r="R300" s="19">
        <v>0.31305914917252747</v>
      </c>
      <c r="S300" s="19">
        <v>3.6315893531172122E-2</v>
      </c>
      <c r="T300" s="20">
        <v>12</v>
      </c>
      <c r="U300" s="17">
        <v>2</v>
      </c>
      <c r="V300" s="17">
        <v>37</v>
      </c>
    </row>
    <row r="301" spans="1:22" x14ac:dyDescent="0.2">
      <c r="A301" t="s">
        <v>1454</v>
      </c>
      <c r="B301" t="s">
        <v>851</v>
      </c>
      <c r="C301" t="s">
        <v>852</v>
      </c>
      <c r="D301" t="s">
        <v>1432</v>
      </c>
      <c r="E301" s="10" t="s">
        <v>1455</v>
      </c>
      <c r="F301" s="10"/>
      <c r="G301" s="10"/>
      <c r="H301" s="10" t="s">
        <v>1455</v>
      </c>
      <c r="I301" s="14">
        <v>164388.73548212275</v>
      </c>
      <c r="J301" s="19">
        <v>0</v>
      </c>
      <c r="K301" s="19">
        <v>0.51975690853641199</v>
      </c>
      <c r="L301" s="19">
        <v>0.48024309146358796</v>
      </c>
      <c r="M301" s="20">
        <v>2</v>
      </c>
      <c r="N301" s="19">
        <v>0.32857128930397111</v>
      </c>
      <c r="O301" s="19">
        <v>9.7210335325881067E-2</v>
      </c>
      <c r="P301" s="19">
        <v>9.397528390655982E-2</v>
      </c>
      <c r="Q301" s="19">
        <v>0.19901214709774417</v>
      </c>
      <c r="R301" s="19">
        <v>0.24599199000881855</v>
      </c>
      <c r="S301" s="19">
        <v>3.5238954357025232E-2</v>
      </c>
      <c r="T301" s="20">
        <v>23</v>
      </c>
      <c r="U301" s="17">
        <v>2</v>
      </c>
      <c r="V301" s="17">
        <v>37</v>
      </c>
    </row>
    <row r="302" spans="1:22" x14ac:dyDescent="0.2">
      <c r="A302" t="s">
        <v>1456</v>
      </c>
      <c r="B302" t="s">
        <v>851</v>
      </c>
      <c r="C302" t="s">
        <v>852</v>
      </c>
      <c r="D302" t="s">
        <v>1432</v>
      </c>
      <c r="E302" s="10" t="s">
        <v>1457</v>
      </c>
      <c r="F302" s="10"/>
      <c r="G302" s="10"/>
      <c r="H302" s="10" t="s">
        <v>1457</v>
      </c>
      <c r="I302" s="14">
        <v>140957.83376899362</v>
      </c>
      <c r="J302" s="19">
        <v>0</v>
      </c>
      <c r="K302" s="19">
        <v>0.25917837761404483</v>
      </c>
      <c r="L302" s="19">
        <v>0.74082162238595517</v>
      </c>
      <c r="M302" s="20">
        <v>1</v>
      </c>
      <c r="N302" s="19">
        <v>5.0196351165040419E-2</v>
      </c>
      <c r="O302" s="19">
        <v>0.10117287023622157</v>
      </c>
      <c r="P302" s="19">
        <v>0.10780915621278282</v>
      </c>
      <c r="Q302" s="19">
        <v>0.25744338253134497</v>
      </c>
      <c r="R302" s="19">
        <v>0.45369698882355858</v>
      </c>
      <c r="S302" s="19">
        <v>2.968125103105167E-2</v>
      </c>
      <c r="T302" s="20">
        <v>12</v>
      </c>
      <c r="U302" s="17">
        <v>2</v>
      </c>
      <c r="V302" s="17">
        <v>37</v>
      </c>
    </row>
    <row r="303" spans="1:22" x14ac:dyDescent="0.2">
      <c r="A303" t="s">
        <v>1458</v>
      </c>
      <c r="B303" t="s">
        <v>851</v>
      </c>
      <c r="C303" t="s">
        <v>852</v>
      </c>
      <c r="D303" t="s">
        <v>1432</v>
      </c>
      <c r="E303" s="10" t="s">
        <v>1459</v>
      </c>
      <c r="F303" s="10"/>
      <c r="G303" s="10"/>
      <c r="H303" s="10" t="s">
        <v>1459</v>
      </c>
      <c r="I303" s="14">
        <v>85860.867617207579</v>
      </c>
      <c r="J303" s="19">
        <v>0</v>
      </c>
      <c r="K303" s="19">
        <v>0.27974180414181304</v>
      </c>
      <c r="L303" s="19">
        <v>0.72025819585818696</v>
      </c>
      <c r="M303" s="20">
        <v>1</v>
      </c>
      <c r="N303" s="19">
        <v>0</v>
      </c>
      <c r="O303" s="19">
        <v>0.27974180414181304</v>
      </c>
      <c r="P303" s="19">
        <v>0</v>
      </c>
      <c r="Q303" s="19">
        <v>0.20921992439251855</v>
      </c>
      <c r="R303" s="19">
        <v>0.48095472937842959</v>
      </c>
      <c r="S303" s="19">
        <v>3.0083542087238808E-2</v>
      </c>
      <c r="T303" s="20">
        <v>12</v>
      </c>
      <c r="U303" s="17">
        <v>2</v>
      </c>
      <c r="V303" s="17">
        <v>37</v>
      </c>
    </row>
    <row r="304" spans="1:22" x14ac:dyDescent="0.2">
      <c r="A304" t="s">
        <v>1460</v>
      </c>
      <c r="B304" t="s">
        <v>851</v>
      </c>
      <c r="C304" t="s">
        <v>852</v>
      </c>
      <c r="D304" t="s">
        <v>1432</v>
      </c>
      <c r="E304" s="10" t="s">
        <v>1461</v>
      </c>
      <c r="F304" s="10"/>
      <c r="G304" s="10"/>
      <c r="H304" s="10" t="s">
        <v>1461</v>
      </c>
      <c r="I304" s="14">
        <v>343143.75423427945</v>
      </c>
      <c r="J304" s="19">
        <v>0.46508825654801006</v>
      </c>
      <c r="K304" s="19">
        <v>0.22279536390214855</v>
      </c>
      <c r="L304" s="19">
        <v>0.31211637954984156</v>
      </c>
      <c r="M304" s="20">
        <v>2</v>
      </c>
      <c r="N304" s="19">
        <v>5.4041447861997043E-2</v>
      </c>
      <c r="O304" s="19">
        <v>3.5144316103524177E-2</v>
      </c>
      <c r="P304" s="19">
        <v>0.13360959993662735</v>
      </c>
      <c r="Q304" s="19">
        <v>0.10244085539954061</v>
      </c>
      <c r="R304" s="19">
        <v>0.18942017243293666</v>
      </c>
      <c r="S304" s="19">
        <v>2.0255351717364256E-2</v>
      </c>
      <c r="T304" s="20">
        <v>23</v>
      </c>
      <c r="U304" s="17">
        <v>2</v>
      </c>
      <c r="V304" s="17">
        <v>37</v>
      </c>
    </row>
    <row r="305" spans="1:22" x14ac:dyDescent="0.2">
      <c r="A305" t="s">
        <v>1462</v>
      </c>
      <c r="B305" t="s">
        <v>851</v>
      </c>
      <c r="C305" t="s">
        <v>852</v>
      </c>
      <c r="D305" t="s">
        <v>1432</v>
      </c>
      <c r="E305" s="10" t="s">
        <v>1463</v>
      </c>
      <c r="F305" s="10"/>
      <c r="G305" s="10"/>
      <c r="H305" s="10" t="s">
        <v>1463</v>
      </c>
      <c r="I305" s="14">
        <v>137636.0525067877</v>
      </c>
      <c r="J305" s="19">
        <v>0</v>
      </c>
      <c r="K305" s="19">
        <v>0.55723888527004284</v>
      </c>
      <c r="L305" s="19">
        <v>0.44276111472995711</v>
      </c>
      <c r="M305" s="20">
        <v>2</v>
      </c>
      <c r="N305" s="19">
        <v>0.33752948510916148</v>
      </c>
      <c r="O305" s="19">
        <v>7.7104674794956404E-2</v>
      </c>
      <c r="P305" s="19">
        <v>0.142604725365925</v>
      </c>
      <c r="Q305" s="19">
        <v>0.11855197008675099</v>
      </c>
      <c r="R305" s="19">
        <v>0.29765749519506302</v>
      </c>
      <c r="S305" s="19">
        <v>2.6551649448143089E-2</v>
      </c>
      <c r="T305" s="20">
        <v>23</v>
      </c>
      <c r="U305" s="17">
        <v>2</v>
      </c>
      <c r="V305" s="17">
        <v>37</v>
      </c>
    </row>
    <row r="306" spans="1:22" x14ac:dyDescent="0.2">
      <c r="A306" t="s">
        <v>1464</v>
      </c>
      <c r="B306" t="s">
        <v>851</v>
      </c>
      <c r="C306" t="s">
        <v>852</v>
      </c>
      <c r="D306" t="s">
        <v>1432</v>
      </c>
      <c r="E306" s="10" t="s">
        <v>1465</v>
      </c>
      <c r="F306" s="10"/>
      <c r="G306" s="10"/>
      <c r="H306" s="10" t="s">
        <v>1465</v>
      </c>
      <c r="I306" s="14">
        <v>334620.58272490278</v>
      </c>
      <c r="J306" s="19">
        <v>0</v>
      </c>
      <c r="K306" s="19">
        <v>0.67648418865818671</v>
      </c>
      <c r="L306" s="19">
        <v>0.32351581134181329</v>
      </c>
      <c r="M306" s="20">
        <v>2</v>
      </c>
      <c r="N306" s="19">
        <v>0.13960265814607098</v>
      </c>
      <c r="O306" s="19">
        <v>0.14188871624007224</v>
      </c>
      <c r="P306" s="19">
        <v>0.39499281427204347</v>
      </c>
      <c r="Q306" s="19">
        <v>2.1118692433009071E-2</v>
      </c>
      <c r="R306" s="19">
        <v>0.28274766446194122</v>
      </c>
      <c r="S306" s="19">
        <v>1.9649454446863023E-2</v>
      </c>
      <c r="T306" s="20">
        <v>22</v>
      </c>
      <c r="U306" s="17">
        <v>2</v>
      </c>
      <c r="V306" s="17">
        <v>37</v>
      </c>
    </row>
    <row r="307" spans="1:22" x14ac:dyDescent="0.2">
      <c r="A307" t="s">
        <v>1466</v>
      </c>
      <c r="B307" t="s">
        <v>851</v>
      </c>
      <c r="C307" t="s">
        <v>852</v>
      </c>
      <c r="D307" t="s">
        <v>1432</v>
      </c>
      <c r="E307" s="10" t="s">
        <v>1467</v>
      </c>
      <c r="F307" s="10"/>
      <c r="G307" s="10"/>
      <c r="H307" s="10" t="s">
        <v>1467</v>
      </c>
      <c r="I307" s="14">
        <v>74607.667460042983</v>
      </c>
      <c r="J307" s="19">
        <v>0</v>
      </c>
      <c r="K307" s="19">
        <v>0.27652062430949848</v>
      </c>
      <c r="L307" s="19">
        <v>0.72347937569050147</v>
      </c>
      <c r="M307" s="20">
        <v>1</v>
      </c>
      <c r="N307" s="19">
        <v>0</v>
      </c>
      <c r="O307" s="19">
        <v>0.27652062430949848</v>
      </c>
      <c r="P307" s="19">
        <v>0</v>
      </c>
      <c r="Q307" s="19">
        <v>0.13277515817600036</v>
      </c>
      <c r="R307" s="19">
        <v>0.51043709842159946</v>
      </c>
      <c r="S307" s="19">
        <v>8.0267119092901698E-2</v>
      </c>
      <c r="T307" s="20">
        <v>12</v>
      </c>
      <c r="U307" s="17">
        <v>2</v>
      </c>
      <c r="V307" s="17">
        <v>37</v>
      </c>
    </row>
    <row r="308" spans="1:22" x14ac:dyDescent="0.2">
      <c r="A308" t="s">
        <v>1468</v>
      </c>
      <c r="B308" t="s">
        <v>851</v>
      </c>
      <c r="C308" t="s">
        <v>852</v>
      </c>
      <c r="D308" t="s">
        <v>1432</v>
      </c>
      <c r="E308" s="10" t="s">
        <v>1469</v>
      </c>
      <c r="F308" s="10"/>
      <c r="G308" s="10"/>
      <c r="H308" s="10" t="s">
        <v>1469</v>
      </c>
      <c r="I308" s="14">
        <v>267672.08945685579</v>
      </c>
      <c r="J308" s="19">
        <v>0.44676252044500703</v>
      </c>
      <c r="K308" s="19">
        <v>8.5107506491881771E-2</v>
      </c>
      <c r="L308" s="19">
        <v>0.46812997306311116</v>
      </c>
      <c r="M308" s="20">
        <v>2</v>
      </c>
      <c r="N308" s="19">
        <v>0</v>
      </c>
      <c r="O308" s="19">
        <v>1.9992732118587677E-2</v>
      </c>
      <c r="P308" s="19">
        <v>6.511477437329409E-2</v>
      </c>
      <c r="Q308" s="19">
        <v>4.0883833706788275E-2</v>
      </c>
      <c r="R308" s="19">
        <v>0.32424191020835708</v>
      </c>
      <c r="S308" s="19">
        <v>0.10300422914796585</v>
      </c>
      <c r="T308" s="20">
        <v>22</v>
      </c>
      <c r="U308" s="17">
        <v>2</v>
      </c>
      <c r="V308" s="17">
        <v>37</v>
      </c>
    </row>
    <row r="309" spans="1:22" x14ac:dyDescent="0.2">
      <c r="A309" t="s">
        <v>1470</v>
      </c>
      <c r="B309" t="s">
        <v>851</v>
      </c>
      <c r="C309" t="s">
        <v>852</v>
      </c>
      <c r="D309" t="s">
        <v>1432</v>
      </c>
      <c r="E309" s="10" t="s">
        <v>1471</v>
      </c>
      <c r="F309" s="10"/>
      <c r="G309" s="10"/>
      <c r="H309" s="10" t="s">
        <v>1471</v>
      </c>
      <c r="I309" s="14">
        <v>506273.87536084984</v>
      </c>
      <c r="J309" s="19">
        <v>0.2243073670819658</v>
      </c>
      <c r="K309" s="19">
        <v>0.14898187374780114</v>
      </c>
      <c r="L309" s="19">
        <v>0.62671075917023289</v>
      </c>
      <c r="M309" s="20">
        <v>1</v>
      </c>
      <c r="N309" s="19">
        <v>0</v>
      </c>
      <c r="O309" s="19">
        <v>9.9651821422359899E-2</v>
      </c>
      <c r="P309" s="19">
        <v>4.933005232544125E-2</v>
      </c>
      <c r="Q309" s="19">
        <v>0.13917809276873305</v>
      </c>
      <c r="R309" s="19">
        <v>0.45157847805764467</v>
      </c>
      <c r="S309" s="19">
        <v>3.5954188343855206E-2</v>
      </c>
      <c r="T309" s="20">
        <v>12</v>
      </c>
      <c r="U309" s="17">
        <v>2</v>
      </c>
      <c r="V309" s="17">
        <v>37</v>
      </c>
    </row>
    <row r="310" spans="1:22" x14ac:dyDescent="0.2">
      <c r="A310" t="s">
        <v>1472</v>
      </c>
      <c r="B310" t="s">
        <v>851</v>
      </c>
      <c r="C310" t="s">
        <v>852</v>
      </c>
      <c r="D310" t="s">
        <v>1432</v>
      </c>
      <c r="E310" s="10" t="s">
        <v>1473</v>
      </c>
      <c r="F310" s="10"/>
      <c r="G310" s="10"/>
      <c r="H310" s="10" t="s">
        <v>1473</v>
      </c>
      <c r="I310" s="14">
        <v>261527.31364420801</v>
      </c>
      <c r="J310" s="19">
        <v>0.26000082357458176</v>
      </c>
      <c r="K310" s="19">
        <v>0.18023552963374159</v>
      </c>
      <c r="L310" s="19">
        <v>0.55976364679167667</v>
      </c>
      <c r="M310" s="20">
        <v>1</v>
      </c>
      <c r="N310" s="19">
        <v>0</v>
      </c>
      <c r="O310" s="19">
        <v>0.14578592843632268</v>
      </c>
      <c r="P310" s="19">
        <v>3.4449601197418911E-2</v>
      </c>
      <c r="Q310" s="19">
        <v>0.20951979436832877</v>
      </c>
      <c r="R310" s="19">
        <v>0.31625237050081906</v>
      </c>
      <c r="S310" s="19">
        <v>3.3991481922528863E-2</v>
      </c>
      <c r="T310" s="20">
        <v>12</v>
      </c>
      <c r="U310" s="17">
        <v>2</v>
      </c>
      <c r="V310" s="17">
        <v>37</v>
      </c>
    </row>
    <row r="311" spans="1:22" x14ac:dyDescent="0.2">
      <c r="A311" t="s">
        <v>1474</v>
      </c>
      <c r="B311" t="s">
        <v>851</v>
      </c>
      <c r="C311" t="s">
        <v>852</v>
      </c>
      <c r="D311" t="s">
        <v>1475</v>
      </c>
      <c r="E311" s="10" t="s">
        <v>1476</v>
      </c>
      <c r="F311" s="10"/>
      <c r="G311" s="10"/>
      <c r="H311" s="10" t="s">
        <v>1476</v>
      </c>
      <c r="I311" s="14">
        <v>129974.71622291581</v>
      </c>
      <c r="J311" s="19">
        <v>0.57407183853505894</v>
      </c>
      <c r="K311" s="19">
        <v>2.907902608466989E-3</v>
      </c>
      <c r="L311" s="19">
        <v>0.42302025885647399</v>
      </c>
      <c r="M311" s="20">
        <v>3</v>
      </c>
      <c r="N311" s="19">
        <v>0</v>
      </c>
      <c r="O311" s="19">
        <v>0</v>
      </c>
      <c r="P311" s="19">
        <v>2.907902608466989E-3</v>
      </c>
      <c r="Q311" s="19">
        <v>0.19246622883323455</v>
      </c>
      <c r="R311" s="19">
        <v>0.2081271304053475</v>
      </c>
      <c r="S311" s="19">
        <v>2.2426899617891901E-2</v>
      </c>
      <c r="T311" s="20">
        <v>30</v>
      </c>
      <c r="U311" s="17">
        <v>2</v>
      </c>
      <c r="V311" s="17">
        <v>37</v>
      </c>
    </row>
    <row r="312" spans="1:22" x14ac:dyDescent="0.2">
      <c r="A312" t="s">
        <v>1477</v>
      </c>
      <c r="B312" t="s">
        <v>851</v>
      </c>
      <c r="C312" t="s">
        <v>852</v>
      </c>
      <c r="D312" t="s">
        <v>1475</v>
      </c>
      <c r="E312" s="10" t="s">
        <v>1478</v>
      </c>
      <c r="F312" s="10"/>
      <c r="G312" s="10"/>
      <c r="H312" s="10" t="s">
        <v>1478</v>
      </c>
      <c r="I312" s="14">
        <v>215572.23796998616</v>
      </c>
      <c r="J312" s="19">
        <v>0.69459285410163751</v>
      </c>
      <c r="K312" s="19">
        <v>8.6760902635140774E-2</v>
      </c>
      <c r="L312" s="19">
        <v>0.21864624326322166</v>
      </c>
      <c r="M312" s="20">
        <v>3</v>
      </c>
      <c r="N312" s="19">
        <v>0</v>
      </c>
      <c r="O312" s="19">
        <v>3.0103731516992978E-2</v>
      </c>
      <c r="P312" s="19">
        <v>5.6657171118147796E-2</v>
      </c>
      <c r="Q312" s="19">
        <v>6.6289758249886088E-2</v>
      </c>
      <c r="R312" s="19">
        <v>0.13635865324257399</v>
      </c>
      <c r="S312" s="19">
        <v>1.5997831770761573E-2</v>
      </c>
      <c r="T312" s="20">
        <v>30</v>
      </c>
      <c r="U312" s="17">
        <v>2</v>
      </c>
      <c r="V312" s="17">
        <v>37</v>
      </c>
    </row>
    <row r="313" spans="1:22" x14ac:dyDescent="0.2">
      <c r="A313" t="s">
        <v>1479</v>
      </c>
      <c r="B313" t="s">
        <v>851</v>
      </c>
      <c r="C313" t="s">
        <v>852</v>
      </c>
      <c r="D313" t="s">
        <v>1475</v>
      </c>
      <c r="E313" s="10" t="s">
        <v>1480</v>
      </c>
      <c r="F313" s="10"/>
      <c r="G313" s="10"/>
      <c r="H313" s="10" t="s">
        <v>1480</v>
      </c>
      <c r="I313" s="14">
        <v>111163.32575399056</v>
      </c>
      <c r="J313" s="19">
        <v>0</v>
      </c>
      <c r="K313" s="19">
        <v>0.38878776096940404</v>
      </c>
      <c r="L313" s="19">
        <v>0.61121223903059596</v>
      </c>
      <c r="M313" s="20">
        <v>1</v>
      </c>
      <c r="N313" s="19">
        <v>0.30766494456623078</v>
      </c>
      <c r="O313" s="19">
        <v>0</v>
      </c>
      <c r="P313" s="19">
        <v>8.1122816403173287E-2</v>
      </c>
      <c r="Q313" s="19">
        <v>0.2196976967558667</v>
      </c>
      <c r="R313" s="19">
        <v>0.34526805952151407</v>
      </c>
      <c r="S313" s="19">
        <v>4.6246482753215204E-2</v>
      </c>
      <c r="T313" s="20">
        <v>12</v>
      </c>
      <c r="U313" s="17">
        <v>2</v>
      </c>
      <c r="V313" s="17">
        <v>37</v>
      </c>
    </row>
    <row r="314" spans="1:22" x14ac:dyDescent="0.2">
      <c r="A314" t="s">
        <v>1481</v>
      </c>
      <c r="B314" t="s">
        <v>851</v>
      </c>
      <c r="C314" t="s">
        <v>852</v>
      </c>
      <c r="D314" t="s">
        <v>1475</v>
      </c>
      <c r="E314" s="10" t="s">
        <v>1482</v>
      </c>
      <c r="F314" s="10"/>
      <c r="G314" s="10"/>
      <c r="H314" s="10" t="s">
        <v>1482</v>
      </c>
      <c r="I314" s="14">
        <v>163808.96036870033</v>
      </c>
      <c r="J314" s="19">
        <v>0</v>
      </c>
      <c r="K314" s="19">
        <v>0.89794756621979932</v>
      </c>
      <c r="L314" s="19">
        <v>0.10205243378020064</v>
      </c>
      <c r="M314" s="20">
        <v>2</v>
      </c>
      <c r="N314" s="19">
        <v>0.38782683240018628</v>
      </c>
      <c r="O314" s="19">
        <v>3.5437245821315404E-2</v>
      </c>
      <c r="P314" s="19">
        <v>0.47468348799829768</v>
      </c>
      <c r="Q314" s="19">
        <v>4.3944743100417287E-2</v>
      </c>
      <c r="R314" s="19">
        <v>5.2963054071853768E-2</v>
      </c>
      <c r="S314" s="19">
        <v>5.144636607929594E-3</v>
      </c>
      <c r="T314" s="20">
        <v>23</v>
      </c>
      <c r="U314" s="17">
        <v>2</v>
      </c>
      <c r="V314" s="17">
        <v>37</v>
      </c>
    </row>
    <row r="315" spans="1:22" x14ac:dyDescent="0.2">
      <c r="A315" t="s">
        <v>1483</v>
      </c>
      <c r="B315" t="s">
        <v>851</v>
      </c>
      <c r="C315" t="s">
        <v>852</v>
      </c>
      <c r="D315" t="s">
        <v>1475</v>
      </c>
      <c r="E315" s="10" t="s">
        <v>1484</v>
      </c>
      <c r="F315" s="10"/>
      <c r="G315" s="10"/>
      <c r="H315" s="10" t="s">
        <v>1484</v>
      </c>
      <c r="I315" s="14">
        <v>163067.23904594034</v>
      </c>
      <c r="J315" s="19">
        <v>0</v>
      </c>
      <c r="K315" s="19">
        <v>0.59583325340141147</v>
      </c>
      <c r="L315" s="19">
        <v>0.40416674659858853</v>
      </c>
      <c r="M315" s="20">
        <v>2</v>
      </c>
      <c r="N315" s="19">
        <v>0.20054024571161441</v>
      </c>
      <c r="O315" s="19">
        <v>0.31016740098127399</v>
      </c>
      <c r="P315" s="19">
        <v>8.5125606708523052E-2</v>
      </c>
      <c r="Q315" s="19">
        <v>0.25575123883506323</v>
      </c>
      <c r="R315" s="19">
        <v>0.13615884014546534</v>
      </c>
      <c r="S315" s="19">
        <v>1.2256667618060008E-2</v>
      </c>
      <c r="T315" s="20">
        <v>22</v>
      </c>
      <c r="U315" s="17">
        <v>2</v>
      </c>
      <c r="V315" s="17">
        <v>37</v>
      </c>
    </row>
    <row r="316" spans="1:22" x14ac:dyDescent="0.2">
      <c r="A316" t="s">
        <v>1485</v>
      </c>
      <c r="B316" t="s">
        <v>851</v>
      </c>
      <c r="C316" t="s">
        <v>852</v>
      </c>
      <c r="D316" t="s">
        <v>1475</v>
      </c>
      <c r="E316" s="10" t="s">
        <v>1486</v>
      </c>
      <c r="F316" s="10"/>
      <c r="G316" s="10"/>
      <c r="H316" s="10" t="s">
        <v>1486</v>
      </c>
      <c r="I316" s="14">
        <v>100381.48476684093</v>
      </c>
      <c r="J316" s="19">
        <v>0</v>
      </c>
      <c r="K316" s="19">
        <v>0.62517206388798319</v>
      </c>
      <c r="L316" s="19">
        <v>0.37482793611201681</v>
      </c>
      <c r="M316" s="20">
        <v>2</v>
      </c>
      <c r="N316" s="19">
        <v>0.33919488224505201</v>
      </c>
      <c r="O316" s="19">
        <v>0.19160371371067772</v>
      </c>
      <c r="P316" s="19">
        <v>9.437346793225343E-2</v>
      </c>
      <c r="Q316" s="19">
        <v>0.19661086377871664</v>
      </c>
      <c r="R316" s="19">
        <v>0.1654802902543952</v>
      </c>
      <c r="S316" s="19">
        <v>1.273678207890501E-2</v>
      </c>
      <c r="T316" s="20">
        <v>23</v>
      </c>
      <c r="U316" s="17">
        <v>2</v>
      </c>
      <c r="V316" s="17">
        <v>37</v>
      </c>
    </row>
    <row r="317" spans="1:22" x14ac:dyDescent="0.2">
      <c r="A317" t="s">
        <v>1487</v>
      </c>
      <c r="B317" t="s">
        <v>851</v>
      </c>
      <c r="C317" t="s">
        <v>852</v>
      </c>
      <c r="D317" t="s">
        <v>1475</v>
      </c>
      <c r="E317" s="10" t="s">
        <v>1488</v>
      </c>
      <c r="F317" s="10"/>
      <c r="G317" s="10"/>
      <c r="H317" s="10" t="s">
        <v>1488</v>
      </c>
      <c r="I317" s="14">
        <v>216382.31090505701</v>
      </c>
      <c r="J317" s="19">
        <v>0.43991776726760029</v>
      </c>
      <c r="K317" s="19">
        <v>0.24699536028670818</v>
      </c>
      <c r="L317" s="19">
        <v>0.31308687244569156</v>
      </c>
      <c r="M317" s="20">
        <v>2</v>
      </c>
      <c r="N317" s="19">
        <v>5.8471919042730892E-2</v>
      </c>
      <c r="O317" s="19">
        <v>8.346251674510427E-2</v>
      </c>
      <c r="P317" s="19">
        <v>0.10506092449887301</v>
      </c>
      <c r="Q317" s="19">
        <v>0.11225970364643295</v>
      </c>
      <c r="R317" s="19">
        <v>0.18091688559506497</v>
      </c>
      <c r="S317" s="19">
        <v>1.9910283204193597E-2</v>
      </c>
      <c r="T317" s="20">
        <v>22</v>
      </c>
      <c r="U317" s="17">
        <v>2</v>
      </c>
      <c r="V317" s="17">
        <v>37</v>
      </c>
    </row>
    <row r="318" spans="1:22" x14ac:dyDescent="0.2">
      <c r="A318" t="s">
        <v>1489</v>
      </c>
      <c r="B318" t="s">
        <v>851</v>
      </c>
      <c r="C318" t="s">
        <v>852</v>
      </c>
      <c r="D318" t="s">
        <v>1475</v>
      </c>
      <c r="E318" s="10" t="s">
        <v>1490</v>
      </c>
      <c r="F318" s="10"/>
      <c r="G318" s="10"/>
      <c r="H318" s="10" t="s">
        <v>1490</v>
      </c>
      <c r="I318" s="14">
        <v>144012.29996328987</v>
      </c>
      <c r="J318" s="19">
        <v>0.46040301849874438</v>
      </c>
      <c r="K318" s="19">
        <v>0.18998593604266548</v>
      </c>
      <c r="L318" s="19">
        <v>0.34961104545859018</v>
      </c>
      <c r="M318" s="20">
        <v>2</v>
      </c>
      <c r="N318" s="19">
        <v>0</v>
      </c>
      <c r="O318" s="19">
        <v>0.12474143574412061</v>
      </c>
      <c r="P318" s="19">
        <v>6.524450029854488E-2</v>
      </c>
      <c r="Q318" s="19">
        <v>9.5604641508892724E-2</v>
      </c>
      <c r="R318" s="19">
        <v>0.20629203286397474</v>
      </c>
      <c r="S318" s="19">
        <v>4.771437108572267E-2</v>
      </c>
      <c r="T318" s="20">
        <v>22</v>
      </c>
      <c r="U318" s="17">
        <v>2</v>
      </c>
      <c r="V318" s="17">
        <v>37</v>
      </c>
    </row>
    <row r="319" spans="1:22" x14ac:dyDescent="0.2">
      <c r="A319" t="s">
        <v>1491</v>
      </c>
      <c r="B319" t="s">
        <v>851</v>
      </c>
      <c r="C319" t="s">
        <v>852</v>
      </c>
      <c r="D319" t="s">
        <v>1475</v>
      </c>
      <c r="E319" s="10" t="s">
        <v>1492</v>
      </c>
      <c r="F319" s="10"/>
      <c r="G319" s="10"/>
      <c r="H319" s="10" t="s">
        <v>1492</v>
      </c>
      <c r="I319" s="14">
        <v>80299.968156117946</v>
      </c>
      <c r="J319" s="19">
        <v>0</v>
      </c>
      <c r="K319" s="19">
        <v>0.28229541760011539</v>
      </c>
      <c r="L319" s="19">
        <v>0.71770458239988455</v>
      </c>
      <c r="M319" s="20">
        <v>1</v>
      </c>
      <c r="N319" s="19">
        <v>0.13570222723335132</v>
      </c>
      <c r="O319" s="19">
        <v>0.11634086193244662</v>
      </c>
      <c r="P319" s="19">
        <v>3.0252328434317462E-2</v>
      </c>
      <c r="Q319" s="19">
        <v>0.43411361140037197</v>
      </c>
      <c r="R319" s="19">
        <v>0.24138115060408269</v>
      </c>
      <c r="S319" s="19">
        <v>4.2209820395429934E-2</v>
      </c>
      <c r="T319" s="20">
        <v>13</v>
      </c>
      <c r="U319" s="17">
        <v>2</v>
      </c>
      <c r="V319" s="17">
        <v>37</v>
      </c>
    </row>
    <row r="320" spans="1:22" x14ac:dyDescent="0.2">
      <c r="A320" t="s">
        <v>1493</v>
      </c>
      <c r="B320" t="s">
        <v>851</v>
      </c>
      <c r="C320" t="s">
        <v>852</v>
      </c>
      <c r="D320" t="s">
        <v>1475</v>
      </c>
      <c r="E320" s="10" t="s">
        <v>1494</v>
      </c>
      <c r="F320" s="10"/>
      <c r="G320" s="10"/>
      <c r="H320" s="10" t="s">
        <v>1494</v>
      </c>
      <c r="I320" s="14">
        <v>150668.41543542128</v>
      </c>
      <c r="J320" s="19">
        <v>0.72579162336709346</v>
      </c>
      <c r="K320" s="19">
        <v>8.3152151436536453E-2</v>
      </c>
      <c r="L320" s="19">
        <v>0.19105622519637008</v>
      </c>
      <c r="M320" s="20">
        <v>3</v>
      </c>
      <c r="N320" s="19">
        <v>3.4008294287197982E-2</v>
      </c>
      <c r="O320" s="19">
        <v>0</v>
      </c>
      <c r="P320" s="19">
        <v>4.9143857149338471E-2</v>
      </c>
      <c r="Q320" s="19">
        <v>6.2878833730188793E-2</v>
      </c>
      <c r="R320" s="19">
        <v>0.11991160754531142</v>
      </c>
      <c r="S320" s="19">
        <v>8.2657839208698878E-3</v>
      </c>
      <c r="T320" s="20">
        <v>30</v>
      </c>
      <c r="U320" s="17">
        <v>2</v>
      </c>
      <c r="V320" s="17">
        <v>37</v>
      </c>
    </row>
    <row r="321" spans="1:22" x14ac:dyDescent="0.2">
      <c r="A321" t="s">
        <v>1495</v>
      </c>
      <c r="B321" t="s">
        <v>851</v>
      </c>
      <c r="C321" t="s">
        <v>852</v>
      </c>
      <c r="D321" t="s">
        <v>1475</v>
      </c>
      <c r="E321" s="10" t="s">
        <v>1496</v>
      </c>
      <c r="F321" s="10"/>
      <c r="G321" s="10"/>
      <c r="H321" s="10" t="s">
        <v>1496</v>
      </c>
      <c r="I321" s="14">
        <v>313054.45021733874</v>
      </c>
      <c r="J321" s="19">
        <v>0.88569986772032683</v>
      </c>
      <c r="K321" s="19">
        <v>8.1839529109419468E-2</v>
      </c>
      <c r="L321" s="19">
        <v>3.2460603170253712E-2</v>
      </c>
      <c r="M321" s="20">
        <v>3</v>
      </c>
      <c r="N321" s="19">
        <v>0</v>
      </c>
      <c r="O321" s="19">
        <v>2.9980746617480292E-2</v>
      </c>
      <c r="P321" s="19">
        <v>5.1858782491939176E-2</v>
      </c>
      <c r="Q321" s="19">
        <v>1.9293207619991022E-4</v>
      </c>
      <c r="R321" s="19">
        <v>2.8449981649557112E-2</v>
      </c>
      <c r="S321" s="19">
        <v>3.8176894444966903E-3</v>
      </c>
      <c r="T321" s="20">
        <v>30</v>
      </c>
      <c r="U321" s="17">
        <v>2</v>
      </c>
      <c r="V321" s="17">
        <v>37</v>
      </c>
    </row>
    <row r="322" spans="1:22" x14ac:dyDescent="0.2">
      <c r="A322" t="s">
        <v>1497</v>
      </c>
      <c r="B322" t="s">
        <v>851</v>
      </c>
      <c r="C322" t="s">
        <v>852</v>
      </c>
      <c r="D322" t="s">
        <v>1475</v>
      </c>
      <c r="E322" s="10" t="s">
        <v>1498</v>
      </c>
      <c r="F322" s="10"/>
      <c r="G322" s="10"/>
      <c r="H322" s="10" t="s">
        <v>1498</v>
      </c>
      <c r="I322" s="14">
        <v>172921.10877202265</v>
      </c>
      <c r="J322" s="19">
        <v>0</v>
      </c>
      <c r="K322" s="19">
        <v>0.67024135617850633</v>
      </c>
      <c r="L322" s="19">
        <v>0.32975864382149372</v>
      </c>
      <c r="M322" s="20">
        <v>2</v>
      </c>
      <c r="N322" s="19">
        <v>0.13115667400277042</v>
      </c>
      <c r="O322" s="19">
        <v>6.5251182618436016E-2</v>
      </c>
      <c r="P322" s="19">
        <v>0.47383349955729981</v>
      </c>
      <c r="Q322" s="19">
        <v>9.4223766915240578E-2</v>
      </c>
      <c r="R322" s="19">
        <v>0.21973231141120431</v>
      </c>
      <c r="S322" s="19">
        <v>1.580256549504885E-2</v>
      </c>
      <c r="T322" s="20">
        <v>23</v>
      </c>
      <c r="U322" s="17">
        <v>2</v>
      </c>
      <c r="V322" s="17">
        <v>37</v>
      </c>
    </row>
    <row r="323" spans="1:22" x14ac:dyDescent="0.2">
      <c r="A323" t="s">
        <v>1499</v>
      </c>
      <c r="B323" t="s">
        <v>851</v>
      </c>
      <c r="C323" t="s">
        <v>852</v>
      </c>
      <c r="D323" t="s">
        <v>1475</v>
      </c>
      <c r="E323" s="10" t="s">
        <v>1500</v>
      </c>
      <c r="F323" s="10"/>
      <c r="G323" s="10"/>
      <c r="H323" s="10" t="s">
        <v>1500</v>
      </c>
      <c r="I323" s="14">
        <v>34720.64717364125</v>
      </c>
      <c r="J323" s="19">
        <v>0</v>
      </c>
      <c r="K323" s="19">
        <v>0.14570112634123092</v>
      </c>
      <c r="L323" s="19">
        <v>0.85429887365876922</v>
      </c>
      <c r="M323" s="20">
        <v>1</v>
      </c>
      <c r="N323" s="19">
        <v>0</v>
      </c>
      <c r="O323" s="19">
        <v>0.14570112634123092</v>
      </c>
      <c r="P323" s="19">
        <v>0</v>
      </c>
      <c r="Q323" s="19">
        <v>0.43979299974004687</v>
      </c>
      <c r="R323" s="19">
        <v>0.35579622224003588</v>
      </c>
      <c r="S323" s="19">
        <v>5.8709651678686352E-2</v>
      </c>
      <c r="T323" s="20">
        <v>13</v>
      </c>
      <c r="U323" s="17">
        <v>2</v>
      </c>
      <c r="V323" s="17">
        <v>37</v>
      </c>
    </row>
    <row r="324" spans="1:22" x14ac:dyDescent="0.2">
      <c r="A324" t="s">
        <v>1501</v>
      </c>
      <c r="B324" t="s">
        <v>851</v>
      </c>
      <c r="C324" t="s">
        <v>852</v>
      </c>
      <c r="D324" t="s">
        <v>1475</v>
      </c>
      <c r="E324" s="10" t="s">
        <v>1502</v>
      </c>
      <c r="F324" s="10"/>
      <c r="G324" s="10"/>
      <c r="H324" s="10" t="s">
        <v>1502</v>
      </c>
      <c r="I324" s="14">
        <v>109836.16699477473</v>
      </c>
      <c r="J324" s="19">
        <v>0.59117977892157492</v>
      </c>
      <c r="K324" s="19">
        <v>8.4729689833904012E-2</v>
      </c>
      <c r="L324" s="19">
        <v>0.32409053124452103</v>
      </c>
      <c r="M324" s="20">
        <v>3</v>
      </c>
      <c r="N324" s="19">
        <v>1.729752062164909E-2</v>
      </c>
      <c r="O324" s="19">
        <v>2.9491940944586244E-2</v>
      </c>
      <c r="P324" s="19">
        <v>3.7940228267668678E-2</v>
      </c>
      <c r="Q324" s="19">
        <v>0.18512164072626136</v>
      </c>
      <c r="R324" s="19">
        <v>0.13024522528326929</v>
      </c>
      <c r="S324" s="19">
        <v>8.723665234990307E-3</v>
      </c>
      <c r="T324" s="20">
        <v>30</v>
      </c>
      <c r="U324" s="17">
        <v>2</v>
      </c>
      <c r="V324" s="17">
        <v>37</v>
      </c>
    </row>
    <row r="325" spans="1:22" x14ac:dyDescent="0.2">
      <c r="A325" t="s">
        <v>1503</v>
      </c>
      <c r="B325" t="s">
        <v>851</v>
      </c>
      <c r="C325" t="s">
        <v>852</v>
      </c>
      <c r="D325" t="s">
        <v>1475</v>
      </c>
      <c r="E325" s="10" t="s">
        <v>1504</v>
      </c>
      <c r="F325" s="10"/>
      <c r="G325" s="10"/>
      <c r="H325" s="10" t="s">
        <v>1504</v>
      </c>
      <c r="I325" s="14">
        <v>173963.06833486259</v>
      </c>
      <c r="J325" s="19">
        <v>0</v>
      </c>
      <c r="K325" s="19">
        <v>0.38254224352647404</v>
      </c>
      <c r="L325" s="19">
        <v>0.61745775647352596</v>
      </c>
      <c r="M325" s="20">
        <v>1</v>
      </c>
      <c r="N325" s="19">
        <v>0.22872005451784311</v>
      </c>
      <c r="O325" s="19">
        <v>7.0404319240900945E-2</v>
      </c>
      <c r="P325" s="19">
        <v>8.3417869767729982E-2</v>
      </c>
      <c r="Q325" s="19">
        <v>0.34963217220341131</v>
      </c>
      <c r="R325" s="19">
        <v>0.23537106669774926</v>
      </c>
      <c r="S325" s="19">
        <v>3.2454517572365386E-2</v>
      </c>
      <c r="T325" s="20">
        <v>13</v>
      </c>
      <c r="U325" s="17">
        <v>2</v>
      </c>
      <c r="V325" s="17">
        <v>37</v>
      </c>
    </row>
    <row r="326" spans="1:22" x14ac:dyDescent="0.2">
      <c r="A326" t="s">
        <v>1505</v>
      </c>
      <c r="B326" t="s">
        <v>851</v>
      </c>
      <c r="C326" t="s">
        <v>852</v>
      </c>
      <c r="D326" t="s">
        <v>1475</v>
      </c>
      <c r="E326" s="10" t="s">
        <v>1506</v>
      </c>
      <c r="F326" s="10"/>
      <c r="G326" s="10"/>
      <c r="H326" s="10" t="s">
        <v>1506</v>
      </c>
      <c r="I326" s="14">
        <v>383316.3189417636</v>
      </c>
      <c r="J326" s="19">
        <v>0.53911615037884297</v>
      </c>
      <c r="K326" s="19">
        <v>0.18504462475217037</v>
      </c>
      <c r="L326" s="19">
        <v>0.27583922486898671</v>
      </c>
      <c r="M326" s="20">
        <v>3</v>
      </c>
      <c r="N326" s="19">
        <v>2.0332678585983227E-2</v>
      </c>
      <c r="O326" s="19">
        <v>0.11488298145705148</v>
      </c>
      <c r="P326" s="19">
        <v>4.982896470913567E-2</v>
      </c>
      <c r="Q326" s="19">
        <v>0.11913222029924518</v>
      </c>
      <c r="R326" s="19">
        <v>0.13118725206187326</v>
      </c>
      <c r="S326" s="19">
        <v>2.5519752507868275E-2</v>
      </c>
      <c r="T326" s="20">
        <v>30</v>
      </c>
      <c r="U326" s="17">
        <v>2</v>
      </c>
      <c r="V326" s="17">
        <v>37</v>
      </c>
    </row>
    <row r="327" spans="1:22" x14ac:dyDescent="0.2">
      <c r="A327" t="s">
        <v>1507</v>
      </c>
      <c r="B327" t="s">
        <v>851</v>
      </c>
      <c r="C327" t="s">
        <v>852</v>
      </c>
      <c r="D327" t="s">
        <v>1475</v>
      </c>
      <c r="E327" s="10" t="s">
        <v>1508</v>
      </c>
      <c r="F327" s="10"/>
      <c r="G327" s="10"/>
      <c r="H327" s="10" t="s">
        <v>1508</v>
      </c>
      <c r="I327" s="14">
        <v>478169.29816687293</v>
      </c>
      <c r="J327" s="19">
        <v>0.64909908768058144</v>
      </c>
      <c r="K327" s="19">
        <v>0.21391112678550742</v>
      </c>
      <c r="L327" s="19">
        <v>0.13698978553391117</v>
      </c>
      <c r="M327" s="20">
        <v>3</v>
      </c>
      <c r="N327" s="19">
        <v>0.11780439261447824</v>
      </c>
      <c r="O327" s="19">
        <v>1.3329920844467555E-2</v>
      </c>
      <c r="P327" s="19">
        <v>8.2776813326561616E-2</v>
      </c>
      <c r="Q327" s="19">
        <v>6.5412512794365565E-2</v>
      </c>
      <c r="R327" s="19">
        <v>6.2115587315111832E-2</v>
      </c>
      <c r="S327" s="19">
        <v>9.461685424433779E-3</v>
      </c>
      <c r="T327" s="20">
        <v>30</v>
      </c>
      <c r="U327" s="17">
        <v>2</v>
      </c>
      <c r="V327" s="17">
        <v>37</v>
      </c>
    </row>
    <row r="328" spans="1:22" x14ac:dyDescent="0.2">
      <c r="A328" t="s">
        <v>1509</v>
      </c>
      <c r="B328" t="s">
        <v>851</v>
      </c>
      <c r="C328" t="s">
        <v>852</v>
      </c>
      <c r="D328" t="s">
        <v>1475</v>
      </c>
      <c r="E328" s="10" t="s">
        <v>1510</v>
      </c>
      <c r="F328" s="10"/>
      <c r="G328" s="10"/>
      <c r="H328" s="10" t="s">
        <v>1510</v>
      </c>
      <c r="I328" s="14">
        <v>243672.8603391005</v>
      </c>
      <c r="J328" s="19">
        <v>0.65525485923175586</v>
      </c>
      <c r="K328" s="19">
        <v>0.15196575410522031</v>
      </c>
      <c r="L328" s="19">
        <v>0.19277938666302366</v>
      </c>
      <c r="M328" s="20">
        <v>3</v>
      </c>
      <c r="N328" s="19">
        <v>2.0966572906428994E-2</v>
      </c>
      <c r="O328" s="19">
        <v>2.0538413026781038E-2</v>
      </c>
      <c r="P328" s="19">
        <v>0.11046076817201027</v>
      </c>
      <c r="Q328" s="19">
        <v>9.3096155622371946E-2</v>
      </c>
      <c r="R328" s="19">
        <v>8.1850717241859161E-2</v>
      </c>
      <c r="S328" s="19">
        <v>1.7832513798792544E-2</v>
      </c>
      <c r="T328" s="20">
        <v>30</v>
      </c>
      <c r="U328" s="17">
        <v>2</v>
      </c>
      <c r="V328" s="17">
        <v>37</v>
      </c>
    </row>
    <row r="329" spans="1:22" x14ac:dyDescent="0.2">
      <c r="A329" t="s">
        <v>1511</v>
      </c>
      <c r="B329" t="s">
        <v>851</v>
      </c>
      <c r="C329" t="s">
        <v>852</v>
      </c>
      <c r="D329" t="s">
        <v>1475</v>
      </c>
      <c r="E329" s="10" t="s">
        <v>1512</v>
      </c>
      <c r="F329" s="10"/>
      <c r="G329" s="10"/>
      <c r="H329" s="10" t="s">
        <v>1512</v>
      </c>
      <c r="I329" s="14">
        <v>172220.09038806707</v>
      </c>
      <c r="J329" s="19">
        <v>0</v>
      </c>
      <c r="K329" s="19">
        <v>0.71623469252612137</v>
      </c>
      <c r="L329" s="19">
        <v>0.28376530747387868</v>
      </c>
      <c r="M329" s="20">
        <v>2</v>
      </c>
      <c r="N329" s="19">
        <v>0.52570829363803417</v>
      </c>
      <c r="O329" s="19">
        <v>6.0255724776774107E-2</v>
      </c>
      <c r="P329" s="19">
        <v>0.13027067411131305</v>
      </c>
      <c r="Q329" s="19">
        <v>0.20605318787084742</v>
      </c>
      <c r="R329" s="19">
        <v>7.1662024496408461E-2</v>
      </c>
      <c r="S329" s="19">
        <v>6.0500951066227368E-3</v>
      </c>
      <c r="T329" s="20">
        <v>23</v>
      </c>
      <c r="U329" s="17">
        <v>2</v>
      </c>
      <c r="V329" s="17">
        <v>37</v>
      </c>
    </row>
    <row r="330" spans="1:22" x14ac:dyDescent="0.2">
      <c r="A330" t="s">
        <v>1513</v>
      </c>
      <c r="B330" t="s">
        <v>851</v>
      </c>
      <c r="C330" t="s">
        <v>852</v>
      </c>
      <c r="D330" t="s">
        <v>1475</v>
      </c>
      <c r="E330" s="10" t="s">
        <v>1514</v>
      </c>
      <c r="F330" s="10"/>
      <c r="G330" s="10"/>
      <c r="H330" s="10" t="s">
        <v>1514</v>
      </c>
      <c r="I330" s="14">
        <v>318260.06510245055</v>
      </c>
      <c r="J330" s="19">
        <v>0.30584728516512538</v>
      </c>
      <c r="K330" s="19">
        <v>0.53551293157000224</v>
      </c>
      <c r="L330" s="19">
        <v>0.15863978326487241</v>
      </c>
      <c r="M330" s="20">
        <v>2</v>
      </c>
      <c r="N330" s="19">
        <v>0.27777052464912333</v>
      </c>
      <c r="O330" s="19">
        <v>0.10376876777368586</v>
      </c>
      <c r="P330" s="19">
        <v>0.15397363914719303</v>
      </c>
      <c r="Q330" s="19">
        <v>0.10617708154010896</v>
      </c>
      <c r="R330" s="19">
        <v>4.8035223302463383E-2</v>
      </c>
      <c r="S330" s="19">
        <v>4.4274784223000668E-3</v>
      </c>
      <c r="T330" s="20">
        <v>23</v>
      </c>
      <c r="U330" s="17">
        <v>2</v>
      </c>
      <c r="V330" s="17">
        <v>37</v>
      </c>
    </row>
    <row r="331" spans="1:22" x14ac:dyDescent="0.2">
      <c r="A331" t="s">
        <v>1515</v>
      </c>
      <c r="B331" t="s">
        <v>851</v>
      </c>
      <c r="C331" t="s">
        <v>852</v>
      </c>
      <c r="D331" t="s">
        <v>1475</v>
      </c>
      <c r="E331" s="10" t="s">
        <v>1516</v>
      </c>
      <c r="F331" s="10"/>
      <c r="G331" s="10"/>
      <c r="H331" s="10" t="s">
        <v>1516</v>
      </c>
      <c r="I331" s="14">
        <v>145236.37382207811</v>
      </c>
      <c r="J331" s="19">
        <v>0</v>
      </c>
      <c r="K331" s="19">
        <v>0.34421312730816972</v>
      </c>
      <c r="L331" s="19">
        <v>0.65578687269183022</v>
      </c>
      <c r="M331" s="20">
        <v>1</v>
      </c>
      <c r="N331" s="19">
        <v>0.24782910590765522</v>
      </c>
      <c r="O331" s="19">
        <v>0</v>
      </c>
      <c r="P331" s="19">
        <v>9.6384021400514511E-2</v>
      </c>
      <c r="Q331" s="19">
        <v>0.3660220336213223</v>
      </c>
      <c r="R331" s="19">
        <v>0.26767040230573308</v>
      </c>
      <c r="S331" s="19">
        <v>2.2094436764774981E-2</v>
      </c>
      <c r="T331" s="20">
        <v>13</v>
      </c>
      <c r="U331" s="17">
        <v>2</v>
      </c>
      <c r="V331" s="17">
        <v>37</v>
      </c>
    </row>
    <row r="332" spans="1:22" x14ac:dyDescent="0.2">
      <c r="A332" t="s">
        <v>1517</v>
      </c>
      <c r="B332" t="s">
        <v>851</v>
      </c>
      <c r="C332" t="s">
        <v>852</v>
      </c>
      <c r="D332" t="s">
        <v>1475</v>
      </c>
      <c r="E332" s="10" t="s">
        <v>1518</v>
      </c>
      <c r="F332" s="10"/>
      <c r="G332" s="10"/>
      <c r="H332" s="10" t="s">
        <v>1518</v>
      </c>
      <c r="I332" s="14">
        <v>179130.42608316243</v>
      </c>
      <c r="J332" s="19">
        <v>0.46988404870566625</v>
      </c>
      <c r="K332" s="19">
        <v>0.29628700385264395</v>
      </c>
      <c r="L332" s="19">
        <v>0.23382894744168986</v>
      </c>
      <c r="M332" s="20">
        <v>2</v>
      </c>
      <c r="N332" s="19">
        <v>6.6009268201221993E-2</v>
      </c>
      <c r="O332" s="19">
        <v>6.6949739958057516E-2</v>
      </c>
      <c r="P332" s="19">
        <v>0.16332799569336437</v>
      </c>
      <c r="Q332" s="19">
        <v>0.12690709426925084</v>
      </c>
      <c r="R332" s="19">
        <v>0.10129815497621186</v>
      </c>
      <c r="S332" s="19">
        <v>5.6236981962271577E-3</v>
      </c>
      <c r="T332" s="20">
        <v>22</v>
      </c>
      <c r="U332" s="17">
        <v>2</v>
      </c>
      <c r="V332" s="17">
        <v>37</v>
      </c>
    </row>
    <row r="333" spans="1:22" x14ac:dyDescent="0.2">
      <c r="A333" t="s">
        <v>1519</v>
      </c>
      <c r="B333" t="s">
        <v>851</v>
      </c>
      <c r="C333" t="s">
        <v>852</v>
      </c>
      <c r="D333" t="s">
        <v>1475</v>
      </c>
      <c r="E333" s="10" t="s">
        <v>1520</v>
      </c>
      <c r="F333" s="10"/>
      <c r="G333" s="10"/>
      <c r="H333" s="10" t="s">
        <v>1520</v>
      </c>
      <c r="I333" s="14">
        <v>247094.34760212898</v>
      </c>
      <c r="J333" s="19">
        <v>0.7247755806196835</v>
      </c>
      <c r="K333" s="19">
        <v>0.13261604148495348</v>
      </c>
      <c r="L333" s="19">
        <v>0.14260837789536304</v>
      </c>
      <c r="M333" s="20">
        <v>3</v>
      </c>
      <c r="N333" s="19">
        <v>2.4847942874310684E-2</v>
      </c>
      <c r="O333" s="19">
        <v>9.396671820978314E-2</v>
      </c>
      <c r="P333" s="19">
        <v>1.3801380400859669E-2</v>
      </c>
      <c r="Q333" s="19">
        <v>5.5839247643034079E-2</v>
      </c>
      <c r="R333" s="19">
        <v>8.0665968208061184E-2</v>
      </c>
      <c r="S333" s="19">
        <v>6.1031620442677688E-3</v>
      </c>
      <c r="T333" s="20">
        <v>30</v>
      </c>
      <c r="U333" s="17">
        <v>2</v>
      </c>
      <c r="V333" s="17">
        <v>37</v>
      </c>
    </row>
    <row r="334" spans="1:22" x14ac:dyDescent="0.2">
      <c r="A334" t="s">
        <v>1521</v>
      </c>
      <c r="B334" t="s">
        <v>851</v>
      </c>
      <c r="C334" t="s">
        <v>852</v>
      </c>
      <c r="D334" t="s">
        <v>1475</v>
      </c>
      <c r="E334" s="10" t="s">
        <v>1522</v>
      </c>
      <c r="F334" s="10"/>
      <c r="G334" s="10"/>
      <c r="H334" s="10" t="s">
        <v>1522</v>
      </c>
      <c r="I334" s="14">
        <v>50800.682790741324</v>
      </c>
      <c r="J334" s="19">
        <v>0</v>
      </c>
      <c r="K334" s="19">
        <v>0.26023311244063441</v>
      </c>
      <c r="L334" s="19">
        <v>0.73976688755936559</v>
      </c>
      <c r="M334" s="20">
        <v>1</v>
      </c>
      <c r="N334" s="19">
        <v>0.11098066574091638</v>
      </c>
      <c r="O334" s="19">
        <v>0</v>
      </c>
      <c r="P334" s="19">
        <v>0.14925244669971804</v>
      </c>
      <c r="Q334" s="19">
        <v>0.31200445300127272</v>
      </c>
      <c r="R334" s="19">
        <v>0.37609205546069102</v>
      </c>
      <c r="S334" s="19">
        <v>5.1670379097401832E-2</v>
      </c>
      <c r="T334" s="20">
        <v>12</v>
      </c>
      <c r="U334" s="17">
        <v>2</v>
      </c>
      <c r="V334" s="17">
        <v>37</v>
      </c>
    </row>
    <row r="335" spans="1:22" x14ac:dyDescent="0.2">
      <c r="A335" t="s">
        <v>1523</v>
      </c>
      <c r="B335" t="s">
        <v>851</v>
      </c>
      <c r="C335" t="s">
        <v>852</v>
      </c>
      <c r="D335" t="s">
        <v>1475</v>
      </c>
      <c r="E335" s="10" t="s">
        <v>1524</v>
      </c>
      <c r="F335" s="10"/>
      <c r="G335" s="10"/>
      <c r="H335" s="10" t="s">
        <v>1524</v>
      </c>
      <c r="I335" s="14">
        <v>24515.651942105964</v>
      </c>
      <c r="J335" s="19">
        <v>0</v>
      </c>
      <c r="K335" s="19">
        <v>0.26159069224053988</v>
      </c>
      <c r="L335" s="19">
        <v>0.73840930775946001</v>
      </c>
      <c r="M335" s="20">
        <v>1</v>
      </c>
      <c r="N335" s="19">
        <v>0</v>
      </c>
      <c r="O335" s="19">
        <v>0.26159069224053988</v>
      </c>
      <c r="P335" s="19">
        <v>0</v>
      </c>
      <c r="Q335" s="19">
        <v>0.35490763887136101</v>
      </c>
      <c r="R335" s="19">
        <v>0.35744758863873838</v>
      </c>
      <c r="S335" s="19">
        <v>2.6054080249360737E-2</v>
      </c>
      <c r="T335" s="20">
        <v>12</v>
      </c>
      <c r="U335" s="17">
        <v>2</v>
      </c>
      <c r="V335" s="17">
        <v>37</v>
      </c>
    </row>
    <row r="336" spans="1:22" x14ac:dyDescent="0.2">
      <c r="A336" t="s">
        <v>1525</v>
      </c>
      <c r="B336" t="s">
        <v>851</v>
      </c>
      <c r="C336" t="s">
        <v>852</v>
      </c>
      <c r="D336" t="s">
        <v>1475</v>
      </c>
      <c r="E336" s="10" t="s">
        <v>1526</v>
      </c>
      <c r="F336" s="10"/>
      <c r="G336" s="10"/>
      <c r="H336" s="10" t="s">
        <v>1526</v>
      </c>
      <c r="I336" s="14">
        <v>318761.75634067506</v>
      </c>
      <c r="J336" s="19">
        <v>0.16794622482197133</v>
      </c>
      <c r="K336" s="19">
        <v>0.62141556939518072</v>
      </c>
      <c r="L336" s="19">
        <v>0.21063820578284795</v>
      </c>
      <c r="M336" s="20">
        <v>2</v>
      </c>
      <c r="N336" s="19">
        <v>0.3226890364295622</v>
      </c>
      <c r="O336" s="19">
        <v>3.2229060811718002E-2</v>
      </c>
      <c r="P336" s="19">
        <v>0.26649747215390052</v>
      </c>
      <c r="Q336" s="19">
        <v>0.13448655522554709</v>
      </c>
      <c r="R336" s="19">
        <v>7.1063293957431842E-2</v>
      </c>
      <c r="S336" s="19">
        <v>5.0883565998690091E-3</v>
      </c>
      <c r="T336" s="20">
        <v>23</v>
      </c>
      <c r="U336" s="17">
        <v>2</v>
      </c>
      <c r="V336" s="17">
        <v>37</v>
      </c>
    </row>
    <row r="337" spans="1:22" x14ac:dyDescent="0.2">
      <c r="A337" t="s">
        <v>1527</v>
      </c>
      <c r="B337" t="s">
        <v>851</v>
      </c>
      <c r="C337" t="s">
        <v>852</v>
      </c>
      <c r="D337" t="s">
        <v>1475</v>
      </c>
      <c r="E337" s="10" t="s">
        <v>1528</v>
      </c>
      <c r="F337" s="10"/>
      <c r="G337" s="10"/>
      <c r="H337" s="10" t="s">
        <v>1528</v>
      </c>
      <c r="I337" s="14">
        <v>39189.736595792696</v>
      </c>
      <c r="J337" s="19">
        <v>0</v>
      </c>
      <c r="K337" s="19">
        <v>0.58356656859471745</v>
      </c>
      <c r="L337" s="19">
        <v>0.41643343140528249</v>
      </c>
      <c r="M337" s="20">
        <v>2</v>
      </c>
      <c r="N337" s="19">
        <v>0.24862834691358862</v>
      </c>
      <c r="O337" s="19">
        <v>0.16460917853568757</v>
      </c>
      <c r="P337" s="19">
        <v>0.17032904314544126</v>
      </c>
      <c r="Q337" s="19">
        <v>0.10307392341514109</v>
      </c>
      <c r="R337" s="19">
        <v>0.28396644199283733</v>
      </c>
      <c r="S337" s="19">
        <v>2.939306599730411E-2</v>
      </c>
      <c r="T337" s="20">
        <v>23</v>
      </c>
      <c r="U337" s="17">
        <v>2</v>
      </c>
      <c r="V337" s="17">
        <v>37</v>
      </c>
    </row>
    <row r="338" spans="1:22" x14ac:dyDescent="0.2">
      <c r="A338" t="s">
        <v>1529</v>
      </c>
      <c r="B338" t="s">
        <v>851</v>
      </c>
      <c r="C338" t="s">
        <v>852</v>
      </c>
      <c r="D338" t="s">
        <v>1475</v>
      </c>
      <c r="E338" s="10" t="s">
        <v>1530</v>
      </c>
      <c r="F338" s="10"/>
      <c r="G338" s="10"/>
      <c r="H338" s="10" t="s">
        <v>1530</v>
      </c>
      <c r="I338" s="14">
        <v>300846.17959981225</v>
      </c>
      <c r="J338" s="19">
        <v>0</v>
      </c>
      <c r="K338" s="19">
        <v>0.52634044670503899</v>
      </c>
      <c r="L338" s="19">
        <v>0.47365955329496112</v>
      </c>
      <c r="M338" s="20">
        <v>2</v>
      </c>
      <c r="N338" s="19">
        <v>0.11755574102673948</v>
      </c>
      <c r="O338" s="19">
        <v>0.24508502780277863</v>
      </c>
      <c r="P338" s="19">
        <v>0.16369967787552084</v>
      </c>
      <c r="Q338" s="19">
        <v>0.30908219512130869</v>
      </c>
      <c r="R338" s="19">
        <v>0.15328648627430402</v>
      </c>
      <c r="S338" s="19">
        <v>1.1290871899348302E-2</v>
      </c>
      <c r="T338" s="20">
        <v>22</v>
      </c>
      <c r="U338" s="17">
        <v>2</v>
      </c>
      <c r="V338" s="17">
        <v>37</v>
      </c>
    </row>
    <row r="339" spans="1:22" x14ac:dyDescent="0.2">
      <c r="A339" t="s">
        <v>1531</v>
      </c>
      <c r="B339" t="s">
        <v>851</v>
      </c>
      <c r="C339" t="s">
        <v>852</v>
      </c>
      <c r="D339" t="s">
        <v>1475</v>
      </c>
      <c r="E339" s="10" t="s">
        <v>1532</v>
      </c>
      <c r="F339" s="10"/>
      <c r="G339" s="10"/>
      <c r="H339" s="10" t="s">
        <v>1532</v>
      </c>
      <c r="I339" s="14">
        <v>363478.76960813999</v>
      </c>
      <c r="J339" s="19">
        <v>0.44294057432637179</v>
      </c>
      <c r="K339" s="19">
        <v>0.4590458599947273</v>
      </c>
      <c r="L339" s="19">
        <v>9.8013565678900946E-2</v>
      </c>
      <c r="M339" s="20">
        <v>2</v>
      </c>
      <c r="N339" s="19">
        <v>0.31167929674902722</v>
      </c>
      <c r="O339" s="19">
        <v>3.1375509893330711E-2</v>
      </c>
      <c r="P339" s="19">
        <v>0.11599105335236934</v>
      </c>
      <c r="Q339" s="19">
        <v>5.5741429682430434E-2</v>
      </c>
      <c r="R339" s="19">
        <v>3.9741480566747291E-2</v>
      </c>
      <c r="S339" s="19">
        <v>2.5306554297232255E-3</v>
      </c>
      <c r="T339" s="20">
        <v>23</v>
      </c>
      <c r="U339" s="17">
        <v>2</v>
      </c>
      <c r="V339" s="17">
        <v>37</v>
      </c>
    </row>
    <row r="340" spans="1:22" x14ac:dyDescent="0.2">
      <c r="A340" t="s">
        <v>1533</v>
      </c>
      <c r="B340" t="s">
        <v>851</v>
      </c>
      <c r="C340" t="s">
        <v>852</v>
      </c>
      <c r="D340" t="s">
        <v>1534</v>
      </c>
      <c r="E340" s="10" t="s">
        <v>1535</v>
      </c>
      <c r="F340" s="10"/>
      <c r="G340" s="10"/>
      <c r="H340" s="10" t="s">
        <v>1535</v>
      </c>
      <c r="I340" s="14">
        <v>91602.183093811851</v>
      </c>
      <c r="J340" s="19">
        <v>0.77251116540423603</v>
      </c>
      <c r="K340" s="19">
        <v>5.481991274691609E-2</v>
      </c>
      <c r="L340" s="19">
        <v>0.17266892184884788</v>
      </c>
      <c r="M340" s="20">
        <v>3</v>
      </c>
      <c r="N340" s="19">
        <v>0</v>
      </c>
      <c r="O340" s="19">
        <v>0</v>
      </c>
      <c r="P340" s="19">
        <v>5.481991274691609E-2</v>
      </c>
      <c r="Q340" s="19">
        <v>3.3275324117005373E-2</v>
      </c>
      <c r="R340" s="19">
        <v>0.11170685846194574</v>
      </c>
      <c r="S340" s="19">
        <v>2.7686739269896763E-2</v>
      </c>
      <c r="T340" s="20">
        <v>30</v>
      </c>
      <c r="U340" s="17">
        <v>2</v>
      </c>
      <c r="V340" s="17">
        <v>37</v>
      </c>
    </row>
    <row r="341" spans="1:22" x14ac:dyDescent="0.2">
      <c r="A341" t="s">
        <v>1536</v>
      </c>
      <c r="B341" t="s">
        <v>851</v>
      </c>
      <c r="C341" t="s">
        <v>852</v>
      </c>
      <c r="D341" t="s">
        <v>1534</v>
      </c>
      <c r="E341" s="10" t="s">
        <v>1537</v>
      </c>
      <c r="F341" s="10"/>
      <c r="G341" s="10"/>
      <c r="H341" s="10" t="s">
        <v>1537</v>
      </c>
      <c r="I341" s="14">
        <v>46915.848001678474</v>
      </c>
      <c r="J341" s="19">
        <v>0</v>
      </c>
      <c r="K341" s="19">
        <v>0.67269872547478216</v>
      </c>
      <c r="L341" s="19">
        <v>0.32730127452521773</v>
      </c>
      <c r="M341" s="20">
        <v>2</v>
      </c>
      <c r="N341" s="19">
        <v>0.57543582801639925</v>
      </c>
      <c r="O341" s="19">
        <v>0</v>
      </c>
      <c r="P341" s="19">
        <v>9.7262897458382916E-2</v>
      </c>
      <c r="Q341" s="19">
        <v>2.2634150201164566E-2</v>
      </c>
      <c r="R341" s="19">
        <v>0.25843471702541981</v>
      </c>
      <c r="S341" s="19">
        <v>4.6232407298633399E-2</v>
      </c>
      <c r="T341" s="20">
        <v>23</v>
      </c>
      <c r="U341" s="17">
        <v>2</v>
      </c>
      <c r="V341" s="17">
        <v>37</v>
      </c>
    </row>
    <row r="342" spans="1:22" x14ac:dyDescent="0.2">
      <c r="A342" t="s">
        <v>1538</v>
      </c>
      <c r="B342" t="s">
        <v>851</v>
      </c>
      <c r="C342" t="s">
        <v>852</v>
      </c>
      <c r="D342" t="s">
        <v>1534</v>
      </c>
      <c r="E342" s="10" t="s">
        <v>1539</v>
      </c>
      <c r="F342" s="10"/>
      <c r="G342" s="10"/>
      <c r="H342" s="10" t="s">
        <v>1539</v>
      </c>
      <c r="I342" s="14">
        <v>264839.79829294654</v>
      </c>
      <c r="J342" s="19">
        <v>0.94483587234887267</v>
      </c>
      <c r="K342" s="19">
        <v>4.299880515283936E-2</v>
      </c>
      <c r="L342" s="19">
        <v>1.2165322498287912E-2</v>
      </c>
      <c r="M342" s="20">
        <v>3</v>
      </c>
      <c r="N342" s="19">
        <v>0</v>
      </c>
      <c r="O342" s="19">
        <v>0</v>
      </c>
      <c r="P342" s="19">
        <v>4.299880515283936E-2</v>
      </c>
      <c r="Q342" s="19">
        <v>0</v>
      </c>
      <c r="R342" s="19">
        <v>1.0641461790792527E-2</v>
      </c>
      <c r="S342" s="19">
        <v>1.523860707495384E-3</v>
      </c>
      <c r="T342" s="20">
        <v>30</v>
      </c>
      <c r="U342" s="17">
        <v>2</v>
      </c>
      <c r="V342" s="17">
        <v>37</v>
      </c>
    </row>
    <row r="343" spans="1:22" x14ac:dyDescent="0.2">
      <c r="A343" t="s">
        <v>1540</v>
      </c>
      <c r="B343" t="s">
        <v>851</v>
      </c>
      <c r="C343" t="s">
        <v>852</v>
      </c>
      <c r="D343" t="s">
        <v>1534</v>
      </c>
      <c r="E343" s="10" t="s">
        <v>1541</v>
      </c>
      <c r="F343" s="10"/>
      <c r="G343" s="10"/>
      <c r="H343" s="10" t="s">
        <v>1541</v>
      </c>
      <c r="I343" s="14">
        <v>314924.16188014532</v>
      </c>
      <c r="J343" s="19">
        <v>0.52448019954197878</v>
      </c>
      <c r="K343" s="19">
        <v>0.18706389752552599</v>
      </c>
      <c r="L343" s="19">
        <v>0.28845590293249523</v>
      </c>
      <c r="M343" s="20">
        <v>3</v>
      </c>
      <c r="N343" s="19">
        <v>7.5946606529156552E-2</v>
      </c>
      <c r="O343" s="19">
        <v>3.0384263824881814E-2</v>
      </c>
      <c r="P343" s="19">
        <v>8.0733027171487629E-2</v>
      </c>
      <c r="Q343" s="19">
        <v>0.10973139631890881</v>
      </c>
      <c r="R343" s="19">
        <v>0.15316482185760572</v>
      </c>
      <c r="S343" s="19">
        <v>2.555968475598067E-2</v>
      </c>
      <c r="T343" s="20">
        <v>30</v>
      </c>
      <c r="U343" s="17">
        <v>2</v>
      </c>
      <c r="V343" s="17">
        <v>37</v>
      </c>
    </row>
    <row r="344" spans="1:22" x14ac:dyDescent="0.2">
      <c r="A344" t="s">
        <v>1542</v>
      </c>
      <c r="B344" t="s">
        <v>851</v>
      </c>
      <c r="C344" t="s">
        <v>852</v>
      </c>
      <c r="D344" t="s">
        <v>1534</v>
      </c>
      <c r="E344" s="10" t="s">
        <v>1543</v>
      </c>
      <c r="F344" s="10"/>
      <c r="G344" s="10"/>
      <c r="H344" s="10" t="s">
        <v>1543</v>
      </c>
      <c r="I344" s="14">
        <v>46342.453891377896</v>
      </c>
      <c r="J344" s="19">
        <v>0</v>
      </c>
      <c r="K344" s="19">
        <v>0</v>
      </c>
      <c r="L344" s="19">
        <v>1</v>
      </c>
      <c r="M344" s="20">
        <v>1</v>
      </c>
      <c r="N344" s="19">
        <v>0</v>
      </c>
      <c r="O344" s="19">
        <v>0</v>
      </c>
      <c r="P344" s="19">
        <v>0</v>
      </c>
      <c r="Q344" s="19">
        <v>0.56545799307140121</v>
      </c>
      <c r="R344" s="19">
        <v>0.37206106668190303</v>
      </c>
      <c r="S344" s="19">
        <v>6.2480940246695732E-2</v>
      </c>
      <c r="T344" s="20">
        <v>13</v>
      </c>
      <c r="U344" s="17">
        <v>2</v>
      </c>
      <c r="V344" s="17">
        <v>37</v>
      </c>
    </row>
    <row r="345" spans="1:22" x14ac:dyDescent="0.2">
      <c r="A345" t="s">
        <v>1544</v>
      </c>
      <c r="B345" t="s">
        <v>851</v>
      </c>
      <c r="C345" t="s">
        <v>852</v>
      </c>
      <c r="D345" t="s">
        <v>1534</v>
      </c>
      <c r="E345" s="10" t="s">
        <v>1545</v>
      </c>
      <c r="F345" s="10"/>
      <c r="G345" s="10"/>
      <c r="H345" s="10" t="s">
        <v>1545</v>
      </c>
      <c r="I345" s="14">
        <v>52301.919446165673</v>
      </c>
      <c r="J345" s="19">
        <v>0</v>
      </c>
      <c r="K345" s="19">
        <v>0.56512441035168315</v>
      </c>
      <c r="L345" s="19">
        <v>0.43487558964831685</v>
      </c>
      <c r="M345" s="20">
        <v>2</v>
      </c>
      <c r="N345" s="19">
        <v>0.51322938205484314</v>
      </c>
      <c r="O345" s="19">
        <v>0</v>
      </c>
      <c r="P345" s="19">
        <v>5.1895028296840041E-2</v>
      </c>
      <c r="Q345" s="19">
        <v>0.15662110050403844</v>
      </c>
      <c r="R345" s="19">
        <v>0.25414030237215984</v>
      </c>
      <c r="S345" s="19">
        <v>2.4114186772118604E-2</v>
      </c>
      <c r="T345" s="20">
        <v>23</v>
      </c>
      <c r="U345" s="17">
        <v>2</v>
      </c>
      <c r="V345" s="17">
        <v>37</v>
      </c>
    </row>
    <row r="346" spans="1:22" x14ac:dyDescent="0.2">
      <c r="A346" t="s">
        <v>1546</v>
      </c>
      <c r="B346" t="s">
        <v>851</v>
      </c>
      <c r="C346" t="s">
        <v>852</v>
      </c>
      <c r="D346" t="s">
        <v>1534</v>
      </c>
      <c r="E346" s="10" t="s">
        <v>1547</v>
      </c>
      <c r="F346" s="10"/>
      <c r="G346" s="10"/>
      <c r="H346" s="10" t="s">
        <v>1547</v>
      </c>
      <c r="I346" s="14">
        <v>151076.25455395877</v>
      </c>
      <c r="J346" s="19">
        <v>0</v>
      </c>
      <c r="K346" s="19">
        <v>0.51892452543794176</v>
      </c>
      <c r="L346" s="19">
        <v>0.48107547456205813</v>
      </c>
      <c r="M346" s="20">
        <v>2</v>
      </c>
      <c r="N346" s="19">
        <v>0.28517467840200039</v>
      </c>
      <c r="O346" s="19">
        <v>6.1885700839354268E-2</v>
      </c>
      <c r="P346" s="19">
        <v>0.17186414619658716</v>
      </c>
      <c r="Q346" s="19">
        <v>0.24405383426379798</v>
      </c>
      <c r="R346" s="19">
        <v>0.2049111116381688</v>
      </c>
      <c r="S346" s="19">
        <v>3.2110528660091377E-2</v>
      </c>
      <c r="T346" s="20">
        <v>23</v>
      </c>
      <c r="U346" s="17">
        <v>2</v>
      </c>
      <c r="V346" s="17">
        <v>37</v>
      </c>
    </row>
    <row r="347" spans="1:22" x14ac:dyDescent="0.2">
      <c r="A347" t="s">
        <v>1548</v>
      </c>
      <c r="B347" t="s">
        <v>851</v>
      </c>
      <c r="C347" t="s">
        <v>852</v>
      </c>
      <c r="D347" t="s">
        <v>1534</v>
      </c>
      <c r="E347" s="10" t="s">
        <v>1549</v>
      </c>
      <c r="F347" s="10"/>
      <c r="G347" s="10"/>
      <c r="H347" s="10" t="s">
        <v>1549</v>
      </c>
      <c r="I347" s="14">
        <v>65037.091504529119</v>
      </c>
      <c r="J347" s="19">
        <v>0</v>
      </c>
      <c r="K347" s="19">
        <v>0.39895441589482983</v>
      </c>
      <c r="L347" s="19">
        <v>0.60104558410517017</v>
      </c>
      <c r="M347" s="20">
        <v>1</v>
      </c>
      <c r="N347" s="19">
        <v>0.24879057132894777</v>
      </c>
      <c r="O347" s="19">
        <v>8.9862820308352714E-2</v>
      </c>
      <c r="P347" s="19">
        <v>6.0301024257529298E-2</v>
      </c>
      <c r="Q347" s="19">
        <v>0.29977651138018752</v>
      </c>
      <c r="R347" s="19">
        <v>0.27071290885889737</v>
      </c>
      <c r="S347" s="19">
        <v>3.0556163866085298E-2</v>
      </c>
      <c r="T347" s="20">
        <v>13</v>
      </c>
      <c r="U347" s="17">
        <v>2</v>
      </c>
      <c r="V347" s="17">
        <v>37</v>
      </c>
    </row>
    <row r="348" spans="1:22" x14ac:dyDescent="0.2">
      <c r="A348" t="s">
        <v>1550</v>
      </c>
      <c r="B348" t="s">
        <v>851</v>
      </c>
      <c r="C348" t="s">
        <v>852</v>
      </c>
      <c r="D348" t="s">
        <v>1534</v>
      </c>
      <c r="E348" s="10" t="s">
        <v>1551</v>
      </c>
      <c r="F348" s="10"/>
      <c r="G348" s="10"/>
      <c r="H348" s="10" t="s">
        <v>1551</v>
      </c>
      <c r="I348" s="14">
        <v>9244.584320737049</v>
      </c>
      <c r="J348" s="19">
        <v>0</v>
      </c>
      <c r="K348" s="19">
        <v>0</v>
      </c>
      <c r="L348" s="19">
        <v>1</v>
      </c>
      <c r="M348" s="20">
        <v>1</v>
      </c>
      <c r="N348" s="19">
        <v>0</v>
      </c>
      <c r="O348" s="19">
        <v>0</v>
      </c>
      <c r="P348" s="19">
        <v>0</v>
      </c>
      <c r="Q348" s="19">
        <v>0.39830949607469401</v>
      </c>
      <c r="R348" s="19">
        <v>0.46760343008589095</v>
      </c>
      <c r="S348" s="19">
        <v>0.13408707383941507</v>
      </c>
      <c r="T348" s="20">
        <v>12</v>
      </c>
      <c r="U348" s="17">
        <v>2</v>
      </c>
      <c r="V348" s="17">
        <v>37</v>
      </c>
    </row>
    <row r="349" spans="1:22" x14ac:dyDescent="0.2">
      <c r="A349" t="s">
        <v>1552</v>
      </c>
      <c r="B349" t="s">
        <v>851</v>
      </c>
      <c r="C349" t="s">
        <v>852</v>
      </c>
      <c r="D349" t="s">
        <v>1534</v>
      </c>
      <c r="E349" s="10" t="s">
        <v>1553</v>
      </c>
      <c r="F349" s="10"/>
      <c r="G349" s="10"/>
      <c r="H349" s="10" t="s">
        <v>1553</v>
      </c>
      <c r="I349" s="14">
        <v>75064.168600435369</v>
      </c>
      <c r="J349" s="19">
        <v>0</v>
      </c>
      <c r="K349" s="19">
        <v>0.2922610856461017</v>
      </c>
      <c r="L349" s="19">
        <v>0.70773891435389824</v>
      </c>
      <c r="M349" s="20">
        <v>1</v>
      </c>
      <c r="N349" s="19">
        <v>0</v>
      </c>
      <c r="O349" s="19">
        <v>0.2922610856461017</v>
      </c>
      <c r="P349" s="19">
        <v>0</v>
      </c>
      <c r="Q349" s="19">
        <v>0.35514338552479419</v>
      </c>
      <c r="R349" s="19">
        <v>0.29322688882006448</v>
      </c>
      <c r="S349" s="19">
        <v>5.9368640009039617E-2</v>
      </c>
      <c r="T349" s="20">
        <v>13</v>
      </c>
      <c r="U349" s="17">
        <v>2</v>
      </c>
      <c r="V349" s="17">
        <v>37</v>
      </c>
    </row>
    <row r="350" spans="1:22" x14ac:dyDescent="0.2">
      <c r="A350" t="s">
        <v>1554</v>
      </c>
      <c r="B350" t="s">
        <v>851</v>
      </c>
      <c r="C350" t="s">
        <v>852</v>
      </c>
      <c r="D350" t="s">
        <v>1534</v>
      </c>
      <c r="E350" s="10" t="s">
        <v>1555</v>
      </c>
      <c r="F350" s="10"/>
      <c r="G350" s="10"/>
      <c r="H350" s="10" t="s">
        <v>1555</v>
      </c>
      <c r="I350" s="14">
        <v>38959.401988029946</v>
      </c>
      <c r="J350" s="19">
        <v>0</v>
      </c>
      <c r="K350" s="19">
        <v>0.63804238820337655</v>
      </c>
      <c r="L350" s="19">
        <v>0.36195761179662339</v>
      </c>
      <c r="M350" s="20">
        <v>2</v>
      </c>
      <c r="N350" s="19">
        <v>0.22079345245460497</v>
      </c>
      <c r="O350" s="19">
        <v>0</v>
      </c>
      <c r="P350" s="19">
        <v>0.41724893574877153</v>
      </c>
      <c r="Q350" s="19">
        <v>0.13860358982077553</v>
      </c>
      <c r="R350" s="19">
        <v>0.19608392840414482</v>
      </c>
      <c r="S350" s="19">
        <v>2.7270093571703125E-2</v>
      </c>
      <c r="T350" s="20">
        <v>23</v>
      </c>
      <c r="U350" s="17">
        <v>2</v>
      </c>
      <c r="V350" s="17">
        <v>37</v>
      </c>
    </row>
    <row r="351" spans="1:22" x14ac:dyDescent="0.2">
      <c r="A351" t="s">
        <v>1556</v>
      </c>
      <c r="B351" t="s">
        <v>851</v>
      </c>
      <c r="C351" t="s">
        <v>852</v>
      </c>
      <c r="D351" t="s">
        <v>1557</v>
      </c>
      <c r="E351" s="10" t="s">
        <v>1558</v>
      </c>
      <c r="F351" s="10"/>
      <c r="G351" s="10"/>
      <c r="H351" s="10" t="s">
        <v>1558</v>
      </c>
      <c r="I351" s="14">
        <v>644966.76129614003</v>
      </c>
      <c r="J351" s="19">
        <v>0.59507958908189684</v>
      </c>
      <c r="K351" s="19">
        <v>0.15963304368294631</v>
      </c>
      <c r="L351" s="19">
        <v>0.24528736723515693</v>
      </c>
      <c r="M351" s="20">
        <v>3</v>
      </c>
      <c r="N351" s="19">
        <v>2.6165963086887848E-2</v>
      </c>
      <c r="O351" s="19">
        <v>9.4245668443289823E-3</v>
      </c>
      <c r="P351" s="19">
        <v>0.12404251375172946</v>
      </c>
      <c r="Q351" s="19">
        <v>4.578033895959778E-2</v>
      </c>
      <c r="R351" s="19">
        <v>0.16656734014567495</v>
      </c>
      <c r="S351" s="19">
        <v>3.2939688129884154E-2</v>
      </c>
      <c r="T351" s="20">
        <v>30</v>
      </c>
      <c r="U351" s="17">
        <v>2</v>
      </c>
      <c r="V351" s="17">
        <v>37</v>
      </c>
    </row>
    <row r="352" spans="1:22" x14ac:dyDescent="0.2">
      <c r="A352" t="s">
        <v>1559</v>
      </c>
      <c r="B352" t="s">
        <v>851</v>
      </c>
      <c r="C352" t="s">
        <v>852</v>
      </c>
      <c r="D352" t="s">
        <v>1557</v>
      </c>
      <c r="E352" s="10" t="s">
        <v>1560</v>
      </c>
      <c r="F352" s="10"/>
      <c r="G352" s="10"/>
      <c r="H352" s="10" t="s">
        <v>1560</v>
      </c>
      <c r="I352" s="14">
        <v>439061.34816142824</v>
      </c>
      <c r="J352" s="19">
        <v>0.65913577508720878</v>
      </c>
      <c r="K352" s="19">
        <v>0.23910590374899157</v>
      </c>
      <c r="L352" s="19">
        <v>0.10175832116379965</v>
      </c>
      <c r="M352" s="20">
        <v>3</v>
      </c>
      <c r="N352" s="19">
        <v>0.11778111181556426</v>
      </c>
      <c r="O352" s="19">
        <v>1.1588833704588396E-2</v>
      </c>
      <c r="P352" s="19">
        <v>0.1097359582288389</v>
      </c>
      <c r="Q352" s="19">
        <v>1.7162854235184245E-2</v>
      </c>
      <c r="R352" s="19">
        <v>6.9798237392779405E-2</v>
      </c>
      <c r="S352" s="19">
        <v>1.4797229535835997E-2</v>
      </c>
      <c r="T352" s="20">
        <v>30</v>
      </c>
      <c r="U352" s="17">
        <v>2</v>
      </c>
      <c r="V352" s="17">
        <v>37</v>
      </c>
    </row>
    <row r="353" spans="1:22" x14ac:dyDescent="0.2">
      <c r="A353" t="s">
        <v>1561</v>
      </c>
      <c r="B353" t="s">
        <v>851</v>
      </c>
      <c r="C353" t="s">
        <v>852</v>
      </c>
      <c r="D353" t="s">
        <v>1557</v>
      </c>
      <c r="E353" s="10" t="s">
        <v>1562</v>
      </c>
      <c r="F353" s="10"/>
      <c r="G353" s="10"/>
      <c r="H353" s="10" t="s">
        <v>1562</v>
      </c>
      <c r="I353" s="14">
        <v>859909.68006814457</v>
      </c>
      <c r="J353" s="19">
        <v>0.28958419571156402</v>
      </c>
      <c r="K353" s="19">
        <v>0.30679238247664942</v>
      </c>
      <c r="L353" s="19">
        <v>0.40362342181178662</v>
      </c>
      <c r="M353" s="20">
        <v>2</v>
      </c>
      <c r="N353" s="19">
        <v>0.14147513052676505</v>
      </c>
      <c r="O353" s="19">
        <v>0.10678076900786002</v>
      </c>
      <c r="P353" s="19">
        <v>5.8536482942024327E-2</v>
      </c>
      <c r="Q353" s="19">
        <v>0.17939731417980856</v>
      </c>
      <c r="R353" s="19">
        <v>0.18278653744255136</v>
      </c>
      <c r="S353" s="19">
        <v>4.1439570189426657E-2</v>
      </c>
      <c r="T353" s="20">
        <v>23</v>
      </c>
      <c r="U353" s="17">
        <v>2</v>
      </c>
      <c r="V353" s="17">
        <v>37</v>
      </c>
    </row>
    <row r="354" spans="1:22" x14ac:dyDescent="0.2">
      <c r="A354" t="s">
        <v>1563</v>
      </c>
      <c r="B354" t="s">
        <v>851</v>
      </c>
      <c r="C354" t="s">
        <v>852</v>
      </c>
      <c r="D354" t="s">
        <v>1557</v>
      </c>
      <c r="E354" s="10" t="s">
        <v>1564</v>
      </c>
      <c r="F354" s="10"/>
      <c r="G354" s="10"/>
      <c r="H354" s="10" t="s">
        <v>1564</v>
      </c>
      <c r="I354" s="14">
        <v>514492.1633415455</v>
      </c>
      <c r="J354" s="19">
        <v>0.13612538528325216</v>
      </c>
      <c r="K354" s="19">
        <v>0.49209115768183209</v>
      </c>
      <c r="L354" s="19">
        <v>0.37178345703491578</v>
      </c>
      <c r="M354" s="20">
        <v>2</v>
      </c>
      <c r="N354" s="19">
        <v>0.23345757064905515</v>
      </c>
      <c r="O354" s="19">
        <v>6.6110838792267021E-2</v>
      </c>
      <c r="P354" s="19">
        <v>0.19252274824050991</v>
      </c>
      <c r="Q354" s="19">
        <v>0.13183292755912032</v>
      </c>
      <c r="R354" s="19">
        <v>0.20090655233413537</v>
      </c>
      <c r="S354" s="19">
        <v>3.9043977141660059E-2</v>
      </c>
      <c r="T354" s="20">
        <v>23</v>
      </c>
      <c r="U354" s="17">
        <v>2</v>
      </c>
      <c r="V354" s="17">
        <v>37</v>
      </c>
    </row>
    <row r="355" spans="1:22" x14ac:dyDescent="0.2">
      <c r="A355" t="s">
        <v>1565</v>
      </c>
      <c r="B355" t="s">
        <v>851</v>
      </c>
      <c r="C355" t="s">
        <v>852</v>
      </c>
      <c r="D355" t="s">
        <v>1557</v>
      </c>
      <c r="E355" s="10" t="s">
        <v>1566</v>
      </c>
      <c r="F355" s="10"/>
      <c r="G355" s="10"/>
      <c r="H355" s="10" t="s">
        <v>1566</v>
      </c>
      <c r="I355" s="14">
        <v>1038081.1188416423</v>
      </c>
      <c r="J355" s="19">
        <v>0.23088041518943203</v>
      </c>
      <c r="K355" s="19">
        <v>0.40032152022211459</v>
      </c>
      <c r="L355" s="19">
        <v>0.36879806458845338</v>
      </c>
      <c r="M355" s="20">
        <v>2</v>
      </c>
      <c r="N355" s="19">
        <v>0.11320537168043525</v>
      </c>
      <c r="O355" s="19">
        <v>0.14374151654268943</v>
      </c>
      <c r="P355" s="19">
        <v>0.14337463199898992</v>
      </c>
      <c r="Q355" s="19">
        <v>0.19069734267028654</v>
      </c>
      <c r="R355" s="19">
        <v>0.15518772378853876</v>
      </c>
      <c r="S355" s="19">
        <v>2.2912998129628079E-2</v>
      </c>
      <c r="T355" s="20">
        <v>22</v>
      </c>
      <c r="U355" s="17">
        <v>2</v>
      </c>
      <c r="V355" s="17">
        <v>37</v>
      </c>
    </row>
    <row r="356" spans="1:22" x14ac:dyDescent="0.2">
      <c r="A356" t="s">
        <v>1567</v>
      </c>
      <c r="B356" t="s">
        <v>851</v>
      </c>
      <c r="C356" t="s">
        <v>852</v>
      </c>
      <c r="D356" t="s">
        <v>1557</v>
      </c>
      <c r="E356" s="10" t="s">
        <v>1568</v>
      </c>
      <c r="F356" s="10"/>
      <c r="G356" s="10"/>
      <c r="H356" s="10" t="s">
        <v>1568</v>
      </c>
      <c r="I356" s="14">
        <v>233547.60606199224</v>
      </c>
      <c r="J356" s="19">
        <v>0.57864435394611846</v>
      </c>
      <c r="K356" s="19">
        <v>0.11332666699810724</v>
      </c>
      <c r="L356" s="19">
        <v>0.30802897905577425</v>
      </c>
      <c r="M356" s="20">
        <v>3</v>
      </c>
      <c r="N356" s="19">
        <v>0</v>
      </c>
      <c r="O356" s="19">
        <v>8.5853028207950502E-2</v>
      </c>
      <c r="P356" s="19">
        <v>2.7473638790156751E-2</v>
      </c>
      <c r="Q356" s="19">
        <v>5.5978670723459675E-2</v>
      </c>
      <c r="R356" s="19">
        <v>0.2115406147889759</v>
      </c>
      <c r="S356" s="19">
        <v>4.0509693543338672E-2</v>
      </c>
      <c r="T356" s="20">
        <v>30</v>
      </c>
      <c r="U356" s="17">
        <v>2</v>
      </c>
      <c r="V356" s="17">
        <v>37</v>
      </c>
    </row>
    <row r="357" spans="1:22" x14ac:dyDescent="0.2">
      <c r="A357" t="s">
        <v>1569</v>
      </c>
      <c r="B357" t="s">
        <v>851</v>
      </c>
      <c r="C357" t="s">
        <v>852</v>
      </c>
      <c r="D357" t="s">
        <v>1557</v>
      </c>
      <c r="E357" s="10" t="s">
        <v>1570</v>
      </c>
      <c r="F357" s="10"/>
      <c r="G357" s="10"/>
      <c r="H357" s="10" t="s">
        <v>1570</v>
      </c>
      <c r="I357" s="14">
        <v>420516.30124307424</v>
      </c>
      <c r="J357" s="19">
        <v>0</v>
      </c>
      <c r="K357" s="19">
        <v>0.6415686871033951</v>
      </c>
      <c r="L357" s="19">
        <v>0.3584313128966049</v>
      </c>
      <c r="M357" s="20">
        <v>2</v>
      </c>
      <c r="N357" s="19">
        <v>0.1537931739668848</v>
      </c>
      <c r="O357" s="19">
        <v>0.33509994047569458</v>
      </c>
      <c r="P357" s="19">
        <v>0.15267557266081569</v>
      </c>
      <c r="Q357" s="19">
        <v>0.1599757860581392</v>
      </c>
      <c r="R357" s="19">
        <v>0.16776186350359526</v>
      </c>
      <c r="S357" s="19">
        <v>3.0693663334870478E-2</v>
      </c>
      <c r="T357" s="20">
        <v>22</v>
      </c>
      <c r="U357" s="17">
        <v>2</v>
      </c>
      <c r="V357" s="17">
        <v>37</v>
      </c>
    </row>
    <row r="358" spans="1:22" x14ac:dyDescent="0.2">
      <c r="A358" t="s">
        <v>1571</v>
      </c>
      <c r="B358" t="s">
        <v>851</v>
      </c>
      <c r="C358" t="s">
        <v>852</v>
      </c>
      <c r="D358" t="s">
        <v>1557</v>
      </c>
      <c r="E358" s="10" t="s">
        <v>1572</v>
      </c>
      <c r="F358" s="10"/>
      <c r="G358" s="10"/>
      <c r="H358" s="10" t="s">
        <v>1572</v>
      </c>
      <c r="I358" s="14">
        <v>1086047.4774571562</v>
      </c>
      <c r="J358" s="19">
        <v>0.95223663737003816</v>
      </c>
      <c r="K358" s="19">
        <v>3.3115782909814429E-2</v>
      </c>
      <c r="L358" s="19">
        <v>1.4647579720147448E-2</v>
      </c>
      <c r="M358" s="20">
        <v>3</v>
      </c>
      <c r="N358" s="19">
        <v>0</v>
      </c>
      <c r="O358" s="19">
        <v>0</v>
      </c>
      <c r="P358" s="19">
        <v>3.3115782909814429E-2</v>
      </c>
      <c r="Q358" s="19">
        <v>1.7706422425322508E-3</v>
      </c>
      <c r="R358" s="19">
        <v>1.0635586672636066E-2</v>
      </c>
      <c r="S358" s="19">
        <v>2.241350804979132E-3</v>
      </c>
      <c r="T358" s="20">
        <v>30</v>
      </c>
      <c r="U358" s="17">
        <v>2</v>
      </c>
      <c r="V358" s="17">
        <v>37</v>
      </c>
    </row>
    <row r="359" spans="1:22" x14ac:dyDescent="0.2">
      <c r="A359" t="s">
        <v>1573</v>
      </c>
      <c r="B359" t="s">
        <v>851</v>
      </c>
      <c r="C359" t="s">
        <v>852</v>
      </c>
      <c r="D359" t="s">
        <v>1557</v>
      </c>
      <c r="E359" s="10" t="s">
        <v>1574</v>
      </c>
      <c r="F359" s="10"/>
      <c r="G359" s="10"/>
      <c r="H359" s="10" t="s">
        <v>1574</v>
      </c>
      <c r="I359" s="14">
        <v>577749.08666953584</v>
      </c>
      <c r="J359" s="19">
        <v>0.20644189757295517</v>
      </c>
      <c r="K359" s="19">
        <v>0.38397714194175375</v>
      </c>
      <c r="L359" s="19">
        <v>0.40958096048529102</v>
      </c>
      <c r="M359" s="20">
        <v>2</v>
      </c>
      <c r="N359" s="19">
        <v>0.1466292045930965</v>
      </c>
      <c r="O359" s="19">
        <v>0.10951822496270265</v>
      </c>
      <c r="P359" s="19">
        <v>0.12782971238595461</v>
      </c>
      <c r="Q359" s="19">
        <v>0.19938395888627203</v>
      </c>
      <c r="R359" s="19">
        <v>0.17075039461450764</v>
      </c>
      <c r="S359" s="19">
        <v>3.944660698451137E-2</v>
      </c>
      <c r="T359" s="20">
        <v>23</v>
      </c>
      <c r="U359" s="17">
        <v>2</v>
      </c>
      <c r="V359" s="17">
        <v>37</v>
      </c>
    </row>
    <row r="360" spans="1:22" x14ac:dyDescent="0.2">
      <c r="A360" t="s">
        <v>1575</v>
      </c>
      <c r="B360" t="s">
        <v>851</v>
      </c>
      <c r="C360" t="s">
        <v>852</v>
      </c>
      <c r="D360" t="s">
        <v>1557</v>
      </c>
      <c r="E360" s="10" t="s">
        <v>1576</v>
      </c>
      <c r="F360" s="10"/>
      <c r="G360" s="10"/>
      <c r="H360" s="10" t="s">
        <v>1576</v>
      </c>
      <c r="I360" s="14">
        <v>770481.67006298061</v>
      </c>
      <c r="J360" s="19">
        <v>0.19798958974879796</v>
      </c>
      <c r="K360" s="19">
        <v>0.39628001927582057</v>
      </c>
      <c r="L360" s="19">
        <v>0.40573039097538149</v>
      </c>
      <c r="M360" s="20">
        <v>2</v>
      </c>
      <c r="N360" s="19">
        <v>9.3540893754337648E-2</v>
      </c>
      <c r="O360" s="19">
        <v>0.16390635705537962</v>
      </c>
      <c r="P360" s="19">
        <v>0.13883276846610332</v>
      </c>
      <c r="Q360" s="19">
        <v>0.16770148784853733</v>
      </c>
      <c r="R360" s="19">
        <v>0.20352558067786322</v>
      </c>
      <c r="S360" s="19">
        <v>3.4503322448980925E-2</v>
      </c>
      <c r="T360" s="20">
        <v>22</v>
      </c>
      <c r="U360" s="17">
        <v>2</v>
      </c>
      <c r="V360" s="17">
        <v>37</v>
      </c>
    </row>
    <row r="361" spans="1:22" x14ac:dyDescent="0.2">
      <c r="A361" t="s">
        <v>1577</v>
      </c>
      <c r="B361" t="s">
        <v>851</v>
      </c>
      <c r="C361" t="s">
        <v>852</v>
      </c>
      <c r="D361" t="s">
        <v>1557</v>
      </c>
      <c r="E361" s="10" t="s">
        <v>1578</v>
      </c>
      <c r="F361" s="10"/>
      <c r="G361" s="10"/>
      <c r="H361" s="10" t="s">
        <v>1578</v>
      </c>
      <c r="I361" s="14">
        <v>709780.55829023942</v>
      </c>
      <c r="J361" s="19">
        <v>0.1798401737415205</v>
      </c>
      <c r="K361" s="19">
        <v>0.37801342361645135</v>
      </c>
      <c r="L361" s="19">
        <v>0.44214640264202815</v>
      </c>
      <c r="M361" s="20">
        <v>2</v>
      </c>
      <c r="N361" s="19">
        <v>8.2185558691758101E-2</v>
      </c>
      <c r="O361" s="19">
        <v>0.1246811731171301</v>
      </c>
      <c r="P361" s="19">
        <v>0.17114669180756314</v>
      </c>
      <c r="Q361" s="19">
        <v>0.22420871507442489</v>
      </c>
      <c r="R361" s="19">
        <v>0.1923542356692966</v>
      </c>
      <c r="S361" s="19">
        <v>2.5583451898306662E-2</v>
      </c>
      <c r="T361" s="20">
        <v>22</v>
      </c>
      <c r="U361" s="17">
        <v>2</v>
      </c>
      <c r="V361" s="17">
        <v>37</v>
      </c>
    </row>
    <row r="362" spans="1:22" x14ac:dyDescent="0.2">
      <c r="A362" t="s">
        <v>1579</v>
      </c>
      <c r="B362" t="s">
        <v>851</v>
      </c>
      <c r="C362" t="s">
        <v>852</v>
      </c>
      <c r="D362" t="s">
        <v>1557</v>
      </c>
      <c r="E362" s="10" t="s">
        <v>1580</v>
      </c>
      <c r="F362" s="10"/>
      <c r="G362" s="10"/>
      <c r="H362" s="10" t="s">
        <v>1580</v>
      </c>
      <c r="I362" s="14">
        <v>421373.07037628721</v>
      </c>
      <c r="J362" s="19">
        <v>0.33467797291285661</v>
      </c>
      <c r="K362" s="19">
        <v>0.29145635747469817</v>
      </c>
      <c r="L362" s="19">
        <v>0.37386566961244516</v>
      </c>
      <c r="M362" s="20">
        <v>2</v>
      </c>
      <c r="N362" s="19">
        <v>0.10961632828351922</v>
      </c>
      <c r="O362" s="19">
        <v>6.5736737290863198E-2</v>
      </c>
      <c r="P362" s="19">
        <v>0.11610329190031576</v>
      </c>
      <c r="Q362" s="19">
        <v>0.11607000701674082</v>
      </c>
      <c r="R362" s="19">
        <v>0.2165021173525116</v>
      </c>
      <c r="S362" s="19">
        <v>4.1293545243192807E-2</v>
      </c>
      <c r="T362" s="20">
        <v>23</v>
      </c>
      <c r="U362" s="17">
        <v>2</v>
      </c>
      <c r="V362" s="17">
        <v>37</v>
      </c>
    </row>
    <row r="363" spans="1:22" x14ac:dyDescent="0.2">
      <c r="A363" t="s">
        <v>1581</v>
      </c>
      <c r="B363" t="s">
        <v>851</v>
      </c>
      <c r="C363" t="s">
        <v>852</v>
      </c>
      <c r="D363" t="s">
        <v>1582</v>
      </c>
      <c r="E363" s="10" t="s">
        <v>1583</v>
      </c>
      <c r="F363" s="10"/>
      <c r="G363" s="10"/>
      <c r="H363" s="10" t="s">
        <v>1583</v>
      </c>
      <c r="I363" s="14">
        <v>193330.86287476216</v>
      </c>
      <c r="J363" s="19">
        <v>0.49454976785141502</v>
      </c>
      <c r="K363" s="19">
        <v>0.37333671960628695</v>
      </c>
      <c r="L363" s="19">
        <v>0.132113512542298</v>
      </c>
      <c r="M363" s="20">
        <v>2</v>
      </c>
      <c r="N363" s="19">
        <v>4.0731079463132945E-2</v>
      </c>
      <c r="O363" s="19">
        <v>0.10285427111789242</v>
      </c>
      <c r="P363" s="19">
        <v>0.22975136902526158</v>
      </c>
      <c r="Q363" s="19">
        <v>3.3318727294589713E-2</v>
      </c>
      <c r="R363" s="19">
        <v>9.0748299918024924E-2</v>
      </c>
      <c r="S363" s="19">
        <v>8.0464853296833717E-3</v>
      </c>
      <c r="T363" s="20">
        <v>22</v>
      </c>
      <c r="U363" s="17">
        <v>2</v>
      </c>
      <c r="V363" s="17">
        <v>37</v>
      </c>
    </row>
    <row r="364" spans="1:22" x14ac:dyDescent="0.2">
      <c r="A364" t="s">
        <v>1584</v>
      </c>
      <c r="B364" t="s">
        <v>851</v>
      </c>
      <c r="C364" t="s">
        <v>852</v>
      </c>
      <c r="D364" t="s">
        <v>1582</v>
      </c>
      <c r="E364" s="10" t="s">
        <v>1585</v>
      </c>
      <c r="F364" s="10"/>
      <c r="G364" s="10"/>
      <c r="H364" s="10" t="s">
        <v>1585</v>
      </c>
      <c r="I364" s="14">
        <v>186364.64879076369</v>
      </c>
      <c r="J364" s="19">
        <v>0</v>
      </c>
      <c r="K364" s="19">
        <v>0.45018029542185822</v>
      </c>
      <c r="L364" s="19">
        <v>0.54981970457814178</v>
      </c>
      <c r="M364" s="20">
        <v>1</v>
      </c>
      <c r="N364" s="19">
        <v>0.13729239479372321</v>
      </c>
      <c r="O364" s="19">
        <v>0.16685972177186656</v>
      </c>
      <c r="P364" s="19">
        <v>0.14602817885626848</v>
      </c>
      <c r="Q364" s="19">
        <v>0.20408974721068385</v>
      </c>
      <c r="R364" s="19">
        <v>0.31746096188365469</v>
      </c>
      <c r="S364" s="19">
        <v>2.8268995483803194E-2</v>
      </c>
      <c r="T364" s="20">
        <v>12</v>
      </c>
      <c r="U364" s="17">
        <v>2</v>
      </c>
      <c r="V364" s="17">
        <v>37</v>
      </c>
    </row>
    <row r="365" spans="1:22" x14ac:dyDescent="0.2">
      <c r="A365" t="s">
        <v>1586</v>
      </c>
      <c r="B365" t="s">
        <v>851</v>
      </c>
      <c r="C365" t="s">
        <v>852</v>
      </c>
      <c r="D365" t="s">
        <v>1582</v>
      </c>
      <c r="E365" s="10" t="s">
        <v>1587</v>
      </c>
      <c r="F365" s="10"/>
      <c r="G365" s="10"/>
      <c r="H365" s="10" t="s">
        <v>1587</v>
      </c>
      <c r="I365" s="14">
        <v>459260.8631225368</v>
      </c>
      <c r="J365" s="19">
        <v>0.27166780906468702</v>
      </c>
      <c r="K365" s="19">
        <v>0.36611874727342614</v>
      </c>
      <c r="L365" s="19">
        <v>0.36221344366188679</v>
      </c>
      <c r="M365" s="20">
        <v>2</v>
      </c>
      <c r="N365" s="19">
        <v>6.2031878573849106E-2</v>
      </c>
      <c r="O365" s="19">
        <v>0.15264345944423055</v>
      </c>
      <c r="P365" s="19">
        <v>0.1514434092553465</v>
      </c>
      <c r="Q365" s="19">
        <v>0.13604903194810422</v>
      </c>
      <c r="R365" s="19">
        <v>0.19624350402766136</v>
      </c>
      <c r="S365" s="19">
        <v>2.992090768612124E-2</v>
      </c>
      <c r="T365" s="20">
        <v>22</v>
      </c>
      <c r="U365" s="17">
        <v>2</v>
      </c>
      <c r="V365" s="17">
        <v>37</v>
      </c>
    </row>
    <row r="366" spans="1:22" x14ac:dyDescent="0.2">
      <c r="A366" t="s">
        <v>1588</v>
      </c>
      <c r="B366" t="s">
        <v>851</v>
      </c>
      <c r="C366" t="s">
        <v>852</v>
      </c>
      <c r="D366" t="s">
        <v>1582</v>
      </c>
      <c r="E366" s="10" t="s">
        <v>1589</v>
      </c>
      <c r="F366" s="10"/>
      <c r="G366" s="10"/>
      <c r="H366" s="10" t="s">
        <v>1589</v>
      </c>
      <c r="I366" s="14">
        <v>203159.62634407077</v>
      </c>
      <c r="J366" s="19">
        <v>0</v>
      </c>
      <c r="K366" s="19">
        <v>0.5013375182794384</v>
      </c>
      <c r="L366" s="19">
        <v>0.49866248172056166</v>
      </c>
      <c r="M366" s="20">
        <v>2</v>
      </c>
      <c r="N366" s="19">
        <v>0.14569475444886165</v>
      </c>
      <c r="O366" s="19">
        <v>0.30503953092224112</v>
      </c>
      <c r="P366" s="19">
        <v>5.0603232908335599E-2</v>
      </c>
      <c r="Q366" s="19">
        <v>0.21153245617964569</v>
      </c>
      <c r="R366" s="19">
        <v>0.25463271125573217</v>
      </c>
      <c r="S366" s="19">
        <v>3.2497314285183793E-2</v>
      </c>
      <c r="T366" s="20">
        <v>22</v>
      </c>
      <c r="U366" s="17">
        <v>2</v>
      </c>
      <c r="V366" s="17">
        <v>37</v>
      </c>
    </row>
    <row r="367" spans="1:22" x14ac:dyDescent="0.2">
      <c r="A367" t="s">
        <v>1590</v>
      </c>
      <c r="B367" t="s">
        <v>851</v>
      </c>
      <c r="C367" t="s">
        <v>852</v>
      </c>
      <c r="D367" t="s">
        <v>1582</v>
      </c>
      <c r="E367" s="10" t="s">
        <v>1591</v>
      </c>
      <c r="F367" s="10"/>
      <c r="G367" s="10"/>
      <c r="H367" s="10" t="s">
        <v>1591</v>
      </c>
      <c r="I367" s="14">
        <v>515472.80681633361</v>
      </c>
      <c r="J367" s="19">
        <v>0.29683450008066042</v>
      </c>
      <c r="K367" s="19">
        <v>0.54985256556112461</v>
      </c>
      <c r="L367" s="19">
        <v>0.15331293435821511</v>
      </c>
      <c r="M367" s="20">
        <v>2</v>
      </c>
      <c r="N367" s="19">
        <v>0.20302840832566529</v>
      </c>
      <c r="O367" s="19">
        <v>0</v>
      </c>
      <c r="P367" s="19">
        <v>0.34682415723545928</v>
      </c>
      <c r="Q367" s="19">
        <v>3.4235984083364299E-2</v>
      </c>
      <c r="R367" s="19">
        <v>0.10798494709124146</v>
      </c>
      <c r="S367" s="19">
        <v>1.109200318360935E-2</v>
      </c>
      <c r="T367" s="20">
        <v>23</v>
      </c>
      <c r="U367" s="17">
        <v>2</v>
      </c>
      <c r="V367" s="17">
        <v>37</v>
      </c>
    </row>
    <row r="368" spans="1:22" x14ac:dyDescent="0.2">
      <c r="A368" t="s">
        <v>1592</v>
      </c>
      <c r="B368" t="s">
        <v>851</v>
      </c>
      <c r="C368" t="s">
        <v>852</v>
      </c>
      <c r="D368" t="s">
        <v>1593</v>
      </c>
      <c r="E368" s="10" t="s">
        <v>1594</v>
      </c>
      <c r="F368" s="10"/>
      <c r="G368" s="10"/>
      <c r="H368" s="10" t="s">
        <v>1594</v>
      </c>
      <c r="I368" s="14">
        <v>193466.53281938098</v>
      </c>
      <c r="J368" s="19">
        <v>0.37232237238943672</v>
      </c>
      <c r="K368" s="19">
        <v>0.50205156407869156</v>
      </c>
      <c r="L368" s="19">
        <v>0.12562606353187167</v>
      </c>
      <c r="M368" s="20">
        <v>2</v>
      </c>
      <c r="N368" s="19">
        <v>0</v>
      </c>
      <c r="O368" s="19">
        <v>0</v>
      </c>
      <c r="P368" s="19">
        <v>0.50205156407869156</v>
      </c>
      <c r="Q368" s="19">
        <v>4.1523209952829048E-3</v>
      </c>
      <c r="R368" s="19">
        <v>0.11816718687592798</v>
      </c>
      <c r="S368" s="19">
        <v>3.3065556606607606E-3</v>
      </c>
      <c r="T368" s="20">
        <v>21</v>
      </c>
      <c r="U368" s="17">
        <v>2</v>
      </c>
      <c r="V368" s="17">
        <v>37</v>
      </c>
    </row>
    <row r="369" spans="1:22" x14ac:dyDescent="0.2">
      <c r="A369" t="s">
        <v>1595</v>
      </c>
      <c r="B369" t="s">
        <v>851</v>
      </c>
      <c r="C369" t="s">
        <v>852</v>
      </c>
      <c r="D369" t="s">
        <v>1593</v>
      </c>
      <c r="E369" s="10" t="s">
        <v>1596</v>
      </c>
      <c r="F369" s="10"/>
      <c r="G369" s="10"/>
      <c r="H369" s="10" t="s">
        <v>1596</v>
      </c>
      <c r="I369" s="14">
        <v>178505.38249995233</v>
      </c>
      <c r="J369" s="19">
        <v>0</v>
      </c>
      <c r="K369" s="19">
        <v>0.71781482160685717</v>
      </c>
      <c r="L369" s="19">
        <v>0.28218517839314278</v>
      </c>
      <c r="M369" s="20">
        <v>2</v>
      </c>
      <c r="N369" s="19">
        <v>0.28499970410621722</v>
      </c>
      <c r="O369" s="19">
        <v>6.1858893704463742E-2</v>
      </c>
      <c r="P369" s="19">
        <v>0.37095622379617627</v>
      </c>
      <c r="Q369" s="19">
        <v>5.1198883914251071E-2</v>
      </c>
      <c r="R369" s="19">
        <v>0.2123730881923423</v>
      </c>
      <c r="S369" s="19">
        <v>1.8613206286549413E-2</v>
      </c>
      <c r="T369" s="20">
        <v>23</v>
      </c>
      <c r="U369" s="17">
        <v>2</v>
      </c>
      <c r="V369" s="17">
        <v>37</v>
      </c>
    </row>
    <row r="370" spans="1:22" x14ac:dyDescent="0.2">
      <c r="A370" t="s">
        <v>1597</v>
      </c>
      <c r="B370" t="s">
        <v>851</v>
      </c>
      <c r="C370" t="s">
        <v>852</v>
      </c>
      <c r="D370" t="s">
        <v>1593</v>
      </c>
      <c r="E370" s="10" t="s">
        <v>1598</v>
      </c>
      <c r="F370" s="10"/>
      <c r="G370" s="10"/>
      <c r="H370" s="10" t="s">
        <v>1598</v>
      </c>
      <c r="I370" s="14">
        <v>785941.76494688448</v>
      </c>
      <c r="J370" s="19">
        <v>0.17718361841233943</v>
      </c>
      <c r="K370" s="19">
        <v>0.41386862590563428</v>
      </c>
      <c r="L370" s="19">
        <v>0.40894775568202635</v>
      </c>
      <c r="M370" s="20">
        <v>2</v>
      </c>
      <c r="N370" s="19">
        <v>4.3433217187109491E-2</v>
      </c>
      <c r="O370" s="19">
        <v>0.20855623870233711</v>
      </c>
      <c r="P370" s="19">
        <v>0.16187917001618765</v>
      </c>
      <c r="Q370" s="19">
        <v>0.14190448646925119</v>
      </c>
      <c r="R370" s="19">
        <v>0.24547734800776155</v>
      </c>
      <c r="S370" s="19">
        <v>2.1565921205013581E-2</v>
      </c>
      <c r="T370" s="20">
        <v>22</v>
      </c>
      <c r="U370" s="17">
        <v>2</v>
      </c>
      <c r="V370" s="17">
        <v>37</v>
      </c>
    </row>
    <row r="371" spans="1:22" x14ac:dyDescent="0.2">
      <c r="A371" t="s">
        <v>1599</v>
      </c>
      <c r="B371" t="s">
        <v>851</v>
      </c>
      <c r="C371" t="s">
        <v>852</v>
      </c>
      <c r="D371" t="s">
        <v>1593</v>
      </c>
      <c r="E371" s="10" t="s">
        <v>1600</v>
      </c>
      <c r="F371" s="10"/>
      <c r="G371" s="10"/>
      <c r="H371" s="10" t="s">
        <v>1600</v>
      </c>
      <c r="I371" s="14">
        <v>440670.32322117127</v>
      </c>
      <c r="J371" s="19">
        <v>0.26137188987352955</v>
      </c>
      <c r="K371" s="19">
        <v>0.54531115951333864</v>
      </c>
      <c r="L371" s="19">
        <v>0.19331695061313181</v>
      </c>
      <c r="M371" s="20">
        <v>2</v>
      </c>
      <c r="N371" s="19">
        <v>1.2050254077928788E-2</v>
      </c>
      <c r="O371" s="19">
        <v>0.10559379421231302</v>
      </c>
      <c r="P371" s="19">
        <v>0.42766711122309681</v>
      </c>
      <c r="Q371" s="19">
        <v>3.9725707672176043E-2</v>
      </c>
      <c r="R371" s="19">
        <v>0.14741336864954838</v>
      </c>
      <c r="S371" s="19">
        <v>6.1778742914074059E-3</v>
      </c>
      <c r="T371" s="20">
        <v>22</v>
      </c>
      <c r="U371" s="17">
        <v>2</v>
      </c>
      <c r="V371" s="17">
        <v>37</v>
      </c>
    </row>
    <row r="372" spans="1:22" x14ac:dyDescent="0.2">
      <c r="A372" t="s">
        <v>1601</v>
      </c>
      <c r="B372" t="s">
        <v>851</v>
      </c>
      <c r="C372" t="s">
        <v>852</v>
      </c>
      <c r="D372" t="s">
        <v>1593</v>
      </c>
      <c r="E372" s="10" t="s">
        <v>1602</v>
      </c>
      <c r="F372" s="10"/>
      <c r="G372" s="10"/>
      <c r="H372" s="10" t="s">
        <v>1602</v>
      </c>
      <c r="I372" s="14">
        <v>210474.70186514524</v>
      </c>
      <c r="J372" s="19">
        <v>0</v>
      </c>
      <c r="K372" s="19">
        <v>0.51952214547449405</v>
      </c>
      <c r="L372" s="19">
        <v>0.48047785452550601</v>
      </c>
      <c r="M372" s="20">
        <v>2</v>
      </c>
      <c r="N372" s="19">
        <v>0.15123086809969846</v>
      </c>
      <c r="O372" s="19">
        <v>3.6496400758760372E-2</v>
      </c>
      <c r="P372" s="19">
        <v>0.33179487661603518</v>
      </c>
      <c r="Q372" s="19">
        <v>0.15470409306704533</v>
      </c>
      <c r="R372" s="19">
        <v>0.29357176178394867</v>
      </c>
      <c r="S372" s="19">
        <v>3.220199967451199E-2</v>
      </c>
      <c r="T372" s="20">
        <v>23</v>
      </c>
      <c r="U372" s="17">
        <v>2</v>
      </c>
      <c r="V372" s="17">
        <v>37</v>
      </c>
    </row>
    <row r="373" spans="1:22" x14ac:dyDescent="0.2">
      <c r="A373" t="s">
        <v>1603</v>
      </c>
      <c r="B373" t="s">
        <v>851</v>
      </c>
      <c r="C373" t="s">
        <v>852</v>
      </c>
      <c r="D373" t="s">
        <v>1593</v>
      </c>
      <c r="E373" s="10" t="s">
        <v>1604</v>
      </c>
      <c r="F373" s="10"/>
      <c r="G373" s="10"/>
      <c r="H373" s="10" t="s">
        <v>1604</v>
      </c>
      <c r="I373" s="14">
        <v>779034.65625363821</v>
      </c>
      <c r="J373" s="19">
        <v>0.58823783358445325</v>
      </c>
      <c r="K373" s="19">
        <v>0.25085303865231318</v>
      </c>
      <c r="L373" s="19">
        <v>0.16090912776323357</v>
      </c>
      <c r="M373" s="20">
        <v>3</v>
      </c>
      <c r="N373" s="19">
        <v>1.6142659282278399E-2</v>
      </c>
      <c r="O373" s="19">
        <v>2.8823684523145824E-2</v>
      </c>
      <c r="P373" s="19">
        <v>0.20588669484688898</v>
      </c>
      <c r="Q373" s="19">
        <v>4.7713133776070983E-2</v>
      </c>
      <c r="R373" s="19">
        <v>0.10614879022187573</v>
      </c>
      <c r="S373" s="19">
        <v>7.0472037652868575E-3</v>
      </c>
      <c r="T373" s="20">
        <v>30</v>
      </c>
      <c r="U373" s="17">
        <v>2</v>
      </c>
      <c r="V373" s="17">
        <v>37</v>
      </c>
    </row>
    <row r="374" spans="1:22" x14ac:dyDescent="0.2">
      <c r="A374" t="s">
        <v>1605</v>
      </c>
      <c r="B374" t="s">
        <v>851</v>
      </c>
      <c r="C374" t="s">
        <v>852</v>
      </c>
      <c r="D374" t="s">
        <v>1593</v>
      </c>
      <c r="E374" s="10" t="s">
        <v>1606</v>
      </c>
      <c r="F374" s="10"/>
      <c r="G374" s="10"/>
      <c r="H374" s="10" t="s">
        <v>1606</v>
      </c>
      <c r="I374" s="14">
        <v>380111.30990681192</v>
      </c>
      <c r="J374" s="19">
        <v>0</v>
      </c>
      <c r="K374" s="19">
        <v>0.9066397968233294</v>
      </c>
      <c r="L374" s="19">
        <v>9.3360203176670639E-2</v>
      </c>
      <c r="M374" s="20">
        <v>2</v>
      </c>
      <c r="N374" s="19">
        <v>0.15628036706458098</v>
      </c>
      <c r="O374" s="19">
        <v>3.1491965696681404E-2</v>
      </c>
      <c r="P374" s="19">
        <v>0.71886746406206692</v>
      </c>
      <c r="Q374" s="19">
        <v>8.2416721088498009E-3</v>
      </c>
      <c r="R374" s="19">
        <v>8.1342182543329283E-2</v>
      </c>
      <c r="S374" s="19">
        <v>3.7763485244915649E-3</v>
      </c>
      <c r="T374" s="20">
        <v>21</v>
      </c>
      <c r="U374" s="17">
        <v>2</v>
      </c>
      <c r="V374" s="17">
        <v>37</v>
      </c>
    </row>
    <row r="375" spans="1:22" x14ac:dyDescent="0.2">
      <c r="A375" t="s">
        <v>1607</v>
      </c>
      <c r="B375" t="s">
        <v>851</v>
      </c>
      <c r="C375" t="s">
        <v>852</v>
      </c>
      <c r="D375" t="s">
        <v>1593</v>
      </c>
      <c r="E375" s="10" t="s">
        <v>1608</v>
      </c>
      <c r="F375" s="10"/>
      <c r="G375" s="10"/>
      <c r="H375" s="10" t="s">
        <v>1608</v>
      </c>
      <c r="I375" s="14">
        <v>128729.72301928002</v>
      </c>
      <c r="J375" s="19">
        <v>0</v>
      </c>
      <c r="K375" s="19">
        <v>0.40892511509120094</v>
      </c>
      <c r="L375" s="19">
        <v>0.59107488490879889</v>
      </c>
      <c r="M375" s="20">
        <v>1</v>
      </c>
      <c r="N375" s="19">
        <v>0.37015462081186956</v>
      </c>
      <c r="O375" s="19">
        <v>0</v>
      </c>
      <c r="P375" s="19">
        <v>3.8770494279331408E-2</v>
      </c>
      <c r="Q375" s="19">
        <v>0.32742986251249562</v>
      </c>
      <c r="R375" s="19">
        <v>0.24254654178868942</v>
      </c>
      <c r="S375" s="19">
        <v>2.1098480607613924E-2</v>
      </c>
      <c r="T375" s="20">
        <v>13</v>
      </c>
      <c r="U375" s="17">
        <v>2</v>
      </c>
      <c r="V375" s="17">
        <v>37</v>
      </c>
    </row>
    <row r="376" spans="1:22" x14ac:dyDescent="0.2">
      <c r="A376" t="s">
        <v>1609</v>
      </c>
      <c r="B376" t="s">
        <v>851</v>
      </c>
      <c r="C376" t="s">
        <v>852</v>
      </c>
      <c r="D376" t="s">
        <v>1593</v>
      </c>
      <c r="E376" s="10" t="s">
        <v>1610</v>
      </c>
      <c r="F376" s="10"/>
      <c r="G376" s="10"/>
      <c r="H376" s="10" t="s">
        <v>1610</v>
      </c>
      <c r="I376" s="14">
        <v>352546.76707009319</v>
      </c>
      <c r="J376" s="19">
        <v>0</v>
      </c>
      <c r="K376" s="19">
        <v>0.74993717341754551</v>
      </c>
      <c r="L376" s="19">
        <v>0.25006282658245443</v>
      </c>
      <c r="M376" s="20">
        <v>2</v>
      </c>
      <c r="N376" s="19">
        <v>0.22717959436833049</v>
      </c>
      <c r="O376" s="19">
        <v>9.1197667412863059E-2</v>
      </c>
      <c r="P376" s="19">
        <v>0.43155991163635199</v>
      </c>
      <c r="Q376" s="19">
        <v>2.2838859076352715E-2</v>
      </c>
      <c r="R376" s="19">
        <v>0.19535816725575589</v>
      </c>
      <c r="S376" s="19">
        <v>3.1865800250345841E-2</v>
      </c>
      <c r="T376" s="20">
        <v>23</v>
      </c>
      <c r="U376" s="17">
        <v>2</v>
      </c>
      <c r="V376" s="17">
        <v>37</v>
      </c>
    </row>
    <row r="377" spans="1:22" x14ac:dyDescent="0.2">
      <c r="A377" t="s">
        <v>1611</v>
      </c>
      <c r="B377" t="s">
        <v>851</v>
      </c>
      <c r="C377" t="s">
        <v>852</v>
      </c>
      <c r="D377" t="s">
        <v>1593</v>
      </c>
      <c r="E377" s="10" t="s">
        <v>1612</v>
      </c>
      <c r="F377" s="10"/>
      <c r="G377" s="10"/>
      <c r="H377" s="10" t="s">
        <v>1612</v>
      </c>
      <c r="I377" s="14">
        <v>275289.73985401727</v>
      </c>
      <c r="J377" s="19">
        <v>0</v>
      </c>
      <c r="K377" s="19">
        <v>0.6979466047690811</v>
      </c>
      <c r="L377" s="19">
        <v>0.3020533952309189</v>
      </c>
      <c r="M377" s="20">
        <v>2</v>
      </c>
      <c r="N377" s="19">
        <v>0.41435374557401145</v>
      </c>
      <c r="O377" s="19">
        <v>0.10120153547691764</v>
      </c>
      <c r="P377" s="19">
        <v>0.18239132371815209</v>
      </c>
      <c r="Q377" s="19">
        <v>0.10739377765743555</v>
      </c>
      <c r="R377" s="19">
        <v>0.16146179104955352</v>
      </c>
      <c r="S377" s="19">
        <v>3.3197826523929795E-2</v>
      </c>
      <c r="T377" s="20">
        <v>23</v>
      </c>
      <c r="U377" s="17">
        <v>2</v>
      </c>
      <c r="V377" s="17">
        <v>37</v>
      </c>
    </row>
    <row r="378" spans="1:22" x14ac:dyDescent="0.2">
      <c r="A378" t="s">
        <v>1613</v>
      </c>
      <c r="B378" t="s">
        <v>851</v>
      </c>
      <c r="C378" t="s">
        <v>852</v>
      </c>
      <c r="D378" t="s">
        <v>1593</v>
      </c>
      <c r="E378" s="10" t="s">
        <v>1614</v>
      </c>
      <c r="F378" s="10"/>
      <c r="G378" s="10"/>
      <c r="H378" s="10" t="s">
        <v>1614</v>
      </c>
      <c r="I378" s="14">
        <v>330207.09909481602</v>
      </c>
      <c r="J378" s="19">
        <v>0</v>
      </c>
      <c r="K378" s="19">
        <v>0.62669401558540261</v>
      </c>
      <c r="L378" s="19">
        <v>0.37330598441459739</v>
      </c>
      <c r="M378" s="20">
        <v>2</v>
      </c>
      <c r="N378" s="19">
        <v>0.30439623977262875</v>
      </c>
      <c r="O378" s="19">
        <v>6.9604775422020149E-2</v>
      </c>
      <c r="P378" s="19">
        <v>0.25269300039075371</v>
      </c>
      <c r="Q378" s="19">
        <v>0.10760577845782981</v>
      </c>
      <c r="R378" s="19">
        <v>0.23791161926668045</v>
      </c>
      <c r="S378" s="19">
        <v>2.7788586690087158E-2</v>
      </c>
      <c r="T378" s="20">
        <v>23</v>
      </c>
      <c r="U378" s="17">
        <v>2</v>
      </c>
      <c r="V378" s="17">
        <v>37</v>
      </c>
    </row>
    <row r="379" spans="1:22" x14ac:dyDescent="0.2">
      <c r="A379" t="s">
        <v>1615</v>
      </c>
      <c r="B379" t="s">
        <v>851</v>
      </c>
      <c r="C379" t="s">
        <v>852</v>
      </c>
      <c r="D379" t="s">
        <v>1593</v>
      </c>
      <c r="E379" s="10" t="s">
        <v>1616</v>
      </c>
      <c r="F379" s="10"/>
      <c r="G379" s="10"/>
      <c r="H379" s="10" t="s">
        <v>1616</v>
      </c>
      <c r="I379" s="14">
        <v>1605023.5259387288</v>
      </c>
      <c r="J379" s="19">
        <v>0.99842608779002551</v>
      </c>
      <c r="K379" s="19">
        <v>2.4236851641715098E-4</v>
      </c>
      <c r="L379" s="19">
        <v>1.3315436935573866E-3</v>
      </c>
      <c r="M379" s="20">
        <v>3</v>
      </c>
      <c r="N379" s="19">
        <v>0</v>
      </c>
      <c r="O379" s="19">
        <v>0</v>
      </c>
      <c r="P379" s="19">
        <v>2.4236851641715098E-4</v>
      </c>
      <c r="Q379" s="19">
        <v>1.0094335871297922E-3</v>
      </c>
      <c r="R379" s="19">
        <v>3.2170105239619348E-4</v>
      </c>
      <c r="S379" s="19">
        <v>4.0905403140080518E-7</v>
      </c>
      <c r="T379" s="20">
        <v>30</v>
      </c>
      <c r="U379" s="17">
        <v>2</v>
      </c>
      <c r="V379" s="17">
        <v>37</v>
      </c>
    </row>
    <row r="380" spans="1:22" x14ac:dyDescent="0.2">
      <c r="A380" t="s">
        <v>1617</v>
      </c>
      <c r="B380" t="s">
        <v>851</v>
      </c>
      <c r="C380" t="s">
        <v>852</v>
      </c>
      <c r="D380" t="s">
        <v>1593</v>
      </c>
      <c r="E380" s="10" t="s">
        <v>1618</v>
      </c>
      <c r="F380" s="10"/>
      <c r="G380" s="10"/>
      <c r="H380" s="10" t="s">
        <v>1618</v>
      </c>
      <c r="I380" s="14">
        <v>262096.23607262643</v>
      </c>
      <c r="J380" s="19">
        <v>0.16611634588852153</v>
      </c>
      <c r="K380" s="19">
        <v>0.56780131559047209</v>
      </c>
      <c r="L380" s="19">
        <v>0.26608233852100643</v>
      </c>
      <c r="M380" s="20">
        <v>2</v>
      </c>
      <c r="N380" s="19">
        <v>0.23129425824648933</v>
      </c>
      <c r="O380" s="19">
        <v>0</v>
      </c>
      <c r="P380" s="19">
        <v>0.33650705734398273</v>
      </c>
      <c r="Q380" s="19">
        <v>4.0294598215912976E-2</v>
      </c>
      <c r="R380" s="19">
        <v>0.20279625671020002</v>
      </c>
      <c r="S380" s="19">
        <v>2.2991483594893433E-2</v>
      </c>
      <c r="T380" s="20">
        <v>23</v>
      </c>
      <c r="U380" s="17">
        <v>2</v>
      </c>
      <c r="V380" s="17">
        <v>37</v>
      </c>
    </row>
    <row r="381" spans="1:22" x14ac:dyDescent="0.2">
      <c r="A381" t="s">
        <v>1619</v>
      </c>
      <c r="B381" t="s">
        <v>851</v>
      </c>
      <c r="C381" t="s">
        <v>852</v>
      </c>
      <c r="D381" t="s">
        <v>1593</v>
      </c>
      <c r="E381" s="10" t="s">
        <v>1620</v>
      </c>
      <c r="F381" s="10"/>
      <c r="G381" s="10"/>
      <c r="H381" s="10" t="s">
        <v>1620</v>
      </c>
      <c r="I381" s="14">
        <v>172615.64547524648</v>
      </c>
      <c r="J381" s="19">
        <v>0.82686417847098237</v>
      </c>
      <c r="K381" s="19">
        <v>0.13675155330420424</v>
      </c>
      <c r="L381" s="19">
        <v>3.6384268224813346E-2</v>
      </c>
      <c r="M381" s="20">
        <v>3</v>
      </c>
      <c r="N381" s="19">
        <v>0</v>
      </c>
      <c r="O381" s="19">
        <v>0</v>
      </c>
      <c r="P381" s="19">
        <v>0.13675155330420424</v>
      </c>
      <c r="Q381" s="19">
        <v>0</v>
      </c>
      <c r="R381" s="19">
        <v>3.0400757415457121E-2</v>
      </c>
      <c r="S381" s="19">
        <v>5.983510809356227E-3</v>
      </c>
      <c r="T381" s="20">
        <v>30</v>
      </c>
      <c r="U381" s="17">
        <v>2</v>
      </c>
      <c r="V381" s="17">
        <v>37</v>
      </c>
    </row>
    <row r="382" spans="1:22" x14ac:dyDescent="0.2">
      <c r="A382" t="s">
        <v>1621</v>
      </c>
      <c r="B382" t="s">
        <v>851</v>
      </c>
      <c r="C382" t="s">
        <v>852</v>
      </c>
      <c r="D382" t="s">
        <v>1593</v>
      </c>
      <c r="E382" s="10" t="s">
        <v>1622</v>
      </c>
      <c r="F382" s="10"/>
      <c r="G382" s="10"/>
      <c r="H382" s="10" t="s">
        <v>1622</v>
      </c>
      <c r="I382" s="14">
        <v>362035.73569613829</v>
      </c>
      <c r="J382" s="19">
        <v>0.20612389123308181</v>
      </c>
      <c r="K382" s="19">
        <v>0.61405328163171535</v>
      </c>
      <c r="L382" s="19">
        <v>0.17982282713520295</v>
      </c>
      <c r="M382" s="20">
        <v>2</v>
      </c>
      <c r="N382" s="19">
        <v>0.17146968637029714</v>
      </c>
      <c r="O382" s="19">
        <v>0</v>
      </c>
      <c r="P382" s="19">
        <v>0.44258359526141827</v>
      </c>
      <c r="Q382" s="19">
        <v>7.5314331174817256E-2</v>
      </c>
      <c r="R382" s="19">
        <v>9.8258912218874617E-2</v>
      </c>
      <c r="S382" s="19">
        <v>6.2495837415110812E-3</v>
      </c>
      <c r="T382" s="20">
        <v>23</v>
      </c>
      <c r="U382" s="17">
        <v>2</v>
      </c>
      <c r="V382" s="17">
        <v>37</v>
      </c>
    </row>
    <row r="383" spans="1:22" x14ac:dyDescent="0.2">
      <c r="A383" t="s">
        <v>1623</v>
      </c>
      <c r="B383" t="s">
        <v>851</v>
      </c>
      <c r="C383" t="s">
        <v>852</v>
      </c>
      <c r="D383" t="s">
        <v>1593</v>
      </c>
      <c r="E383" s="10" t="s">
        <v>1624</v>
      </c>
      <c r="F383" s="10"/>
      <c r="G383" s="10"/>
      <c r="H383" s="10" t="s">
        <v>1624</v>
      </c>
      <c r="I383" s="14">
        <v>147414.36335162213</v>
      </c>
      <c r="J383" s="19">
        <v>0.87454668548798442</v>
      </c>
      <c r="K383" s="19">
        <v>0.10581871313257277</v>
      </c>
      <c r="L383" s="19">
        <v>1.9634601379442684E-2</v>
      </c>
      <c r="M383" s="20">
        <v>3</v>
      </c>
      <c r="N383" s="19">
        <v>4.2886221588071392E-2</v>
      </c>
      <c r="O383" s="19">
        <v>0</v>
      </c>
      <c r="P383" s="19">
        <v>6.2932491544501382E-2</v>
      </c>
      <c r="Q383" s="19">
        <v>0</v>
      </c>
      <c r="R383" s="19">
        <v>1.8091696302974761E-2</v>
      </c>
      <c r="S383" s="19">
        <v>1.5429050764679186E-3</v>
      </c>
      <c r="T383" s="20">
        <v>30</v>
      </c>
      <c r="U383" s="17">
        <v>2</v>
      </c>
      <c r="V383" s="17">
        <v>37</v>
      </c>
    </row>
    <row r="384" spans="1:22" x14ac:dyDescent="0.2">
      <c r="A384" t="s">
        <v>1625</v>
      </c>
      <c r="B384" t="s">
        <v>851</v>
      </c>
      <c r="C384" t="s">
        <v>852</v>
      </c>
      <c r="D384" t="s">
        <v>1593</v>
      </c>
      <c r="E384" s="10" t="s">
        <v>1626</v>
      </c>
      <c r="F384" s="10"/>
      <c r="G384" s="10"/>
      <c r="H384" s="10" t="s">
        <v>1626</v>
      </c>
      <c r="I384" s="14">
        <v>384705.30395821878</v>
      </c>
      <c r="J384" s="19">
        <v>0.24062366602597524</v>
      </c>
      <c r="K384" s="19">
        <v>0.53847236844154889</v>
      </c>
      <c r="L384" s="19">
        <v>0.22090396553247577</v>
      </c>
      <c r="M384" s="20">
        <v>2</v>
      </c>
      <c r="N384" s="19">
        <v>7.6708161611376821E-2</v>
      </c>
      <c r="O384" s="19">
        <v>1.3982874356108387E-2</v>
      </c>
      <c r="P384" s="19">
        <v>0.44778133247406376</v>
      </c>
      <c r="Q384" s="19">
        <v>8.9649806482781341E-2</v>
      </c>
      <c r="R384" s="19">
        <v>0.11556961068068548</v>
      </c>
      <c r="S384" s="19">
        <v>1.5684548369008986E-2</v>
      </c>
      <c r="T384" s="20">
        <v>23</v>
      </c>
      <c r="U384" s="17">
        <v>2</v>
      </c>
      <c r="V384" s="17">
        <v>37</v>
      </c>
    </row>
    <row r="385" spans="1:22" x14ac:dyDescent="0.2">
      <c r="A385" t="s">
        <v>1627</v>
      </c>
      <c r="B385" t="s">
        <v>851</v>
      </c>
      <c r="C385" t="s">
        <v>852</v>
      </c>
      <c r="D385" t="s">
        <v>1593</v>
      </c>
      <c r="E385" s="10" t="s">
        <v>1628</v>
      </c>
      <c r="F385" s="10"/>
      <c r="G385" s="10"/>
      <c r="H385" s="10" t="s">
        <v>1628</v>
      </c>
      <c r="I385" s="14">
        <v>301435.90589365805</v>
      </c>
      <c r="J385" s="19">
        <v>0.17263132644865781</v>
      </c>
      <c r="K385" s="19">
        <v>0.54155630064832883</v>
      </c>
      <c r="L385" s="19">
        <v>0.28581237290301331</v>
      </c>
      <c r="M385" s="20">
        <v>2</v>
      </c>
      <c r="N385" s="19">
        <v>0.25047550159437015</v>
      </c>
      <c r="O385" s="19">
        <v>8.0423446192291415E-2</v>
      </c>
      <c r="P385" s="19">
        <v>0.21065735286166729</v>
      </c>
      <c r="Q385" s="19">
        <v>0.11674252308326011</v>
      </c>
      <c r="R385" s="19">
        <v>0.1507169506239065</v>
      </c>
      <c r="S385" s="19">
        <v>1.8352899195846695E-2</v>
      </c>
      <c r="T385" s="20">
        <v>23</v>
      </c>
      <c r="U385" s="17">
        <v>2</v>
      </c>
      <c r="V385" s="17">
        <v>37</v>
      </c>
    </row>
    <row r="386" spans="1:22" x14ac:dyDescent="0.2">
      <c r="A386" t="s">
        <v>1629</v>
      </c>
      <c r="B386" t="s">
        <v>851</v>
      </c>
      <c r="C386" t="s">
        <v>852</v>
      </c>
      <c r="D386" t="s">
        <v>1593</v>
      </c>
      <c r="E386" s="10" t="s">
        <v>1630</v>
      </c>
      <c r="F386" s="10"/>
      <c r="G386" s="10"/>
      <c r="H386" s="10" t="s">
        <v>1630</v>
      </c>
      <c r="I386" s="14">
        <v>247882.95378632518</v>
      </c>
      <c r="J386" s="19">
        <v>0.30096820654721212</v>
      </c>
      <c r="K386" s="19">
        <v>0.30860283788723047</v>
      </c>
      <c r="L386" s="19">
        <v>0.3904289555655574</v>
      </c>
      <c r="M386" s="20">
        <v>2</v>
      </c>
      <c r="N386" s="19">
        <v>0</v>
      </c>
      <c r="O386" s="19">
        <v>0.12890597455062283</v>
      </c>
      <c r="P386" s="19">
        <v>0.17969686333660764</v>
      </c>
      <c r="Q386" s="19">
        <v>9.0899086741152893E-2</v>
      </c>
      <c r="R386" s="19">
        <v>0.28960402597684426</v>
      </c>
      <c r="S386" s="19">
        <v>9.9258428475602293E-3</v>
      </c>
      <c r="T386" s="20">
        <v>22</v>
      </c>
      <c r="U386" s="17">
        <v>2</v>
      </c>
      <c r="V386" s="17">
        <v>37</v>
      </c>
    </row>
    <row r="387" spans="1:22" x14ac:dyDescent="0.2">
      <c r="A387" t="s">
        <v>1631</v>
      </c>
      <c r="B387" t="s">
        <v>851</v>
      </c>
      <c r="C387" t="s">
        <v>852</v>
      </c>
      <c r="D387" t="s">
        <v>1593</v>
      </c>
      <c r="E387" s="10" t="s">
        <v>1632</v>
      </c>
      <c r="F387" s="10"/>
      <c r="G387" s="10"/>
      <c r="H387" s="10" t="s">
        <v>1632</v>
      </c>
      <c r="I387" s="14">
        <v>240696.78871974582</v>
      </c>
      <c r="J387" s="19">
        <v>0.26547382286637222</v>
      </c>
      <c r="K387" s="19">
        <v>0.3396300129915768</v>
      </c>
      <c r="L387" s="19">
        <v>0.39489616414205098</v>
      </c>
      <c r="M387" s="20">
        <v>2</v>
      </c>
      <c r="N387" s="19">
        <v>5.5871316353432211E-2</v>
      </c>
      <c r="O387" s="19">
        <v>8.9241255899897176E-2</v>
      </c>
      <c r="P387" s="19">
        <v>0.19451744073824742</v>
      </c>
      <c r="Q387" s="19">
        <v>0.13840876404567146</v>
      </c>
      <c r="R387" s="19">
        <v>0.23953228593624187</v>
      </c>
      <c r="S387" s="19">
        <v>1.6955114160137643E-2</v>
      </c>
      <c r="T387" s="20">
        <v>22</v>
      </c>
      <c r="U387" s="17">
        <v>2</v>
      </c>
      <c r="V387" s="17">
        <v>37</v>
      </c>
    </row>
    <row r="388" spans="1:22" x14ac:dyDescent="0.2">
      <c r="A388" t="s">
        <v>1633</v>
      </c>
      <c r="B388" t="s">
        <v>851</v>
      </c>
      <c r="C388" t="s">
        <v>852</v>
      </c>
      <c r="D388" t="s">
        <v>1593</v>
      </c>
      <c r="E388" s="10" t="s">
        <v>1634</v>
      </c>
      <c r="F388" s="10"/>
      <c r="G388" s="10"/>
      <c r="H388" s="10" t="s">
        <v>1634</v>
      </c>
      <c r="I388" s="14">
        <v>282785.1497516958</v>
      </c>
      <c r="J388" s="19">
        <v>0.13910119299660417</v>
      </c>
      <c r="K388" s="19">
        <v>0.77166624758611058</v>
      </c>
      <c r="L388" s="19">
        <v>8.9232559417285418E-2</v>
      </c>
      <c r="M388" s="20">
        <v>2</v>
      </c>
      <c r="N388" s="19">
        <v>0.29149432078673032</v>
      </c>
      <c r="O388" s="19">
        <v>4.7537033179354871E-2</v>
      </c>
      <c r="P388" s="19">
        <v>0.43263489362002522</v>
      </c>
      <c r="Q388" s="19">
        <v>2.6088122098511721E-2</v>
      </c>
      <c r="R388" s="19">
        <v>5.9623438049526939E-2</v>
      </c>
      <c r="S388" s="19">
        <v>3.520999269246755E-3</v>
      </c>
      <c r="T388" s="20">
        <v>23</v>
      </c>
      <c r="U388" s="17">
        <v>2</v>
      </c>
      <c r="V388" s="17">
        <v>37</v>
      </c>
    </row>
    <row r="389" spans="1:22" x14ac:dyDescent="0.2">
      <c r="A389" t="s">
        <v>1635</v>
      </c>
      <c r="B389" t="s">
        <v>851</v>
      </c>
      <c r="C389" t="s">
        <v>852</v>
      </c>
      <c r="D389" t="s">
        <v>1593</v>
      </c>
      <c r="E389" s="10" t="s">
        <v>1636</v>
      </c>
      <c r="F389" s="10"/>
      <c r="G389" s="10"/>
      <c r="H389" s="10" t="s">
        <v>1636</v>
      </c>
      <c r="I389" s="14">
        <v>247042.23586337545</v>
      </c>
      <c r="J389" s="19">
        <v>0</v>
      </c>
      <c r="K389" s="19">
        <v>0.5833077886838155</v>
      </c>
      <c r="L389" s="19">
        <v>0.41669221131618461</v>
      </c>
      <c r="M389" s="20">
        <v>2</v>
      </c>
      <c r="N389" s="19">
        <v>0.14788464510576266</v>
      </c>
      <c r="O389" s="19">
        <v>0</v>
      </c>
      <c r="P389" s="19">
        <v>0.43542314357805278</v>
      </c>
      <c r="Q389" s="19">
        <v>4.6403466932818466E-2</v>
      </c>
      <c r="R389" s="19">
        <v>0.34536350513446945</v>
      </c>
      <c r="S389" s="19">
        <v>2.4925239248896777E-2</v>
      </c>
      <c r="T389" s="20">
        <v>23</v>
      </c>
      <c r="U389" s="17">
        <v>2</v>
      </c>
      <c r="V389" s="17">
        <v>37</v>
      </c>
    </row>
    <row r="390" spans="1:22" x14ac:dyDescent="0.2">
      <c r="A390" t="s">
        <v>1637</v>
      </c>
      <c r="B390" t="s">
        <v>851</v>
      </c>
      <c r="C390" t="s">
        <v>852</v>
      </c>
      <c r="D390" t="s">
        <v>1593</v>
      </c>
      <c r="E390" s="10" t="s">
        <v>1638</v>
      </c>
      <c r="F390" s="10"/>
      <c r="G390" s="10"/>
      <c r="H390" s="10" t="s">
        <v>1638</v>
      </c>
      <c r="I390" s="14">
        <v>229676.00663844403</v>
      </c>
      <c r="J390" s="19">
        <v>0.36995038850952078</v>
      </c>
      <c r="K390" s="19">
        <v>0.29437095328976859</v>
      </c>
      <c r="L390" s="19">
        <v>0.33567865820071063</v>
      </c>
      <c r="M390" s="20">
        <v>2</v>
      </c>
      <c r="N390" s="19">
        <v>0</v>
      </c>
      <c r="O390" s="19">
        <v>0</v>
      </c>
      <c r="P390" s="19">
        <v>0.29437095328976859</v>
      </c>
      <c r="Q390" s="19">
        <v>4.5486624816221038E-2</v>
      </c>
      <c r="R390" s="19">
        <v>0.27111871068834392</v>
      </c>
      <c r="S390" s="19">
        <v>1.90733226961457E-2</v>
      </c>
      <c r="T390" s="20">
        <v>23</v>
      </c>
      <c r="U390" s="17">
        <v>2</v>
      </c>
      <c r="V390" s="17">
        <v>37</v>
      </c>
    </row>
    <row r="391" spans="1:22" x14ac:dyDescent="0.2">
      <c r="A391" t="s">
        <v>1639</v>
      </c>
      <c r="B391" t="s">
        <v>851</v>
      </c>
      <c r="C391" t="s">
        <v>852</v>
      </c>
      <c r="D391" t="s">
        <v>1593</v>
      </c>
      <c r="E391" s="10" t="s">
        <v>1640</v>
      </c>
      <c r="F391" s="10"/>
      <c r="G391" s="10"/>
      <c r="H391" s="10" t="s">
        <v>1640</v>
      </c>
      <c r="I391" s="14">
        <v>422908.07882903423</v>
      </c>
      <c r="J391" s="19">
        <v>0.26919817225093884</v>
      </c>
      <c r="K391" s="19">
        <v>0.29048338328986029</v>
      </c>
      <c r="L391" s="19">
        <v>0.44031844445920088</v>
      </c>
      <c r="M391" s="20">
        <v>2</v>
      </c>
      <c r="N391" s="19">
        <v>4.0310669312074617E-2</v>
      </c>
      <c r="O391" s="19">
        <v>5.3993856000926849E-2</v>
      </c>
      <c r="P391" s="19">
        <v>0.19617885797685883</v>
      </c>
      <c r="Q391" s="19">
        <v>0.16017051420687387</v>
      </c>
      <c r="R391" s="19">
        <v>0.25665976181256039</v>
      </c>
      <c r="S391" s="19">
        <v>2.3488168439766605E-2</v>
      </c>
      <c r="T391" s="20">
        <v>22</v>
      </c>
      <c r="U391" s="17">
        <v>2</v>
      </c>
      <c r="V391" s="17">
        <v>37</v>
      </c>
    </row>
    <row r="392" spans="1:22" x14ac:dyDescent="0.2">
      <c r="A392" t="s">
        <v>1641</v>
      </c>
      <c r="B392" t="s">
        <v>851</v>
      </c>
      <c r="C392" t="s">
        <v>852</v>
      </c>
      <c r="D392" t="s">
        <v>1642</v>
      </c>
      <c r="E392" s="10" t="s">
        <v>1643</v>
      </c>
      <c r="F392" s="10"/>
      <c r="G392" s="10"/>
      <c r="H392" s="10" t="s">
        <v>1643</v>
      </c>
      <c r="I392" s="14">
        <v>352420.12185760634</v>
      </c>
      <c r="J392" s="19">
        <v>0.25608329019890863</v>
      </c>
      <c r="K392" s="19">
        <v>0.37483771369909652</v>
      </c>
      <c r="L392" s="19">
        <v>0.36907899610199485</v>
      </c>
      <c r="M392" s="20">
        <v>2</v>
      </c>
      <c r="N392" s="19">
        <v>0.16691648473087162</v>
      </c>
      <c r="O392" s="19">
        <v>0.12001628327681754</v>
      </c>
      <c r="P392" s="19">
        <v>8.7904945691407374E-2</v>
      </c>
      <c r="Q392" s="19">
        <v>0.1444734362286301</v>
      </c>
      <c r="R392" s="19">
        <v>0.2017427208572472</v>
      </c>
      <c r="S392" s="19">
        <v>2.286283901611753E-2</v>
      </c>
      <c r="T392" s="20">
        <v>23</v>
      </c>
      <c r="U392" s="17">
        <v>2</v>
      </c>
      <c r="V392" s="17">
        <v>37</v>
      </c>
    </row>
    <row r="393" spans="1:22" x14ac:dyDescent="0.2">
      <c r="A393" t="s">
        <v>1644</v>
      </c>
      <c r="B393" t="s">
        <v>851</v>
      </c>
      <c r="C393" t="s">
        <v>852</v>
      </c>
      <c r="D393" t="s">
        <v>1642</v>
      </c>
      <c r="E393" s="10" t="s">
        <v>1645</v>
      </c>
      <c r="F393" s="10"/>
      <c r="G393" s="10"/>
      <c r="H393" s="10" t="s">
        <v>1645</v>
      </c>
      <c r="I393" s="14">
        <v>184091.06769193057</v>
      </c>
      <c r="J393" s="19">
        <v>0</v>
      </c>
      <c r="K393" s="19">
        <v>0.37310711539540198</v>
      </c>
      <c r="L393" s="19">
        <v>0.62689288460459802</v>
      </c>
      <c r="M393" s="20">
        <v>1</v>
      </c>
      <c r="N393" s="19">
        <v>0.27739257993682243</v>
      </c>
      <c r="O393" s="19">
        <v>6.0359448411104064E-2</v>
      </c>
      <c r="P393" s="19">
        <v>3.5355087047475503E-2</v>
      </c>
      <c r="Q393" s="19">
        <v>0.4332312864416768</v>
      </c>
      <c r="R393" s="19">
        <v>0.17849589519325795</v>
      </c>
      <c r="S393" s="19">
        <v>1.5165702969663282E-2</v>
      </c>
      <c r="T393" s="20">
        <v>13</v>
      </c>
      <c r="U393" s="17">
        <v>2</v>
      </c>
      <c r="V393" s="17">
        <v>37</v>
      </c>
    </row>
    <row r="394" spans="1:22" x14ac:dyDescent="0.2">
      <c r="A394" t="s">
        <v>1646</v>
      </c>
      <c r="B394" t="s">
        <v>851</v>
      </c>
      <c r="C394" t="s">
        <v>852</v>
      </c>
      <c r="D394" t="s">
        <v>1642</v>
      </c>
      <c r="E394" s="10" t="s">
        <v>1647</v>
      </c>
      <c r="F394" s="10"/>
      <c r="G394" s="10"/>
      <c r="H394" s="10" t="s">
        <v>1647</v>
      </c>
      <c r="I394" s="14">
        <v>149237.72205836745</v>
      </c>
      <c r="J394" s="19">
        <v>0</v>
      </c>
      <c r="K394" s="19">
        <v>0.57537996808701442</v>
      </c>
      <c r="L394" s="19">
        <v>0.42462003191298564</v>
      </c>
      <c r="M394" s="20">
        <v>2</v>
      </c>
      <c r="N394" s="19">
        <v>0.28948153448519037</v>
      </c>
      <c r="O394" s="19">
        <v>0.17780658579507494</v>
      </c>
      <c r="P394" s="19">
        <v>0.10809184780674908</v>
      </c>
      <c r="Q394" s="19">
        <v>0.20408626764224055</v>
      </c>
      <c r="R394" s="19">
        <v>0.19114555669174688</v>
      </c>
      <c r="S394" s="19">
        <v>2.9388207578998203E-2</v>
      </c>
      <c r="T394" s="20">
        <v>23</v>
      </c>
      <c r="U394" s="17">
        <v>2</v>
      </c>
      <c r="V394" s="17">
        <v>37</v>
      </c>
    </row>
    <row r="395" spans="1:22" x14ac:dyDescent="0.2">
      <c r="A395" t="s">
        <v>1648</v>
      </c>
      <c r="B395" t="s">
        <v>851</v>
      </c>
      <c r="C395" t="s">
        <v>852</v>
      </c>
      <c r="D395" t="s">
        <v>1642</v>
      </c>
      <c r="E395" s="10" t="s">
        <v>1649</v>
      </c>
      <c r="F395" s="10"/>
      <c r="G395" s="10"/>
      <c r="H395" s="10" t="s">
        <v>1649</v>
      </c>
      <c r="I395" s="14">
        <v>288001.32428557472</v>
      </c>
      <c r="J395" s="19">
        <v>0</v>
      </c>
      <c r="K395" s="19">
        <v>0.53383086059467877</v>
      </c>
      <c r="L395" s="19">
        <v>0.46616913940532123</v>
      </c>
      <c r="M395" s="20">
        <v>2</v>
      </c>
      <c r="N395" s="19">
        <v>0.16425022723308</v>
      </c>
      <c r="O395" s="19">
        <v>0.22556957758401239</v>
      </c>
      <c r="P395" s="19">
        <v>0.14401105577758641</v>
      </c>
      <c r="Q395" s="19">
        <v>0.22365303147521495</v>
      </c>
      <c r="R395" s="19">
        <v>0.21686559151313839</v>
      </c>
      <c r="S395" s="19">
        <v>2.5650516416967882E-2</v>
      </c>
      <c r="T395" s="20">
        <v>22</v>
      </c>
      <c r="U395" s="17">
        <v>2</v>
      </c>
      <c r="V395" s="17">
        <v>37</v>
      </c>
    </row>
    <row r="396" spans="1:22" x14ac:dyDescent="0.2">
      <c r="A396" t="s">
        <v>1650</v>
      </c>
      <c r="B396" t="s">
        <v>851</v>
      </c>
      <c r="C396" t="s">
        <v>852</v>
      </c>
      <c r="D396" t="s">
        <v>1642</v>
      </c>
      <c r="E396" s="10" t="s">
        <v>1651</v>
      </c>
      <c r="F396" s="10"/>
      <c r="G396" s="10"/>
      <c r="H396" s="10" t="s">
        <v>1651</v>
      </c>
      <c r="I396" s="14">
        <v>240980.97338390211</v>
      </c>
      <c r="J396" s="19">
        <v>0</v>
      </c>
      <c r="K396" s="19">
        <v>0.38989888315618304</v>
      </c>
      <c r="L396" s="19">
        <v>0.61010111684381696</v>
      </c>
      <c r="M396" s="20">
        <v>1</v>
      </c>
      <c r="N396" s="19">
        <v>0.13868756826369741</v>
      </c>
      <c r="O396" s="19">
        <v>0.13499435657442721</v>
      </c>
      <c r="P396" s="19">
        <v>0.11621695831805841</v>
      </c>
      <c r="Q396" s="19">
        <v>0.29944663022092266</v>
      </c>
      <c r="R396" s="19">
        <v>0.27174844906606588</v>
      </c>
      <c r="S396" s="19">
        <v>3.8906037556828435E-2</v>
      </c>
      <c r="T396" s="20">
        <v>13</v>
      </c>
      <c r="U396" s="17">
        <v>2</v>
      </c>
      <c r="V396" s="17">
        <v>37</v>
      </c>
    </row>
    <row r="397" spans="1:22" x14ac:dyDescent="0.2">
      <c r="A397" t="s">
        <v>1652</v>
      </c>
      <c r="B397" t="s">
        <v>851</v>
      </c>
      <c r="C397" t="s">
        <v>852</v>
      </c>
      <c r="D397" t="s">
        <v>1642</v>
      </c>
      <c r="E397" s="10" t="s">
        <v>1653</v>
      </c>
      <c r="F397" s="10"/>
      <c r="G397" s="10"/>
      <c r="H397" s="10" t="s">
        <v>1653</v>
      </c>
      <c r="I397" s="14">
        <v>381753.92910482734</v>
      </c>
      <c r="J397" s="19">
        <v>0.79482659394393285</v>
      </c>
      <c r="K397" s="19">
        <v>0.18358150511086274</v>
      </c>
      <c r="L397" s="19">
        <v>2.1591900945204471E-2</v>
      </c>
      <c r="M397" s="20">
        <v>3</v>
      </c>
      <c r="N397" s="19">
        <v>0.10215663324351362</v>
      </c>
      <c r="O397" s="19">
        <v>0</v>
      </c>
      <c r="P397" s="19">
        <v>8.1424871867349119E-2</v>
      </c>
      <c r="Q397" s="19">
        <v>4.1997007637109857E-3</v>
      </c>
      <c r="R397" s="19">
        <v>1.5771573696729588E-2</v>
      </c>
      <c r="S397" s="19">
        <v>1.6206264847639003E-3</v>
      </c>
      <c r="T397" s="20">
        <v>30</v>
      </c>
      <c r="U397" s="17">
        <v>2</v>
      </c>
      <c r="V397" s="17">
        <v>37</v>
      </c>
    </row>
    <row r="398" spans="1:22" x14ac:dyDescent="0.2">
      <c r="A398" t="s">
        <v>1654</v>
      </c>
      <c r="B398" t="s">
        <v>851</v>
      </c>
      <c r="C398" t="s">
        <v>852</v>
      </c>
      <c r="D398" t="s">
        <v>1642</v>
      </c>
      <c r="E398" s="10" t="s">
        <v>1655</v>
      </c>
      <c r="F398" s="10"/>
      <c r="G398" s="10"/>
      <c r="H398" s="10" t="s">
        <v>1655</v>
      </c>
      <c r="I398" s="14">
        <v>475792.89966041083</v>
      </c>
      <c r="J398" s="19">
        <v>0</v>
      </c>
      <c r="K398" s="19">
        <v>0.71193646447018888</v>
      </c>
      <c r="L398" s="19">
        <v>0.28806353552981107</v>
      </c>
      <c r="M398" s="20">
        <v>2</v>
      </c>
      <c r="N398" s="19">
        <v>0.24544589981947054</v>
      </c>
      <c r="O398" s="19">
        <v>0.20206256229237557</v>
      </c>
      <c r="P398" s="19">
        <v>0.2644280023583428</v>
      </c>
      <c r="Q398" s="19">
        <v>0.11012307136883237</v>
      </c>
      <c r="R398" s="19">
        <v>0.15479409073127723</v>
      </c>
      <c r="S398" s="19">
        <v>2.3146373429701463E-2</v>
      </c>
      <c r="T398" s="20">
        <v>23</v>
      </c>
      <c r="U398" s="17">
        <v>2</v>
      </c>
      <c r="V398" s="17">
        <v>37</v>
      </c>
    </row>
    <row r="399" spans="1:22" x14ac:dyDescent="0.2">
      <c r="A399" t="s">
        <v>1656</v>
      </c>
      <c r="B399" t="s">
        <v>851</v>
      </c>
      <c r="C399" t="s">
        <v>852</v>
      </c>
      <c r="D399" t="s">
        <v>1642</v>
      </c>
      <c r="E399" s="10" t="s">
        <v>1657</v>
      </c>
      <c r="F399" s="10"/>
      <c r="G399" s="10"/>
      <c r="H399" s="10" t="s">
        <v>1657</v>
      </c>
      <c r="I399" s="14">
        <v>268921.18230496999</v>
      </c>
      <c r="J399" s="19">
        <v>0.24570479882903642</v>
      </c>
      <c r="K399" s="19">
        <v>0.26995651772174728</v>
      </c>
      <c r="L399" s="19">
        <v>0.48433868344921627</v>
      </c>
      <c r="M399" s="20">
        <v>2</v>
      </c>
      <c r="N399" s="19">
        <v>7.6640593797024051E-2</v>
      </c>
      <c r="O399" s="19">
        <v>0.1006199786813791</v>
      </c>
      <c r="P399" s="19">
        <v>9.2695945243344124E-2</v>
      </c>
      <c r="Q399" s="19">
        <v>0.27595375362299068</v>
      </c>
      <c r="R399" s="19">
        <v>0.18486363152899477</v>
      </c>
      <c r="S399" s="19">
        <v>2.3521298297230857E-2</v>
      </c>
      <c r="T399" s="20">
        <v>22</v>
      </c>
      <c r="U399" s="17">
        <v>2</v>
      </c>
      <c r="V399" s="17">
        <v>37</v>
      </c>
    </row>
    <row r="400" spans="1:22" x14ac:dyDescent="0.2">
      <c r="A400" t="s">
        <v>1658</v>
      </c>
      <c r="B400" t="s">
        <v>851</v>
      </c>
      <c r="C400" t="s">
        <v>852</v>
      </c>
      <c r="D400" t="s">
        <v>1642</v>
      </c>
      <c r="E400" s="10" t="s">
        <v>1659</v>
      </c>
      <c r="F400" s="10"/>
      <c r="G400" s="10"/>
      <c r="H400" s="10" t="s">
        <v>1659</v>
      </c>
      <c r="I400" s="14">
        <v>324058.32377923472</v>
      </c>
      <c r="J400" s="19">
        <v>8.2440470907121033E-2</v>
      </c>
      <c r="K400" s="19">
        <v>0.66594767006500644</v>
      </c>
      <c r="L400" s="19">
        <v>0.25161185902787231</v>
      </c>
      <c r="M400" s="20">
        <v>2</v>
      </c>
      <c r="N400" s="19">
        <v>7.5500671331710817E-2</v>
      </c>
      <c r="O400" s="19">
        <v>0.11640256008011411</v>
      </c>
      <c r="P400" s="19">
        <v>0.47404443865318147</v>
      </c>
      <c r="Q400" s="19">
        <v>9.9436067217882868E-2</v>
      </c>
      <c r="R400" s="19">
        <v>0.13255037061532862</v>
      </c>
      <c r="S400" s="19">
        <v>1.9625421194660816E-2</v>
      </c>
      <c r="T400" s="20">
        <v>22</v>
      </c>
      <c r="U400" s="17">
        <v>2</v>
      </c>
      <c r="V400" s="17">
        <v>37</v>
      </c>
    </row>
    <row r="401" spans="1:22" x14ac:dyDescent="0.2">
      <c r="A401" t="s">
        <v>1660</v>
      </c>
      <c r="B401" t="s">
        <v>851</v>
      </c>
      <c r="C401" t="s">
        <v>852</v>
      </c>
      <c r="D401" t="s">
        <v>1642</v>
      </c>
      <c r="E401" s="10" t="s">
        <v>1661</v>
      </c>
      <c r="F401" s="10"/>
      <c r="G401" s="10"/>
      <c r="H401" s="10" t="s">
        <v>1661</v>
      </c>
      <c r="I401" s="14">
        <v>169975.13670273588</v>
      </c>
      <c r="J401" s="19">
        <v>0.30843737394369208</v>
      </c>
      <c r="K401" s="19">
        <v>0.29706410984210257</v>
      </c>
      <c r="L401" s="19">
        <v>0.39449851621420551</v>
      </c>
      <c r="M401" s="20">
        <v>2</v>
      </c>
      <c r="N401" s="19">
        <v>0</v>
      </c>
      <c r="O401" s="19">
        <v>0.14346512076733453</v>
      </c>
      <c r="P401" s="19">
        <v>0.15359898907476807</v>
      </c>
      <c r="Q401" s="19">
        <v>0.1795675737464037</v>
      </c>
      <c r="R401" s="19">
        <v>0.19066946860256281</v>
      </c>
      <c r="S401" s="19">
        <v>2.4261473865239008E-2</v>
      </c>
      <c r="T401" s="20">
        <v>22</v>
      </c>
      <c r="U401" s="17">
        <v>2</v>
      </c>
      <c r="V401" s="17">
        <v>37</v>
      </c>
    </row>
    <row r="402" spans="1:22" x14ac:dyDescent="0.2">
      <c r="A402" t="s">
        <v>1662</v>
      </c>
      <c r="B402" t="s">
        <v>851</v>
      </c>
      <c r="C402" t="s">
        <v>852</v>
      </c>
      <c r="D402" t="s">
        <v>1642</v>
      </c>
      <c r="E402" s="10" t="s">
        <v>1663</v>
      </c>
      <c r="F402" s="10"/>
      <c r="G402" s="10"/>
      <c r="H402" s="10" t="s">
        <v>1663</v>
      </c>
      <c r="I402" s="14">
        <v>250004.34157499252</v>
      </c>
      <c r="J402" s="19">
        <v>0.35375968751737263</v>
      </c>
      <c r="K402" s="19">
        <v>0.2953330184939198</v>
      </c>
      <c r="L402" s="19">
        <v>0.35090729398870757</v>
      </c>
      <c r="M402" s="20">
        <v>2</v>
      </c>
      <c r="N402" s="19">
        <v>4.4271946949587776E-2</v>
      </c>
      <c r="O402" s="19">
        <v>8.6101727815174667E-2</v>
      </c>
      <c r="P402" s="19">
        <v>0.16495934372915733</v>
      </c>
      <c r="Q402" s="19">
        <v>0.15425935166845861</v>
      </c>
      <c r="R402" s="19">
        <v>0.1692440321146656</v>
      </c>
      <c r="S402" s="19">
        <v>2.7403910205583363E-2</v>
      </c>
      <c r="T402" s="20">
        <v>22</v>
      </c>
      <c r="U402" s="17">
        <v>2</v>
      </c>
      <c r="V402" s="17">
        <v>37</v>
      </c>
    </row>
    <row r="403" spans="1:22" x14ac:dyDescent="0.2">
      <c r="A403" t="s">
        <v>1664</v>
      </c>
      <c r="B403" t="s">
        <v>851</v>
      </c>
      <c r="C403" t="s">
        <v>852</v>
      </c>
      <c r="D403" t="s">
        <v>1665</v>
      </c>
      <c r="E403" s="10" t="s">
        <v>1666</v>
      </c>
      <c r="F403" s="10"/>
      <c r="G403" s="10"/>
      <c r="H403" s="10" t="s">
        <v>1666</v>
      </c>
      <c r="I403" s="14">
        <v>171370.05043192324</v>
      </c>
      <c r="J403" s="19">
        <v>0.82103426748579222</v>
      </c>
      <c r="K403" s="19">
        <v>4.8530797839452855E-2</v>
      </c>
      <c r="L403" s="19">
        <v>0.13043493467475489</v>
      </c>
      <c r="M403" s="20">
        <v>3</v>
      </c>
      <c r="N403" s="19">
        <v>0</v>
      </c>
      <c r="O403" s="19">
        <v>0</v>
      </c>
      <c r="P403" s="19">
        <v>4.8530797839452855E-2</v>
      </c>
      <c r="Q403" s="19">
        <v>9.8652429830493812E-2</v>
      </c>
      <c r="R403" s="19">
        <v>2.6618957093233607E-2</v>
      </c>
      <c r="S403" s="19">
        <v>5.1635477510274738E-3</v>
      </c>
      <c r="T403" s="20">
        <v>30</v>
      </c>
      <c r="U403" s="17">
        <v>2</v>
      </c>
      <c r="V403" s="17">
        <v>37</v>
      </c>
    </row>
    <row r="404" spans="1:22" x14ac:dyDescent="0.2">
      <c r="A404" t="s">
        <v>1667</v>
      </c>
      <c r="B404" t="s">
        <v>851</v>
      </c>
      <c r="C404" t="s">
        <v>852</v>
      </c>
      <c r="D404" t="s">
        <v>1665</v>
      </c>
      <c r="E404" s="10" t="s">
        <v>1668</v>
      </c>
      <c r="F404" s="10"/>
      <c r="G404" s="10"/>
      <c r="H404" s="10" t="s">
        <v>1668</v>
      </c>
      <c r="I404" s="14">
        <v>184733.02390533779</v>
      </c>
      <c r="J404" s="19">
        <v>0</v>
      </c>
      <c r="K404" s="19">
        <v>0.40256527899317429</v>
      </c>
      <c r="L404" s="19">
        <v>0.59743472100682571</v>
      </c>
      <c r="M404" s="20">
        <v>1</v>
      </c>
      <c r="N404" s="19">
        <v>0.1770694792951826</v>
      </c>
      <c r="O404" s="19">
        <v>0.15252955598072554</v>
      </c>
      <c r="P404" s="19">
        <v>7.2966243717266149E-2</v>
      </c>
      <c r="Q404" s="19">
        <v>0.28949090921641851</v>
      </c>
      <c r="R404" s="19">
        <v>0.26339674741603397</v>
      </c>
      <c r="S404" s="19">
        <v>4.4547064374373238E-2</v>
      </c>
      <c r="T404" s="20">
        <v>13</v>
      </c>
      <c r="U404" s="17">
        <v>2</v>
      </c>
      <c r="V404" s="17">
        <v>37</v>
      </c>
    </row>
    <row r="405" spans="1:22" x14ac:dyDescent="0.2">
      <c r="A405" t="s">
        <v>1669</v>
      </c>
      <c r="B405" t="s">
        <v>851</v>
      </c>
      <c r="C405" t="s">
        <v>852</v>
      </c>
      <c r="D405" t="s">
        <v>1665</v>
      </c>
      <c r="E405" s="10" t="s">
        <v>1670</v>
      </c>
      <c r="F405" s="10"/>
      <c r="G405" s="10"/>
      <c r="H405" s="10" t="s">
        <v>1670</v>
      </c>
      <c r="I405" s="14">
        <v>316025.59839027561</v>
      </c>
      <c r="J405" s="19">
        <v>0</v>
      </c>
      <c r="K405" s="19">
        <v>0.55863642820835913</v>
      </c>
      <c r="L405" s="19">
        <v>0.44136357179164082</v>
      </c>
      <c r="M405" s="20">
        <v>2</v>
      </c>
      <c r="N405" s="19">
        <v>0.31447335364422802</v>
      </c>
      <c r="O405" s="19">
        <v>0.16071085620036871</v>
      </c>
      <c r="P405" s="19">
        <v>8.3452218363762445E-2</v>
      </c>
      <c r="Q405" s="19">
        <v>0.3059364788395747</v>
      </c>
      <c r="R405" s="19">
        <v>0.12268019472061439</v>
      </c>
      <c r="S405" s="19">
        <v>1.2746898231451743E-2</v>
      </c>
      <c r="T405" s="20">
        <v>23</v>
      </c>
      <c r="U405" s="17">
        <v>2</v>
      </c>
      <c r="V405" s="17">
        <v>37</v>
      </c>
    </row>
    <row r="406" spans="1:22" x14ac:dyDescent="0.2">
      <c r="A406" t="s">
        <v>1671</v>
      </c>
      <c r="B406" t="s">
        <v>851</v>
      </c>
      <c r="C406" t="s">
        <v>852</v>
      </c>
      <c r="D406" t="s">
        <v>1665</v>
      </c>
      <c r="E406" s="10" t="s">
        <v>1672</v>
      </c>
      <c r="F406" s="10"/>
      <c r="G406" s="10"/>
      <c r="H406" s="10" t="s">
        <v>1672</v>
      </c>
      <c r="I406" s="14">
        <v>51842.490594097413</v>
      </c>
      <c r="J406" s="19">
        <v>0</v>
      </c>
      <c r="K406" s="19">
        <v>0.36713876838119935</v>
      </c>
      <c r="L406" s="19">
        <v>0.63286123161880059</v>
      </c>
      <c r="M406" s="20">
        <v>1</v>
      </c>
      <c r="N406" s="19">
        <v>0.26917828147476519</v>
      </c>
      <c r="O406" s="19">
        <v>0</v>
      </c>
      <c r="P406" s="19">
        <v>9.7960486906434177E-2</v>
      </c>
      <c r="Q406" s="19">
        <v>0.25036462858462138</v>
      </c>
      <c r="R406" s="19">
        <v>0.34765113949540916</v>
      </c>
      <c r="S406" s="19">
        <v>3.4845463538770133E-2</v>
      </c>
      <c r="T406" s="20">
        <v>12</v>
      </c>
      <c r="U406" s="17">
        <v>2</v>
      </c>
      <c r="V406" s="17">
        <v>37</v>
      </c>
    </row>
    <row r="407" spans="1:22" x14ac:dyDescent="0.2">
      <c r="A407" t="s">
        <v>1673</v>
      </c>
      <c r="B407" t="s">
        <v>851</v>
      </c>
      <c r="C407" t="s">
        <v>852</v>
      </c>
      <c r="D407" t="s">
        <v>1665</v>
      </c>
      <c r="E407" s="10" t="s">
        <v>1674</v>
      </c>
      <c r="F407" s="10"/>
      <c r="G407" s="10"/>
      <c r="H407" s="10" t="s">
        <v>1674</v>
      </c>
      <c r="I407" s="14">
        <v>404006.15065413853</v>
      </c>
      <c r="J407" s="19">
        <v>0.90990008270232825</v>
      </c>
      <c r="K407" s="19">
        <v>7.4538555324859423E-2</v>
      </c>
      <c r="L407" s="19">
        <v>1.5561361972812372E-2</v>
      </c>
      <c r="M407" s="20">
        <v>3</v>
      </c>
      <c r="N407" s="19">
        <v>0</v>
      </c>
      <c r="O407" s="19">
        <v>0</v>
      </c>
      <c r="P407" s="19">
        <v>7.4538555324859423E-2</v>
      </c>
      <c r="Q407" s="19">
        <v>0</v>
      </c>
      <c r="R407" s="19">
        <v>1.396967709217479E-2</v>
      </c>
      <c r="S407" s="19">
        <v>1.5916848806375799E-3</v>
      </c>
      <c r="T407" s="20">
        <v>30</v>
      </c>
      <c r="U407" s="17">
        <v>2</v>
      </c>
      <c r="V407" s="17">
        <v>37</v>
      </c>
    </row>
    <row r="408" spans="1:22" x14ac:dyDescent="0.2">
      <c r="A408" t="s">
        <v>1675</v>
      </c>
      <c r="B408" t="s">
        <v>851</v>
      </c>
      <c r="C408" t="s">
        <v>852</v>
      </c>
      <c r="D408" t="s">
        <v>1665</v>
      </c>
      <c r="E408" s="10" t="s">
        <v>1676</v>
      </c>
      <c r="F408" s="10"/>
      <c r="G408" s="10"/>
      <c r="H408" s="10" t="s">
        <v>1676</v>
      </c>
      <c r="I408" s="14">
        <v>417649.53171066684</v>
      </c>
      <c r="J408" s="19">
        <v>0.19946006730050703</v>
      </c>
      <c r="K408" s="19">
        <v>0.46218108974916694</v>
      </c>
      <c r="L408" s="19">
        <v>0.33835884295032609</v>
      </c>
      <c r="M408" s="20">
        <v>2</v>
      </c>
      <c r="N408" s="19">
        <v>0.20582462557874143</v>
      </c>
      <c r="O408" s="19">
        <v>0.11191571023823199</v>
      </c>
      <c r="P408" s="19">
        <v>0.14444075393219349</v>
      </c>
      <c r="Q408" s="19">
        <v>0.11398641815359187</v>
      </c>
      <c r="R408" s="19">
        <v>0.19367312998394576</v>
      </c>
      <c r="S408" s="19">
        <v>3.0699294812788415E-2</v>
      </c>
      <c r="T408" s="20">
        <v>23</v>
      </c>
      <c r="U408" s="17">
        <v>2</v>
      </c>
      <c r="V408" s="17">
        <v>37</v>
      </c>
    </row>
    <row r="409" spans="1:22" x14ac:dyDescent="0.2">
      <c r="A409" t="s">
        <v>1677</v>
      </c>
      <c r="B409" t="s">
        <v>851</v>
      </c>
      <c r="C409" t="s">
        <v>852</v>
      </c>
      <c r="D409" t="s">
        <v>1665</v>
      </c>
      <c r="E409" s="10" t="s">
        <v>1678</v>
      </c>
      <c r="F409" s="10"/>
      <c r="G409" s="10"/>
      <c r="H409" s="10" t="s">
        <v>1678</v>
      </c>
      <c r="I409" s="14">
        <v>165783.73906043125</v>
      </c>
      <c r="J409" s="19">
        <v>0</v>
      </c>
      <c r="K409" s="19">
        <v>0.66935455616317874</v>
      </c>
      <c r="L409" s="19">
        <v>0.33064544383682121</v>
      </c>
      <c r="M409" s="20">
        <v>2</v>
      </c>
      <c r="N409" s="19">
        <v>0.310959337039452</v>
      </c>
      <c r="O409" s="19">
        <v>0.1083833287349683</v>
      </c>
      <c r="P409" s="19">
        <v>0.25001189038875848</v>
      </c>
      <c r="Q409" s="19">
        <v>0.14633891269872279</v>
      </c>
      <c r="R409" s="19">
        <v>0.14330694558157314</v>
      </c>
      <c r="S409" s="19">
        <v>4.0999585556525296E-2</v>
      </c>
      <c r="T409" s="20">
        <v>23</v>
      </c>
      <c r="U409" s="17">
        <v>2</v>
      </c>
      <c r="V409" s="17">
        <v>37</v>
      </c>
    </row>
    <row r="410" spans="1:22" x14ac:dyDescent="0.2">
      <c r="A410" t="s">
        <v>1679</v>
      </c>
      <c r="B410" t="s">
        <v>851</v>
      </c>
      <c r="C410" t="s">
        <v>852</v>
      </c>
      <c r="D410" t="s">
        <v>1665</v>
      </c>
      <c r="E410" s="10" t="s">
        <v>1680</v>
      </c>
      <c r="F410" s="10"/>
      <c r="G410" s="10"/>
      <c r="H410" s="10" t="s">
        <v>1680</v>
      </c>
      <c r="I410" s="14">
        <v>267177.13656610879</v>
      </c>
      <c r="J410" s="19">
        <v>0.20273421039356379</v>
      </c>
      <c r="K410" s="19">
        <v>0.32022548382867366</v>
      </c>
      <c r="L410" s="19">
        <v>0.47704030577776252</v>
      </c>
      <c r="M410" s="20">
        <v>2</v>
      </c>
      <c r="N410" s="19">
        <v>2.6999512118244279E-2</v>
      </c>
      <c r="O410" s="19">
        <v>0.11046216053430379</v>
      </c>
      <c r="P410" s="19">
        <v>0.18276381117612561</v>
      </c>
      <c r="Q410" s="19">
        <v>0.22904484702346725</v>
      </c>
      <c r="R410" s="19">
        <v>0.22096673469470149</v>
      </c>
      <c r="S410" s="19">
        <v>2.7028724059593785E-2</v>
      </c>
      <c r="T410" s="20">
        <v>22</v>
      </c>
      <c r="U410" s="17">
        <v>2</v>
      </c>
      <c r="V410" s="17">
        <v>37</v>
      </c>
    </row>
    <row r="411" spans="1:22" x14ac:dyDescent="0.2">
      <c r="A411" t="s">
        <v>1681</v>
      </c>
      <c r="B411" t="s">
        <v>851</v>
      </c>
      <c r="C411" t="s">
        <v>852</v>
      </c>
      <c r="D411" t="s">
        <v>1665</v>
      </c>
      <c r="E411" s="10" t="s">
        <v>1682</v>
      </c>
      <c r="F411" s="10"/>
      <c r="G411" s="10"/>
      <c r="H411" s="10" t="s">
        <v>1682</v>
      </c>
      <c r="I411" s="14">
        <v>363271.44953886839</v>
      </c>
      <c r="J411" s="19">
        <v>4.7828262587976525E-2</v>
      </c>
      <c r="K411" s="19">
        <v>0.48339409736610017</v>
      </c>
      <c r="L411" s="19">
        <v>0.46877764004592332</v>
      </c>
      <c r="M411" s="20">
        <v>2</v>
      </c>
      <c r="N411" s="19">
        <v>1.7088588034398323E-2</v>
      </c>
      <c r="O411" s="19">
        <v>0.38953636769887012</v>
      </c>
      <c r="P411" s="19">
        <v>7.6769141632831717E-2</v>
      </c>
      <c r="Q411" s="19">
        <v>0.19028327236628029</v>
      </c>
      <c r="R411" s="19">
        <v>0.24989065554644765</v>
      </c>
      <c r="S411" s="19">
        <v>2.8603712133195371E-2</v>
      </c>
      <c r="T411" s="20">
        <v>22</v>
      </c>
      <c r="U411" s="17">
        <v>2</v>
      </c>
      <c r="V411" s="17">
        <v>37</v>
      </c>
    </row>
    <row r="412" spans="1:22" x14ac:dyDescent="0.2">
      <c r="A412" t="s">
        <v>1683</v>
      </c>
      <c r="B412" t="s">
        <v>851</v>
      </c>
      <c r="C412" t="s">
        <v>852</v>
      </c>
      <c r="D412" t="s">
        <v>1665</v>
      </c>
      <c r="E412" s="10" t="s">
        <v>1684</v>
      </c>
      <c r="F412" s="10"/>
      <c r="G412" s="10"/>
      <c r="H412" s="10" t="s">
        <v>1684</v>
      </c>
      <c r="I412" s="14">
        <v>36270.418181400746</v>
      </c>
      <c r="J412" s="19">
        <v>0</v>
      </c>
      <c r="K412" s="19">
        <v>0</v>
      </c>
      <c r="L412" s="19">
        <v>1</v>
      </c>
      <c r="M412" s="20">
        <v>1</v>
      </c>
      <c r="N412" s="19">
        <v>0</v>
      </c>
      <c r="O412" s="19">
        <v>0</v>
      </c>
      <c r="P412" s="19">
        <v>0</v>
      </c>
      <c r="Q412" s="19">
        <v>0.32047542009412294</v>
      </c>
      <c r="R412" s="19">
        <v>0.58580236535523533</v>
      </c>
      <c r="S412" s="19">
        <v>9.372221455064178E-2</v>
      </c>
      <c r="T412" s="20">
        <v>12</v>
      </c>
      <c r="U412" s="17">
        <v>2</v>
      </c>
      <c r="V412" s="17">
        <v>37</v>
      </c>
    </row>
    <row r="413" spans="1:22" x14ac:dyDescent="0.2">
      <c r="A413" t="s">
        <v>1685</v>
      </c>
      <c r="B413" t="s">
        <v>851</v>
      </c>
      <c r="C413" t="s">
        <v>852</v>
      </c>
      <c r="D413" t="s">
        <v>1665</v>
      </c>
      <c r="E413" s="10" t="s">
        <v>1686</v>
      </c>
      <c r="F413" s="10"/>
      <c r="G413" s="10"/>
      <c r="H413" s="10" t="s">
        <v>1686</v>
      </c>
      <c r="I413" s="14">
        <v>334388.5607953649</v>
      </c>
      <c r="J413" s="19">
        <v>0.31500142773727602</v>
      </c>
      <c r="K413" s="19">
        <v>0.29044093639194102</v>
      </c>
      <c r="L413" s="19">
        <v>0.39455763587078296</v>
      </c>
      <c r="M413" s="20">
        <v>2</v>
      </c>
      <c r="N413" s="19">
        <v>4.5747098572389192E-2</v>
      </c>
      <c r="O413" s="19">
        <v>0.12110411956498947</v>
      </c>
      <c r="P413" s="19">
        <v>0.12358971825456237</v>
      </c>
      <c r="Q413" s="19">
        <v>0.1895414281302179</v>
      </c>
      <c r="R413" s="19">
        <v>0.18419849106628491</v>
      </c>
      <c r="S413" s="19">
        <v>2.0817716674280083E-2</v>
      </c>
      <c r="T413" s="20">
        <v>22</v>
      </c>
      <c r="U413" s="17">
        <v>2</v>
      </c>
      <c r="V413" s="17">
        <v>37</v>
      </c>
    </row>
    <row r="414" spans="1:22" x14ac:dyDescent="0.2">
      <c r="A414" t="s">
        <v>1687</v>
      </c>
      <c r="B414" t="s">
        <v>851</v>
      </c>
      <c r="C414" t="s">
        <v>852</v>
      </c>
      <c r="D414" t="s">
        <v>1665</v>
      </c>
      <c r="E414" s="10" t="s">
        <v>1688</v>
      </c>
      <c r="F414" s="10"/>
      <c r="G414" s="10"/>
      <c r="H414" s="10" t="s">
        <v>1688</v>
      </c>
      <c r="I414" s="14">
        <v>92332.438812380889</v>
      </c>
      <c r="J414" s="19">
        <v>0</v>
      </c>
      <c r="K414" s="19">
        <v>0.64381381513613767</v>
      </c>
      <c r="L414" s="19">
        <v>0.35618618486386228</v>
      </c>
      <c r="M414" s="20">
        <v>2</v>
      </c>
      <c r="N414" s="19">
        <v>0.43922520191258807</v>
      </c>
      <c r="O414" s="19">
        <v>0.15947582454741402</v>
      </c>
      <c r="P414" s="19">
        <v>4.5112788676135718E-2</v>
      </c>
      <c r="Q414" s="19">
        <v>0.21260070376101817</v>
      </c>
      <c r="R414" s="19">
        <v>0.13389868288188861</v>
      </c>
      <c r="S414" s="19">
        <v>9.6867982209554362E-3</v>
      </c>
      <c r="T414" s="20">
        <v>23</v>
      </c>
      <c r="U414" s="17">
        <v>2</v>
      </c>
      <c r="V414" s="17">
        <v>37</v>
      </c>
    </row>
    <row r="415" spans="1:22" x14ac:dyDescent="0.2">
      <c r="A415" t="s">
        <v>1689</v>
      </c>
      <c r="B415" t="s">
        <v>851</v>
      </c>
      <c r="C415" t="s">
        <v>852</v>
      </c>
      <c r="D415" t="s">
        <v>1690</v>
      </c>
      <c r="E415" s="10" t="s">
        <v>1691</v>
      </c>
      <c r="F415" s="10"/>
      <c r="G415" s="10"/>
      <c r="H415" s="10" t="s">
        <v>1691</v>
      </c>
      <c r="I415" s="14">
        <v>217547.11138717551</v>
      </c>
      <c r="J415" s="19">
        <v>0.88138877461615728</v>
      </c>
      <c r="K415" s="19">
        <v>7.0951300133888381E-2</v>
      </c>
      <c r="L415" s="19">
        <v>4.7659925249954237E-2</v>
      </c>
      <c r="M415" s="20">
        <v>3</v>
      </c>
      <c r="N415" s="19">
        <v>0</v>
      </c>
      <c r="O415" s="19">
        <v>0</v>
      </c>
      <c r="P415" s="19">
        <v>7.0951300133888381E-2</v>
      </c>
      <c r="Q415" s="19">
        <v>4.4277125487719683E-3</v>
      </c>
      <c r="R415" s="19">
        <v>4.0201334894150995E-2</v>
      </c>
      <c r="S415" s="19">
        <v>3.0308778070312751E-3</v>
      </c>
      <c r="T415" s="20">
        <v>30</v>
      </c>
      <c r="U415" s="17">
        <v>2</v>
      </c>
      <c r="V415" s="17">
        <v>37</v>
      </c>
    </row>
    <row r="416" spans="1:22" x14ac:dyDescent="0.2">
      <c r="A416" t="s">
        <v>1692</v>
      </c>
      <c r="B416" t="s">
        <v>851</v>
      </c>
      <c r="C416" t="s">
        <v>852</v>
      </c>
      <c r="D416" t="s">
        <v>1690</v>
      </c>
      <c r="E416" s="10" t="s">
        <v>1693</v>
      </c>
      <c r="F416" s="10"/>
      <c r="G416" s="10"/>
      <c r="H416" s="10" t="s">
        <v>1693</v>
      </c>
      <c r="I416" s="14">
        <v>228568.23368928954</v>
      </c>
      <c r="J416" s="19">
        <v>1.5516866681326911E-2</v>
      </c>
      <c r="K416" s="19">
        <v>0.70847808738074003</v>
      </c>
      <c r="L416" s="19">
        <v>0.27600504593793307</v>
      </c>
      <c r="M416" s="20">
        <v>2</v>
      </c>
      <c r="N416" s="19">
        <v>0.19282116295084517</v>
      </c>
      <c r="O416" s="19">
        <v>0.15149444252755884</v>
      </c>
      <c r="P416" s="19">
        <v>0.36416248190233602</v>
      </c>
      <c r="Q416" s="19">
        <v>0.13471600797004343</v>
      </c>
      <c r="R416" s="19">
        <v>0.12170974359948647</v>
      </c>
      <c r="S416" s="19">
        <v>1.957929436840319E-2</v>
      </c>
      <c r="T416" s="20">
        <v>23</v>
      </c>
      <c r="U416" s="17">
        <v>2</v>
      </c>
      <c r="V416" s="17">
        <v>37</v>
      </c>
    </row>
    <row r="417" spans="1:22" x14ac:dyDescent="0.2">
      <c r="A417" t="s">
        <v>1694</v>
      </c>
      <c r="B417" t="s">
        <v>851</v>
      </c>
      <c r="C417" t="s">
        <v>852</v>
      </c>
      <c r="D417" t="s">
        <v>1690</v>
      </c>
      <c r="E417" s="10" t="s">
        <v>1695</v>
      </c>
      <c r="F417" s="10"/>
      <c r="G417" s="10"/>
      <c r="H417" s="10" t="s">
        <v>1695</v>
      </c>
      <c r="I417" s="14">
        <v>65464.818551138036</v>
      </c>
      <c r="J417" s="19">
        <v>0</v>
      </c>
      <c r="K417" s="19">
        <v>0.53753052437599369</v>
      </c>
      <c r="L417" s="19">
        <v>0.46246947562400637</v>
      </c>
      <c r="M417" s="20">
        <v>2</v>
      </c>
      <c r="N417" s="19">
        <v>8.971436722883773E-2</v>
      </c>
      <c r="O417" s="19">
        <v>0.35826301553481688</v>
      </c>
      <c r="P417" s="19">
        <v>8.9553141612339113E-2</v>
      </c>
      <c r="Q417" s="19">
        <v>0.28346530280116788</v>
      </c>
      <c r="R417" s="19">
        <v>0.16026174422272627</v>
      </c>
      <c r="S417" s="19">
        <v>1.8742428600112229E-2</v>
      </c>
      <c r="T417" s="20">
        <v>22</v>
      </c>
      <c r="U417" s="17">
        <v>2</v>
      </c>
      <c r="V417" s="17">
        <v>37</v>
      </c>
    </row>
    <row r="418" spans="1:22" x14ac:dyDescent="0.2">
      <c r="A418" t="s">
        <v>1696</v>
      </c>
      <c r="B418" t="s">
        <v>851</v>
      </c>
      <c r="C418" t="s">
        <v>852</v>
      </c>
      <c r="D418" t="s">
        <v>1690</v>
      </c>
      <c r="E418" s="10" t="s">
        <v>1697</v>
      </c>
      <c r="F418" s="10"/>
      <c r="G418" s="10"/>
      <c r="H418" s="10" t="s">
        <v>1697</v>
      </c>
      <c r="I418" s="14">
        <v>69986.823733528145</v>
      </c>
      <c r="J418" s="19">
        <v>0</v>
      </c>
      <c r="K418" s="19">
        <v>0.74292751338559071</v>
      </c>
      <c r="L418" s="19">
        <v>0.25707248661440923</v>
      </c>
      <c r="M418" s="20">
        <v>2</v>
      </c>
      <c r="N418" s="19">
        <v>0.42457939808321432</v>
      </c>
      <c r="O418" s="19">
        <v>0</v>
      </c>
      <c r="P418" s="19">
        <v>0.31834811530237644</v>
      </c>
      <c r="Q418" s="19">
        <v>0.12698960402637696</v>
      </c>
      <c r="R418" s="19">
        <v>0.10239067952316781</v>
      </c>
      <c r="S418" s="19">
        <v>2.769220306486447E-2</v>
      </c>
      <c r="T418" s="20">
        <v>23</v>
      </c>
      <c r="U418" s="17">
        <v>2</v>
      </c>
      <c r="V418" s="17">
        <v>37</v>
      </c>
    </row>
    <row r="419" spans="1:22" x14ac:dyDescent="0.2">
      <c r="A419" t="s">
        <v>1698</v>
      </c>
      <c r="B419" t="s">
        <v>851</v>
      </c>
      <c r="C419" t="s">
        <v>852</v>
      </c>
      <c r="D419" t="s">
        <v>1690</v>
      </c>
      <c r="E419" s="10" t="s">
        <v>1699</v>
      </c>
      <c r="F419" s="10"/>
      <c r="G419" s="10"/>
      <c r="H419" s="10" t="s">
        <v>1699</v>
      </c>
      <c r="I419" s="14">
        <v>81318.444234008435</v>
      </c>
      <c r="J419" s="19">
        <v>0</v>
      </c>
      <c r="K419" s="19">
        <v>0.618823221504471</v>
      </c>
      <c r="L419" s="19">
        <v>0.381176778495529</v>
      </c>
      <c r="M419" s="20">
        <v>2</v>
      </c>
      <c r="N419" s="19">
        <v>0.30777243247526254</v>
      </c>
      <c r="O419" s="19">
        <v>9.9651116996230138E-2</v>
      </c>
      <c r="P419" s="19">
        <v>0.21139967203297833</v>
      </c>
      <c r="Q419" s="19">
        <v>0.21637647580392469</v>
      </c>
      <c r="R419" s="19">
        <v>0.1404729030413098</v>
      </c>
      <c r="S419" s="19">
        <v>2.4327399650294502E-2</v>
      </c>
      <c r="T419" s="20">
        <v>23</v>
      </c>
      <c r="U419" s="17">
        <v>2</v>
      </c>
      <c r="V419" s="17">
        <v>37</v>
      </c>
    </row>
    <row r="420" spans="1:22" x14ac:dyDescent="0.2">
      <c r="A420" t="s">
        <v>1700</v>
      </c>
      <c r="B420" t="s">
        <v>851</v>
      </c>
      <c r="C420" t="s">
        <v>852</v>
      </c>
      <c r="D420" t="s">
        <v>1690</v>
      </c>
      <c r="E420" s="10" t="s">
        <v>1701</v>
      </c>
      <c r="F420" s="10"/>
      <c r="G420" s="10"/>
      <c r="H420" s="10" t="s">
        <v>1701</v>
      </c>
      <c r="I420" s="14">
        <v>90489.044928021729</v>
      </c>
      <c r="J420" s="19">
        <v>0</v>
      </c>
      <c r="K420" s="19">
        <v>0.53136495458032296</v>
      </c>
      <c r="L420" s="19">
        <v>0.46863504541967699</v>
      </c>
      <c r="M420" s="20">
        <v>2</v>
      </c>
      <c r="N420" s="19">
        <v>0.36279528940613365</v>
      </c>
      <c r="O420" s="19">
        <v>8.3181787672046134E-2</v>
      </c>
      <c r="P420" s="19">
        <v>8.5387877502143258E-2</v>
      </c>
      <c r="Q420" s="19">
        <v>0.17972798147296265</v>
      </c>
      <c r="R420" s="19">
        <v>0.25317383534519899</v>
      </c>
      <c r="S420" s="19">
        <v>3.5733228601515336E-2</v>
      </c>
      <c r="T420" s="20">
        <v>23</v>
      </c>
      <c r="U420" s="17">
        <v>2</v>
      </c>
      <c r="V420" s="17">
        <v>37</v>
      </c>
    </row>
    <row r="421" spans="1:22" x14ac:dyDescent="0.2">
      <c r="A421" t="s">
        <v>1702</v>
      </c>
      <c r="B421" t="s">
        <v>851</v>
      </c>
      <c r="C421" t="s">
        <v>852</v>
      </c>
      <c r="D421" t="s">
        <v>1690</v>
      </c>
      <c r="E421" s="10" t="s">
        <v>1703</v>
      </c>
      <c r="F421" s="10"/>
      <c r="G421" s="10"/>
      <c r="H421" s="10" t="s">
        <v>1703</v>
      </c>
      <c r="I421" s="14">
        <v>136492.39048985345</v>
      </c>
      <c r="J421" s="19">
        <v>0</v>
      </c>
      <c r="K421" s="19">
        <v>0.45146724544352274</v>
      </c>
      <c r="L421" s="19">
        <v>0.54853275455647721</v>
      </c>
      <c r="M421" s="20">
        <v>1</v>
      </c>
      <c r="N421" s="19">
        <v>0.32594622928612765</v>
      </c>
      <c r="O421" s="19">
        <v>4.4233832141526555E-2</v>
      </c>
      <c r="P421" s="19">
        <v>8.1287184015868513E-2</v>
      </c>
      <c r="Q421" s="19">
        <v>0.48116643134341902</v>
      </c>
      <c r="R421" s="19">
        <v>6.0354035972856677E-2</v>
      </c>
      <c r="S421" s="19">
        <v>7.0122872402015599E-3</v>
      </c>
      <c r="T421" s="20">
        <v>13</v>
      </c>
      <c r="U421" s="17">
        <v>2</v>
      </c>
      <c r="V421" s="17">
        <v>37</v>
      </c>
    </row>
    <row r="422" spans="1:22" x14ac:dyDescent="0.2">
      <c r="A422" t="s">
        <v>1704</v>
      </c>
      <c r="B422" t="s">
        <v>851</v>
      </c>
      <c r="C422" t="s">
        <v>852</v>
      </c>
      <c r="D422" t="s">
        <v>1690</v>
      </c>
      <c r="E422" s="10" t="s">
        <v>1705</v>
      </c>
      <c r="F422" s="10"/>
      <c r="G422" s="10"/>
      <c r="H422" s="10" t="s">
        <v>1705</v>
      </c>
      <c r="I422" s="14">
        <v>145773.87980814045</v>
      </c>
      <c r="J422" s="19">
        <v>0.92242877635049725</v>
      </c>
      <c r="K422" s="19">
        <v>6.6838461473971031E-2</v>
      </c>
      <c r="L422" s="19">
        <v>1.0732762175531761E-2</v>
      </c>
      <c r="M422" s="20">
        <v>3</v>
      </c>
      <c r="N422" s="19">
        <v>0</v>
      </c>
      <c r="O422" s="19">
        <v>0</v>
      </c>
      <c r="P422" s="19">
        <v>6.6838461473971031E-2</v>
      </c>
      <c r="Q422" s="19">
        <v>0</v>
      </c>
      <c r="R422" s="19">
        <v>1.0206776000297563E-2</v>
      </c>
      <c r="S422" s="19">
        <v>5.2598617523419856E-4</v>
      </c>
      <c r="T422" s="20">
        <v>30</v>
      </c>
      <c r="U422" s="17">
        <v>2</v>
      </c>
      <c r="V422" s="17">
        <v>37</v>
      </c>
    </row>
    <row r="423" spans="1:22" x14ac:dyDescent="0.2">
      <c r="A423" t="s">
        <v>1706</v>
      </c>
      <c r="B423" t="s">
        <v>851</v>
      </c>
      <c r="C423" t="s">
        <v>852</v>
      </c>
      <c r="D423" t="s">
        <v>1690</v>
      </c>
      <c r="E423" s="10" t="s">
        <v>1707</v>
      </c>
      <c r="F423" s="10"/>
      <c r="G423" s="10"/>
      <c r="H423" s="10" t="s">
        <v>1707</v>
      </c>
      <c r="I423" s="14">
        <v>436546.15489930462</v>
      </c>
      <c r="J423" s="19">
        <v>0.91669950227783348</v>
      </c>
      <c r="K423" s="19">
        <v>6.595798845684131E-2</v>
      </c>
      <c r="L423" s="19">
        <v>1.7342509265325254E-2</v>
      </c>
      <c r="M423" s="20">
        <v>3</v>
      </c>
      <c r="N423" s="19">
        <v>1.2208094291041577E-2</v>
      </c>
      <c r="O423" s="19">
        <v>0</v>
      </c>
      <c r="P423" s="19">
        <v>5.3749894165799728E-2</v>
      </c>
      <c r="Q423" s="19">
        <v>4.1173289893676806E-3</v>
      </c>
      <c r="R423" s="19">
        <v>1.2320990224963944E-2</v>
      </c>
      <c r="S423" s="19">
        <v>9.0419005099363057E-4</v>
      </c>
      <c r="T423" s="20">
        <v>30</v>
      </c>
      <c r="U423" s="17">
        <v>2</v>
      </c>
      <c r="V423" s="17">
        <v>37</v>
      </c>
    </row>
    <row r="424" spans="1:22" x14ac:dyDescent="0.2">
      <c r="A424" t="s">
        <v>1708</v>
      </c>
      <c r="B424" t="s">
        <v>851</v>
      </c>
      <c r="C424" t="s">
        <v>852</v>
      </c>
      <c r="D424" t="s">
        <v>1690</v>
      </c>
      <c r="E424" s="10" t="s">
        <v>1709</v>
      </c>
      <c r="F424" s="10"/>
      <c r="G424" s="10"/>
      <c r="H424" s="10" t="s">
        <v>1709</v>
      </c>
      <c r="I424" s="14">
        <v>447173.08428897616</v>
      </c>
      <c r="J424" s="19">
        <v>0.41079078018031306</v>
      </c>
      <c r="K424" s="19">
        <v>0.47216392436492949</v>
      </c>
      <c r="L424" s="19">
        <v>0.11704529545475735</v>
      </c>
      <c r="M424" s="20">
        <v>2</v>
      </c>
      <c r="N424" s="19">
        <v>0.24134957311587668</v>
      </c>
      <c r="O424" s="19">
        <v>4.7696420956295379E-2</v>
      </c>
      <c r="P424" s="19">
        <v>0.18311793029275747</v>
      </c>
      <c r="Q424" s="19">
        <v>6.0367516741251091E-2</v>
      </c>
      <c r="R424" s="19">
        <v>4.9686819597542904E-2</v>
      </c>
      <c r="S424" s="19">
        <v>6.9909591159633602E-3</v>
      </c>
      <c r="T424" s="20">
        <v>23</v>
      </c>
      <c r="U424" s="17">
        <v>2</v>
      </c>
      <c r="V424" s="17">
        <v>37</v>
      </c>
    </row>
    <row r="425" spans="1:22" x14ac:dyDescent="0.2">
      <c r="A425" t="s">
        <v>1710</v>
      </c>
      <c r="B425" t="s">
        <v>851</v>
      </c>
      <c r="C425" t="s">
        <v>852</v>
      </c>
      <c r="D425" t="s">
        <v>1690</v>
      </c>
      <c r="E425" s="10" t="s">
        <v>1711</v>
      </c>
      <c r="F425" s="10"/>
      <c r="G425" s="10"/>
      <c r="H425" s="10" t="s">
        <v>1711</v>
      </c>
      <c r="I425" s="14">
        <v>240589.5557780806</v>
      </c>
      <c r="J425" s="19">
        <v>0.22431850445244261</v>
      </c>
      <c r="K425" s="19">
        <v>0.46697006255366802</v>
      </c>
      <c r="L425" s="19">
        <v>0.30871143299388937</v>
      </c>
      <c r="M425" s="20">
        <v>2</v>
      </c>
      <c r="N425" s="19">
        <v>0.19981954469955268</v>
      </c>
      <c r="O425" s="19">
        <v>0.19522784234785232</v>
      </c>
      <c r="P425" s="19">
        <v>7.1922675506263023E-2</v>
      </c>
      <c r="Q425" s="19">
        <v>0.223839184839216</v>
      </c>
      <c r="R425" s="19">
        <v>7.4832462581630066E-2</v>
      </c>
      <c r="S425" s="19">
        <v>1.0039785573043339E-2</v>
      </c>
      <c r="T425" s="20">
        <v>23</v>
      </c>
      <c r="U425" s="17">
        <v>2</v>
      </c>
      <c r="V425" s="17">
        <v>37</v>
      </c>
    </row>
    <row r="426" spans="1:22" x14ac:dyDescent="0.2">
      <c r="A426" t="s">
        <v>1712</v>
      </c>
      <c r="B426" t="s">
        <v>851</v>
      </c>
      <c r="C426" t="s">
        <v>852</v>
      </c>
      <c r="D426" t="s">
        <v>1690</v>
      </c>
      <c r="E426" s="10" t="s">
        <v>1713</v>
      </c>
      <c r="F426" s="10"/>
      <c r="G426" s="10"/>
      <c r="H426" s="10" t="s">
        <v>1713</v>
      </c>
      <c r="I426" s="14">
        <v>122942.82475156337</v>
      </c>
      <c r="J426" s="19">
        <v>0</v>
      </c>
      <c r="K426" s="19">
        <v>0.81248879567915677</v>
      </c>
      <c r="L426" s="19">
        <v>0.18751120432084323</v>
      </c>
      <c r="M426" s="20">
        <v>2</v>
      </c>
      <c r="N426" s="19">
        <v>0.7066330043186847</v>
      </c>
      <c r="O426" s="19">
        <v>0</v>
      </c>
      <c r="P426" s="19">
        <v>0.10585579136047209</v>
      </c>
      <c r="Q426" s="19">
        <v>9.5217418656983507E-2</v>
      </c>
      <c r="R426" s="19">
        <v>7.7666261132561129E-2</v>
      </c>
      <c r="S426" s="19">
        <v>1.4627524531298612E-2</v>
      </c>
      <c r="T426" s="20">
        <v>23</v>
      </c>
      <c r="U426" s="17">
        <v>2</v>
      </c>
      <c r="V426" s="17">
        <v>37</v>
      </c>
    </row>
    <row r="427" spans="1:22" x14ac:dyDescent="0.2">
      <c r="A427" t="s">
        <v>1714</v>
      </c>
      <c r="B427" t="s">
        <v>851</v>
      </c>
      <c r="C427" t="s">
        <v>852</v>
      </c>
      <c r="D427" t="s">
        <v>1690</v>
      </c>
      <c r="E427" s="10" t="s">
        <v>1715</v>
      </c>
      <c r="F427" s="10"/>
      <c r="G427" s="10"/>
      <c r="H427" s="10" t="s">
        <v>1715</v>
      </c>
      <c r="I427" s="14">
        <v>177072.94544564176</v>
      </c>
      <c r="J427" s="19">
        <v>9.5015990746861176E-5</v>
      </c>
      <c r="K427" s="19">
        <v>0.68781705284556716</v>
      </c>
      <c r="L427" s="19">
        <v>0.31208793116368594</v>
      </c>
      <c r="M427" s="20">
        <v>2</v>
      </c>
      <c r="N427" s="19">
        <v>0.38093467768269179</v>
      </c>
      <c r="O427" s="19">
        <v>3.6712604764944826E-2</v>
      </c>
      <c r="P427" s="19">
        <v>0.27016977039793061</v>
      </c>
      <c r="Q427" s="19">
        <v>0.13613272673585275</v>
      </c>
      <c r="R427" s="19">
        <v>0.16002396073566255</v>
      </c>
      <c r="S427" s="19">
        <v>1.5931243692170641E-2</v>
      </c>
      <c r="T427" s="20">
        <v>23</v>
      </c>
      <c r="U427" s="17">
        <v>2</v>
      </c>
      <c r="V427" s="17">
        <v>37</v>
      </c>
    </row>
    <row r="428" spans="1:22" x14ac:dyDescent="0.2">
      <c r="A428" t="s">
        <v>1716</v>
      </c>
      <c r="B428" t="s">
        <v>851</v>
      </c>
      <c r="C428" t="s">
        <v>852</v>
      </c>
      <c r="D428" t="s">
        <v>1690</v>
      </c>
      <c r="E428" s="10" t="s">
        <v>1717</v>
      </c>
      <c r="F428" s="10"/>
      <c r="G428" s="10"/>
      <c r="H428" s="10" t="s">
        <v>1717</v>
      </c>
      <c r="I428" s="14">
        <v>66117.013685922604</v>
      </c>
      <c r="J428" s="19">
        <v>0</v>
      </c>
      <c r="K428" s="19">
        <v>0.7872802767401843</v>
      </c>
      <c r="L428" s="19">
        <v>0.21271972325981564</v>
      </c>
      <c r="M428" s="20">
        <v>2</v>
      </c>
      <c r="N428" s="19">
        <v>0.19672603787033491</v>
      </c>
      <c r="O428" s="19">
        <v>0.24006212229892596</v>
      </c>
      <c r="P428" s="19">
        <v>0.3504921165709235</v>
      </c>
      <c r="Q428" s="19">
        <v>0.10547665026230153</v>
      </c>
      <c r="R428" s="19">
        <v>9.9246930514260409E-2</v>
      </c>
      <c r="S428" s="19">
        <v>7.9961424832537039E-3</v>
      </c>
      <c r="T428" s="20">
        <v>22</v>
      </c>
      <c r="U428" s="17">
        <v>2</v>
      </c>
      <c r="V428" s="17">
        <v>37</v>
      </c>
    </row>
    <row r="429" spans="1:22" x14ac:dyDescent="0.2">
      <c r="A429" t="s">
        <v>1718</v>
      </c>
      <c r="B429" t="s">
        <v>851</v>
      </c>
      <c r="C429" t="s">
        <v>852</v>
      </c>
      <c r="D429" t="s">
        <v>1690</v>
      </c>
      <c r="E429" s="10" t="s">
        <v>1719</v>
      </c>
      <c r="F429" s="10"/>
      <c r="G429" s="10"/>
      <c r="H429" s="10" t="s">
        <v>1719</v>
      </c>
      <c r="I429" s="14">
        <v>116036.73629444465</v>
      </c>
      <c r="J429" s="19">
        <v>0.64354917834548009</v>
      </c>
      <c r="K429" s="19">
        <v>0.27088464037968413</v>
      </c>
      <c r="L429" s="19">
        <v>8.5566181274835812E-2</v>
      </c>
      <c r="M429" s="20">
        <v>3</v>
      </c>
      <c r="N429" s="19">
        <v>8.2646285728746771E-2</v>
      </c>
      <c r="O429" s="19">
        <v>9.9354306198035282E-3</v>
      </c>
      <c r="P429" s="19">
        <v>0.17830292403113382</v>
      </c>
      <c r="Q429" s="19">
        <v>4.3153145073493167E-2</v>
      </c>
      <c r="R429" s="19">
        <v>3.6065021113075198E-2</v>
      </c>
      <c r="S429" s="19">
        <v>6.3480150882674561E-3</v>
      </c>
      <c r="T429" s="20">
        <v>30</v>
      </c>
      <c r="U429" s="17">
        <v>2</v>
      </c>
      <c r="V429" s="17">
        <v>37</v>
      </c>
    </row>
    <row r="430" spans="1:22" x14ac:dyDescent="0.2">
      <c r="A430" t="s">
        <v>1720</v>
      </c>
      <c r="B430" t="s">
        <v>851</v>
      </c>
      <c r="C430" t="s">
        <v>852</v>
      </c>
      <c r="D430" t="s">
        <v>1721</v>
      </c>
      <c r="E430" s="10" t="s">
        <v>1722</v>
      </c>
      <c r="F430" s="10"/>
      <c r="G430" s="10"/>
      <c r="H430" s="10" t="s">
        <v>1722</v>
      </c>
      <c r="I430" s="14">
        <v>403515.9953687815</v>
      </c>
      <c r="J430" s="19">
        <v>0.19880372684055064</v>
      </c>
      <c r="K430" s="19">
        <v>0.56094809567863768</v>
      </c>
      <c r="L430" s="19">
        <v>0.2402481774808117</v>
      </c>
      <c r="M430" s="20">
        <v>2</v>
      </c>
      <c r="N430" s="19">
        <v>0.10655731733642032</v>
      </c>
      <c r="O430" s="19">
        <v>8.3489795512777951E-2</v>
      </c>
      <c r="P430" s="19">
        <v>0.3709009828294394</v>
      </c>
      <c r="Q430" s="19">
        <v>5.9850578884110897E-2</v>
      </c>
      <c r="R430" s="19">
        <v>0.16296248607432634</v>
      </c>
      <c r="S430" s="19">
        <v>1.7435112522374483E-2</v>
      </c>
      <c r="T430" s="20">
        <v>23</v>
      </c>
      <c r="U430" s="17">
        <v>2</v>
      </c>
      <c r="V430" s="17">
        <v>37</v>
      </c>
    </row>
    <row r="431" spans="1:22" x14ac:dyDescent="0.2">
      <c r="A431" t="s">
        <v>1723</v>
      </c>
      <c r="B431" t="s">
        <v>851</v>
      </c>
      <c r="C431" t="s">
        <v>852</v>
      </c>
      <c r="D431" t="s">
        <v>1721</v>
      </c>
      <c r="E431" s="10" t="s">
        <v>1724</v>
      </c>
      <c r="F431" s="10"/>
      <c r="G431" s="10"/>
      <c r="H431" s="10" t="s">
        <v>1724</v>
      </c>
      <c r="I431" s="14">
        <v>208154.88607392833</v>
      </c>
      <c r="J431" s="19">
        <v>0.99111428989211103</v>
      </c>
      <c r="K431" s="19">
        <v>8.4798170322410282E-3</v>
      </c>
      <c r="L431" s="19">
        <v>4.0589307564790867E-4</v>
      </c>
      <c r="M431" s="20">
        <v>3</v>
      </c>
      <c r="N431" s="19">
        <v>0</v>
      </c>
      <c r="O431" s="19">
        <v>0</v>
      </c>
      <c r="P431" s="19">
        <v>8.4798170322410282E-3</v>
      </c>
      <c r="Q431" s="19">
        <v>0</v>
      </c>
      <c r="R431" s="19">
        <v>4.0589307564790862E-4</v>
      </c>
      <c r="S431" s="19">
        <v>0</v>
      </c>
      <c r="T431" s="20">
        <v>30</v>
      </c>
      <c r="U431" s="17">
        <v>2</v>
      </c>
      <c r="V431" s="17">
        <v>37</v>
      </c>
    </row>
    <row r="432" spans="1:22" x14ac:dyDescent="0.2">
      <c r="A432" t="s">
        <v>1725</v>
      </c>
      <c r="B432" t="s">
        <v>851</v>
      </c>
      <c r="C432" t="s">
        <v>852</v>
      </c>
      <c r="D432" t="s">
        <v>1721</v>
      </c>
      <c r="E432" s="10" t="s">
        <v>1726</v>
      </c>
      <c r="F432" s="10"/>
      <c r="G432" s="10"/>
      <c r="H432" s="10" t="s">
        <v>1726</v>
      </c>
      <c r="I432" s="14">
        <v>1371.4549300661311</v>
      </c>
      <c r="J432" s="19">
        <v>0</v>
      </c>
      <c r="K432" s="19">
        <v>0.55117828559843585</v>
      </c>
      <c r="L432" s="19">
        <v>0.4488217144015641</v>
      </c>
      <c r="M432" s="20">
        <v>2</v>
      </c>
      <c r="N432" s="19">
        <v>2.6105579071387885E-3</v>
      </c>
      <c r="O432" s="19">
        <v>0</v>
      </c>
      <c r="P432" s="19">
        <v>0.54856772769129725</v>
      </c>
      <c r="Q432" s="19">
        <v>0.15928775216840435</v>
      </c>
      <c r="R432" s="19">
        <v>0.28953396223315975</v>
      </c>
      <c r="S432" s="19">
        <v>0</v>
      </c>
      <c r="T432" s="20">
        <v>21</v>
      </c>
      <c r="U432" s="17">
        <v>2</v>
      </c>
      <c r="V432" s="17">
        <v>37</v>
      </c>
    </row>
    <row r="433" spans="1:22" x14ac:dyDescent="0.2">
      <c r="A433" t="s">
        <v>1727</v>
      </c>
      <c r="B433" t="s">
        <v>851</v>
      </c>
      <c r="C433" t="s">
        <v>852</v>
      </c>
      <c r="D433" t="s">
        <v>1721</v>
      </c>
      <c r="E433" s="10" t="s">
        <v>1728</v>
      </c>
      <c r="F433" s="10"/>
      <c r="G433" s="10"/>
      <c r="H433" s="10" t="s">
        <v>1728</v>
      </c>
      <c r="I433" s="14">
        <v>220680.11238768001</v>
      </c>
      <c r="J433" s="19">
        <v>0</v>
      </c>
      <c r="K433" s="19">
        <v>0.50181104998253179</v>
      </c>
      <c r="L433" s="19">
        <v>0.49818895001746805</v>
      </c>
      <c r="M433" s="20">
        <v>2</v>
      </c>
      <c r="N433" s="19">
        <v>0.15507176096338832</v>
      </c>
      <c r="O433" s="19">
        <v>0.18320899889486836</v>
      </c>
      <c r="P433" s="19">
        <v>0.16353029012427511</v>
      </c>
      <c r="Q433" s="19">
        <v>0.2693859007337559</v>
      </c>
      <c r="R433" s="19">
        <v>0.19693414181728647</v>
      </c>
      <c r="S433" s="19">
        <v>3.1868907466425699E-2</v>
      </c>
      <c r="T433" s="20">
        <v>22</v>
      </c>
      <c r="U433" s="17">
        <v>2</v>
      </c>
      <c r="V433" s="17">
        <v>37</v>
      </c>
    </row>
    <row r="434" spans="1:22" x14ac:dyDescent="0.2">
      <c r="A434" t="s">
        <v>1729</v>
      </c>
      <c r="B434" t="s">
        <v>851</v>
      </c>
      <c r="C434" t="s">
        <v>852</v>
      </c>
      <c r="D434" t="s">
        <v>1721</v>
      </c>
      <c r="E434" s="10" t="s">
        <v>1730</v>
      </c>
      <c r="F434" s="10"/>
      <c r="G434" s="10"/>
      <c r="H434" s="10" t="s">
        <v>1730</v>
      </c>
      <c r="I434" s="14">
        <v>79155.590300109252</v>
      </c>
      <c r="J434" s="19">
        <v>0</v>
      </c>
      <c r="K434" s="19">
        <v>0.21231803573593222</v>
      </c>
      <c r="L434" s="19">
        <v>0.78768196426406756</v>
      </c>
      <c r="M434" s="20">
        <v>1</v>
      </c>
      <c r="N434" s="19">
        <v>0</v>
      </c>
      <c r="O434" s="19">
        <v>0.21231803573593222</v>
      </c>
      <c r="P434" s="19">
        <v>0</v>
      </c>
      <c r="Q434" s="19">
        <v>0.29843255808091573</v>
      </c>
      <c r="R434" s="19">
        <v>0.42773140199263121</v>
      </c>
      <c r="S434" s="19">
        <v>6.1518004190520649E-2</v>
      </c>
      <c r="T434" s="20">
        <v>12</v>
      </c>
      <c r="U434" s="17">
        <v>2</v>
      </c>
      <c r="V434" s="17">
        <v>37</v>
      </c>
    </row>
    <row r="435" spans="1:22" x14ac:dyDescent="0.2">
      <c r="A435" t="s">
        <v>1731</v>
      </c>
      <c r="B435" t="s">
        <v>851</v>
      </c>
      <c r="C435" t="s">
        <v>852</v>
      </c>
      <c r="D435" t="s">
        <v>1721</v>
      </c>
      <c r="E435" s="10" t="s">
        <v>1732</v>
      </c>
      <c r="F435" s="10"/>
      <c r="G435" s="10"/>
      <c r="H435" s="10" t="s">
        <v>1732</v>
      </c>
      <c r="I435" s="14">
        <v>60708.918100367766</v>
      </c>
      <c r="J435" s="19">
        <v>0.80566880741059543</v>
      </c>
      <c r="K435" s="19">
        <v>0.16302003622933264</v>
      </c>
      <c r="L435" s="19">
        <v>3.131115636007193E-2</v>
      </c>
      <c r="M435" s="20">
        <v>3</v>
      </c>
      <c r="N435" s="19">
        <v>0</v>
      </c>
      <c r="O435" s="19">
        <v>0</v>
      </c>
      <c r="P435" s="19">
        <v>0.16302003622933264</v>
      </c>
      <c r="Q435" s="19">
        <v>0</v>
      </c>
      <c r="R435" s="19">
        <v>2.8783021022071538E-2</v>
      </c>
      <c r="S435" s="19">
        <v>2.5281353380003911E-3</v>
      </c>
      <c r="T435" s="20">
        <v>30</v>
      </c>
      <c r="U435" s="17">
        <v>2</v>
      </c>
      <c r="V435" s="17">
        <v>37</v>
      </c>
    </row>
    <row r="436" spans="1:22" x14ac:dyDescent="0.2">
      <c r="A436" t="s">
        <v>1733</v>
      </c>
      <c r="B436" t="s">
        <v>851</v>
      </c>
      <c r="C436" t="s">
        <v>852</v>
      </c>
      <c r="D436" t="s">
        <v>1721</v>
      </c>
      <c r="E436" s="10" t="s">
        <v>1734</v>
      </c>
      <c r="F436" s="10"/>
      <c r="G436" s="10"/>
      <c r="H436" s="10" t="s">
        <v>1734</v>
      </c>
      <c r="I436" s="14">
        <v>393853.36523320473</v>
      </c>
      <c r="J436" s="19">
        <v>2.178223693362679E-4</v>
      </c>
      <c r="K436" s="19">
        <v>0.71912119008203812</v>
      </c>
      <c r="L436" s="19">
        <v>0.28066098754862584</v>
      </c>
      <c r="M436" s="20">
        <v>2</v>
      </c>
      <c r="N436" s="19">
        <v>0.23538850119674345</v>
      </c>
      <c r="O436" s="19">
        <v>2.0230088112084248E-2</v>
      </c>
      <c r="P436" s="19">
        <v>0.46350260077321043</v>
      </c>
      <c r="Q436" s="19">
        <v>0.11880185530062422</v>
      </c>
      <c r="R436" s="19">
        <v>0.14910422953659275</v>
      </c>
      <c r="S436" s="19">
        <v>1.2754902711408838E-2</v>
      </c>
      <c r="T436" s="20">
        <v>23</v>
      </c>
      <c r="U436" s="17">
        <v>2</v>
      </c>
      <c r="V436" s="17">
        <v>37</v>
      </c>
    </row>
    <row r="437" spans="1:22" x14ac:dyDescent="0.2">
      <c r="A437" t="s">
        <v>1735</v>
      </c>
      <c r="B437" t="s">
        <v>851</v>
      </c>
      <c r="C437" t="s">
        <v>852</v>
      </c>
      <c r="D437" t="s">
        <v>1721</v>
      </c>
      <c r="E437" s="10" t="s">
        <v>1736</v>
      </c>
      <c r="F437" s="10"/>
      <c r="G437" s="10"/>
      <c r="H437" s="10" t="s">
        <v>1736</v>
      </c>
      <c r="I437" s="14">
        <v>1163397.3898324049</v>
      </c>
      <c r="J437" s="19">
        <v>0.97603911539567345</v>
      </c>
      <c r="K437" s="19">
        <v>1.7576813204951441E-2</v>
      </c>
      <c r="L437" s="19">
        <v>6.3840713993751422E-3</v>
      </c>
      <c r="M437" s="20">
        <v>3</v>
      </c>
      <c r="N437" s="19">
        <v>0</v>
      </c>
      <c r="O437" s="19">
        <v>8.0100666140686255E-3</v>
      </c>
      <c r="P437" s="19">
        <v>9.5667465908828159E-3</v>
      </c>
      <c r="Q437" s="19">
        <v>4.6154181990202853E-4</v>
      </c>
      <c r="R437" s="19">
        <v>4.8148320665903407E-3</v>
      </c>
      <c r="S437" s="19">
        <v>1.1076975128827716E-3</v>
      </c>
      <c r="T437" s="20">
        <v>30</v>
      </c>
      <c r="U437" s="17">
        <v>2</v>
      </c>
      <c r="V437" s="17">
        <v>37</v>
      </c>
    </row>
    <row r="438" spans="1:22" x14ac:dyDescent="0.2">
      <c r="A438" t="s">
        <v>1737</v>
      </c>
      <c r="B438" t="s">
        <v>851</v>
      </c>
      <c r="C438" t="s">
        <v>852</v>
      </c>
      <c r="D438" t="s">
        <v>1721</v>
      </c>
      <c r="E438" s="10" t="s">
        <v>1738</v>
      </c>
      <c r="F438" s="10"/>
      <c r="G438" s="10"/>
      <c r="H438" s="10" t="s">
        <v>1738</v>
      </c>
      <c r="I438" s="14">
        <v>47216.663402102888</v>
      </c>
      <c r="J438" s="19">
        <v>0</v>
      </c>
      <c r="K438" s="19">
        <v>0.9780376140716216</v>
      </c>
      <c r="L438" s="19">
        <v>2.1962385928378392E-2</v>
      </c>
      <c r="M438" s="20">
        <v>2</v>
      </c>
      <c r="N438" s="19">
        <v>0.83804498873042166</v>
      </c>
      <c r="O438" s="19">
        <v>0</v>
      </c>
      <c r="P438" s="19">
        <v>0.13999262534119999</v>
      </c>
      <c r="Q438" s="19">
        <v>0</v>
      </c>
      <c r="R438" s="19">
        <v>2.1669889537799056E-2</v>
      </c>
      <c r="S438" s="19">
        <v>2.9249639057933754E-4</v>
      </c>
      <c r="T438" s="20">
        <v>23</v>
      </c>
      <c r="U438" s="17">
        <v>2</v>
      </c>
      <c r="V438" s="17">
        <v>37</v>
      </c>
    </row>
    <row r="439" spans="1:22" x14ac:dyDescent="0.2">
      <c r="A439" t="s">
        <v>1739</v>
      </c>
      <c r="B439" t="s">
        <v>851</v>
      </c>
      <c r="C439" t="s">
        <v>852</v>
      </c>
      <c r="D439" t="s">
        <v>1721</v>
      </c>
      <c r="E439" s="10" t="s">
        <v>1740</v>
      </c>
      <c r="F439" s="10"/>
      <c r="G439" s="10"/>
      <c r="H439" s="10" t="s">
        <v>1740</v>
      </c>
      <c r="I439" s="14">
        <v>228252.302253203</v>
      </c>
      <c r="J439" s="19">
        <v>4.3160689906251409E-2</v>
      </c>
      <c r="K439" s="19">
        <v>0.57934733933460625</v>
      </c>
      <c r="L439" s="19">
        <v>0.37749197075914237</v>
      </c>
      <c r="M439" s="20">
        <v>2</v>
      </c>
      <c r="N439" s="19">
        <v>6.2761236480665311E-2</v>
      </c>
      <c r="O439" s="19">
        <v>1.2455944394369067E-2</v>
      </c>
      <c r="P439" s="19">
        <v>0.50413015845957188</v>
      </c>
      <c r="Q439" s="19">
        <v>5.7756025434810357E-2</v>
      </c>
      <c r="R439" s="19">
        <v>0.29013022394725407</v>
      </c>
      <c r="S439" s="19">
        <v>2.9605721377077957E-2</v>
      </c>
      <c r="T439" s="20">
        <v>21</v>
      </c>
      <c r="U439" s="17">
        <v>2</v>
      </c>
      <c r="V439" s="17">
        <v>37</v>
      </c>
    </row>
    <row r="440" spans="1:22" x14ac:dyDescent="0.2">
      <c r="A440" t="s">
        <v>1741</v>
      </c>
      <c r="B440" t="s">
        <v>851</v>
      </c>
      <c r="C440" t="s">
        <v>852</v>
      </c>
      <c r="D440" t="s">
        <v>1721</v>
      </c>
      <c r="E440" s="10" t="s">
        <v>1742</v>
      </c>
      <c r="F440" s="10"/>
      <c r="G440" s="10"/>
      <c r="H440" s="10" t="s">
        <v>1742</v>
      </c>
      <c r="I440" s="14">
        <v>89941.548489782959</v>
      </c>
      <c r="J440" s="19">
        <v>0</v>
      </c>
      <c r="K440" s="19">
        <v>0.99016655475667537</v>
      </c>
      <c r="L440" s="19">
        <v>9.8334452433246362E-3</v>
      </c>
      <c r="M440" s="20">
        <v>2</v>
      </c>
      <c r="N440" s="19">
        <v>0.53656704355371554</v>
      </c>
      <c r="O440" s="19">
        <v>0</v>
      </c>
      <c r="P440" s="19">
        <v>0.45359951120295983</v>
      </c>
      <c r="Q440" s="19">
        <v>0</v>
      </c>
      <c r="R440" s="19">
        <v>9.8262497381136783E-3</v>
      </c>
      <c r="S440" s="19">
        <v>7.1955052109582154E-6</v>
      </c>
      <c r="T440" s="20">
        <v>23</v>
      </c>
      <c r="U440" s="17">
        <v>2</v>
      </c>
      <c r="V440" s="17">
        <v>37</v>
      </c>
    </row>
    <row r="441" spans="1:22" x14ac:dyDescent="0.2">
      <c r="A441" t="s">
        <v>1743</v>
      </c>
      <c r="B441" t="s">
        <v>851</v>
      </c>
      <c r="C441" t="s">
        <v>852</v>
      </c>
      <c r="D441" t="s">
        <v>1721</v>
      </c>
      <c r="E441" s="10" t="s">
        <v>1744</v>
      </c>
      <c r="F441" s="10"/>
      <c r="G441" s="10"/>
      <c r="H441" s="10" t="s">
        <v>1744</v>
      </c>
      <c r="I441" s="14">
        <v>294420.41149893403</v>
      </c>
      <c r="J441" s="19">
        <v>0.20983091285666308</v>
      </c>
      <c r="K441" s="19">
        <v>0.55161357063891092</v>
      </c>
      <c r="L441" s="19">
        <v>0.23855551650442583</v>
      </c>
      <c r="M441" s="20">
        <v>2</v>
      </c>
      <c r="N441" s="19">
        <v>0.11852128949922816</v>
      </c>
      <c r="O441" s="19">
        <v>8.8614682378179391E-2</v>
      </c>
      <c r="P441" s="19">
        <v>0.34447759876150352</v>
      </c>
      <c r="Q441" s="19">
        <v>9.0901882947400175E-2</v>
      </c>
      <c r="R441" s="19">
        <v>0.13481271640922612</v>
      </c>
      <c r="S441" s="19">
        <v>1.2840917147799568E-2</v>
      </c>
      <c r="T441" s="20">
        <v>23</v>
      </c>
      <c r="U441" s="17">
        <v>2</v>
      </c>
      <c r="V441" s="17">
        <v>37</v>
      </c>
    </row>
    <row r="442" spans="1:22" x14ac:dyDescent="0.2">
      <c r="A442" t="s">
        <v>1745</v>
      </c>
      <c r="B442" t="s">
        <v>851</v>
      </c>
      <c r="C442" t="s">
        <v>852</v>
      </c>
      <c r="D442" t="s">
        <v>1721</v>
      </c>
      <c r="E442" s="10" t="s">
        <v>1746</v>
      </c>
      <c r="F442" s="10"/>
      <c r="G442" s="10"/>
      <c r="H442" s="10" t="s">
        <v>1746</v>
      </c>
      <c r="I442" s="14">
        <v>392239.00430972315</v>
      </c>
      <c r="J442" s="19">
        <v>0.13169219763088783</v>
      </c>
      <c r="K442" s="19">
        <v>0.5766949357215293</v>
      </c>
      <c r="L442" s="19">
        <v>0.29161286664758285</v>
      </c>
      <c r="M442" s="20">
        <v>2</v>
      </c>
      <c r="N442" s="19">
        <v>0.15155506569757271</v>
      </c>
      <c r="O442" s="19">
        <v>8.193042380260214E-2</v>
      </c>
      <c r="P442" s="19">
        <v>0.34320944622135446</v>
      </c>
      <c r="Q442" s="19">
        <v>0.12014129279037718</v>
      </c>
      <c r="R442" s="19">
        <v>0.1541683093314076</v>
      </c>
      <c r="S442" s="19">
        <v>1.7303264525798095E-2</v>
      </c>
      <c r="T442" s="20">
        <v>23</v>
      </c>
      <c r="U442" s="17">
        <v>2</v>
      </c>
      <c r="V442" s="17">
        <v>37</v>
      </c>
    </row>
    <row r="443" spans="1:22" x14ac:dyDescent="0.2">
      <c r="A443" t="s">
        <v>1747</v>
      </c>
      <c r="B443" t="s">
        <v>851</v>
      </c>
      <c r="C443" t="s">
        <v>852</v>
      </c>
      <c r="D443" t="s">
        <v>1721</v>
      </c>
      <c r="E443" s="10" t="s">
        <v>1748</v>
      </c>
      <c r="F443" s="10"/>
      <c r="G443" s="10"/>
      <c r="H443" s="10" t="s">
        <v>1748</v>
      </c>
      <c r="I443" s="14">
        <v>133551.83867358556</v>
      </c>
      <c r="J443" s="19">
        <v>0.7653488361964933</v>
      </c>
      <c r="K443" s="19">
        <v>0.21497016364729743</v>
      </c>
      <c r="L443" s="19">
        <v>1.9681000156209352E-2</v>
      </c>
      <c r="M443" s="20">
        <v>3</v>
      </c>
      <c r="N443" s="19">
        <v>0</v>
      </c>
      <c r="O443" s="19">
        <v>0</v>
      </c>
      <c r="P443" s="19">
        <v>0.2149701636472974</v>
      </c>
      <c r="Q443" s="19">
        <v>0</v>
      </c>
      <c r="R443" s="19">
        <v>1.928368605954971E-2</v>
      </c>
      <c r="S443" s="19">
        <v>3.973140966596401E-4</v>
      </c>
      <c r="T443" s="20">
        <v>30</v>
      </c>
      <c r="U443" s="17">
        <v>2</v>
      </c>
      <c r="V443" s="17">
        <v>37</v>
      </c>
    </row>
    <row r="444" spans="1:22" x14ac:dyDescent="0.2">
      <c r="A444" t="s">
        <v>1749</v>
      </c>
      <c r="B444" t="s">
        <v>851</v>
      </c>
      <c r="C444" t="s">
        <v>852</v>
      </c>
      <c r="D444" t="s">
        <v>1721</v>
      </c>
      <c r="E444" s="10" t="s">
        <v>1750</v>
      </c>
      <c r="F444" s="10"/>
      <c r="G444" s="10"/>
      <c r="H444" s="10" t="s">
        <v>1750</v>
      </c>
      <c r="I444" s="14">
        <v>464496.71278449893</v>
      </c>
      <c r="J444" s="19">
        <v>0</v>
      </c>
      <c r="K444" s="19">
        <v>0.7762427157911298</v>
      </c>
      <c r="L444" s="19">
        <v>0.22375728420887023</v>
      </c>
      <c r="M444" s="20">
        <v>2</v>
      </c>
      <c r="N444" s="19">
        <v>0.21090407684882009</v>
      </c>
      <c r="O444" s="19">
        <v>0.2502389211523397</v>
      </c>
      <c r="P444" s="19">
        <v>0.31509971778996998</v>
      </c>
      <c r="Q444" s="19">
        <v>6.866924669164752E-2</v>
      </c>
      <c r="R444" s="19">
        <v>0.13733990723746664</v>
      </c>
      <c r="S444" s="19">
        <v>1.7748130279756032E-2</v>
      </c>
      <c r="T444" s="20">
        <v>22</v>
      </c>
      <c r="U444" s="17">
        <v>2</v>
      </c>
      <c r="V444" s="17">
        <v>37</v>
      </c>
    </row>
    <row r="445" spans="1:22" x14ac:dyDescent="0.2">
      <c r="A445" t="s">
        <v>1751</v>
      </c>
      <c r="B445" t="s">
        <v>851</v>
      </c>
      <c r="C445" t="s">
        <v>852</v>
      </c>
      <c r="D445" t="s">
        <v>1721</v>
      </c>
      <c r="E445" s="10" t="s">
        <v>1752</v>
      </c>
      <c r="F445" s="10"/>
      <c r="G445" s="10"/>
      <c r="H445" s="10" t="s">
        <v>1752</v>
      </c>
      <c r="I445" s="14">
        <v>89522.192732637748</v>
      </c>
      <c r="J445" s="19">
        <v>0</v>
      </c>
      <c r="K445" s="19">
        <v>0.88112814953346952</v>
      </c>
      <c r="L445" s="19">
        <v>0.11887185046653054</v>
      </c>
      <c r="M445" s="20">
        <v>2</v>
      </c>
      <c r="N445" s="19">
        <v>0.53365077397883831</v>
      </c>
      <c r="O445" s="19">
        <v>0</v>
      </c>
      <c r="P445" s="19">
        <v>0.34747737555463121</v>
      </c>
      <c r="Q445" s="19">
        <v>4.7165978620359518E-2</v>
      </c>
      <c r="R445" s="19">
        <v>6.5330831964671321E-2</v>
      </c>
      <c r="S445" s="19">
        <v>6.3750398814996917E-3</v>
      </c>
      <c r="T445" s="20">
        <v>23</v>
      </c>
      <c r="U445" s="17">
        <v>2</v>
      </c>
      <c r="V445" s="17">
        <v>37</v>
      </c>
    </row>
    <row r="446" spans="1:22" x14ac:dyDescent="0.2">
      <c r="A446" t="s">
        <v>1753</v>
      </c>
      <c r="B446" t="s">
        <v>851</v>
      </c>
      <c r="C446" t="s">
        <v>852</v>
      </c>
      <c r="D446" t="s">
        <v>1721</v>
      </c>
      <c r="E446" s="10" t="s">
        <v>1754</v>
      </c>
      <c r="F446" s="10"/>
      <c r="G446" s="10"/>
      <c r="H446" s="10" t="s">
        <v>1754</v>
      </c>
      <c r="I446" s="14">
        <v>209598.28279916104</v>
      </c>
      <c r="J446" s="19">
        <v>0</v>
      </c>
      <c r="K446" s="19">
        <v>0.50330457901844117</v>
      </c>
      <c r="L446" s="19">
        <v>0.49669542098155889</v>
      </c>
      <c r="M446" s="20">
        <v>2</v>
      </c>
      <c r="N446" s="19">
        <v>0.17929687921857818</v>
      </c>
      <c r="O446" s="19">
        <v>0.11883899685184907</v>
      </c>
      <c r="P446" s="19">
        <v>0.2051687029480139</v>
      </c>
      <c r="Q446" s="19">
        <v>0.22919371990705287</v>
      </c>
      <c r="R446" s="19">
        <v>0.24080079480896105</v>
      </c>
      <c r="S446" s="19">
        <v>2.6700906265544954E-2</v>
      </c>
      <c r="T446" s="20">
        <v>23</v>
      </c>
      <c r="U446" s="17">
        <v>2</v>
      </c>
      <c r="V446" s="17">
        <v>37</v>
      </c>
    </row>
    <row r="447" spans="1:22" x14ac:dyDescent="0.2">
      <c r="A447" t="s">
        <v>1755</v>
      </c>
      <c r="B447" t="s">
        <v>851</v>
      </c>
      <c r="C447" t="s">
        <v>852</v>
      </c>
      <c r="D447" t="s">
        <v>1721</v>
      </c>
      <c r="E447" s="10" t="s">
        <v>1756</v>
      </c>
      <c r="F447" s="10"/>
      <c r="G447" s="10"/>
      <c r="H447" s="10" t="s">
        <v>1756</v>
      </c>
      <c r="I447" s="14">
        <v>374580.22566687828</v>
      </c>
      <c r="J447" s="19">
        <v>6.1156358351162586E-2</v>
      </c>
      <c r="K447" s="19">
        <v>0.70048610451945059</v>
      </c>
      <c r="L447" s="19">
        <v>0.23835753712938682</v>
      </c>
      <c r="M447" s="20">
        <v>2</v>
      </c>
      <c r="N447" s="19">
        <v>0.21505970355588711</v>
      </c>
      <c r="O447" s="19">
        <v>0.1207117594904672</v>
      </c>
      <c r="P447" s="19">
        <v>0.36471464147309629</v>
      </c>
      <c r="Q447" s="19">
        <v>8.4358913041070974E-2</v>
      </c>
      <c r="R447" s="19">
        <v>0.13698744544796712</v>
      </c>
      <c r="S447" s="19">
        <v>1.7011178640348755E-2</v>
      </c>
      <c r="T447" s="20">
        <v>23</v>
      </c>
      <c r="U447" s="17">
        <v>2</v>
      </c>
      <c r="V447" s="17">
        <v>37</v>
      </c>
    </row>
    <row r="448" spans="1:22" x14ac:dyDescent="0.2">
      <c r="A448" t="s">
        <v>1757</v>
      </c>
      <c r="B448" t="s">
        <v>851</v>
      </c>
      <c r="C448" t="s">
        <v>852</v>
      </c>
      <c r="D448" t="s">
        <v>1721</v>
      </c>
      <c r="E448" s="10" t="s">
        <v>1758</v>
      </c>
      <c r="F448" s="10"/>
      <c r="G448" s="10"/>
      <c r="H448" s="10" t="s">
        <v>1758</v>
      </c>
      <c r="I448" s="14">
        <v>156792.95227487572</v>
      </c>
      <c r="J448" s="19">
        <v>0</v>
      </c>
      <c r="K448" s="19">
        <v>0.59806673060362081</v>
      </c>
      <c r="L448" s="19">
        <v>0.4019332693963793</v>
      </c>
      <c r="M448" s="20">
        <v>2</v>
      </c>
      <c r="N448" s="19">
        <v>0.13954628674599492</v>
      </c>
      <c r="O448" s="19">
        <v>0.22293053904678295</v>
      </c>
      <c r="P448" s="19">
        <v>0.23558990481084291</v>
      </c>
      <c r="Q448" s="19">
        <v>0.14309144003299298</v>
      </c>
      <c r="R448" s="19">
        <v>0.21969140385966962</v>
      </c>
      <c r="S448" s="19">
        <v>3.9150425503716599E-2</v>
      </c>
      <c r="T448" s="20">
        <v>22</v>
      </c>
      <c r="U448" s="17">
        <v>2</v>
      </c>
      <c r="V448" s="17">
        <v>37</v>
      </c>
    </row>
    <row r="449" spans="1:22" x14ac:dyDescent="0.2">
      <c r="A449" t="s">
        <v>1759</v>
      </c>
      <c r="B449" t="s">
        <v>851</v>
      </c>
      <c r="C449" t="s">
        <v>852</v>
      </c>
      <c r="D449" t="s">
        <v>1721</v>
      </c>
      <c r="E449" s="10" t="s">
        <v>1760</v>
      </c>
      <c r="F449" s="10"/>
      <c r="G449" s="10"/>
      <c r="H449" s="10" t="s">
        <v>1760</v>
      </c>
      <c r="I449" s="14">
        <v>359859.45489385445</v>
      </c>
      <c r="J449" s="19">
        <v>0.16313129597618117</v>
      </c>
      <c r="K449" s="19">
        <v>0.69356656661176219</v>
      </c>
      <c r="L449" s="19">
        <v>0.14330213741205661</v>
      </c>
      <c r="M449" s="20">
        <v>2</v>
      </c>
      <c r="N449" s="19">
        <v>7.3000304455995577E-2</v>
      </c>
      <c r="O449" s="19">
        <v>3.2461250843099192E-2</v>
      </c>
      <c r="P449" s="19">
        <v>0.58810501131266746</v>
      </c>
      <c r="Q449" s="19">
        <v>2.1791370290061982E-2</v>
      </c>
      <c r="R449" s="19">
        <v>0.11501490699977381</v>
      </c>
      <c r="S449" s="19">
        <v>6.4958601222208055E-3</v>
      </c>
      <c r="T449" s="20">
        <v>21</v>
      </c>
      <c r="U449" s="17">
        <v>2</v>
      </c>
      <c r="V449" s="17">
        <v>37</v>
      </c>
    </row>
    <row r="450" spans="1:22" x14ac:dyDescent="0.2">
      <c r="A450" t="s">
        <v>1761</v>
      </c>
      <c r="B450" t="s">
        <v>851</v>
      </c>
      <c r="C450" t="s">
        <v>852</v>
      </c>
      <c r="D450" t="s">
        <v>1762</v>
      </c>
      <c r="E450" s="10" t="s">
        <v>1763</v>
      </c>
      <c r="F450" s="10"/>
      <c r="G450" s="10"/>
      <c r="H450" s="10" t="s">
        <v>1763</v>
      </c>
      <c r="I450" s="14">
        <v>395668.48551338026</v>
      </c>
      <c r="J450" s="19">
        <v>0.19290285091189185</v>
      </c>
      <c r="K450" s="19">
        <v>0.15537654366277381</v>
      </c>
      <c r="L450" s="19">
        <v>0.65172060542533439</v>
      </c>
      <c r="M450" s="20">
        <v>1</v>
      </c>
      <c r="N450" s="19">
        <v>1.9121588145979342E-2</v>
      </c>
      <c r="O450" s="19">
        <v>2.4757856171848155E-2</v>
      </c>
      <c r="P450" s="19">
        <v>0.11149709934494632</v>
      </c>
      <c r="Q450" s="19">
        <v>0.1033564798650404</v>
      </c>
      <c r="R450" s="19">
        <v>0.47476107340779983</v>
      </c>
      <c r="S450" s="19">
        <v>7.3603052152494089E-2</v>
      </c>
      <c r="T450" s="20">
        <v>12</v>
      </c>
      <c r="U450" s="17">
        <v>2</v>
      </c>
      <c r="V450" s="17">
        <v>37</v>
      </c>
    </row>
    <row r="451" spans="1:22" x14ac:dyDescent="0.2">
      <c r="A451" t="s">
        <v>1764</v>
      </c>
      <c r="B451" t="s">
        <v>851</v>
      </c>
      <c r="C451" t="s">
        <v>852</v>
      </c>
      <c r="D451" t="s">
        <v>1762</v>
      </c>
      <c r="E451" s="10" t="s">
        <v>1765</v>
      </c>
      <c r="F451" s="10"/>
      <c r="G451" s="10"/>
      <c r="H451" s="10" t="s">
        <v>1765</v>
      </c>
      <c r="I451" s="14">
        <v>217742.35142450966</v>
      </c>
      <c r="J451" s="19">
        <v>0</v>
      </c>
      <c r="K451" s="19">
        <v>0.72262076572078626</v>
      </c>
      <c r="L451" s="19">
        <v>0.27737923427921374</v>
      </c>
      <c r="M451" s="20">
        <v>2</v>
      </c>
      <c r="N451" s="19">
        <v>0.32788232752310431</v>
      </c>
      <c r="O451" s="19">
        <v>0.17097390498195786</v>
      </c>
      <c r="P451" s="19">
        <v>0.22376453321572409</v>
      </c>
      <c r="Q451" s="19">
        <v>9.7532105458463844E-2</v>
      </c>
      <c r="R451" s="19">
        <v>0.13592878612727699</v>
      </c>
      <c r="S451" s="19">
        <v>4.3918342693472924E-2</v>
      </c>
      <c r="T451" s="20">
        <v>23</v>
      </c>
      <c r="U451" s="17">
        <v>2</v>
      </c>
      <c r="V451" s="17">
        <v>37</v>
      </c>
    </row>
    <row r="452" spans="1:22" x14ac:dyDescent="0.2">
      <c r="A452" t="s">
        <v>1766</v>
      </c>
      <c r="B452" t="s">
        <v>851</v>
      </c>
      <c r="C452" t="s">
        <v>852</v>
      </c>
      <c r="D452" t="s">
        <v>1762</v>
      </c>
      <c r="E452" s="10" t="s">
        <v>1767</v>
      </c>
      <c r="F452" s="10"/>
      <c r="G452" s="10"/>
      <c r="H452" s="10" t="s">
        <v>1767</v>
      </c>
      <c r="I452" s="14">
        <v>321930.70656943135</v>
      </c>
      <c r="J452" s="19">
        <v>0.41937297234493448</v>
      </c>
      <c r="K452" s="19">
        <v>0.21765536894028892</v>
      </c>
      <c r="L452" s="19">
        <v>0.36297165871477666</v>
      </c>
      <c r="M452" s="20">
        <v>2</v>
      </c>
      <c r="N452" s="19">
        <v>2.6092689787644021E-3</v>
      </c>
      <c r="O452" s="19">
        <v>1.6949009444824178E-2</v>
      </c>
      <c r="P452" s="19">
        <v>0.19809709051670035</v>
      </c>
      <c r="Q452" s="19">
        <v>0.14073399958225033</v>
      </c>
      <c r="R452" s="19">
        <v>0.19561391317627372</v>
      </c>
      <c r="S452" s="19">
        <v>2.6623745956252581E-2</v>
      </c>
      <c r="T452" s="20">
        <v>22</v>
      </c>
      <c r="U452" s="17">
        <v>2</v>
      </c>
      <c r="V452" s="17">
        <v>37</v>
      </c>
    </row>
    <row r="453" spans="1:22" x14ac:dyDescent="0.2">
      <c r="A453" t="s">
        <v>1768</v>
      </c>
      <c r="B453" t="s">
        <v>851</v>
      </c>
      <c r="C453" t="s">
        <v>852</v>
      </c>
      <c r="D453" t="s">
        <v>1762</v>
      </c>
      <c r="E453" s="10" t="s">
        <v>1769</v>
      </c>
      <c r="F453" s="10"/>
      <c r="G453" s="10"/>
      <c r="H453" s="10" t="s">
        <v>1769</v>
      </c>
      <c r="I453" s="14">
        <v>186425.83034703415</v>
      </c>
      <c r="J453" s="19">
        <v>0.84536076849026587</v>
      </c>
      <c r="K453" s="19">
        <v>9.8627096683509108E-2</v>
      </c>
      <c r="L453" s="19">
        <v>5.6012134826225024E-2</v>
      </c>
      <c r="M453" s="20">
        <v>3</v>
      </c>
      <c r="N453" s="19">
        <v>4.5749992646031889E-3</v>
      </c>
      <c r="O453" s="19">
        <v>0</v>
      </c>
      <c r="P453" s="19">
        <v>9.4052097418905925E-2</v>
      </c>
      <c r="Q453" s="19">
        <v>1.35206664004845E-2</v>
      </c>
      <c r="R453" s="19">
        <v>3.7913396314013754E-2</v>
      </c>
      <c r="S453" s="19">
        <v>4.5780721117267692E-3</v>
      </c>
      <c r="T453" s="20">
        <v>30</v>
      </c>
      <c r="U453" s="17">
        <v>2</v>
      </c>
      <c r="V453" s="17">
        <v>37</v>
      </c>
    </row>
    <row r="454" spans="1:22" x14ac:dyDescent="0.2">
      <c r="A454" t="s">
        <v>1770</v>
      </c>
      <c r="B454" t="s">
        <v>851</v>
      </c>
      <c r="C454" t="s">
        <v>852</v>
      </c>
      <c r="D454" t="s">
        <v>1762</v>
      </c>
      <c r="E454" s="10" t="s">
        <v>1771</v>
      </c>
      <c r="F454" s="10"/>
      <c r="G454" s="10"/>
      <c r="H454" s="10" t="s">
        <v>1771</v>
      </c>
      <c r="I454" s="14">
        <v>789986.78430383792</v>
      </c>
      <c r="J454" s="19">
        <v>0.30960604321162555</v>
      </c>
      <c r="K454" s="19">
        <v>0.28626633667939005</v>
      </c>
      <c r="L454" s="19">
        <v>0.40412762010898445</v>
      </c>
      <c r="M454" s="20">
        <v>2</v>
      </c>
      <c r="N454" s="19">
        <v>6.3217783595133512E-2</v>
      </c>
      <c r="O454" s="19">
        <v>9.6227290346192054E-2</v>
      </c>
      <c r="P454" s="19">
        <v>0.12682126273806449</v>
      </c>
      <c r="Q454" s="19">
        <v>0.24146314899305135</v>
      </c>
      <c r="R454" s="19">
        <v>0.13953279649914976</v>
      </c>
      <c r="S454" s="19">
        <v>2.3131674616783355E-2</v>
      </c>
      <c r="T454" s="20">
        <v>22</v>
      </c>
      <c r="U454" s="17">
        <v>2</v>
      </c>
      <c r="V454" s="17">
        <v>37</v>
      </c>
    </row>
    <row r="455" spans="1:22" x14ac:dyDescent="0.2">
      <c r="A455" t="s">
        <v>1772</v>
      </c>
      <c r="B455" t="s">
        <v>851</v>
      </c>
      <c r="C455" t="s">
        <v>852</v>
      </c>
      <c r="D455" t="s">
        <v>1762</v>
      </c>
      <c r="E455" s="10" t="s">
        <v>1773</v>
      </c>
      <c r="F455" s="10"/>
      <c r="G455" s="10"/>
      <c r="H455" s="10" t="s">
        <v>1773</v>
      </c>
      <c r="I455" s="14">
        <v>565877.72803416499</v>
      </c>
      <c r="J455" s="19">
        <v>0</v>
      </c>
      <c r="K455" s="19">
        <v>0.32786078233915183</v>
      </c>
      <c r="L455" s="19">
        <v>0.67213921766084828</v>
      </c>
      <c r="M455" s="20">
        <v>1</v>
      </c>
      <c r="N455" s="19">
        <v>0.11457964449782458</v>
      </c>
      <c r="O455" s="19">
        <v>0.11455094023779633</v>
      </c>
      <c r="P455" s="19">
        <v>9.8730197603530967E-2</v>
      </c>
      <c r="Q455" s="19">
        <v>0.35832440741898652</v>
      </c>
      <c r="R455" s="19">
        <v>0.26987769743670725</v>
      </c>
      <c r="S455" s="19">
        <v>4.3937112805154353E-2</v>
      </c>
      <c r="T455" s="20">
        <v>13</v>
      </c>
      <c r="U455" s="17">
        <v>2</v>
      </c>
      <c r="V455" s="17">
        <v>37</v>
      </c>
    </row>
    <row r="456" spans="1:22" x14ac:dyDescent="0.2">
      <c r="A456" t="s">
        <v>1774</v>
      </c>
      <c r="B456" t="s">
        <v>851</v>
      </c>
      <c r="C456" t="s">
        <v>852</v>
      </c>
      <c r="D456" t="s">
        <v>1762</v>
      </c>
      <c r="E456" s="10" t="s">
        <v>1775</v>
      </c>
      <c r="F456" s="10"/>
      <c r="G456" s="10"/>
      <c r="H456" s="10" t="s">
        <v>1775</v>
      </c>
      <c r="I456" s="14">
        <v>579042.20504967729</v>
      </c>
      <c r="J456" s="19">
        <v>6.8248365670336688E-7</v>
      </c>
      <c r="K456" s="19">
        <v>0.4109208628024314</v>
      </c>
      <c r="L456" s="19">
        <v>0.58907845471391185</v>
      </c>
      <c r="M456" s="20">
        <v>1</v>
      </c>
      <c r="N456" s="19">
        <v>0.10878921298846191</v>
      </c>
      <c r="O456" s="19">
        <v>0.13230820099166893</v>
      </c>
      <c r="P456" s="19">
        <v>0.16982344882230058</v>
      </c>
      <c r="Q456" s="19">
        <v>0.37215599004672351</v>
      </c>
      <c r="R456" s="19">
        <v>0.19727180650830292</v>
      </c>
      <c r="S456" s="19">
        <v>1.9650658158885424E-2</v>
      </c>
      <c r="T456" s="20">
        <v>13</v>
      </c>
      <c r="U456" s="17">
        <v>2</v>
      </c>
      <c r="V456" s="17">
        <v>37</v>
      </c>
    </row>
    <row r="457" spans="1:22" x14ac:dyDescent="0.2">
      <c r="A457" t="s">
        <v>1776</v>
      </c>
      <c r="B457" t="s">
        <v>851</v>
      </c>
      <c r="C457" t="s">
        <v>852</v>
      </c>
      <c r="D457" t="s">
        <v>1762</v>
      </c>
      <c r="E457" s="10" t="s">
        <v>1777</v>
      </c>
      <c r="F457" s="10"/>
      <c r="G457" s="10"/>
      <c r="H457" s="10" t="s">
        <v>1777</v>
      </c>
      <c r="I457" s="14">
        <v>425656.37855262216</v>
      </c>
      <c r="J457" s="19">
        <v>2.7294427283240472E-2</v>
      </c>
      <c r="K457" s="19">
        <v>0.68976307500608092</v>
      </c>
      <c r="L457" s="19">
        <v>0.28294249771067859</v>
      </c>
      <c r="M457" s="20">
        <v>2</v>
      </c>
      <c r="N457" s="19">
        <v>0.3972170127034656</v>
      </c>
      <c r="O457" s="19">
        <v>1.4169005512147994E-2</v>
      </c>
      <c r="P457" s="19">
        <v>0.27837705679046737</v>
      </c>
      <c r="Q457" s="19">
        <v>0.1386699207557143</v>
      </c>
      <c r="R457" s="19">
        <v>0.12980808100841351</v>
      </c>
      <c r="S457" s="19">
        <v>1.4464495946550755E-2</v>
      </c>
      <c r="T457" s="20">
        <v>23</v>
      </c>
      <c r="U457" s="17">
        <v>2</v>
      </c>
      <c r="V457" s="17">
        <v>37</v>
      </c>
    </row>
    <row r="458" spans="1:22" x14ac:dyDescent="0.2">
      <c r="A458" t="s">
        <v>1778</v>
      </c>
      <c r="B458" t="s">
        <v>851</v>
      </c>
      <c r="C458" t="s">
        <v>852</v>
      </c>
      <c r="D458" t="s">
        <v>1762</v>
      </c>
      <c r="E458" s="10" t="s">
        <v>1779</v>
      </c>
      <c r="F458" s="10"/>
      <c r="G458" s="10"/>
      <c r="H458" s="10" t="s">
        <v>1779</v>
      </c>
      <c r="I458" s="14">
        <v>756967.72790638357</v>
      </c>
      <c r="J458" s="19">
        <v>7.6086662085936146E-2</v>
      </c>
      <c r="K458" s="19">
        <v>0.38543417367821781</v>
      </c>
      <c r="L458" s="19">
        <v>0.53847916423584608</v>
      </c>
      <c r="M458" s="20">
        <v>1</v>
      </c>
      <c r="N458" s="19">
        <v>7.276813483196222E-2</v>
      </c>
      <c r="O458" s="19">
        <v>0.19932794388242103</v>
      </c>
      <c r="P458" s="19">
        <v>0.11333809496383457</v>
      </c>
      <c r="Q458" s="19">
        <v>0.26500405322400961</v>
      </c>
      <c r="R458" s="19">
        <v>0.23897135028617289</v>
      </c>
      <c r="S458" s="19">
        <v>3.4503760725663538E-2</v>
      </c>
      <c r="T458" s="20">
        <v>13</v>
      </c>
      <c r="U458" s="17">
        <v>2</v>
      </c>
      <c r="V458" s="17">
        <v>37</v>
      </c>
    </row>
    <row r="459" spans="1:22" x14ac:dyDescent="0.2">
      <c r="A459" t="s">
        <v>1780</v>
      </c>
      <c r="B459" t="s">
        <v>851</v>
      </c>
      <c r="C459" t="s">
        <v>852</v>
      </c>
      <c r="D459" t="s">
        <v>1762</v>
      </c>
      <c r="E459" s="10" t="s">
        <v>1781</v>
      </c>
      <c r="F459" s="10"/>
      <c r="G459" s="10"/>
      <c r="H459" s="10" t="s">
        <v>1781</v>
      </c>
      <c r="I459" s="14">
        <v>245108.12795731891</v>
      </c>
      <c r="J459" s="19">
        <v>0.47582468312708853</v>
      </c>
      <c r="K459" s="19">
        <v>8.5545863658148064E-2</v>
      </c>
      <c r="L459" s="19">
        <v>0.43862945321476343</v>
      </c>
      <c r="M459" s="20">
        <v>2</v>
      </c>
      <c r="N459" s="19">
        <v>0</v>
      </c>
      <c r="O459" s="19">
        <v>3.4313435242245519E-2</v>
      </c>
      <c r="P459" s="19">
        <v>5.1232428415902538E-2</v>
      </c>
      <c r="Q459" s="19">
        <v>0.17506242611325937</v>
      </c>
      <c r="R459" s="19">
        <v>0.21716049131666815</v>
      </c>
      <c r="S459" s="19">
        <v>4.6406535784835876E-2</v>
      </c>
      <c r="T459" s="20">
        <v>22</v>
      </c>
      <c r="U459" s="17">
        <v>2</v>
      </c>
      <c r="V459" s="17">
        <v>37</v>
      </c>
    </row>
    <row r="460" spans="1:22" x14ac:dyDescent="0.2">
      <c r="A460" t="s">
        <v>1782</v>
      </c>
      <c r="B460" t="s">
        <v>851</v>
      </c>
      <c r="C460" t="s">
        <v>852</v>
      </c>
      <c r="D460" t="s">
        <v>1762</v>
      </c>
      <c r="E460" s="10" t="s">
        <v>1783</v>
      </c>
      <c r="F460" s="10"/>
      <c r="G460" s="10"/>
      <c r="H460" s="10" t="s">
        <v>1783</v>
      </c>
      <c r="I460" s="14">
        <v>325785.40607241541</v>
      </c>
      <c r="J460" s="19">
        <v>0</v>
      </c>
      <c r="K460" s="19">
        <v>0.30586704256377228</v>
      </c>
      <c r="L460" s="19">
        <v>0.69413295743622783</v>
      </c>
      <c r="M460" s="20">
        <v>1</v>
      </c>
      <c r="N460" s="19">
        <v>0.14307202073781317</v>
      </c>
      <c r="O460" s="19">
        <v>0.10091404485639235</v>
      </c>
      <c r="P460" s="19">
        <v>6.1880976969566751E-2</v>
      </c>
      <c r="Q460" s="19">
        <v>0.28135303144512674</v>
      </c>
      <c r="R460" s="19">
        <v>0.3194547283347593</v>
      </c>
      <c r="S460" s="19">
        <v>9.332519765634166E-2</v>
      </c>
      <c r="T460" s="20">
        <v>12</v>
      </c>
      <c r="U460" s="17">
        <v>2</v>
      </c>
      <c r="V460" s="17">
        <v>37</v>
      </c>
    </row>
    <row r="461" spans="1:22" x14ac:dyDescent="0.2">
      <c r="A461" t="s">
        <v>1784</v>
      </c>
      <c r="B461" t="s">
        <v>851</v>
      </c>
      <c r="C461" t="s">
        <v>852</v>
      </c>
      <c r="D461" t="s">
        <v>1762</v>
      </c>
      <c r="E461" s="10" t="s">
        <v>1785</v>
      </c>
      <c r="F461" s="10"/>
      <c r="G461" s="10"/>
      <c r="H461" s="10" t="s">
        <v>1785</v>
      </c>
      <c r="I461" s="14">
        <v>750323.74770198483</v>
      </c>
      <c r="J461" s="19">
        <v>0.11277428540952715</v>
      </c>
      <c r="K461" s="19">
        <v>0.66339959848389096</v>
      </c>
      <c r="L461" s="19">
        <v>0.22382611610658187</v>
      </c>
      <c r="M461" s="20">
        <v>2</v>
      </c>
      <c r="N461" s="19">
        <v>0.17182509381242153</v>
      </c>
      <c r="O461" s="19">
        <v>0.13913230991534067</v>
      </c>
      <c r="P461" s="19">
        <v>0.35244219475612876</v>
      </c>
      <c r="Q461" s="19">
        <v>7.0264801510525637E-2</v>
      </c>
      <c r="R461" s="19">
        <v>0.1425164247808543</v>
      </c>
      <c r="S461" s="19">
        <v>1.1044889815201912E-2</v>
      </c>
      <c r="T461" s="20">
        <v>23</v>
      </c>
      <c r="U461" s="17">
        <v>2</v>
      </c>
      <c r="V461" s="17">
        <v>37</v>
      </c>
    </row>
    <row r="462" spans="1:22" x14ac:dyDescent="0.2">
      <c r="A462" t="s">
        <v>1786</v>
      </c>
      <c r="B462" t="s">
        <v>851</v>
      </c>
      <c r="C462" t="s">
        <v>852</v>
      </c>
      <c r="D462" t="s">
        <v>1762</v>
      </c>
      <c r="E462" s="10" t="s">
        <v>1787</v>
      </c>
      <c r="F462" s="10"/>
      <c r="G462" s="10"/>
      <c r="H462" s="10" t="s">
        <v>1787</v>
      </c>
      <c r="I462" s="14">
        <v>195309.08119346015</v>
      </c>
      <c r="J462" s="19">
        <v>0.32708230505714564</v>
      </c>
      <c r="K462" s="19">
        <v>0.50137049753751639</v>
      </c>
      <c r="L462" s="19">
        <v>0.17154719740533803</v>
      </c>
      <c r="M462" s="20">
        <v>2</v>
      </c>
      <c r="N462" s="19">
        <v>0.213829926348028</v>
      </c>
      <c r="O462" s="19">
        <v>0</v>
      </c>
      <c r="P462" s="19">
        <v>0.28754057118948834</v>
      </c>
      <c r="Q462" s="19">
        <v>0.10819520382999581</v>
      </c>
      <c r="R462" s="19">
        <v>5.3288575147610727E-2</v>
      </c>
      <c r="S462" s="19">
        <v>1.0063418427731485E-2</v>
      </c>
      <c r="T462" s="20">
        <v>23</v>
      </c>
      <c r="U462" s="17">
        <v>2</v>
      </c>
      <c r="V462" s="17">
        <v>37</v>
      </c>
    </row>
    <row r="463" spans="1:22" x14ac:dyDescent="0.2">
      <c r="A463" t="s">
        <v>1788</v>
      </c>
      <c r="B463" t="s">
        <v>851</v>
      </c>
      <c r="C463" t="s">
        <v>852</v>
      </c>
      <c r="D463" t="s">
        <v>1762</v>
      </c>
      <c r="E463" s="10" t="s">
        <v>1789</v>
      </c>
      <c r="F463" s="10"/>
      <c r="G463" s="10"/>
      <c r="H463" s="10" t="s">
        <v>1789</v>
      </c>
      <c r="I463" s="14">
        <v>2089006.2140484913</v>
      </c>
      <c r="J463" s="19">
        <v>0.96476534010140458</v>
      </c>
      <c r="K463" s="19">
        <v>3.1570715885863646E-2</v>
      </c>
      <c r="L463" s="19">
        <v>3.6639440127316991E-3</v>
      </c>
      <c r="M463" s="20">
        <v>3</v>
      </c>
      <c r="N463" s="19">
        <v>5.386846775542015E-3</v>
      </c>
      <c r="O463" s="19">
        <v>0</v>
      </c>
      <c r="P463" s="19">
        <v>2.6183869110321629E-2</v>
      </c>
      <c r="Q463" s="19">
        <v>2.2930840128807043E-6</v>
      </c>
      <c r="R463" s="19">
        <v>3.3746717369452593E-3</v>
      </c>
      <c r="S463" s="19">
        <v>2.8697919177355941E-4</v>
      </c>
      <c r="T463" s="20">
        <v>30</v>
      </c>
      <c r="U463" s="17">
        <v>2</v>
      </c>
      <c r="V463" s="17">
        <v>37</v>
      </c>
    </row>
    <row r="464" spans="1:22" x14ac:dyDescent="0.2">
      <c r="A464" t="s">
        <v>1790</v>
      </c>
      <c r="B464" t="s">
        <v>851</v>
      </c>
      <c r="C464" t="s">
        <v>852</v>
      </c>
      <c r="D464" t="s">
        <v>1762</v>
      </c>
      <c r="E464" s="10" t="s">
        <v>1791</v>
      </c>
      <c r="F464" s="10"/>
      <c r="G464" s="10"/>
      <c r="H464" s="10" t="s">
        <v>1791</v>
      </c>
      <c r="I464" s="14">
        <v>170344.88759305282</v>
      </c>
      <c r="J464" s="19">
        <v>0.78907550554755446</v>
      </c>
      <c r="K464" s="19">
        <v>9.5373454415819431E-2</v>
      </c>
      <c r="L464" s="19">
        <v>0.1155510400366261</v>
      </c>
      <c r="M464" s="20">
        <v>3</v>
      </c>
      <c r="N464" s="19">
        <v>0</v>
      </c>
      <c r="O464" s="19">
        <v>0</v>
      </c>
      <c r="P464" s="19">
        <v>9.5373454415819431E-2</v>
      </c>
      <c r="Q464" s="19">
        <v>5.4084278918967846E-2</v>
      </c>
      <c r="R464" s="19">
        <v>5.5586303694972201E-2</v>
      </c>
      <c r="S464" s="19">
        <v>5.880457422686061E-3</v>
      </c>
      <c r="T464" s="20">
        <v>30</v>
      </c>
      <c r="U464" s="17">
        <v>2</v>
      </c>
      <c r="V464" s="17">
        <v>37</v>
      </c>
    </row>
    <row r="465" spans="1:22" x14ac:dyDescent="0.2">
      <c r="A465" t="s">
        <v>1792</v>
      </c>
      <c r="B465" t="s">
        <v>851</v>
      </c>
      <c r="C465" t="s">
        <v>852</v>
      </c>
      <c r="D465" t="s">
        <v>1793</v>
      </c>
      <c r="E465" s="10" t="s">
        <v>1794</v>
      </c>
      <c r="F465" s="10"/>
      <c r="G465" s="10"/>
      <c r="H465" s="10" t="s">
        <v>1794</v>
      </c>
      <c r="I465" s="14">
        <v>615772.41070965305</v>
      </c>
      <c r="J465" s="19">
        <v>0.33100131954764739</v>
      </c>
      <c r="K465" s="19">
        <v>0.42126234404754631</v>
      </c>
      <c r="L465" s="19">
        <v>0.24773633640480633</v>
      </c>
      <c r="M465" s="20">
        <v>2</v>
      </c>
      <c r="N465" s="19">
        <v>0.14934912395293853</v>
      </c>
      <c r="O465" s="19">
        <v>2.7219529591895494E-2</v>
      </c>
      <c r="P465" s="19">
        <v>0.24469369050271225</v>
      </c>
      <c r="Q465" s="19">
        <v>6.783364721785401E-2</v>
      </c>
      <c r="R465" s="19">
        <v>0.15911316217416369</v>
      </c>
      <c r="S465" s="19">
        <v>2.0789527012788619E-2</v>
      </c>
      <c r="T465" s="20">
        <v>23</v>
      </c>
      <c r="U465" s="17">
        <v>2</v>
      </c>
      <c r="V465" s="17">
        <v>37</v>
      </c>
    </row>
    <row r="466" spans="1:22" x14ac:dyDescent="0.2">
      <c r="A466" t="s">
        <v>1795</v>
      </c>
      <c r="B466" t="s">
        <v>851</v>
      </c>
      <c r="C466" t="s">
        <v>852</v>
      </c>
      <c r="D466" t="s">
        <v>1793</v>
      </c>
      <c r="E466" s="10" t="s">
        <v>1796</v>
      </c>
      <c r="F466" s="10"/>
      <c r="G466" s="10"/>
      <c r="H466" s="10" t="s">
        <v>1796</v>
      </c>
      <c r="I466" s="14">
        <v>409327.62247097073</v>
      </c>
      <c r="J466" s="19">
        <v>0</v>
      </c>
      <c r="K466" s="19">
        <v>0.84908998207910258</v>
      </c>
      <c r="L466" s="19">
        <v>0.15091001792089737</v>
      </c>
      <c r="M466" s="20">
        <v>2</v>
      </c>
      <c r="N466" s="19">
        <v>0.36023997664452118</v>
      </c>
      <c r="O466" s="19">
        <v>4.741091205613885E-2</v>
      </c>
      <c r="P466" s="19">
        <v>0.44143909337844262</v>
      </c>
      <c r="Q466" s="19">
        <v>3.4089079990987439E-2</v>
      </c>
      <c r="R466" s="19">
        <v>0.10885863579191053</v>
      </c>
      <c r="S466" s="19">
        <v>7.9623021379993993E-3</v>
      </c>
      <c r="T466" s="20">
        <v>23</v>
      </c>
      <c r="U466" s="17">
        <v>2</v>
      </c>
      <c r="V466" s="17">
        <v>37</v>
      </c>
    </row>
    <row r="467" spans="1:22" x14ac:dyDescent="0.2">
      <c r="A467" t="s">
        <v>1797</v>
      </c>
      <c r="B467" t="s">
        <v>851</v>
      </c>
      <c r="C467" t="s">
        <v>852</v>
      </c>
      <c r="D467" t="s">
        <v>1793</v>
      </c>
      <c r="E467" s="10" t="s">
        <v>1798</v>
      </c>
      <c r="F467" s="10"/>
      <c r="G467" s="10"/>
      <c r="H467" s="10" t="s">
        <v>1798</v>
      </c>
      <c r="I467" s="14">
        <v>315616.1006848095</v>
      </c>
      <c r="J467" s="19">
        <v>0.24473607362991964</v>
      </c>
      <c r="K467" s="19">
        <v>0.40333879089358665</v>
      </c>
      <c r="L467" s="19">
        <v>0.35192513547649368</v>
      </c>
      <c r="M467" s="20">
        <v>2</v>
      </c>
      <c r="N467" s="19">
        <v>4.3890559046228156E-2</v>
      </c>
      <c r="O467" s="19">
        <v>1.3319325283878351E-2</v>
      </c>
      <c r="P467" s="19">
        <v>0.34612890656348011</v>
      </c>
      <c r="Q467" s="19">
        <v>9.8986861968135581E-2</v>
      </c>
      <c r="R467" s="19">
        <v>0.23339213230413966</v>
      </c>
      <c r="S467" s="19">
        <v>1.9546141204218472E-2</v>
      </c>
      <c r="T467" s="20">
        <v>23</v>
      </c>
      <c r="U467" s="17">
        <v>2</v>
      </c>
      <c r="V467" s="17">
        <v>37</v>
      </c>
    </row>
    <row r="468" spans="1:22" x14ac:dyDescent="0.2">
      <c r="A468" t="s">
        <v>1799</v>
      </c>
      <c r="B468" t="s">
        <v>851</v>
      </c>
      <c r="C468" t="s">
        <v>852</v>
      </c>
      <c r="D468" t="s">
        <v>1793</v>
      </c>
      <c r="E468" s="10" t="s">
        <v>1800</v>
      </c>
      <c r="F468" s="10"/>
      <c r="G468" s="10"/>
      <c r="H468" s="10" t="s">
        <v>1800</v>
      </c>
      <c r="I468" s="14">
        <v>1799420.2423817271</v>
      </c>
      <c r="J468" s="19">
        <v>0.74495887340392442</v>
      </c>
      <c r="K468" s="19">
        <v>0.18590549537351142</v>
      </c>
      <c r="L468" s="19">
        <v>6.9135631222564123E-2</v>
      </c>
      <c r="M468" s="20">
        <v>3</v>
      </c>
      <c r="N468" s="19">
        <v>5.5900943769696204E-2</v>
      </c>
      <c r="O468" s="19">
        <v>3.1983640489950814E-3</v>
      </c>
      <c r="P468" s="19">
        <v>0.12680618755482012</v>
      </c>
      <c r="Q468" s="19">
        <v>1.2170675533942844E-2</v>
      </c>
      <c r="R468" s="19">
        <v>5.1841222238376693E-2</v>
      </c>
      <c r="S468" s="19">
        <v>5.1237334502445874E-3</v>
      </c>
      <c r="T468" s="20">
        <v>30</v>
      </c>
      <c r="U468" s="17">
        <v>2</v>
      </c>
      <c r="V468" s="17">
        <v>37</v>
      </c>
    </row>
    <row r="469" spans="1:22" x14ac:dyDescent="0.2">
      <c r="A469" t="s">
        <v>1801</v>
      </c>
      <c r="B469" t="s">
        <v>851</v>
      </c>
      <c r="C469" t="s">
        <v>852</v>
      </c>
      <c r="D469" t="s">
        <v>1793</v>
      </c>
      <c r="E469" s="10" t="s">
        <v>1802</v>
      </c>
      <c r="F469" s="10"/>
      <c r="G469" s="10"/>
      <c r="H469" s="10" t="s">
        <v>1802</v>
      </c>
      <c r="I469" s="14">
        <v>132158.47741190158</v>
      </c>
      <c r="J469" s="19">
        <v>0.55145574519478513</v>
      </c>
      <c r="K469" s="19">
        <v>0.29330591064692912</v>
      </c>
      <c r="L469" s="19">
        <v>0.1552383441582858</v>
      </c>
      <c r="M469" s="20">
        <v>3</v>
      </c>
      <c r="N469" s="19">
        <v>0</v>
      </c>
      <c r="O469" s="19">
        <v>0</v>
      </c>
      <c r="P469" s="19">
        <v>0.29330591064692912</v>
      </c>
      <c r="Q469" s="19">
        <v>3.3566242110442319E-3</v>
      </c>
      <c r="R469" s="19">
        <v>0.14051191282308514</v>
      </c>
      <c r="S469" s="19">
        <v>1.1369807124156403E-2</v>
      </c>
      <c r="T469" s="20">
        <v>30</v>
      </c>
      <c r="U469" s="17">
        <v>2</v>
      </c>
      <c r="V469" s="17">
        <v>37</v>
      </c>
    </row>
    <row r="470" spans="1:22" x14ac:dyDescent="0.2">
      <c r="A470" t="s">
        <v>1803</v>
      </c>
      <c r="B470" t="s">
        <v>851</v>
      </c>
      <c r="C470" t="s">
        <v>852</v>
      </c>
      <c r="D470" t="s">
        <v>1793</v>
      </c>
      <c r="E470" s="10" t="s">
        <v>1804</v>
      </c>
      <c r="F470" s="10"/>
      <c r="G470" s="10"/>
      <c r="H470" s="10" t="s">
        <v>1804</v>
      </c>
      <c r="I470" s="14">
        <v>202418.1308815917</v>
      </c>
      <c r="J470" s="19">
        <v>0</v>
      </c>
      <c r="K470" s="19">
        <v>0.5813467059479277</v>
      </c>
      <c r="L470" s="19">
        <v>0.41865329405207224</v>
      </c>
      <c r="M470" s="20">
        <v>2</v>
      </c>
      <c r="N470" s="19">
        <v>9.9961592598924079E-2</v>
      </c>
      <c r="O470" s="19">
        <v>4.4522573347844784E-2</v>
      </c>
      <c r="P470" s="19">
        <v>0.43686254000115887</v>
      </c>
      <c r="Q470" s="19">
        <v>0.11349464738620829</v>
      </c>
      <c r="R470" s="19">
        <v>0.27952330976784057</v>
      </c>
      <c r="S470" s="19">
        <v>2.5635336898023418E-2</v>
      </c>
      <c r="T470" s="20">
        <v>23</v>
      </c>
      <c r="U470" s="17">
        <v>2</v>
      </c>
      <c r="V470" s="17">
        <v>37</v>
      </c>
    </row>
    <row r="471" spans="1:22" x14ac:dyDescent="0.2">
      <c r="A471" t="s">
        <v>1805</v>
      </c>
      <c r="B471" t="s">
        <v>851</v>
      </c>
      <c r="C471" t="s">
        <v>852</v>
      </c>
      <c r="D471" t="s">
        <v>1793</v>
      </c>
      <c r="E471" s="10" t="s">
        <v>1806</v>
      </c>
      <c r="F471" s="10"/>
      <c r="G471" s="10"/>
      <c r="H471" s="10" t="s">
        <v>1806</v>
      </c>
      <c r="I471" s="14">
        <v>388156.01917558536</v>
      </c>
      <c r="J471" s="19">
        <v>0.40676234023457625</v>
      </c>
      <c r="K471" s="19">
        <v>0.23011582831306243</v>
      </c>
      <c r="L471" s="19">
        <v>0.36312183145236132</v>
      </c>
      <c r="M471" s="20">
        <v>2</v>
      </c>
      <c r="N471" s="19">
        <v>3.8356019088210846E-2</v>
      </c>
      <c r="O471" s="19">
        <v>5.7095762892979615E-2</v>
      </c>
      <c r="P471" s="19">
        <v>0.13466404633187196</v>
      </c>
      <c r="Q471" s="19">
        <v>0.18182211009565885</v>
      </c>
      <c r="R471" s="19">
        <v>0.15978950218105331</v>
      </c>
      <c r="S471" s="19">
        <v>2.1510219175649169E-2</v>
      </c>
      <c r="T471" s="20">
        <v>22</v>
      </c>
      <c r="U471" s="17">
        <v>2</v>
      </c>
      <c r="V471" s="17">
        <v>37</v>
      </c>
    </row>
    <row r="472" spans="1:22" x14ac:dyDescent="0.2">
      <c r="A472" t="s">
        <v>1807</v>
      </c>
      <c r="B472" t="s">
        <v>851</v>
      </c>
      <c r="C472" t="s">
        <v>852</v>
      </c>
      <c r="D472" t="s">
        <v>1793</v>
      </c>
      <c r="E472" s="10" t="s">
        <v>1808</v>
      </c>
      <c r="F472" s="10"/>
      <c r="G472" s="10"/>
      <c r="H472" s="10" t="s">
        <v>1808</v>
      </c>
      <c r="I472" s="14">
        <v>380096.23222298548</v>
      </c>
      <c r="J472" s="19">
        <v>0.93920965332763684</v>
      </c>
      <c r="K472" s="19">
        <v>5.2986147715887541E-2</v>
      </c>
      <c r="L472" s="19">
        <v>7.8041989564755984E-3</v>
      </c>
      <c r="M472" s="20">
        <v>3</v>
      </c>
      <c r="N472" s="19">
        <v>2.0371526688897433E-2</v>
      </c>
      <c r="O472" s="19">
        <v>0</v>
      </c>
      <c r="P472" s="19">
        <v>3.2614621026990108E-2</v>
      </c>
      <c r="Q472" s="19">
        <v>0</v>
      </c>
      <c r="R472" s="19">
        <v>7.470535065955514E-3</v>
      </c>
      <c r="S472" s="19">
        <v>3.3366389052008383E-4</v>
      </c>
      <c r="T472" s="20">
        <v>30</v>
      </c>
      <c r="U472" s="17">
        <v>2</v>
      </c>
      <c r="V472" s="17">
        <v>37</v>
      </c>
    </row>
    <row r="473" spans="1:22" x14ac:dyDescent="0.2">
      <c r="A473" t="s">
        <v>1809</v>
      </c>
      <c r="B473" t="s">
        <v>851</v>
      </c>
      <c r="C473" t="s">
        <v>852</v>
      </c>
      <c r="D473" t="s">
        <v>1793</v>
      </c>
      <c r="E473" s="10" t="s">
        <v>1810</v>
      </c>
      <c r="F473" s="10"/>
      <c r="G473" s="10"/>
      <c r="H473" s="10" t="s">
        <v>1810</v>
      </c>
      <c r="I473" s="14">
        <v>2526925.3715255624</v>
      </c>
      <c r="J473" s="19">
        <v>0.98946070026016342</v>
      </c>
      <c r="K473" s="19">
        <v>9.5563704092800194E-3</v>
      </c>
      <c r="L473" s="19">
        <v>9.8292933055642274E-4</v>
      </c>
      <c r="M473" s="20">
        <v>3</v>
      </c>
      <c r="N473" s="19">
        <v>4.542014926591743E-3</v>
      </c>
      <c r="O473" s="19">
        <v>0</v>
      </c>
      <c r="P473" s="19">
        <v>5.0143554826882772E-3</v>
      </c>
      <c r="Q473" s="19">
        <v>0</v>
      </c>
      <c r="R473" s="19">
        <v>9.1289244618030657E-4</v>
      </c>
      <c r="S473" s="19">
        <v>7.0036884376116113E-5</v>
      </c>
      <c r="T473" s="20">
        <v>30</v>
      </c>
      <c r="U473" s="17">
        <v>2</v>
      </c>
      <c r="V473" s="17">
        <v>37</v>
      </c>
    </row>
    <row r="474" spans="1:22" x14ac:dyDescent="0.2">
      <c r="A474" t="s">
        <v>1811</v>
      </c>
      <c r="B474" t="s">
        <v>851</v>
      </c>
      <c r="C474" t="s">
        <v>852</v>
      </c>
      <c r="D474" t="s">
        <v>1793</v>
      </c>
      <c r="E474" s="10" t="s">
        <v>1812</v>
      </c>
      <c r="F474" s="10"/>
      <c r="G474" s="10"/>
      <c r="H474" s="10" t="s">
        <v>1812</v>
      </c>
      <c r="I474" s="14">
        <v>267388.46120043192</v>
      </c>
      <c r="J474" s="19">
        <v>0.96314744210231684</v>
      </c>
      <c r="K474" s="19">
        <v>2.9545496800691282E-2</v>
      </c>
      <c r="L474" s="19">
        <v>7.3070610969918374E-3</v>
      </c>
      <c r="M474" s="20">
        <v>3</v>
      </c>
      <c r="N474" s="19">
        <v>0</v>
      </c>
      <c r="O474" s="19">
        <v>0</v>
      </c>
      <c r="P474" s="19">
        <v>2.9545496800691282E-2</v>
      </c>
      <c r="Q474" s="19">
        <v>0</v>
      </c>
      <c r="R474" s="19">
        <v>7.1844863883742055E-3</v>
      </c>
      <c r="S474" s="19">
        <v>1.2257470861763221E-4</v>
      </c>
      <c r="T474" s="20">
        <v>30</v>
      </c>
      <c r="U474" s="17">
        <v>2</v>
      </c>
      <c r="V474" s="17">
        <v>37</v>
      </c>
    </row>
    <row r="475" spans="1:22" x14ac:dyDescent="0.2">
      <c r="A475" t="s">
        <v>1813</v>
      </c>
      <c r="B475" t="s">
        <v>851</v>
      </c>
      <c r="C475" t="s">
        <v>852</v>
      </c>
      <c r="D475" t="s">
        <v>1793</v>
      </c>
      <c r="E475" s="10" t="s">
        <v>1814</v>
      </c>
      <c r="F475" s="10"/>
      <c r="G475" s="10"/>
      <c r="H475" s="10" t="s">
        <v>1814</v>
      </c>
      <c r="I475" s="14">
        <v>374048.25996282138</v>
      </c>
      <c r="J475" s="19">
        <v>0.53897460142175824</v>
      </c>
      <c r="K475" s="19">
        <v>0.20593105835702866</v>
      </c>
      <c r="L475" s="19">
        <v>0.25509434022121313</v>
      </c>
      <c r="M475" s="20">
        <v>3</v>
      </c>
      <c r="N475" s="19">
        <v>6.6444032397596858E-2</v>
      </c>
      <c r="O475" s="19">
        <v>6.499898506992717E-2</v>
      </c>
      <c r="P475" s="19">
        <v>7.4488040889504628E-2</v>
      </c>
      <c r="Q475" s="19">
        <v>5.9904326504568707E-2</v>
      </c>
      <c r="R475" s="19">
        <v>0.16975020428882681</v>
      </c>
      <c r="S475" s="19">
        <v>2.5439809427817602E-2</v>
      </c>
      <c r="T475" s="20">
        <v>30</v>
      </c>
      <c r="U475" s="17">
        <v>2</v>
      </c>
      <c r="V475" s="17">
        <v>37</v>
      </c>
    </row>
    <row r="476" spans="1:22" x14ac:dyDescent="0.2">
      <c r="A476" t="s">
        <v>1815</v>
      </c>
      <c r="B476" t="s">
        <v>851</v>
      </c>
      <c r="C476" t="s">
        <v>852</v>
      </c>
      <c r="D476" t="s">
        <v>1793</v>
      </c>
      <c r="E476" s="10" t="s">
        <v>1816</v>
      </c>
      <c r="F476" s="10"/>
      <c r="G476" s="10"/>
      <c r="H476" s="10" t="s">
        <v>1816</v>
      </c>
      <c r="I476" s="14">
        <v>245405.10997066274</v>
      </c>
      <c r="J476" s="19">
        <v>0</v>
      </c>
      <c r="K476" s="19">
        <v>0.45900032118081918</v>
      </c>
      <c r="L476" s="19">
        <v>0.54099967881918087</v>
      </c>
      <c r="M476" s="20">
        <v>1</v>
      </c>
      <c r="N476" s="19">
        <v>0.31162328936493283</v>
      </c>
      <c r="O476" s="19">
        <v>9.5975661818550433E-3</v>
      </c>
      <c r="P476" s="19">
        <v>0.13777946563403129</v>
      </c>
      <c r="Q476" s="19">
        <v>0.20843430206254901</v>
      </c>
      <c r="R476" s="19">
        <v>0.29500879921053497</v>
      </c>
      <c r="S476" s="19">
        <v>3.7556577546096891E-2</v>
      </c>
      <c r="T476" s="20">
        <v>12</v>
      </c>
      <c r="U476" s="17">
        <v>2</v>
      </c>
      <c r="V476" s="17">
        <v>37</v>
      </c>
    </row>
    <row r="477" spans="1:22" x14ac:dyDescent="0.2">
      <c r="A477" t="s">
        <v>1817</v>
      </c>
      <c r="B477" t="s">
        <v>851</v>
      </c>
      <c r="C477" t="s">
        <v>852</v>
      </c>
      <c r="D477" t="s">
        <v>1793</v>
      </c>
      <c r="E477" s="10" t="s">
        <v>1818</v>
      </c>
      <c r="F477" s="10"/>
      <c r="G477" s="10"/>
      <c r="H477" s="10" t="s">
        <v>1818</v>
      </c>
      <c r="I477" s="14">
        <v>482553.74009445589</v>
      </c>
      <c r="J477" s="19">
        <v>0</v>
      </c>
      <c r="K477" s="19">
        <v>0.63368897465176066</v>
      </c>
      <c r="L477" s="19">
        <v>0.36631102534823934</v>
      </c>
      <c r="M477" s="20">
        <v>2</v>
      </c>
      <c r="N477" s="19">
        <v>0.21717157733598844</v>
      </c>
      <c r="O477" s="19">
        <v>0.15483346639527784</v>
      </c>
      <c r="P477" s="19">
        <v>0.26168393092049441</v>
      </c>
      <c r="Q477" s="19">
        <v>0.18186991925603532</v>
      </c>
      <c r="R477" s="19">
        <v>0.16359868746435008</v>
      </c>
      <c r="S477" s="19">
        <v>2.084241862785394E-2</v>
      </c>
      <c r="T477" s="20">
        <v>23</v>
      </c>
      <c r="U477" s="17">
        <v>2</v>
      </c>
      <c r="V477" s="17">
        <v>37</v>
      </c>
    </row>
    <row r="478" spans="1:22" x14ac:dyDescent="0.2">
      <c r="A478" t="s">
        <v>1819</v>
      </c>
      <c r="B478" t="s">
        <v>851</v>
      </c>
      <c r="C478" t="s">
        <v>852</v>
      </c>
      <c r="D478" t="s">
        <v>1793</v>
      </c>
      <c r="E478" s="10" t="s">
        <v>1820</v>
      </c>
      <c r="F478" s="10"/>
      <c r="G478" s="10"/>
      <c r="H478" s="10" t="s">
        <v>1820</v>
      </c>
      <c r="I478" s="14">
        <v>17706.236064374447</v>
      </c>
      <c r="J478" s="19">
        <v>0</v>
      </c>
      <c r="K478" s="19">
        <v>0.86780536273642261</v>
      </c>
      <c r="L478" s="19">
        <v>0.13219463726357739</v>
      </c>
      <c r="M478" s="20">
        <v>2</v>
      </c>
      <c r="N478" s="19">
        <v>0.63420677663954617</v>
      </c>
      <c r="O478" s="19">
        <v>9.0073062693415057E-2</v>
      </c>
      <c r="P478" s="19">
        <v>0.14352552340346142</v>
      </c>
      <c r="Q478" s="19">
        <v>6.6511975439088378E-2</v>
      </c>
      <c r="R478" s="19">
        <v>6.1701294424672155E-2</v>
      </c>
      <c r="S478" s="19">
        <v>3.981367399816851E-3</v>
      </c>
      <c r="T478" s="20">
        <v>23</v>
      </c>
      <c r="U478" s="17">
        <v>2</v>
      </c>
      <c r="V478" s="17">
        <v>37</v>
      </c>
    </row>
    <row r="479" spans="1:22" x14ac:dyDescent="0.2">
      <c r="A479" t="s">
        <v>1821</v>
      </c>
      <c r="B479" t="s">
        <v>851</v>
      </c>
      <c r="C479" t="s">
        <v>852</v>
      </c>
      <c r="D479" t="s">
        <v>1793</v>
      </c>
      <c r="E479" s="10" t="s">
        <v>1822</v>
      </c>
      <c r="F479" s="10"/>
      <c r="G479" s="10"/>
      <c r="H479" s="10" t="s">
        <v>1822</v>
      </c>
      <c r="I479" s="14">
        <v>1000370.9279933262</v>
      </c>
      <c r="J479" s="19">
        <v>0.28239858140260488</v>
      </c>
      <c r="K479" s="19">
        <v>0.47060115030839994</v>
      </c>
      <c r="L479" s="19">
        <v>0.24700026828899518</v>
      </c>
      <c r="M479" s="20">
        <v>2</v>
      </c>
      <c r="N479" s="19">
        <v>0.14238732888087879</v>
      </c>
      <c r="O479" s="19">
        <v>2.4071576112112587E-2</v>
      </c>
      <c r="P479" s="19">
        <v>0.30414224531540851</v>
      </c>
      <c r="Q479" s="19">
        <v>6.5783024950127861E-2</v>
      </c>
      <c r="R479" s="19">
        <v>0.16336815709447103</v>
      </c>
      <c r="S479" s="19">
        <v>1.7849086244396298E-2</v>
      </c>
      <c r="T479" s="20">
        <v>23</v>
      </c>
      <c r="U479" s="17">
        <v>2</v>
      </c>
      <c r="V479" s="17">
        <v>37</v>
      </c>
    </row>
    <row r="480" spans="1:22" x14ac:dyDescent="0.2">
      <c r="A480" t="s">
        <v>1823</v>
      </c>
      <c r="B480" t="s">
        <v>851</v>
      </c>
      <c r="C480" t="s">
        <v>852</v>
      </c>
      <c r="D480" t="s">
        <v>1793</v>
      </c>
      <c r="E480" s="10" t="s">
        <v>1824</v>
      </c>
      <c r="F480" s="10"/>
      <c r="G480" s="10"/>
      <c r="H480" s="10" t="s">
        <v>1824</v>
      </c>
      <c r="I480" s="14">
        <v>434102.64485070022</v>
      </c>
      <c r="J480" s="19">
        <v>0.24819479281616166</v>
      </c>
      <c r="K480" s="19">
        <v>0.41510433777560107</v>
      </c>
      <c r="L480" s="19">
        <v>0.33670086940823718</v>
      </c>
      <c r="M480" s="20">
        <v>2</v>
      </c>
      <c r="N480" s="19">
        <v>0.19384594535045258</v>
      </c>
      <c r="O480" s="19">
        <v>9.1216715043587943E-2</v>
      </c>
      <c r="P480" s="19">
        <v>0.13004167738156056</v>
      </c>
      <c r="Q480" s="19">
        <v>0.16894532109523022</v>
      </c>
      <c r="R480" s="19">
        <v>0.14892563300964026</v>
      </c>
      <c r="S480" s="19">
        <v>1.882991530336663E-2</v>
      </c>
      <c r="T480" s="20">
        <v>23</v>
      </c>
      <c r="U480" s="17">
        <v>2</v>
      </c>
      <c r="V480" s="17">
        <v>37</v>
      </c>
    </row>
    <row r="481" spans="1:22" x14ac:dyDescent="0.2">
      <c r="A481" t="s">
        <v>1825</v>
      </c>
      <c r="B481" t="s">
        <v>851</v>
      </c>
      <c r="C481" t="s">
        <v>852</v>
      </c>
      <c r="D481" t="s">
        <v>1793</v>
      </c>
      <c r="E481" s="10" t="s">
        <v>1826</v>
      </c>
      <c r="F481" s="10"/>
      <c r="G481" s="10"/>
      <c r="H481" s="10" t="s">
        <v>1826</v>
      </c>
      <c r="I481" s="14">
        <v>162150.10405177437</v>
      </c>
      <c r="J481" s="19">
        <v>0</v>
      </c>
      <c r="K481" s="19">
        <v>0.60652142501125894</v>
      </c>
      <c r="L481" s="19">
        <v>0.39347857498874111</v>
      </c>
      <c r="M481" s="20">
        <v>2</v>
      </c>
      <c r="N481" s="19">
        <v>4.4646798973966263E-2</v>
      </c>
      <c r="O481" s="19">
        <v>0</v>
      </c>
      <c r="P481" s="19">
        <v>0.56187462603729266</v>
      </c>
      <c r="Q481" s="19">
        <v>0.10781384698408937</v>
      </c>
      <c r="R481" s="19">
        <v>0.25690321672856203</v>
      </c>
      <c r="S481" s="19">
        <v>2.8761511276089675E-2</v>
      </c>
      <c r="T481" s="20">
        <v>21</v>
      </c>
      <c r="U481" s="17">
        <v>2</v>
      </c>
      <c r="V481" s="17">
        <v>37</v>
      </c>
    </row>
    <row r="482" spans="1:22" x14ac:dyDescent="0.2">
      <c r="A482" t="s">
        <v>1827</v>
      </c>
      <c r="B482" t="s">
        <v>851</v>
      </c>
      <c r="C482" t="s">
        <v>852</v>
      </c>
      <c r="D482" t="s">
        <v>1793</v>
      </c>
      <c r="E482" s="10" t="s">
        <v>1828</v>
      </c>
      <c r="F482" s="10"/>
      <c r="G482" s="10"/>
      <c r="H482" s="10" t="s">
        <v>1828</v>
      </c>
      <c r="I482" s="14">
        <v>84605.63910301961</v>
      </c>
      <c r="J482" s="19">
        <v>0</v>
      </c>
      <c r="K482" s="19">
        <v>0.57327151091594153</v>
      </c>
      <c r="L482" s="19">
        <v>0.42672848908405853</v>
      </c>
      <c r="M482" s="20">
        <v>2</v>
      </c>
      <c r="N482" s="19">
        <v>0</v>
      </c>
      <c r="O482" s="19">
        <v>0.57327151091594153</v>
      </c>
      <c r="P482" s="19">
        <v>0</v>
      </c>
      <c r="Q482" s="19">
        <v>3.6846585708120501E-2</v>
      </c>
      <c r="R482" s="19">
        <v>0.35820166122014691</v>
      </c>
      <c r="S482" s="19">
        <v>3.1680242155791086E-2</v>
      </c>
      <c r="T482" s="20">
        <v>22</v>
      </c>
      <c r="U482" s="17">
        <v>2</v>
      </c>
      <c r="V482" s="17">
        <v>37</v>
      </c>
    </row>
    <row r="483" spans="1:22" x14ac:dyDescent="0.2">
      <c r="A483" t="s">
        <v>1829</v>
      </c>
      <c r="B483" t="s">
        <v>851</v>
      </c>
      <c r="C483" t="s">
        <v>852</v>
      </c>
      <c r="D483" t="s">
        <v>1793</v>
      </c>
      <c r="E483" s="10" t="s">
        <v>1830</v>
      </c>
      <c r="F483" s="10"/>
      <c r="G483" s="10"/>
      <c r="H483" s="10" t="s">
        <v>1830</v>
      </c>
      <c r="I483" s="14">
        <v>310365.27751145884</v>
      </c>
      <c r="J483" s="19">
        <v>0.1827052767359508</v>
      </c>
      <c r="K483" s="19">
        <v>0.42899669402586388</v>
      </c>
      <c r="L483" s="19">
        <v>0.3882980292381854</v>
      </c>
      <c r="M483" s="20">
        <v>2</v>
      </c>
      <c r="N483" s="19">
        <v>0</v>
      </c>
      <c r="O483" s="19">
        <v>0.3009205348914793</v>
      </c>
      <c r="P483" s="19">
        <v>0.12807615913438461</v>
      </c>
      <c r="Q483" s="19">
        <v>0.14557819096496052</v>
      </c>
      <c r="R483" s="19">
        <v>0.21899135892991292</v>
      </c>
      <c r="S483" s="19">
        <v>2.37284793433119E-2</v>
      </c>
      <c r="T483" s="20">
        <v>22</v>
      </c>
      <c r="U483" s="17">
        <v>2</v>
      </c>
      <c r="V483" s="17">
        <v>37</v>
      </c>
    </row>
    <row r="484" spans="1:22" x14ac:dyDescent="0.2">
      <c r="A484" t="s">
        <v>1831</v>
      </c>
      <c r="B484" t="s">
        <v>851</v>
      </c>
      <c r="C484" t="s">
        <v>852</v>
      </c>
      <c r="D484" t="s">
        <v>1793</v>
      </c>
      <c r="E484" s="10" t="s">
        <v>1832</v>
      </c>
      <c r="F484" s="10"/>
      <c r="G484" s="10"/>
      <c r="H484" s="10" t="s">
        <v>1832</v>
      </c>
      <c r="I484" s="14">
        <v>113169.20035962947</v>
      </c>
      <c r="J484" s="19">
        <v>0</v>
      </c>
      <c r="K484" s="19">
        <v>0.22744393861812767</v>
      </c>
      <c r="L484" s="19">
        <v>0.77255606138187227</v>
      </c>
      <c r="M484" s="20">
        <v>1</v>
      </c>
      <c r="N484" s="19">
        <v>0</v>
      </c>
      <c r="O484" s="19">
        <v>0.21706964921935357</v>
      </c>
      <c r="P484" s="19">
        <v>1.0374289398774056E-2</v>
      </c>
      <c r="Q484" s="19">
        <v>0.26185749123172453</v>
      </c>
      <c r="R484" s="19">
        <v>0.45093667735185206</v>
      </c>
      <c r="S484" s="19">
        <v>5.9761892798295697E-2</v>
      </c>
      <c r="T484" s="20">
        <v>12</v>
      </c>
      <c r="U484" s="17">
        <v>2</v>
      </c>
      <c r="V484" s="17">
        <v>37</v>
      </c>
    </row>
    <row r="485" spans="1:22" x14ac:dyDescent="0.2">
      <c r="A485" t="s">
        <v>1833</v>
      </c>
      <c r="B485" t="s">
        <v>851</v>
      </c>
      <c r="C485" t="s">
        <v>852</v>
      </c>
      <c r="D485" t="s">
        <v>1793</v>
      </c>
      <c r="E485" s="10" t="s">
        <v>1834</v>
      </c>
      <c r="F485" s="10"/>
      <c r="G485" s="10"/>
      <c r="H485" s="10" t="s">
        <v>1834</v>
      </c>
      <c r="I485" s="14">
        <v>203204.10541917011</v>
      </c>
      <c r="J485" s="19">
        <v>0</v>
      </c>
      <c r="K485" s="19">
        <v>0.47557054405969196</v>
      </c>
      <c r="L485" s="19">
        <v>0.52442945594030799</v>
      </c>
      <c r="M485" s="20">
        <v>1</v>
      </c>
      <c r="N485" s="19">
        <v>0.21249474762581586</v>
      </c>
      <c r="O485" s="19">
        <v>0.15896979929202334</v>
      </c>
      <c r="P485" s="19">
        <v>0.10410599714185277</v>
      </c>
      <c r="Q485" s="19">
        <v>0.26716678858421922</v>
      </c>
      <c r="R485" s="19">
        <v>0.22460863942747827</v>
      </c>
      <c r="S485" s="19">
        <v>3.2654027928610579E-2</v>
      </c>
      <c r="T485" s="20">
        <v>13</v>
      </c>
      <c r="U485" s="17">
        <v>2</v>
      </c>
      <c r="V485" s="17">
        <v>37</v>
      </c>
    </row>
    <row r="486" spans="1:22" x14ac:dyDescent="0.2">
      <c r="A486" t="s">
        <v>1835</v>
      </c>
      <c r="B486" t="s">
        <v>851</v>
      </c>
      <c r="C486" t="s">
        <v>852</v>
      </c>
      <c r="D486" t="s">
        <v>1793</v>
      </c>
      <c r="E486" s="10" t="s">
        <v>1836</v>
      </c>
      <c r="F486" s="10"/>
      <c r="G486" s="10"/>
      <c r="H486" s="10" t="s">
        <v>1836</v>
      </c>
      <c r="I486" s="14">
        <v>294724.30842164904</v>
      </c>
      <c r="J486" s="19">
        <v>0</v>
      </c>
      <c r="K486" s="19">
        <v>0.47206193938930335</v>
      </c>
      <c r="L486" s="19">
        <v>0.52793806061069659</v>
      </c>
      <c r="M486" s="20">
        <v>1</v>
      </c>
      <c r="N486" s="19">
        <v>0.16640107022690173</v>
      </c>
      <c r="O486" s="19">
        <v>7.2331286734963002E-2</v>
      </c>
      <c r="P486" s="19">
        <v>0.23332958242743865</v>
      </c>
      <c r="Q486" s="19">
        <v>0.25096737112570028</v>
      </c>
      <c r="R486" s="19">
        <v>0.24513377247192994</v>
      </c>
      <c r="S486" s="19">
        <v>3.1836917013066394E-2</v>
      </c>
      <c r="T486" s="20">
        <v>13</v>
      </c>
      <c r="U486" s="17">
        <v>2</v>
      </c>
      <c r="V486" s="17">
        <v>37</v>
      </c>
    </row>
    <row r="487" spans="1:22" x14ac:dyDescent="0.2">
      <c r="A487" t="s">
        <v>1837</v>
      </c>
      <c r="B487" t="s">
        <v>851</v>
      </c>
      <c r="C487" t="s">
        <v>852</v>
      </c>
      <c r="D487" t="s">
        <v>1793</v>
      </c>
      <c r="E487" s="10" t="s">
        <v>1838</v>
      </c>
      <c r="F487" s="10"/>
      <c r="G487" s="10"/>
      <c r="H487" s="10" t="s">
        <v>1838</v>
      </c>
      <c r="I487" s="14">
        <v>277888.67914269865</v>
      </c>
      <c r="J487" s="19">
        <v>0.88195141607942174</v>
      </c>
      <c r="K487" s="19">
        <v>0.10314504360298885</v>
      </c>
      <c r="L487" s="19">
        <v>1.4903540317589425E-2</v>
      </c>
      <c r="M487" s="20">
        <v>3</v>
      </c>
      <c r="N487" s="19">
        <v>0</v>
      </c>
      <c r="O487" s="19">
        <v>0</v>
      </c>
      <c r="P487" s="19">
        <v>0.10314504360298885</v>
      </c>
      <c r="Q487" s="19">
        <v>1.4287818270818774E-3</v>
      </c>
      <c r="R487" s="19">
        <v>1.2631232852850487E-2</v>
      </c>
      <c r="S487" s="19">
        <v>8.4352563765705988E-4</v>
      </c>
      <c r="T487" s="20">
        <v>30</v>
      </c>
      <c r="U487" s="17">
        <v>2</v>
      </c>
      <c r="V487" s="17">
        <v>37</v>
      </c>
    </row>
    <row r="488" spans="1:22" x14ac:dyDescent="0.2">
      <c r="A488" t="s">
        <v>1839</v>
      </c>
      <c r="B488" t="s">
        <v>851</v>
      </c>
      <c r="C488" t="s">
        <v>852</v>
      </c>
      <c r="D488" t="s">
        <v>1793</v>
      </c>
      <c r="E488" s="10" t="s">
        <v>1840</v>
      </c>
      <c r="F488" s="10"/>
      <c r="G488" s="10"/>
      <c r="H488" s="10" t="s">
        <v>1840</v>
      </c>
      <c r="I488" s="14">
        <v>14767.730704420246</v>
      </c>
      <c r="J488" s="19">
        <v>0</v>
      </c>
      <c r="K488" s="19">
        <v>0</v>
      </c>
      <c r="L488" s="19">
        <v>1</v>
      </c>
      <c r="M488" s="20">
        <v>1</v>
      </c>
      <c r="N488" s="19">
        <v>0</v>
      </c>
      <c r="O488" s="19">
        <v>0</v>
      </c>
      <c r="P488" s="19">
        <v>0</v>
      </c>
      <c r="Q488" s="19">
        <v>0.23633245777762554</v>
      </c>
      <c r="R488" s="19">
        <v>0.59417045571677696</v>
      </c>
      <c r="S488" s="19">
        <v>0.16949708650559744</v>
      </c>
      <c r="T488" s="20">
        <v>12</v>
      </c>
      <c r="U488" s="17">
        <v>2</v>
      </c>
      <c r="V488" s="17">
        <v>37</v>
      </c>
    </row>
    <row r="489" spans="1:22" x14ac:dyDescent="0.2">
      <c r="A489" t="s">
        <v>1841</v>
      </c>
      <c r="B489" t="s">
        <v>851</v>
      </c>
      <c r="C489" t="s">
        <v>852</v>
      </c>
      <c r="D489" t="s">
        <v>1793</v>
      </c>
      <c r="E489" s="10" t="s">
        <v>1842</v>
      </c>
      <c r="F489" s="10"/>
      <c r="G489" s="10"/>
      <c r="H489" s="10" t="s">
        <v>1842</v>
      </c>
      <c r="I489" s="14">
        <v>340405.99419295182</v>
      </c>
      <c r="J489" s="19">
        <v>0.96552522491608217</v>
      </c>
      <c r="K489" s="19">
        <v>2.4075231270065583E-2</v>
      </c>
      <c r="L489" s="19">
        <v>1.0399543813852228E-2</v>
      </c>
      <c r="M489" s="20">
        <v>3</v>
      </c>
      <c r="N489" s="19">
        <v>0</v>
      </c>
      <c r="O489" s="19">
        <v>0</v>
      </c>
      <c r="P489" s="19">
        <v>2.4075231270065583E-2</v>
      </c>
      <c r="Q489" s="19">
        <v>0</v>
      </c>
      <c r="R489" s="19">
        <v>1.0105680751582687E-2</v>
      </c>
      <c r="S489" s="19">
        <v>2.9386306226954125E-4</v>
      </c>
      <c r="T489" s="20">
        <v>30</v>
      </c>
      <c r="U489" s="17">
        <v>2</v>
      </c>
      <c r="V489" s="17">
        <v>37</v>
      </c>
    </row>
    <row r="490" spans="1:22" x14ac:dyDescent="0.2">
      <c r="A490" t="s">
        <v>1843</v>
      </c>
      <c r="B490" t="s">
        <v>851</v>
      </c>
      <c r="C490" t="s">
        <v>852</v>
      </c>
      <c r="D490" t="s">
        <v>1793</v>
      </c>
      <c r="E490" s="10" t="s">
        <v>1844</v>
      </c>
      <c r="F490" s="10"/>
      <c r="G490" s="10"/>
      <c r="H490" s="10" t="s">
        <v>1844</v>
      </c>
      <c r="I490" s="14">
        <v>113612.2516052397</v>
      </c>
      <c r="J490" s="19">
        <v>0</v>
      </c>
      <c r="K490" s="19">
        <v>0.44203257622525838</v>
      </c>
      <c r="L490" s="19">
        <v>0.55796742377474173</v>
      </c>
      <c r="M490" s="20">
        <v>1</v>
      </c>
      <c r="N490" s="19">
        <v>0.10434276876745216</v>
      </c>
      <c r="O490" s="19">
        <v>0</v>
      </c>
      <c r="P490" s="19">
        <v>0.33768980745780625</v>
      </c>
      <c r="Q490" s="19">
        <v>8.0596829304930326E-2</v>
      </c>
      <c r="R490" s="19">
        <v>0.43865409444025261</v>
      </c>
      <c r="S490" s="19">
        <v>3.8716500029558704E-2</v>
      </c>
      <c r="T490" s="20">
        <v>12</v>
      </c>
      <c r="U490" s="17">
        <v>2</v>
      </c>
      <c r="V490" s="17">
        <v>37</v>
      </c>
    </row>
    <row r="491" spans="1:22" x14ac:dyDescent="0.2">
      <c r="A491" t="s">
        <v>1845</v>
      </c>
      <c r="B491" t="s">
        <v>851</v>
      </c>
      <c r="C491" t="s">
        <v>852</v>
      </c>
      <c r="D491" t="s">
        <v>1793</v>
      </c>
      <c r="E491" s="10" t="s">
        <v>1846</v>
      </c>
      <c r="F491" s="10"/>
      <c r="G491" s="10"/>
      <c r="H491" s="10" t="s">
        <v>1846</v>
      </c>
      <c r="I491" s="14">
        <v>517735.71437633503</v>
      </c>
      <c r="J491" s="19">
        <v>0.13795136923290149</v>
      </c>
      <c r="K491" s="19">
        <v>0.56852403135885621</v>
      </c>
      <c r="L491" s="19">
        <v>0.29352459940824233</v>
      </c>
      <c r="M491" s="20">
        <v>2</v>
      </c>
      <c r="N491" s="19">
        <v>0.12379359330234151</v>
      </c>
      <c r="O491" s="19">
        <v>3.4112667858178118E-2</v>
      </c>
      <c r="P491" s="19">
        <v>0.41061777019833656</v>
      </c>
      <c r="Q491" s="19">
        <v>9.7306222562229039E-2</v>
      </c>
      <c r="R491" s="19">
        <v>0.18324313825267949</v>
      </c>
      <c r="S491" s="19">
        <v>1.2975238593333807E-2</v>
      </c>
      <c r="T491" s="20">
        <v>23</v>
      </c>
      <c r="U491" s="17">
        <v>2</v>
      </c>
      <c r="V491" s="17">
        <v>37</v>
      </c>
    </row>
    <row r="492" spans="1:22" x14ac:dyDescent="0.2">
      <c r="A492" t="s">
        <v>1847</v>
      </c>
      <c r="B492" t="s">
        <v>851</v>
      </c>
      <c r="C492" t="s">
        <v>852</v>
      </c>
      <c r="D492" t="s">
        <v>1793</v>
      </c>
      <c r="E492" s="10" t="s">
        <v>1848</v>
      </c>
      <c r="F492" s="10"/>
      <c r="G492" s="10"/>
      <c r="H492" s="10" t="s">
        <v>1848</v>
      </c>
      <c r="I492" s="14">
        <v>61732.388096813112</v>
      </c>
      <c r="J492" s="19">
        <v>0.96884963474686103</v>
      </c>
      <c r="K492" s="19">
        <v>2.8926065147395815E-2</v>
      </c>
      <c r="L492" s="19">
        <v>2.2243001057429962E-3</v>
      </c>
      <c r="M492" s="20">
        <v>3</v>
      </c>
      <c r="N492" s="19">
        <v>0</v>
      </c>
      <c r="O492" s="19">
        <v>0</v>
      </c>
      <c r="P492" s="19">
        <v>2.8926065147395815E-2</v>
      </c>
      <c r="Q492" s="19">
        <v>0</v>
      </c>
      <c r="R492" s="19">
        <v>1.5500562204069802E-3</v>
      </c>
      <c r="S492" s="19">
        <v>6.742438853360157E-4</v>
      </c>
      <c r="T492" s="20">
        <v>30</v>
      </c>
      <c r="U492" s="17">
        <v>2</v>
      </c>
      <c r="V492" s="17">
        <v>37</v>
      </c>
    </row>
    <row r="493" spans="1:22" x14ac:dyDescent="0.2">
      <c r="A493" t="s">
        <v>1849</v>
      </c>
      <c r="B493" t="s">
        <v>851</v>
      </c>
      <c r="C493" t="s">
        <v>852</v>
      </c>
      <c r="D493" t="s">
        <v>1793</v>
      </c>
      <c r="E493" s="10" t="s">
        <v>1850</v>
      </c>
      <c r="F493" s="10"/>
      <c r="G493" s="10"/>
      <c r="H493" s="10" t="s">
        <v>1850</v>
      </c>
      <c r="I493" s="14">
        <v>734876.49298007647</v>
      </c>
      <c r="J493" s="19">
        <v>0.15098620639615382</v>
      </c>
      <c r="K493" s="19">
        <v>0.44919274429329065</v>
      </c>
      <c r="L493" s="19">
        <v>0.39982104931055562</v>
      </c>
      <c r="M493" s="20">
        <v>2</v>
      </c>
      <c r="N493" s="19">
        <v>0.12860416884564529</v>
      </c>
      <c r="O493" s="19">
        <v>9.3787858673295921E-2</v>
      </c>
      <c r="P493" s="19">
        <v>0.22680071677434943</v>
      </c>
      <c r="Q493" s="19">
        <v>0.12700887736550734</v>
      </c>
      <c r="R493" s="19">
        <v>0.25189282532659146</v>
      </c>
      <c r="S493" s="19">
        <v>2.091934661845676E-2</v>
      </c>
      <c r="T493" s="20">
        <v>23</v>
      </c>
      <c r="U493" s="17">
        <v>2</v>
      </c>
      <c r="V493" s="17">
        <v>37</v>
      </c>
    </row>
    <row r="494" spans="1:22" x14ac:dyDescent="0.2">
      <c r="A494" t="s">
        <v>1851</v>
      </c>
      <c r="B494" t="s">
        <v>851</v>
      </c>
      <c r="C494" t="s">
        <v>852</v>
      </c>
      <c r="D494" t="s">
        <v>1793</v>
      </c>
      <c r="E494" s="10" t="s">
        <v>1852</v>
      </c>
      <c r="F494" s="10"/>
      <c r="G494" s="10"/>
      <c r="H494" s="10" t="s">
        <v>1852</v>
      </c>
      <c r="I494" s="14">
        <v>236633.60840408038</v>
      </c>
      <c r="J494" s="19">
        <v>5.6448093963423352E-5</v>
      </c>
      <c r="K494" s="19">
        <v>0.5436733459924824</v>
      </c>
      <c r="L494" s="19">
        <v>0.45627020591355427</v>
      </c>
      <c r="M494" s="20">
        <v>2</v>
      </c>
      <c r="N494" s="19">
        <v>0.18694898582247957</v>
      </c>
      <c r="O494" s="19">
        <v>0.15665750360689823</v>
      </c>
      <c r="P494" s="19">
        <v>0.20006685656310458</v>
      </c>
      <c r="Q494" s="19">
        <v>0.20302769167316639</v>
      </c>
      <c r="R494" s="19">
        <v>0.22085793115757482</v>
      </c>
      <c r="S494" s="19">
        <v>3.2384583082812994E-2</v>
      </c>
      <c r="T494" s="20">
        <v>23</v>
      </c>
      <c r="U494" s="17">
        <v>2</v>
      </c>
      <c r="V494" s="17">
        <v>37</v>
      </c>
    </row>
    <row r="495" spans="1:22" x14ac:dyDescent="0.2">
      <c r="A495" t="s">
        <v>1853</v>
      </c>
      <c r="B495" t="s">
        <v>851</v>
      </c>
      <c r="C495" t="s">
        <v>852</v>
      </c>
      <c r="D495" t="s">
        <v>1793</v>
      </c>
      <c r="E495" s="10" t="s">
        <v>1854</v>
      </c>
      <c r="F495" s="10"/>
      <c r="G495" s="10"/>
      <c r="H495" s="10" t="s">
        <v>1854</v>
      </c>
      <c r="I495" s="14">
        <v>363422.67421124596</v>
      </c>
      <c r="J495" s="19">
        <v>0.2689731451034123</v>
      </c>
      <c r="K495" s="19">
        <v>0.51694524390969188</v>
      </c>
      <c r="L495" s="19">
        <v>0.21408161098689582</v>
      </c>
      <c r="M495" s="20">
        <v>2</v>
      </c>
      <c r="N495" s="19">
        <v>0.16504802414293754</v>
      </c>
      <c r="O495" s="19">
        <v>9.2246807618978244E-2</v>
      </c>
      <c r="P495" s="19">
        <v>0.25965041214777607</v>
      </c>
      <c r="Q495" s="19">
        <v>7.9722116959733844E-2</v>
      </c>
      <c r="R495" s="19">
        <v>0.11926347643782567</v>
      </c>
      <c r="S495" s="19">
        <v>1.5096017589336309E-2</v>
      </c>
      <c r="T495" s="20">
        <v>23</v>
      </c>
      <c r="U495" s="17">
        <v>2</v>
      </c>
      <c r="V495" s="17">
        <v>37</v>
      </c>
    </row>
    <row r="496" spans="1:22" x14ac:dyDescent="0.2">
      <c r="A496" t="s">
        <v>1855</v>
      </c>
      <c r="B496" t="s">
        <v>851</v>
      </c>
      <c r="C496" t="s">
        <v>852</v>
      </c>
      <c r="D496" t="s">
        <v>1793</v>
      </c>
      <c r="E496" s="10" t="s">
        <v>1856</v>
      </c>
      <c r="F496" s="10"/>
      <c r="G496" s="10"/>
      <c r="H496" s="10" t="s">
        <v>1856</v>
      </c>
      <c r="I496" s="14">
        <v>288769.40026871208</v>
      </c>
      <c r="J496" s="19">
        <v>0.19036832570210441</v>
      </c>
      <c r="K496" s="19">
        <v>0.3689232931399774</v>
      </c>
      <c r="L496" s="19">
        <v>0.44070838115791811</v>
      </c>
      <c r="M496" s="20">
        <v>2</v>
      </c>
      <c r="N496" s="19">
        <v>4.0637070349915219E-2</v>
      </c>
      <c r="O496" s="19">
        <v>4.094903148912795E-2</v>
      </c>
      <c r="P496" s="19">
        <v>0.28733719130093427</v>
      </c>
      <c r="Q496" s="19">
        <v>0.12064653700925455</v>
      </c>
      <c r="R496" s="19">
        <v>0.29255008960776141</v>
      </c>
      <c r="S496" s="19">
        <v>2.7511754540902204E-2</v>
      </c>
      <c r="T496" s="20">
        <v>22</v>
      </c>
      <c r="U496" s="17">
        <v>2</v>
      </c>
      <c r="V496" s="17">
        <v>37</v>
      </c>
    </row>
    <row r="497" spans="1:22" x14ac:dyDescent="0.2">
      <c r="A497" t="s">
        <v>1857</v>
      </c>
      <c r="B497" t="s">
        <v>851</v>
      </c>
      <c r="C497" t="s">
        <v>852</v>
      </c>
      <c r="D497" t="s">
        <v>1793</v>
      </c>
      <c r="E497" s="10" t="s">
        <v>1858</v>
      </c>
      <c r="F497" s="10"/>
      <c r="G497" s="10"/>
      <c r="H497" s="10" t="s">
        <v>1858</v>
      </c>
      <c r="I497" s="14">
        <v>257589.42830368085</v>
      </c>
      <c r="J497" s="19">
        <v>0.95027418127282526</v>
      </c>
      <c r="K497" s="19">
        <v>4.6997875879019345E-2</v>
      </c>
      <c r="L497" s="19">
        <v>2.7279428481554661E-3</v>
      </c>
      <c r="M497" s="20">
        <v>3</v>
      </c>
      <c r="N497" s="19">
        <v>0</v>
      </c>
      <c r="O497" s="19">
        <v>0</v>
      </c>
      <c r="P497" s="19">
        <v>4.6997875879019345E-2</v>
      </c>
      <c r="Q497" s="19">
        <v>0</v>
      </c>
      <c r="R497" s="19">
        <v>2.3108732998725909E-3</v>
      </c>
      <c r="S497" s="19">
        <v>4.1706954828287505E-4</v>
      </c>
      <c r="T497" s="20">
        <v>30</v>
      </c>
      <c r="U497" s="17">
        <v>2</v>
      </c>
      <c r="V497" s="17">
        <v>37</v>
      </c>
    </row>
    <row r="498" spans="1:22" x14ac:dyDescent="0.2">
      <c r="A498" t="s">
        <v>1859</v>
      </c>
      <c r="B498" t="s">
        <v>851</v>
      </c>
      <c r="C498" t="s">
        <v>852</v>
      </c>
      <c r="D498" t="s">
        <v>1793</v>
      </c>
      <c r="E498" s="10" t="s">
        <v>1860</v>
      </c>
      <c r="F498" s="10"/>
      <c r="G498" s="10"/>
      <c r="H498" s="10" t="s">
        <v>1860</v>
      </c>
      <c r="I498" s="14">
        <v>175894.08730574511</v>
      </c>
      <c r="J498" s="19">
        <v>0</v>
      </c>
      <c r="K498" s="19">
        <v>0.62993549699121065</v>
      </c>
      <c r="L498" s="19">
        <v>0.37006450300878929</v>
      </c>
      <c r="M498" s="20">
        <v>2</v>
      </c>
      <c r="N498" s="19">
        <v>0.24320747384615871</v>
      </c>
      <c r="O498" s="19">
        <v>0</v>
      </c>
      <c r="P498" s="19">
        <v>0.386728023145052</v>
      </c>
      <c r="Q498" s="19">
        <v>6.3335966671107941E-2</v>
      </c>
      <c r="R498" s="19">
        <v>0.2744960920035</v>
      </c>
      <c r="S498" s="19">
        <v>3.2232444334181397E-2</v>
      </c>
      <c r="T498" s="20">
        <v>23</v>
      </c>
      <c r="U498" s="17">
        <v>2</v>
      </c>
      <c r="V498" s="17">
        <v>37</v>
      </c>
    </row>
    <row r="499" spans="1:22" x14ac:dyDescent="0.2">
      <c r="A499" t="s">
        <v>1861</v>
      </c>
      <c r="B499" t="s">
        <v>851</v>
      </c>
      <c r="C499" t="s">
        <v>852</v>
      </c>
      <c r="D499" t="s">
        <v>1862</v>
      </c>
      <c r="E499" s="10" t="s">
        <v>1863</v>
      </c>
      <c r="F499" s="10"/>
      <c r="G499" s="10"/>
      <c r="H499" s="10" t="s">
        <v>1863</v>
      </c>
      <c r="I499" s="14">
        <v>1010103.887035038</v>
      </c>
      <c r="J499" s="19">
        <v>0.73038045729101431</v>
      </c>
      <c r="K499" s="19">
        <v>0.24733520974594472</v>
      </c>
      <c r="L499" s="19">
        <v>2.2284332963041126E-2</v>
      </c>
      <c r="M499" s="20">
        <v>3</v>
      </c>
      <c r="N499" s="19">
        <v>9.5611056843969283E-2</v>
      </c>
      <c r="O499" s="19">
        <v>0</v>
      </c>
      <c r="P499" s="19">
        <v>0.15172415290197544</v>
      </c>
      <c r="Q499" s="19">
        <v>2.6436194156878282E-3</v>
      </c>
      <c r="R499" s="19">
        <v>1.9400958828983114E-2</v>
      </c>
      <c r="S499" s="19">
        <v>2.3975471837018382E-4</v>
      </c>
      <c r="T499" s="20">
        <v>30</v>
      </c>
      <c r="U499" s="17">
        <v>2</v>
      </c>
      <c r="V499" s="17">
        <v>37</v>
      </c>
    </row>
    <row r="500" spans="1:22" x14ac:dyDescent="0.2">
      <c r="A500" t="s">
        <v>1864</v>
      </c>
      <c r="B500" t="s">
        <v>851</v>
      </c>
      <c r="C500" t="s">
        <v>852</v>
      </c>
      <c r="D500" t="s">
        <v>1862</v>
      </c>
      <c r="E500" s="10" t="s">
        <v>1865</v>
      </c>
      <c r="F500" s="10"/>
      <c r="G500" s="10"/>
      <c r="H500" s="10" t="s">
        <v>1865</v>
      </c>
      <c r="I500" s="14">
        <v>691962.01906166354</v>
      </c>
      <c r="J500" s="19">
        <v>0.13386772557354204</v>
      </c>
      <c r="K500" s="19">
        <v>0.71192484021232572</v>
      </c>
      <c r="L500" s="19">
        <v>0.15420743421413238</v>
      </c>
      <c r="M500" s="20">
        <v>2</v>
      </c>
      <c r="N500" s="19">
        <v>0.11630537252166757</v>
      </c>
      <c r="O500" s="19">
        <v>0</v>
      </c>
      <c r="P500" s="19">
        <v>0.59561946769065821</v>
      </c>
      <c r="Q500" s="19">
        <v>3.1229564042020565E-2</v>
      </c>
      <c r="R500" s="19">
        <v>0.11824995300431551</v>
      </c>
      <c r="S500" s="19">
        <v>4.7279171677963167E-3</v>
      </c>
      <c r="T500" s="20">
        <v>21</v>
      </c>
      <c r="U500" s="17">
        <v>2</v>
      </c>
      <c r="V500" s="17">
        <v>37</v>
      </c>
    </row>
    <row r="501" spans="1:22" x14ac:dyDescent="0.2">
      <c r="A501" t="s">
        <v>1866</v>
      </c>
      <c r="B501" t="s">
        <v>851</v>
      </c>
      <c r="C501" t="s">
        <v>852</v>
      </c>
      <c r="D501" t="s">
        <v>1862</v>
      </c>
      <c r="E501" s="10" t="s">
        <v>1867</v>
      </c>
      <c r="F501" s="10"/>
      <c r="G501" s="10"/>
      <c r="H501" s="10" t="s">
        <v>1867</v>
      </c>
      <c r="I501" s="14">
        <v>450538.69989114249</v>
      </c>
      <c r="J501" s="19">
        <v>1</v>
      </c>
      <c r="K501" s="19">
        <v>0</v>
      </c>
      <c r="L501" s="19">
        <v>0</v>
      </c>
      <c r="M501" s="20">
        <v>3</v>
      </c>
      <c r="N501" s="19">
        <v>0</v>
      </c>
      <c r="O501" s="19">
        <v>0</v>
      </c>
      <c r="P501" s="19">
        <v>0</v>
      </c>
      <c r="Q501" s="19">
        <v>0</v>
      </c>
      <c r="R501" s="19">
        <v>0</v>
      </c>
      <c r="S501" s="19">
        <v>0</v>
      </c>
      <c r="T501" s="20">
        <v>30</v>
      </c>
      <c r="U501" s="17">
        <v>2</v>
      </c>
      <c r="V501" s="17">
        <v>37</v>
      </c>
    </row>
    <row r="502" spans="1:22" x14ac:dyDescent="0.2">
      <c r="A502" t="s">
        <v>1868</v>
      </c>
      <c r="B502" t="s">
        <v>851</v>
      </c>
      <c r="C502" t="s">
        <v>852</v>
      </c>
      <c r="D502" t="s">
        <v>1862</v>
      </c>
      <c r="E502" s="10" t="s">
        <v>1869</v>
      </c>
      <c r="F502" s="10"/>
      <c r="G502" s="10"/>
      <c r="H502" s="10" t="s">
        <v>1869</v>
      </c>
      <c r="I502" s="14">
        <v>366391.29132853216</v>
      </c>
      <c r="J502" s="19">
        <v>0.2867871932338224</v>
      </c>
      <c r="K502" s="19">
        <v>0.58178123716320251</v>
      </c>
      <c r="L502" s="19">
        <v>0.13143156960297497</v>
      </c>
      <c r="M502" s="20">
        <v>2</v>
      </c>
      <c r="N502" s="19">
        <v>0.11337595112766677</v>
      </c>
      <c r="O502" s="19">
        <v>0</v>
      </c>
      <c r="P502" s="19">
        <v>0.46840528603553577</v>
      </c>
      <c r="Q502" s="19">
        <v>1.5906210724527081E-2</v>
      </c>
      <c r="R502" s="19">
        <v>0.11324332554792921</v>
      </c>
      <c r="S502" s="19">
        <v>2.2820333305186911E-3</v>
      </c>
      <c r="T502" s="20">
        <v>23</v>
      </c>
      <c r="U502" s="17">
        <v>2</v>
      </c>
      <c r="V502" s="17">
        <v>37</v>
      </c>
    </row>
    <row r="503" spans="1:22" x14ac:dyDescent="0.2">
      <c r="A503" t="s">
        <v>1870</v>
      </c>
      <c r="B503" t="s">
        <v>851</v>
      </c>
      <c r="C503" t="s">
        <v>852</v>
      </c>
      <c r="D503" t="s">
        <v>1862</v>
      </c>
      <c r="E503" s="10" t="s">
        <v>1871</v>
      </c>
      <c r="F503" s="10"/>
      <c r="G503" s="10"/>
      <c r="H503" s="10" t="s">
        <v>1871</v>
      </c>
      <c r="I503" s="14">
        <v>1205579.0939395532</v>
      </c>
      <c r="J503" s="19">
        <v>0.82666286342174644</v>
      </c>
      <c r="K503" s="19">
        <v>0.16498373696617513</v>
      </c>
      <c r="L503" s="19">
        <v>8.3533996120784652E-3</v>
      </c>
      <c r="M503" s="20">
        <v>3</v>
      </c>
      <c r="N503" s="19">
        <v>1.1580780775250505E-2</v>
      </c>
      <c r="O503" s="19">
        <v>0</v>
      </c>
      <c r="P503" s="19">
        <v>0.15340295619092467</v>
      </c>
      <c r="Q503" s="19">
        <v>0</v>
      </c>
      <c r="R503" s="19">
        <v>8.2579032378223213E-3</v>
      </c>
      <c r="S503" s="19">
        <v>9.5496374256142863E-5</v>
      </c>
      <c r="T503" s="20">
        <v>30</v>
      </c>
      <c r="U503" s="17">
        <v>2</v>
      </c>
      <c r="V503" s="17">
        <v>37</v>
      </c>
    </row>
    <row r="504" spans="1:22" x14ac:dyDescent="0.2">
      <c r="A504" t="s">
        <v>1872</v>
      </c>
      <c r="B504" t="s">
        <v>851</v>
      </c>
      <c r="C504" t="s">
        <v>852</v>
      </c>
      <c r="D504" t="s">
        <v>1873</v>
      </c>
      <c r="E504" s="10"/>
      <c r="F504" s="10"/>
      <c r="G504" s="10"/>
      <c r="H504" s="10" t="s">
        <v>1873</v>
      </c>
      <c r="I504" s="14">
        <v>10511481.315872911</v>
      </c>
      <c r="J504" s="19">
        <v>0.9984905605255564</v>
      </c>
      <c r="K504" s="19">
        <v>8.1494579523102553E-4</v>
      </c>
      <c r="L504" s="19">
        <v>6.9449367921259461E-4</v>
      </c>
      <c r="M504" s="20">
        <v>3</v>
      </c>
      <c r="N504" s="19">
        <v>8.1494579523102553E-4</v>
      </c>
      <c r="O504" s="19">
        <v>0</v>
      </c>
      <c r="P504" s="19">
        <v>0</v>
      </c>
      <c r="Q504" s="19">
        <v>6.3055583117606622E-4</v>
      </c>
      <c r="R504" s="19">
        <v>6.3452053019545204E-5</v>
      </c>
      <c r="S504" s="19">
        <v>4.8579501698301847E-7</v>
      </c>
      <c r="T504" s="20">
        <v>30</v>
      </c>
      <c r="U504" s="17">
        <v>2</v>
      </c>
      <c r="V504" s="17">
        <v>37</v>
      </c>
    </row>
    <row r="505" spans="1:22" x14ac:dyDescent="0.2">
      <c r="A505" t="s">
        <v>1874</v>
      </c>
      <c r="B505" t="s">
        <v>1875</v>
      </c>
      <c r="C505" t="s">
        <v>1876</v>
      </c>
      <c r="D505" t="s">
        <v>1877</v>
      </c>
      <c r="E505" s="10" t="s">
        <v>1878</v>
      </c>
      <c r="F505" s="10"/>
      <c r="G505" s="10"/>
      <c r="H505" s="10" t="s">
        <v>1878</v>
      </c>
      <c r="I505" s="14">
        <v>72307.724767275504</v>
      </c>
      <c r="J505" s="19">
        <v>0</v>
      </c>
      <c r="K505" s="19">
        <v>0.70105119465213173</v>
      </c>
      <c r="L505" s="19">
        <v>0.29894880534786827</v>
      </c>
      <c r="M505" s="20">
        <v>2</v>
      </c>
      <c r="N505" s="19">
        <v>0.14641860454565114</v>
      </c>
      <c r="O505" s="19">
        <v>0.14224980475861446</v>
      </c>
      <c r="P505" s="19">
        <v>0.41238278534786615</v>
      </c>
      <c r="Q505" s="19">
        <v>9.453502907524082E-2</v>
      </c>
      <c r="R505" s="19">
        <v>0.15972826535230902</v>
      </c>
      <c r="S505" s="19">
        <v>4.468551092031843E-2</v>
      </c>
      <c r="T505" s="20">
        <v>23</v>
      </c>
      <c r="U505" s="17">
        <v>2</v>
      </c>
      <c r="V505" s="17">
        <v>21</v>
      </c>
    </row>
    <row r="506" spans="1:22" x14ac:dyDescent="0.2">
      <c r="A506" t="s">
        <v>1879</v>
      </c>
      <c r="B506" t="s">
        <v>1875</v>
      </c>
      <c r="C506" t="s">
        <v>1876</v>
      </c>
      <c r="D506" t="s">
        <v>1877</v>
      </c>
      <c r="E506" s="10" t="s">
        <v>1880</v>
      </c>
      <c r="F506" s="10"/>
      <c r="G506" s="10"/>
      <c r="H506" s="10" t="s">
        <v>1880</v>
      </c>
      <c r="I506" s="14">
        <v>123964.3002296905</v>
      </c>
      <c r="J506" s="19">
        <v>0</v>
      </c>
      <c r="K506" s="19">
        <v>0.80636822264212249</v>
      </c>
      <c r="L506" s="19">
        <v>0.19363177735787748</v>
      </c>
      <c r="M506" s="20">
        <v>2</v>
      </c>
      <c r="N506" s="19">
        <v>9.4710831925411673E-2</v>
      </c>
      <c r="O506" s="19">
        <v>0</v>
      </c>
      <c r="P506" s="19">
        <v>0.71165739071671086</v>
      </c>
      <c r="Q506" s="19">
        <v>7.5646985827119498E-2</v>
      </c>
      <c r="R506" s="19">
        <v>0.10479553834811915</v>
      </c>
      <c r="S506" s="19">
        <v>1.3189253182638834E-2</v>
      </c>
      <c r="T506" s="20">
        <v>21</v>
      </c>
      <c r="U506" s="17">
        <v>2</v>
      </c>
      <c r="V506" s="17">
        <v>21</v>
      </c>
    </row>
    <row r="507" spans="1:22" x14ac:dyDescent="0.2">
      <c r="A507" t="s">
        <v>1881</v>
      </c>
      <c r="B507" t="s">
        <v>1875</v>
      </c>
      <c r="C507" t="s">
        <v>1876</v>
      </c>
      <c r="D507" t="s">
        <v>1877</v>
      </c>
      <c r="E507" s="10" t="s">
        <v>1882</v>
      </c>
      <c r="F507" s="10"/>
      <c r="G507" s="10"/>
      <c r="H507" s="10" t="s">
        <v>1882</v>
      </c>
      <c r="I507" s="14">
        <v>252281.33617233625</v>
      </c>
      <c r="J507" s="19">
        <v>0.55360197623982532</v>
      </c>
      <c r="K507" s="19">
        <v>0.22206170821565602</v>
      </c>
      <c r="L507" s="19">
        <v>0.22433631554451863</v>
      </c>
      <c r="M507" s="20">
        <v>3</v>
      </c>
      <c r="N507" s="19">
        <v>4.7334261235489956E-2</v>
      </c>
      <c r="O507" s="19">
        <v>0.11291443368028775</v>
      </c>
      <c r="P507" s="19">
        <v>6.1813013299878296E-2</v>
      </c>
      <c r="Q507" s="19">
        <v>0.13615143341332486</v>
      </c>
      <c r="R507" s="19">
        <v>7.5704386381804545E-2</v>
      </c>
      <c r="S507" s="19">
        <v>1.2480495749389225E-2</v>
      </c>
      <c r="T507" s="20">
        <v>30</v>
      </c>
      <c r="U507" s="17">
        <v>2</v>
      </c>
      <c r="V507" s="17">
        <v>21</v>
      </c>
    </row>
    <row r="508" spans="1:22" x14ac:dyDescent="0.2">
      <c r="A508" t="s">
        <v>1883</v>
      </c>
      <c r="B508" t="s">
        <v>1875</v>
      </c>
      <c r="C508" t="s">
        <v>1876</v>
      </c>
      <c r="D508" t="s">
        <v>1877</v>
      </c>
      <c r="E508" s="10" t="s">
        <v>1884</v>
      </c>
      <c r="F508" s="10"/>
      <c r="G508" s="10"/>
      <c r="H508" s="10" t="s">
        <v>1884</v>
      </c>
      <c r="I508" s="14">
        <v>44613.389337149449</v>
      </c>
      <c r="J508" s="19">
        <v>0</v>
      </c>
      <c r="K508" s="19">
        <v>0.23468272575889243</v>
      </c>
      <c r="L508" s="19">
        <v>0.76531727424110751</v>
      </c>
      <c r="M508" s="20">
        <v>1</v>
      </c>
      <c r="N508" s="19">
        <v>0</v>
      </c>
      <c r="O508" s="19">
        <v>0.23468272575889243</v>
      </c>
      <c r="P508" s="19">
        <v>0</v>
      </c>
      <c r="Q508" s="19">
        <v>0.52961611880037973</v>
      </c>
      <c r="R508" s="19">
        <v>0.21560955982731594</v>
      </c>
      <c r="S508" s="19">
        <v>2.0091595613411901E-2</v>
      </c>
      <c r="T508" s="20">
        <v>13</v>
      </c>
      <c r="U508" s="17">
        <v>2</v>
      </c>
      <c r="V508" s="17">
        <v>21</v>
      </c>
    </row>
    <row r="509" spans="1:22" x14ac:dyDescent="0.2">
      <c r="A509" t="s">
        <v>1885</v>
      </c>
      <c r="B509" t="s">
        <v>1875</v>
      </c>
      <c r="C509" t="s">
        <v>1876</v>
      </c>
      <c r="D509" t="s">
        <v>1877</v>
      </c>
      <c r="E509" s="10" t="s">
        <v>1886</v>
      </c>
      <c r="F509" s="10"/>
      <c r="G509" s="10"/>
      <c r="H509" s="10" t="s">
        <v>1886</v>
      </c>
      <c r="I509" s="14">
        <v>74372.788907105103</v>
      </c>
      <c r="J509" s="19">
        <v>0</v>
      </c>
      <c r="K509" s="19">
        <v>0.57377397399888319</v>
      </c>
      <c r="L509" s="19">
        <v>0.42622602600111675</v>
      </c>
      <c r="M509" s="20">
        <v>2</v>
      </c>
      <c r="N509" s="19">
        <v>3.2750255037306483E-2</v>
      </c>
      <c r="O509" s="19">
        <v>0.38261719246298564</v>
      </c>
      <c r="P509" s="19">
        <v>0.1584065264985911</v>
      </c>
      <c r="Q509" s="19">
        <v>0.2265748940762623</v>
      </c>
      <c r="R509" s="19">
        <v>0.18093324279188491</v>
      </c>
      <c r="S509" s="19">
        <v>1.8717889132969581E-2</v>
      </c>
      <c r="T509" s="20">
        <v>22</v>
      </c>
      <c r="U509" s="17">
        <v>2</v>
      </c>
      <c r="V509" s="17">
        <v>21</v>
      </c>
    </row>
    <row r="510" spans="1:22" x14ac:dyDescent="0.2">
      <c r="A510" t="s">
        <v>1887</v>
      </c>
      <c r="B510" t="s">
        <v>1875</v>
      </c>
      <c r="C510" t="s">
        <v>1876</v>
      </c>
      <c r="D510" t="s">
        <v>1877</v>
      </c>
      <c r="E510" s="10" t="s">
        <v>1888</v>
      </c>
      <c r="F510" s="10"/>
      <c r="G510" s="10"/>
      <c r="H510" s="10" t="s">
        <v>1888</v>
      </c>
      <c r="I510" s="14">
        <v>94498.854634568095</v>
      </c>
      <c r="J510" s="19">
        <v>0.59523801277510302</v>
      </c>
      <c r="K510" s="19">
        <v>0.12702739274020727</v>
      </c>
      <c r="L510" s="19">
        <v>0.27773459448468962</v>
      </c>
      <c r="M510" s="20">
        <v>3</v>
      </c>
      <c r="N510" s="19">
        <v>0</v>
      </c>
      <c r="O510" s="19">
        <v>0</v>
      </c>
      <c r="P510" s="19">
        <v>0.12702739274020727</v>
      </c>
      <c r="Q510" s="19">
        <v>0.18213424950955778</v>
      </c>
      <c r="R510" s="19">
        <v>8.7324128609198498E-2</v>
      </c>
      <c r="S510" s="19">
        <v>8.2762163659333456E-3</v>
      </c>
      <c r="T510" s="20">
        <v>30</v>
      </c>
      <c r="U510" s="17">
        <v>2</v>
      </c>
      <c r="V510" s="17">
        <v>21</v>
      </c>
    </row>
    <row r="511" spans="1:22" x14ac:dyDescent="0.2">
      <c r="A511" t="s">
        <v>1889</v>
      </c>
      <c r="B511" t="s">
        <v>1875</v>
      </c>
      <c r="C511" t="s">
        <v>1876</v>
      </c>
      <c r="D511" t="s">
        <v>1877</v>
      </c>
      <c r="E511" s="10" t="s">
        <v>1890</v>
      </c>
      <c r="F511" s="10"/>
      <c r="G511" s="10"/>
      <c r="H511" s="10" t="s">
        <v>1890</v>
      </c>
      <c r="I511" s="14">
        <v>60113.816166963894</v>
      </c>
      <c r="J511" s="19">
        <v>0</v>
      </c>
      <c r="K511" s="19">
        <v>0.17582196937422981</v>
      </c>
      <c r="L511" s="19">
        <v>0.82417803062577022</v>
      </c>
      <c r="M511" s="20">
        <v>1</v>
      </c>
      <c r="N511" s="19">
        <v>0</v>
      </c>
      <c r="O511" s="19">
        <v>0.17582196937422981</v>
      </c>
      <c r="P511" s="19">
        <v>0</v>
      </c>
      <c r="Q511" s="19">
        <v>0.58243306818789842</v>
      </c>
      <c r="R511" s="19">
        <v>0.20336055730264965</v>
      </c>
      <c r="S511" s="19">
        <v>3.8384405135222135E-2</v>
      </c>
      <c r="T511" s="20">
        <v>13</v>
      </c>
      <c r="U511" s="17">
        <v>2</v>
      </c>
      <c r="V511" s="17">
        <v>21</v>
      </c>
    </row>
    <row r="512" spans="1:22" x14ac:dyDescent="0.2">
      <c r="A512" t="s">
        <v>1891</v>
      </c>
      <c r="B512" t="s">
        <v>1875</v>
      </c>
      <c r="C512" t="s">
        <v>1876</v>
      </c>
      <c r="D512" t="s">
        <v>1877</v>
      </c>
      <c r="E512" s="10" t="s">
        <v>1892</v>
      </c>
      <c r="F512" s="10"/>
      <c r="G512" s="10"/>
      <c r="H512" s="10" t="s">
        <v>1892</v>
      </c>
      <c r="I512" s="14">
        <v>64814.308260897182</v>
      </c>
      <c r="J512" s="19">
        <v>0</v>
      </c>
      <c r="K512" s="19">
        <v>0.33913543634581583</v>
      </c>
      <c r="L512" s="19">
        <v>0.660864563654184</v>
      </c>
      <c r="M512" s="20">
        <v>1</v>
      </c>
      <c r="N512" s="19">
        <v>0.13629123949443728</v>
      </c>
      <c r="O512" s="19">
        <v>0.16338632012209039</v>
      </c>
      <c r="P512" s="19">
        <v>3.9457876729288188E-2</v>
      </c>
      <c r="Q512" s="19">
        <v>0.38437085292882101</v>
      </c>
      <c r="R512" s="19">
        <v>0.24075104425442301</v>
      </c>
      <c r="S512" s="19">
        <v>3.5742666470940015E-2</v>
      </c>
      <c r="T512" s="20">
        <v>13</v>
      </c>
      <c r="U512" s="17">
        <v>2</v>
      </c>
      <c r="V512" s="17">
        <v>21</v>
      </c>
    </row>
    <row r="513" spans="1:22" x14ac:dyDescent="0.2">
      <c r="A513" t="s">
        <v>1893</v>
      </c>
      <c r="B513" t="s">
        <v>1875</v>
      </c>
      <c r="C513" t="s">
        <v>1876</v>
      </c>
      <c r="D513" t="s">
        <v>1894</v>
      </c>
      <c r="E513" s="10" t="s">
        <v>1895</v>
      </c>
      <c r="F513" s="10"/>
      <c r="G513" s="10"/>
      <c r="H513" s="10" t="s">
        <v>1895</v>
      </c>
      <c r="I513" s="14">
        <v>64025.038190755069</v>
      </c>
      <c r="J513" s="19">
        <v>0.40752686677964323</v>
      </c>
      <c r="K513" s="19">
        <v>0.32332888736738696</v>
      </c>
      <c r="L513" s="19">
        <v>0.2691442458529697</v>
      </c>
      <c r="M513" s="20">
        <v>2</v>
      </c>
      <c r="N513" s="19">
        <v>0</v>
      </c>
      <c r="O513" s="19">
        <v>0</v>
      </c>
      <c r="P513" s="19">
        <v>0.32332888736738696</v>
      </c>
      <c r="Q513" s="19">
        <v>0.16407607924430848</v>
      </c>
      <c r="R513" s="19">
        <v>9.0567148533423084E-2</v>
      </c>
      <c r="S513" s="19">
        <v>1.4501018075238143E-2</v>
      </c>
      <c r="T513" s="20">
        <v>23</v>
      </c>
      <c r="U513" s="17">
        <v>2</v>
      </c>
      <c r="V513" s="17">
        <v>21</v>
      </c>
    </row>
    <row r="514" spans="1:22" x14ac:dyDescent="0.2">
      <c r="A514" t="s">
        <v>1896</v>
      </c>
      <c r="B514" t="s">
        <v>1875</v>
      </c>
      <c r="C514" t="s">
        <v>1876</v>
      </c>
      <c r="D514" t="s">
        <v>1894</v>
      </c>
      <c r="E514" s="10" t="s">
        <v>1897</v>
      </c>
      <c r="F514" s="10"/>
      <c r="G514" s="10"/>
      <c r="H514" s="10" t="s">
        <v>1897</v>
      </c>
      <c r="I514" s="14">
        <v>91667.374424468973</v>
      </c>
      <c r="J514" s="19">
        <v>0</v>
      </c>
      <c r="K514" s="19">
        <v>0.6030111039954017</v>
      </c>
      <c r="L514" s="19">
        <v>0.39698889600459819</v>
      </c>
      <c r="M514" s="20">
        <v>2</v>
      </c>
      <c r="N514" s="19">
        <v>5.934011333073845E-2</v>
      </c>
      <c r="O514" s="19">
        <v>0.12352912207343601</v>
      </c>
      <c r="P514" s="19">
        <v>0.42014186859122721</v>
      </c>
      <c r="Q514" s="19">
        <v>5.7419046271135719E-2</v>
      </c>
      <c r="R514" s="19">
        <v>0.28103217837362882</v>
      </c>
      <c r="S514" s="19">
        <v>5.8537671359833635E-2</v>
      </c>
      <c r="T514" s="20">
        <v>22</v>
      </c>
      <c r="U514" s="17">
        <v>2</v>
      </c>
      <c r="V514" s="17">
        <v>21</v>
      </c>
    </row>
    <row r="515" spans="1:22" x14ac:dyDescent="0.2">
      <c r="A515" t="s">
        <v>1898</v>
      </c>
      <c r="B515" t="s">
        <v>1875</v>
      </c>
      <c r="C515" t="s">
        <v>1876</v>
      </c>
      <c r="D515" t="s">
        <v>1894</v>
      </c>
      <c r="E515" s="10" t="s">
        <v>1899</v>
      </c>
      <c r="F515" s="10"/>
      <c r="G515" s="10"/>
      <c r="H515" s="10" t="s">
        <v>1899</v>
      </c>
      <c r="I515" s="14">
        <v>99193.794866583776</v>
      </c>
      <c r="J515" s="19">
        <v>0</v>
      </c>
      <c r="K515" s="19">
        <v>0.80228519606443516</v>
      </c>
      <c r="L515" s="19">
        <v>0.1977148039355649</v>
      </c>
      <c r="M515" s="20">
        <v>2</v>
      </c>
      <c r="N515" s="19">
        <v>0.26423101141930849</v>
      </c>
      <c r="O515" s="19">
        <v>6.2740115658594484E-2</v>
      </c>
      <c r="P515" s="19">
        <v>0.47531406898653211</v>
      </c>
      <c r="Q515" s="19">
        <v>4.5772163503446005E-2</v>
      </c>
      <c r="R515" s="19">
        <v>0.13247940613131134</v>
      </c>
      <c r="S515" s="19">
        <v>1.9463234300807548E-2</v>
      </c>
      <c r="T515" s="20">
        <v>23</v>
      </c>
      <c r="U515" s="17">
        <v>2</v>
      </c>
      <c r="V515" s="17">
        <v>21</v>
      </c>
    </row>
    <row r="516" spans="1:22" x14ac:dyDescent="0.2">
      <c r="A516" t="s">
        <v>1900</v>
      </c>
      <c r="B516" t="s">
        <v>1875</v>
      </c>
      <c r="C516" t="s">
        <v>1876</v>
      </c>
      <c r="D516" t="s">
        <v>1894</v>
      </c>
      <c r="E516" s="10" t="s">
        <v>1901</v>
      </c>
      <c r="F516" s="10"/>
      <c r="G516" s="10"/>
      <c r="H516" s="10" t="s">
        <v>1901</v>
      </c>
      <c r="I516" s="14">
        <v>122758.80516031897</v>
      </c>
      <c r="J516" s="19">
        <v>0</v>
      </c>
      <c r="K516" s="19">
        <v>0.55970687058398128</v>
      </c>
      <c r="L516" s="19">
        <v>0.44029312941601861</v>
      </c>
      <c r="M516" s="20">
        <v>2</v>
      </c>
      <c r="N516" s="19">
        <v>0.22891561062499152</v>
      </c>
      <c r="O516" s="19">
        <v>9.4244685844713988E-2</v>
      </c>
      <c r="P516" s="19">
        <v>0.23654657411427579</v>
      </c>
      <c r="Q516" s="19">
        <v>0.20321307190367521</v>
      </c>
      <c r="R516" s="19">
        <v>0.19911852309145503</v>
      </c>
      <c r="S516" s="19">
        <v>3.796153442088844E-2</v>
      </c>
      <c r="T516" s="20">
        <v>23</v>
      </c>
      <c r="U516" s="17">
        <v>2</v>
      </c>
      <c r="V516" s="17">
        <v>21</v>
      </c>
    </row>
    <row r="517" spans="1:22" x14ac:dyDescent="0.2">
      <c r="A517" t="s">
        <v>1902</v>
      </c>
      <c r="B517" t="s">
        <v>1875</v>
      </c>
      <c r="C517" t="s">
        <v>1876</v>
      </c>
      <c r="D517" t="s">
        <v>1894</v>
      </c>
      <c r="E517" s="10" t="s">
        <v>1903</v>
      </c>
      <c r="F517" s="10"/>
      <c r="G517" s="10"/>
      <c r="H517" s="10" t="s">
        <v>1903</v>
      </c>
      <c r="I517" s="14">
        <v>275676.55049012601</v>
      </c>
      <c r="J517" s="19">
        <v>0</v>
      </c>
      <c r="K517" s="19">
        <v>0.62370531085171454</v>
      </c>
      <c r="L517" s="19">
        <v>0.37629468914828551</v>
      </c>
      <c r="M517" s="20">
        <v>2</v>
      </c>
      <c r="N517" s="19">
        <v>0.14678593891617087</v>
      </c>
      <c r="O517" s="19">
        <v>0.18797206688121038</v>
      </c>
      <c r="P517" s="19">
        <v>0.28894730505433325</v>
      </c>
      <c r="Q517" s="19">
        <v>0.11097088613733232</v>
      </c>
      <c r="R517" s="19">
        <v>0.23579502499672078</v>
      </c>
      <c r="S517" s="19">
        <v>2.9528778014232395E-2</v>
      </c>
      <c r="T517" s="20">
        <v>22</v>
      </c>
      <c r="U517" s="17">
        <v>2</v>
      </c>
      <c r="V517" s="17">
        <v>21</v>
      </c>
    </row>
    <row r="518" spans="1:22" x14ac:dyDescent="0.2">
      <c r="A518" t="s">
        <v>1904</v>
      </c>
      <c r="B518" t="s">
        <v>1875</v>
      </c>
      <c r="C518" t="s">
        <v>1876</v>
      </c>
      <c r="D518" t="s">
        <v>1894</v>
      </c>
      <c r="E518" s="10" t="s">
        <v>1905</v>
      </c>
      <c r="F518" s="10"/>
      <c r="G518" s="10"/>
      <c r="H518" s="10" t="s">
        <v>1905</v>
      </c>
      <c r="I518" s="14">
        <v>461854.85443841363</v>
      </c>
      <c r="J518" s="19">
        <v>0.12305816092174152</v>
      </c>
      <c r="K518" s="19">
        <v>0.67356655645380936</v>
      </c>
      <c r="L518" s="19">
        <v>0.20337528262444915</v>
      </c>
      <c r="M518" s="20">
        <v>2</v>
      </c>
      <c r="N518" s="19">
        <v>0.32872022939022572</v>
      </c>
      <c r="O518" s="19">
        <v>0.15408466963856282</v>
      </c>
      <c r="P518" s="19">
        <v>0.19076165742502083</v>
      </c>
      <c r="Q518" s="19">
        <v>6.1447802688887602E-2</v>
      </c>
      <c r="R518" s="19">
        <v>0.1186471034699967</v>
      </c>
      <c r="S518" s="19">
        <v>2.3280376465564859E-2</v>
      </c>
      <c r="T518" s="20">
        <v>23</v>
      </c>
      <c r="U518" s="17">
        <v>2</v>
      </c>
      <c r="V518" s="17">
        <v>21</v>
      </c>
    </row>
    <row r="519" spans="1:22" x14ac:dyDescent="0.2">
      <c r="A519" t="s">
        <v>1906</v>
      </c>
      <c r="B519" t="s">
        <v>1875</v>
      </c>
      <c r="C519" t="s">
        <v>1876</v>
      </c>
      <c r="D519" t="s">
        <v>1894</v>
      </c>
      <c r="E519" s="10" t="s">
        <v>1907</v>
      </c>
      <c r="F519" s="10"/>
      <c r="G519" s="10"/>
      <c r="H519" s="10" t="s">
        <v>1907</v>
      </c>
      <c r="I519" s="14">
        <v>83305.004788065329</v>
      </c>
      <c r="J519" s="19">
        <v>0</v>
      </c>
      <c r="K519" s="19">
        <v>0.17499161755690112</v>
      </c>
      <c r="L519" s="19">
        <v>0.82500838244309893</v>
      </c>
      <c r="M519" s="20">
        <v>1</v>
      </c>
      <c r="N519" s="19">
        <v>9.7910141675093681E-2</v>
      </c>
      <c r="O519" s="19">
        <v>1.8249848488155314E-2</v>
      </c>
      <c r="P519" s="19">
        <v>5.8831627393652122E-2</v>
      </c>
      <c r="Q519" s="19">
        <v>0.36359781403481739</v>
      </c>
      <c r="R519" s="19">
        <v>0.38401088705378578</v>
      </c>
      <c r="S519" s="19">
        <v>7.7399681354495709E-2</v>
      </c>
      <c r="T519" s="20">
        <v>12</v>
      </c>
      <c r="U519" s="17">
        <v>2</v>
      </c>
      <c r="V519" s="17">
        <v>21</v>
      </c>
    </row>
    <row r="520" spans="1:22" x14ac:dyDescent="0.2">
      <c r="A520" t="s">
        <v>1908</v>
      </c>
      <c r="B520" t="s">
        <v>1875</v>
      </c>
      <c r="C520" t="s">
        <v>1876</v>
      </c>
      <c r="D520" t="s">
        <v>1894</v>
      </c>
      <c r="E520" s="10" t="s">
        <v>1909</v>
      </c>
      <c r="F520" s="10"/>
      <c r="G520" s="10"/>
      <c r="H520" s="10" t="s">
        <v>1909</v>
      </c>
      <c r="I520" s="14">
        <v>53781.092403564602</v>
      </c>
      <c r="J520" s="19">
        <v>0</v>
      </c>
      <c r="K520" s="19">
        <v>0.15146328800977454</v>
      </c>
      <c r="L520" s="19">
        <v>0.8485367119902254</v>
      </c>
      <c r="M520" s="20">
        <v>1</v>
      </c>
      <c r="N520" s="19">
        <v>0</v>
      </c>
      <c r="O520" s="19">
        <v>0.15146328800977454</v>
      </c>
      <c r="P520" s="19">
        <v>0</v>
      </c>
      <c r="Q520" s="19">
        <v>0.25595106677611312</v>
      </c>
      <c r="R520" s="19">
        <v>0.48481334058320691</v>
      </c>
      <c r="S520" s="19">
        <v>0.10777230463090544</v>
      </c>
      <c r="T520" s="20">
        <v>12</v>
      </c>
      <c r="U520" s="17">
        <v>2</v>
      </c>
      <c r="V520" s="17">
        <v>21</v>
      </c>
    </row>
    <row r="521" spans="1:22" x14ac:dyDescent="0.2">
      <c r="A521" t="s">
        <v>1910</v>
      </c>
      <c r="B521" t="s">
        <v>1875</v>
      </c>
      <c r="C521" t="s">
        <v>1876</v>
      </c>
      <c r="D521" t="s">
        <v>1894</v>
      </c>
      <c r="E521" s="10" t="s">
        <v>1911</v>
      </c>
      <c r="F521" s="10"/>
      <c r="G521" s="10"/>
      <c r="H521" s="10" t="s">
        <v>1911</v>
      </c>
      <c r="I521" s="14">
        <v>108830.17614873429</v>
      </c>
      <c r="J521" s="19">
        <v>0.19790723488223869</v>
      </c>
      <c r="K521" s="19">
        <v>0.56152722808625921</v>
      </c>
      <c r="L521" s="19">
        <v>0.24056553703150216</v>
      </c>
      <c r="M521" s="20">
        <v>2</v>
      </c>
      <c r="N521" s="19">
        <v>6.2532954977080418E-2</v>
      </c>
      <c r="O521" s="19">
        <v>8.3657343187373261E-3</v>
      </c>
      <c r="P521" s="19">
        <v>0.49062853879044144</v>
      </c>
      <c r="Q521" s="19">
        <v>9.5327745040051343E-2</v>
      </c>
      <c r="R521" s="19">
        <v>0.1259821851836406</v>
      </c>
      <c r="S521" s="19">
        <v>1.9255606807810195E-2</v>
      </c>
      <c r="T521" s="20">
        <v>23</v>
      </c>
      <c r="U521" s="17">
        <v>2</v>
      </c>
      <c r="V521" s="17">
        <v>21</v>
      </c>
    </row>
    <row r="522" spans="1:22" x14ac:dyDescent="0.2">
      <c r="A522" t="s">
        <v>1912</v>
      </c>
      <c r="B522" t="s">
        <v>1875</v>
      </c>
      <c r="C522" t="s">
        <v>1876</v>
      </c>
      <c r="D522" t="s">
        <v>1894</v>
      </c>
      <c r="E522" s="10" t="s">
        <v>1913</v>
      </c>
      <c r="F522" s="10"/>
      <c r="G522" s="10"/>
      <c r="H522" s="10" t="s">
        <v>1913</v>
      </c>
      <c r="I522" s="14">
        <v>134675.21311058244</v>
      </c>
      <c r="J522" s="19">
        <v>0.85703377075816622</v>
      </c>
      <c r="K522" s="19">
        <v>0.11267984135896768</v>
      </c>
      <c r="L522" s="19">
        <v>3.0286387882866125E-2</v>
      </c>
      <c r="M522" s="20">
        <v>3</v>
      </c>
      <c r="N522" s="19">
        <v>2.0530597648375635E-4</v>
      </c>
      <c r="O522" s="19">
        <v>0</v>
      </c>
      <c r="P522" s="19">
        <v>0.11247453538248393</v>
      </c>
      <c r="Q522" s="19">
        <v>0</v>
      </c>
      <c r="R522" s="19">
        <v>2.7942155911232544E-2</v>
      </c>
      <c r="S522" s="19">
        <v>2.3442319716335809E-3</v>
      </c>
      <c r="T522" s="20">
        <v>30</v>
      </c>
      <c r="U522" s="17">
        <v>2</v>
      </c>
      <c r="V522" s="17">
        <v>21</v>
      </c>
    </row>
    <row r="523" spans="1:22" x14ac:dyDescent="0.2">
      <c r="A523" t="s">
        <v>1914</v>
      </c>
      <c r="B523" t="s">
        <v>1875</v>
      </c>
      <c r="C523" t="s">
        <v>1876</v>
      </c>
      <c r="D523" t="s">
        <v>1915</v>
      </c>
      <c r="E523" s="10" t="s">
        <v>1916</v>
      </c>
      <c r="F523" s="10"/>
      <c r="G523" s="10"/>
      <c r="H523" s="10" t="s">
        <v>1916</v>
      </c>
      <c r="I523" s="14">
        <v>105815.58003184362</v>
      </c>
      <c r="J523" s="19">
        <v>0</v>
      </c>
      <c r="K523" s="19">
        <v>0.78721645793997574</v>
      </c>
      <c r="L523" s="19">
        <v>0.21278354206002426</v>
      </c>
      <c r="M523" s="20">
        <v>2</v>
      </c>
      <c r="N523" s="19">
        <v>0.12211258658163908</v>
      </c>
      <c r="O523" s="19">
        <v>0</v>
      </c>
      <c r="P523" s="19">
        <v>0.66510387135833671</v>
      </c>
      <c r="Q523" s="19">
        <v>0.13280735156444137</v>
      </c>
      <c r="R523" s="19">
        <v>7.1374460568878542E-2</v>
      </c>
      <c r="S523" s="19">
        <v>8.6017299267043528E-3</v>
      </c>
      <c r="T523" s="20">
        <v>21</v>
      </c>
      <c r="U523" s="17">
        <v>2</v>
      </c>
      <c r="V523" s="17">
        <v>21</v>
      </c>
    </row>
    <row r="524" spans="1:22" x14ac:dyDescent="0.2">
      <c r="A524" t="s">
        <v>1917</v>
      </c>
      <c r="B524" t="s">
        <v>1875</v>
      </c>
      <c r="C524" t="s">
        <v>1876</v>
      </c>
      <c r="D524" t="s">
        <v>1915</v>
      </c>
      <c r="E524" s="10" t="s">
        <v>1918</v>
      </c>
      <c r="F524" s="10"/>
      <c r="G524" s="10"/>
      <c r="H524" s="10" t="s">
        <v>1918</v>
      </c>
      <c r="I524" s="14">
        <v>88109.841420816723</v>
      </c>
      <c r="J524" s="19">
        <v>0</v>
      </c>
      <c r="K524" s="19">
        <v>0.66825735502898065</v>
      </c>
      <c r="L524" s="19">
        <v>0.33174264497101952</v>
      </c>
      <c r="M524" s="20">
        <v>2</v>
      </c>
      <c r="N524" s="19">
        <v>0.29386098713342806</v>
      </c>
      <c r="O524" s="19">
        <v>4.7235576439328186E-2</v>
      </c>
      <c r="P524" s="19">
        <v>0.32716079145622423</v>
      </c>
      <c r="Q524" s="19">
        <v>0.12884747116122972</v>
      </c>
      <c r="R524" s="19">
        <v>0.18187872618220449</v>
      </c>
      <c r="S524" s="19">
        <v>2.1016447627585245E-2</v>
      </c>
      <c r="T524" s="20">
        <v>23</v>
      </c>
      <c r="U524" s="17">
        <v>2</v>
      </c>
      <c r="V524" s="17">
        <v>21</v>
      </c>
    </row>
    <row r="525" spans="1:22" x14ac:dyDescent="0.2">
      <c r="A525" t="s">
        <v>1919</v>
      </c>
      <c r="B525" t="s">
        <v>1875</v>
      </c>
      <c r="C525" t="s">
        <v>1876</v>
      </c>
      <c r="D525" t="s">
        <v>1915</v>
      </c>
      <c r="E525" s="10" t="s">
        <v>1920</v>
      </c>
      <c r="F525" s="10"/>
      <c r="G525" s="10"/>
      <c r="H525" s="10" t="s">
        <v>1920</v>
      </c>
      <c r="I525" s="14">
        <v>86056.597609307151</v>
      </c>
      <c r="J525" s="19">
        <v>0</v>
      </c>
      <c r="K525" s="19">
        <v>0.73263569662219064</v>
      </c>
      <c r="L525" s="19">
        <v>0.26736430337780931</v>
      </c>
      <c r="M525" s="20">
        <v>2</v>
      </c>
      <c r="N525" s="19">
        <v>0</v>
      </c>
      <c r="O525" s="19">
        <v>7.4308375462545678E-2</v>
      </c>
      <c r="P525" s="19">
        <v>0.65832732115964498</v>
      </c>
      <c r="Q525" s="19">
        <v>8.8121405304202566E-2</v>
      </c>
      <c r="R525" s="19">
        <v>0.16695671076648699</v>
      </c>
      <c r="S525" s="19">
        <v>1.2286187307119757E-2</v>
      </c>
      <c r="T525" s="20">
        <v>21</v>
      </c>
      <c r="U525" s="17">
        <v>2</v>
      </c>
      <c r="V525" s="17">
        <v>21</v>
      </c>
    </row>
    <row r="526" spans="1:22" x14ac:dyDescent="0.2">
      <c r="A526" t="s">
        <v>1921</v>
      </c>
      <c r="B526" t="s">
        <v>1875</v>
      </c>
      <c r="C526" t="s">
        <v>1876</v>
      </c>
      <c r="D526" t="s">
        <v>1915</v>
      </c>
      <c r="E526" s="10" t="s">
        <v>1922</v>
      </c>
      <c r="F526" s="10"/>
      <c r="G526" s="10"/>
      <c r="H526" s="10" t="s">
        <v>1922</v>
      </c>
      <c r="I526" s="14">
        <v>50579.944397655316</v>
      </c>
      <c r="J526" s="19">
        <v>0.93808227619077411</v>
      </c>
      <c r="K526" s="19">
        <v>5.6669350818103884E-2</v>
      </c>
      <c r="L526" s="19">
        <v>5.2483729911218923E-3</v>
      </c>
      <c r="M526" s="20">
        <v>3</v>
      </c>
      <c r="N526" s="19">
        <v>0</v>
      </c>
      <c r="O526" s="19">
        <v>0</v>
      </c>
      <c r="P526" s="19">
        <v>5.6669350818103884E-2</v>
      </c>
      <c r="Q526" s="19">
        <v>0</v>
      </c>
      <c r="R526" s="19">
        <v>3.3719090786763308E-3</v>
      </c>
      <c r="S526" s="19">
        <v>1.876463912445561E-3</v>
      </c>
      <c r="T526" s="20">
        <v>30</v>
      </c>
      <c r="U526" s="17">
        <v>2</v>
      </c>
      <c r="V526" s="17">
        <v>21</v>
      </c>
    </row>
    <row r="527" spans="1:22" x14ac:dyDescent="0.2">
      <c r="A527" t="s">
        <v>1923</v>
      </c>
      <c r="B527" t="s">
        <v>1875</v>
      </c>
      <c r="C527" t="s">
        <v>1876</v>
      </c>
      <c r="D527" t="s">
        <v>1915</v>
      </c>
      <c r="E527" s="10" t="s">
        <v>1924</v>
      </c>
      <c r="F527" s="10"/>
      <c r="G527" s="10"/>
      <c r="H527" s="10" t="s">
        <v>1924</v>
      </c>
      <c r="I527" s="14">
        <v>82493.849457091652</v>
      </c>
      <c r="J527" s="19">
        <v>7.1463010379977307E-2</v>
      </c>
      <c r="K527" s="19">
        <v>0.60456065716158136</v>
      </c>
      <c r="L527" s="19">
        <v>0.32397633245844132</v>
      </c>
      <c r="M527" s="20">
        <v>2</v>
      </c>
      <c r="N527" s="19">
        <v>0</v>
      </c>
      <c r="O527" s="19">
        <v>0</v>
      </c>
      <c r="P527" s="19">
        <v>0.60456065716158136</v>
      </c>
      <c r="Q527" s="19">
        <v>0.15819162916931362</v>
      </c>
      <c r="R527" s="19">
        <v>0.15340297530712174</v>
      </c>
      <c r="S527" s="19">
        <v>1.238172798200596E-2</v>
      </c>
      <c r="T527" s="20">
        <v>21</v>
      </c>
      <c r="U527" s="17">
        <v>2</v>
      </c>
      <c r="V527" s="17">
        <v>21</v>
      </c>
    </row>
    <row r="528" spans="1:22" x14ac:dyDescent="0.2">
      <c r="A528" t="s">
        <v>1925</v>
      </c>
      <c r="B528" t="s">
        <v>1875</v>
      </c>
      <c r="C528" t="s">
        <v>1876</v>
      </c>
      <c r="D528" t="s">
        <v>1915</v>
      </c>
      <c r="E528" s="10" t="s">
        <v>1926</v>
      </c>
      <c r="F528" s="10"/>
      <c r="G528" s="10"/>
      <c r="H528" s="10" t="s">
        <v>1926</v>
      </c>
      <c r="I528" s="14">
        <v>82896.948723546462</v>
      </c>
      <c r="J528" s="19">
        <v>0</v>
      </c>
      <c r="K528" s="19">
        <v>0.93434697984218595</v>
      </c>
      <c r="L528" s="19">
        <v>6.5653020157814032E-2</v>
      </c>
      <c r="M528" s="20">
        <v>2</v>
      </c>
      <c r="N528" s="19">
        <v>0.34017233618589426</v>
      </c>
      <c r="O528" s="19">
        <v>0</v>
      </c>
      <c r="P528" s="19">
        <v>0.59417464365629169</v>
      </c>
      <c r="Q528" s="19">
        <v>1.5806021204787385E-4</v>
      </c>
      <c r="R528" s="19">
        <v>6.1164911791151438E-2</v>
      </c>
      <c r="S528" s="19">
        <v>4.3300481546147233E-3</v>
      </c>
      <c r="T528" s="20">
        <v>21</v>
      </c>
      <c r="U528" s="17">
        <v>2</v>
      </c>
      <c r="V528" s="17">
        <v>21</v>
      </c>
    </row>
    <row r="529" spans="1:22" x14ac:dyDescent="0.2">
      <c r="A529" t="s">
        <v>1927</v>
      </c>
      <c r="B529" t="s">
        <v>1875</v>
      </c>
      <c r="C529" t="s">
        <v>1876</v>
      </c>
      <c r="D529" t="s">
        <v>1915</v>
      </c>
      <c r="E529" s="10" t="s">
        <v>1928</v>
      </c>
      <c r="F529" s="10"/>
      <c r="G529" s="10"/>
      <c r="H529" s="10" t="s">
        <v>1928</v>
      </c>
      <c r="I529" s="14">
        <v>45073.378377843648</v>
      </c>
      <c r="J529" s="19">
        <v>0</v>
      </c>
      <c r="K529" s="19">
        <v>0.90923951799468716</v>
      </c>
      <c r="L529" s="19">
        <v>9.0760482005312865E-2</v>
      </c>
      <c r="M529" s="20">
        <v>2</v>
      </c>
      <c r="N529" s="19">
        <v>0</v>
      </c>
      <c r="O529" s="19">
        <v>0</v>
      </c>
      <c r="P529" s="19">
        <v>0.90923951799468716</v>
      </c>
      <c r="Q529" s="19">
        <v>1.2533576728419026E-2</v>
      </c>
      <c r="R529" s="19">
        <v>7.2346905957181851E-2</v>
      </c>
      <c r="S529" s="19">
        <v>5.8799993197119829E-3</v>
      </c>
      <c r="T529" s="20">
        <v>21</v>
      </c>
      <c r="U529" s="17">
        <v>2</v>
      </c>
      <c r="V529" s="17">
        <v>21</v>
      </c>
    </row>
    <row r="530" spans="1:22" x14ac:dyDescent="0.2">
      <c r="A530" t="s">
        <v>1929</v>
      </c>
      <c r="B530" t="s">
        <v>1875</v>
      </c>
      <c r="C530" t="s">
        <v>1876</v>
      </c>
      <c r="D530" t="s">
        <v>1915</v>
      </c>
      <c r="E530" s="10" t="s">
        <v>1930</v>
      </c>
      <c r="F530" s="10"/>
      <c r="G530" s="10"/>
      <c r="H530" s="10" t="s">
        <v>1930</v>
      </c>
      <c r="I530" s="14">
        <v>111595.83762966236</v>
      </c>
      <c r="J530" s="19">
        <v>0</v>
      </c>
      <c r="K530" s="19">
        <v>0.66408693864071622</v>
      </c>
      <c r="L530" s="19">
        <v>0.33591306135928373</v>
      </c>
      <c r="M530" s="20">
        <v>2</v>
      </c>
      <c r="N530" s="19">
        <v>5.923116042485542E-2</v>
      </c>
      <c r="O530" s="19">
        <v>5.920094959085874E-2</v>
      </c>
      <c r="P530" s="19">
        <v>0.54565482862500214</v>
      </c>
      <c r="Q530" s="19">
        <v>0.13455739332112276</v>
      </c>
      <c r="R530" s="19">
        <v>0.19119077313306762</v>
      </c>
      <c r="S530" s="19">
        <v>1.016489490509335E-2</v>
      </c>
      <c r="T530" s="20">
        <v>21</v>
      </c>
      <c r="U530" s="17">
        <v>2</v>
      </c>
      <c r="V530" s="17">
        <v>21</v>
      </c>
    </row>
    <row r="531" spans="1:22" x14ac:dyDescent="0.2">
      <c r="A531" t="s">
        <v>1931</v>
      </c>
      <c r="B531" t="s">
        <v>1875</v>
      </c>
      <c r="C531" t="s">
        <v>1876</v>
      </c>
      <c r="D531" t="s">
        <v>1915</v>
      </c>
      <c r="E531" s="10" t="s">
        <v>1932</v>
      </c>
      <c r="F531" s="10"/>
      <c r="G531" s="10"/>
      <c r="H531" s="10" t="s">
        <v>1932</v>
      </c>
      <c r="I531" s="14">
        <v>70462.367077336647</v>
      </c>
      <c r="J531" s="19">
        <v>0</v>
      </c>
      <c r="K531" s="19">
        <v>0.74614144148353545</v>
      </c>
      <c r="L531" s="19">
        <v>0.25385855851646449</v>
      </c>
      <c r="M531" s="20">
        <v>2</v>
      </c>
      <c r="N531" s="19">
        <v>0.14891809887079793</v>
      </c>
      <c r="O531" s="19">
        <v>0.13278716142544009</v>
      </c>
      <c r="P531" s="19">
        <v>0.46443618118729751</v>
      </c>
      <c r="Q531" s="19">
        <v>0.15126709849664186</v>
      </c>
      <c r="R531" s="19">
        <v>9.6173955522979152E-2</v>
      </c>
      <c r="S531" s="19">
        <v>6.4175044968434779E-3</v>
      </c>
      <c r="T531" s="20">
        <v>23</v>
      </c>
      <c r="U531" s="17">
        <v>2</v>
      </c>
      <c r="V531" s="17">
        <v>21</v>
      </c>
    </row>
    <row r="532" spans="1:22" x14ac:dyDescent="0.2">
      <c r="A532" t="s">
        <v>1933</v>
      </c>
      <c r="B532" t="s">
        <v>1875</v>
      </c>
      <c r="C532" t="s">
        <v>1876</v>
      </c>
      <c r="D532" t="s">
        <v>1915</v>
      </c>
      <c r="E532" s="10" t="s">
        <v>1934</v>
      </c>
      <c r="F532" s="10"/>
      <c r="G532" s="10"/>
      <c r="H532" s="10" t="s">
        <v>1934</v>
      </c>
      <c r="I532" s="14">
        <v>122478.8316779053</v>
      </c>
      <c r="J532" s="19">
        <v>0</v>
      </c>
      <c r="K532" s="19">
        <v>0.60055493239447288</v>
      </c>
      <c r="L532" s="19">
        <v>0.399445067605527</v>
      </c>
      <c r="M532" s="20">
        <v>2</v>
      </c>
      <c r="N532" s="19">
        <v>0.14013989121463036</v>
      </c>
      <c r="O532" s="19">
        <v>0.10031797780058964</v>
      </c>
      <c r="P532" s="19">
        <v>0.3600970633792529</v>
      </c>
      <c r="Q532" s="19">
        <v>0.22162551303258871</v>
      </c>
      <c r="R532" s="19">
        <v>0.14328368943173919</v>
      </c>
      <c r="S532" s="19">
        <v>3.4535865141199086E-2</v>
      </c>
      <c r="T532" s="20">
        <v>23</v>
      </c>
      <c r="U532" s="17">
        <v>2</v>
      </c>
      <c r="V532" s="17">
        <v>21</v>
      </c>
    </row>
    <row r="533" spans="1:22" x14ac:dyDescent="0.2">
      <c r="A533" t="s">
        <v>1935</v>
      </c>
      <c r="B533" t="s">
        <v>1875</v>
      </c>
      <c r="C533" t="s">
        <v>1876</v>
      </c>
      <c r="D533" t="s">
        <v>1936</v>
      </c>
      <c r="E533" s="10" t="s">
        <v>1937</v>
      </c>
      <c r="F533" s="10"/>
      <c r="G533" s="10"/>
      <c r="H533" s="10" t="s">
        <v>1937</v>
      </c>
      <c r="I533" s="14">
        <v>57462.748883923516</v>
      </c>
      <c r="J533" s="19">
        <v>0</v>
      </c>
      <c r="K533" s="19">
        <v>0.62319454248582817</v>
      </c>
      <c r="L533" s="19">
        <v>0.37680545751417177</v>
      </c>
      <c r="M533" s="20">
        <v>2</v>
      </c>
      <c r="N533" s="19">
        <v>0</v>
      </c>
      <c r="O533" s="19">
        <v>0.62319454248582817</v>
      </c>
      <c r="P533" s="19">
        <v>0</v>
      </c>
      <c r="Q533" s="19">
        <v>0.1427352295963808</v>
      </c>
      <c r="R533" s="19">
        <v>0.20659918366047206</v>
      </c>
      <c r="S533" s="19">
        <v>2.7471044257318916E-2</v>
      </c>
      <c r="T533" s="20">
        <v>22</v>
      </c>
      <c r="U533" s="17">
        <v>2</v>
      </c>
      <c r="V533" s="17">
        <v>21</v>
      </c>
    </row>
    <row r="534" spans="1:22" x14ac:dyDescent="0.2">
      <c r="A534" t="s">
        <v>1938</v>
      </c>
      <c r="B534" t="s">
        <v>1875</v>
      </c>
      <c r="C534" t="s">
        <v>1876</v>
      </c>
      <c r="D534" t="s">
        <v>1936</v>
      </c>
      <c r="E534" s="10" t="s">
        <v>1939</v>
      </c>
      <c r="F534" s="10"/>
      <c r="G534" s="10"/>
      <c r="H534" s="10" t="s">
        <v>1939</v>
      </c>
      <c r="I534" s="14">
        <v>34477.677438514307</v>
      </c>
      <c r="J534" s="19">
        <v>0</v>
      </c>
      <c r="K534" s="19">
        <v>0.60056500241130029</v>
      </c>
      <c r="L534" s="19">
        <v>0.39943499758869971</v>
      </c>
      <c r="M534" s="20">
        <v>2</v>
      </c>
      <c r="N534" s="19">
        <v>0.15450862890459638</v>
      </c>
      <c r="O534" s="19">
        <v>0</v>
      </c>
      <c r="P534" s="19">
        <v>0.44605637350670391</v>
      </c>
      <c r="Q534" s="19">
        <v>0.27898091926156587</v>
      </c>
      <c r="R534" s="19">
        <v>0.11285042684665303</v>
      </c>
      <c r="S534" s="19">
        <v>7.6036514804808273E-3</v>
      </c>
      <c r="T534" s="20">
        <v>23</v>
      </c>
      <c r="U534" s="17">
        <v>2</v>
      </c>
      <c r="V534" s="17">
        <v>21</v>
      </c>
    </row>
    <row r="535" spans="1:22" x14ac:dyDescent="0.2">
      <c r="A535" t="s">
        <v>1940</v>
      </c>
      <c r="B535" t="s">
        <v>1875</v>
      </c>
      <c r="C535" t="s">
        <v>1876</v>
      </c>
      <c r="D535" t="s">
        <v>1936</v>
      </c>
      <c r="E535" s="10" t="s">
        <v>1941</v>
      </c>
      <c r="F535" s="10"/>
      <c r="G535" s="10"/>
      <c r="H535" s="10" t="s">
        <v>1941</v>
      </c>
      <c r="I535" s="14">
        <v>43068.061183788574</v>
      </c>
      <c r="J535" s="19">
        <v>0</v>
      </c>
      <c r="K535" s="19">
        <v>0.97247591953646817</v>
      </c>
      <c r="L535" s="19">
        <v>2.7524080463532021E-2</v>
      </c>
      <c r="M535" s="20">
        <v>2</v>
      </c>
      <c r="N535" s="19">
        <v>0.87404914461409189</v>
      </c>
      <c r="O535" s="19">
        <v>0</v>
      </c>
      <c r="P535" s="19">
        <v>9.8426774922376281E-2</v>
      </c>
      <c r="Q535" s="19">
        <v>0</v>
      </c>
      <c r="R535" s="19">
        <v>2.6015255266870346E-2</v>
      </c>
      <c r="S535" s="19">
        <v>1.5088251966616753E-3</v>
      </c>
      <c r="T535" s="20">
        <v>23</v>
      </c>
      <c r="U535" s="17">
        <v>2</v>
      </c>
      <c r="V535" s="17">
        <v>21</v>
      </c>
    </row>
    <row r="536" spans="1:22" x14ac:dyDescent="0.2">
      <c r="A536" t="s">
        <v>1942</v>
      </c>
      <c r="B536" t="s">
        <v>1875</v>
      </c>
      <c r="C536" t="s">
        <v>1876</v>
      </c>
      <c r="D536" t="s">
        <v>1936</v>
      </c>
      <c r="E536" s="10" t="s">
        <v>1943</v>
      </c>
      <c r="F536" s="10"/>
      <c r="G536" s="10"/>
      <c r="H536" s="10" t="s">
        <v>1943</v>
      </c>
      <c r="I536" s="14">
        <v>49393.331666392049</v>
      </c>
      <c r="J536" s="19">
        <v>0</v>
      </c>
      <c r="K536" s="19">
        <v>0.39305034353878254</v>
      </c>
      <c r="L536" s="19">
        <v>0.60694965646121735</v>
      </c>
      <c r="M536" s="20">
        <v>1</v>
      </c>
      <c r="N536" s="19">
        <v>0</v>
      </c>
      <c r="O536" s="19">
        <v>0</v>
      </c>
      <c r="P536" s="19">
        <v>0.39305034353878254</v>
      </c>
      <c r="Q536" s="19">
        <v>0.48643176219126133</v>
      </c>
      <c r="R536" s="19">
        <v>0.10629988456192692</v>
      </c>
      <c r="S536" s="19">
        <v>1.4218009708029061E-2</v>
      </c>
      <c r="T536" s="20">
        <v>13</v>
      </c>
      <c r="U536" s="17">
        <v>2</v>
      </c>
      <c r="V536" s="17">
        <v>21</v>
      </c>
    </row>
    <row r="537" spans="1:22" x14ac:dyDescent="0.2">
      <c r="A537" t="s">
        <v>1944</v>
      </c>
      <c r="B537" t="s">
        <v>1875</v>
      </c>
      <c r="C537" t="s">
        <v>1876</v>
      </c>
      <c r="D537" t="s">
        <v>1936</v>
      </c>
      <c r="E537" s="10" t="s">
        <v>1945</v>
      </c>
      <c r="F537" s="10"/>
      <c r="G537" s="10"/>
      <c r="H537" s="10" t="s">
        <v>1945</v>
      </c>
      <c r="I537" s="14">
        <v>80601.711177296471</v>
      </c>
      <c r="J537" s="19">
        <v>0</v>
      </c>
      <c r="K537" s="19">
        <v>0.71504579852254257</v>
      </c>
      <c r="L537" s="19">
        <v>0.28495420147745748</v>
      </c>
      <c r="M537" s="20">
        <v>2</v>
      </c>
      <c r="N537" s="19">
        <v>2.1837133753694216E-3</v>
      </c>
      <c r="O537" s="19">
        <v>0.37193052794553716</v>
      </c>
      <c r="P537" s="19">
        <v>0.34093155720163598</v>
      </c>
      <c r="Q537" s="19">
        <v>3.780820832487089E-2</v>
      </c>
      <c r="R537" s="19">
        <v>0.22818784100160666</v>
      </c>
      <c r="S537" s="19">
        <v>1.8958152150979939E-2</v>
      </c>
      <c r="T537" s="20">
        <v>22</v>
      </c>
      <c r="U537" s="17">
        <v>2</v>
      </c>
      <c r="V537" s="17">
        <v>21</v>
      </c>
    </row>
    <row r="538" spans="1:22" x14ac:dyDescent="0.2">
      <c r="A538" t="s">
        <v>1946</v>
      </c>
      <c r="B538" t="s">
        <v>1875</v>
      </c>
      <c r="C538" t="s">
        <v>1876</v>
      </c>
      <c r="D538" t="s">
        <v>1936</v>
      </c>
      <c r="E538" s="10" t="s">
        <v>1947</v>
      </c>
      <c r="F538" s="10"/>
      <c r="G538" s="10"/>
      <c r="H538" s="10" t="s">
        <v>1947</v>
      </c>
      <c r="I538" s="14">
        <v>95124.19203702407</v>
      </c>
      <c r="J538" s="19">
        <v>0</v>
      </c>
      <c r="K538" s="19">
        <v>0.52083855471135254</v>
      </c>
      <c r="L538" s="19">
        <v>0.47916144528864746</v>
      </c>
      <c r="M538" s="20">
        <v>2</v>
      </c>
      <c r="N538" s="19">
        <v>2.5652878553151296E-2</v>
      </c>
      <c r="O538" s="19">
        <v>0.14965258027698494</v>
      </c>
      <c r="P538" s="19">
        <v>0.34553309588121628</v>
      </c>
      <c r="Q538" s="19">
        <v>0.1576180667210782</v>
      </c>
      <c r="R538" s="19">
        <v>0.28871197544345173</v>
      </c>
      <c r="S538" s="19">
        <v>3.2831403124117586E-2</v>
      </c>
      <c r="T538" s="20">
        <v>22</v>
      </c>
      <c r="U538" s="17">
        <v>2</v>
      </c>
      <c r="V538" s="17">
        <v>21</v>
      </c>
    </row>
    <row r="539" spans="1:22" x14ac:dyDescent="0.2">
      <c r="A539" t="s">
        <v>1948</v>
      </c>
      <c r="B539" t="s">
        <v>1875</v>
      </c>
      <c r="C539" t="s">
        <v>1876</v>
      </c>
      <c r="D539" t="s">
        <v>1936</v>
      </c>
      <c r="E539" s="10" t="s">
        <v>1949</v>
      </c>
      <c r="F539" s="10"/>
      <c r="G539" s="10"/>
      <c r="H539" s="10" t="s">
        <v>1949</v>
      </c>
      <c r="I539" s="14">
        <v>65827.60063880356</v>
      </c>
      <c r="J539" s="19">
        <v>0</v>
      </c>
      <c r="K539" s="19">
        <v>0.41572121362210324</v>
      </c>
      <c r="L539" s="19">
        <v>0.58427878637789676</v>
      </c>
      <c r="M539" s="20">
        <v>1</v>
      </c>
      <c r="N539" s="19">
        <v>0</v>
      </c>
      <c r="O539" s="19">
        <v>0.18500773907708873</v>
      </c>
      <c r="P539" s="19">
        <v>0.23071347454501451</v>
      </c>
      <c r="Q539" s="19">
        <v>0.20630401292236347</v>
      </c>
      <c r="R539" s="19">
        <v>0.32383837283955946</v>
      </c>
      <c r="S539" s="19">
        <v>5.4136400615973815E-2</v>
      </c>
      <c r="T539" s="20">
        <v>12</v>
      </c>
      <c r="U539" s="17">
        <v>2</v>
      </c>
      <c r="V539" s="17">
        <v>21</v>
      </c>
    </row>
    <row r="540" spans="1:22" x14ac:dyDescent="0.2">
      <c r="A540" t="s">
        <v>1950</v>
      </c>
      <c r="B540" t="s">
        <v>1875</v>
      </c>
      <c r="C540" t="s">
        <v>1876</v>
      </c>
      <c r="D540" t="s">
        <v>1936</v>
      </c>
      <c r="E540" s="10" t="s">
        <v>1951</v>
      </c>
      <c r="F540" s="10"/>
      <c r="G540" s="10"/>
      <c r="H540" s="10" t="s">
        <v>1951</v>
      </c>
      <c r="I540" s="14">
        <v>65400.380238788195</v>
      </c>
      <c r="J540" s="19">
        <v>0</v>
      </c>
      <c r="K540" s="19">
        <v>6.9069737244639315E-2</v>
      </c>
      <c r="L540" s="19">
        <v>0.93093026275536073</v>
      </c>
      <c r="M540" s="20">
        <v>1</v>
      </c>
      <c r="N540" s="19">
        <v>0</v>
      </c>
      <c r="O540" s="19">
        <v>6.9069737244639315E-2</v>
      </c>
      <c r="P540" s="19">
        <v>0</v>
      </c>
      <c r="Q540" s="19">
        <v>0.43623946653741774</v>
      </c>
      <c r="R540" s="19">
        <v>0.40135759503116997</v>
      </c>
      <c r="S540" s="19">
        <v>9.3333201186773046E-2</v>
      </c>
      <c r="T540" s="20">
        <v>13</v>
      </c>
      <c r="U540" s="17">
        <v>2</v>
      </c>
      <c r="V540" s="17">
        <v>21</v>
      </c>
    </row>
    <row r="541" spans="1:22" x14ac:dyDescent="0.2">
      <c r="A541" t="s">
        <v>1952</v>
      </c>
      <c r="B541" t="s">
        <v>1875</v>
      </c>
      <c r="C541" t="s">
        <v>1876</v>
      </c>
      <c r="D541" t="s">
        <v>1953</v>
      </c>
      <c r="E541" s="10" t="s">
        <v>1954</v>
      </c>
      <c r="F541" s="10"/>
      <c r="G541" s="10"/>
      <c r="H541" s="10" t="s">
        <v>1954</v>
      </c>
      <c r="I541" s="14">
        <v>55192.373621787876</v>
      </c>
      <c r="J541" s="19">
        <v>0</v>
      </c>
      <c r="K541" s="19">
        <v>0.19958772929702565</v>
      </c>
      <c r="L541" s="19">
        <v>0.80041227070297438</v>
      </c>
      <c r="M541" s="20">
        <v>1</v>
      </c>
      <c r="N541" s="19">
        <v>0</v>
      </c>
      <c r="O541" s="19">
        <v>0.19958772929702565</v>
      </c>
      <c r="P541" s="19">
        <v>0</v>
      </c>
      <c r="Q541" s="19">
        <v>0.23623079823699761</v>
      </c>
      <c r="R541" s="19">
        <v>0.47355577252006648</v>
      </c>
      <c r="S541" s="19">
        <v>9.0625699945910285E-2</v>
      </c>
      <c r="T541" s="20">
        <v>12</v>
      </c>
      <c r="U541" s="17">
        <v>2</v>
      </c>
      <c r="V541" s="17">
        <v>21</v>
      </c>
    </row>
    <row r="542" spans="1:22" x14ac:dyDescent="0.2">
      <c r="A542" t="s">
        <v>1955</v>
      </c>
      <c r="B542" t="s">
        <v>1875</v>
      </c>
      <c r="C542" t="s">
        <v>1876</v>
      </c>
      <c r="D542" t="s">
        <v>1953</v>
      </c>
      <c r="E542" s="10" t="s">
        <v>1956</v>
      </c>
      <c r="F542" s="10"/>
      <c r="G542" s="10"/>
      <c r="H542" s="10" t="s">
        <v>1956</v>
      </c>
      <c r="I542" s="14">
        <v>116686.46581499698</v>
      </c>
      <c r="J542" s="19">
        <v>0</v>
      </c>
      <c r="K542" s="19">
        <v>0.53748647784350345</v>
      </c>
      <c r="L542" s="19">
        <v>0.46251352215649655</v>
      </c>
      <c r="M542" s="20">
        <v>2</v>
      </c>
      <c r="N542" s="19">
        <v>0</v>
      </c>
      <c r="O542" s="19">
        <v>0.17948864826635139</v>
      </c>
      <c r="P542" s="19">
        <v>0.35799782957715209</v>
      </c>
      <c r="Q542" s="19">
        <v>0.17538556840954012</v>
      </c>
      <c r="R542" s="19">
        <v>0.27322750524575096</v>
      </c>
      <c r="S542" s="19">
        <v>1.3900448501205446E-2</v>
      </c>
      <c r="T542" s="20">
        <v>22</v>
      </c>
      <c r="U542" s="17">
        <v>2</v>
      </c>
      <c r="V542" s="17">
        <v>21</v>
      </c>
    </row>
    <row r="543" spans="1:22" x14ac:dyDescent="0.2">
      <c r="A543" t="s">
        <v>1957</v>
      </c>
      <c r="B543" t="s">
        <v>1875</v>
      </c>
      <c r="C543" t="s">
        <v>1876</v>
      </c>
      <c r="D543" t="s">
        <v>1953</v>
      </c>
      <c r="E543" s="10" t="s">
        <v>1958</v>
      </c>
      <c r="F543" s="10"/>
      <c r="G543" s="10"/>
      <c r="H543" s="10" t="s">
        <v>1958</v>
      </c>
      <c r="I543" s="14">
        <v>46816.407295975834</v>
      </c>
      <c r="J543" s="19">
        <v>0</v>
      </c>
      <c r="K543" s="19">
        <v>0.90226644840776271</v>
      </c>
      <c r="L543" s="19">
        <v>9.7733551592237344E-2</v>
      </c>
      <c r="M543" s="20">
        <v>2</v>
      </c>
      <c r="N543" s="19">
        <v>0.53337339501055814</v>
      </c>
      <c r="O543" s="19">
        <v>0</v>
      </c>
      <c r="P543" s="19">
        <v>0.36889305339720452</v>
      </c>
      <c r="Q543" s="19">
        <v>0</v>
      </c>
      <c r="R543" s="19">
        <v>9.2975495295977706E-2</v>
      </c>
      <c r="S543" s="19">
        <v>4.758056296259628E-3</v>
      </c>
      <c r="T543" s="20">
        <v>23</v>
      </c>
      <c r="U543" s="17">
        <v>2</v>
      </c>
      <c r="V543" s="17">
        <v>21</v>
      </c>
    </row>
    <row r="544" spans="1:22" x14ac:dyDescent="0.2">
      <c r="A544" t="s">
        <v>1959</v>
      </c>
      <c r="B544" t="s">
        <v>1875</v>
      </c>
      <c r="C544" t="s">
        <v>1876</v>
      </c>
      <c r="D544" t="s">
        <v>1953</v>
      </c>
      <c r="E544" s="10" t="s">
        <v>1960</v>
      </c>
      <c r="F544" s="10"/>
      <c r="G544" s="10"/>
      <c r="H544" s="10" t="s">
        <v>1960</v>
      </c>
      <c r="I544" s="14">
        <v>116745.0753385853</v>
      </c>
      <c r="J544" s="19">
        <v>0</v>
      </c>
      <c r="K544" s="19">
        <v>0.78348096127636513</v>
      </c>
      <c r="L544" s="19">
        <v>0.21651903872363487</v>
      </c>
      <c r="M544" s="20">
        <v>2</v>
      </c>
      <c r="N544" s="19">
        <v>0</v>
      </c>
      <c r="O544" s="19">
        <v>0</v>
      </c>
      <c r="P544" s="19">
        <v>0.78348096127636513</v>
      </c>
      <c r="Q544" s="19">
        <v>6.6219708165385169E-3</v>
      </c>
      <c r="R544" s="19">
        <v>0.20085501459620181</v>
      </c>
      <c r="S544" s="19">
        <v>9.0420533108945388E-3</v>
      </c>
      <c r="T544" s="20">
        <v>21</v>
      </c>
      <c r="U544" s="17">
        <v>2</v>
      </c>
      <c r="V544" s="17">
        <v>21</v>
      </c>
    </row>
    <row r="545" spans="1:22" x14ac:dyDescent="0.2">
      <c r="A545" t="s">
        <v>1961</v>
      </c>
      <c r="B545" t="s">
        <v>1875</v>
      </c>
      <c r="C545" t="s">
        <v>1876</v>
      </c>
      <c r="D545" t="s">
        <v>1953</v>
      </c>
      <c r="E545" s="10" t="s">
        <v>1962</v>
      </c>
      <c r="F545" s="10"/>
      <c r="G545" s="10"/>
      <c r="H545" s="10" t="s">
        <v>1962</v>
      </c>
      <c r="I545" s="14">
        <v>130900.77944649966</v>
      </c>
      <c r="J545" s="19">
        <v>0</v>
      </c>
      <c r="K545" s="19">
        <v>0.52321965631830636</v>
      </c>
      <c r="L545" s="19">
        <v>0.47678034368169359</v>
      </c>
      <c r="M545" s="20">
        <v>2</v>
      </c>
      <c r="N545" s="19">
        <v>4.8798954871659937E-2</v>
      </c>
      <c r="O545" s="19">
        <v>5.32267976563226E-2</v>
      </c>
      <c r="P545" s="19">
        <v>0.42119390379032384</v>
      </c>
      <c r="Q545" s="19">
        <v>0.17869188891086155</v>
      </c>
      <c r="R545" s="19">
        <v>0.28361086805696506</v>
      </c>
      <c r="S545" s="19">
        <v>1.4477586713867006E-2</v>
      </c>
      <c r="T545" s="20">
        <v>22</v>
      </c>
      <c r="U545" s="17">
        <v>2</v>
      </c>
      <c r="V545" s="17">
        <v>21</v>
      </c>
    </row>
    <row r="546" spans="1:22" x14ac:dyDescent="0.2">
      <c r="A546" t="s">
        <v>1963</v>
      </c>
      <c r="B546" t="s">
        <v>1875</v>
      </c>
      <c r="C546" t="s">
        <v>1876</v>
      </c>
      <c r="D546" t="s">
        <v>1953</v>
      </c>
      <c r="E546" s="10" t="s">
        <v>1964</v>
      </c>
      <c r="F546" s="10"/>
      <c r="G546" s="10"/>
      <c r="H546" s="10" t="s">
        <v>1964</v>
      </c>
      <c r="I546" s="14">
        <v>113196.34585997462</v>
      </c>
      <c r="J546" s="19">
        <v>0</v>
      </c>
      <c r="K546" s="19">
        <v>0.32854254029857294</v>
      </c>
      <c r="L546" s="19">
        <v>0.67145745970142723</v>
      </c>
      <c r="M546" s="20">
        <v>1</v>
      </c>
      <c r="N546" s="19">
        <v>0</v>
      </c>
      <c r="O546" s="19">
        <v>0.17569455376518545</v>
      </c>
      <c r="P546" s="19">
        <v>0.15284798653338749</v>
      </c>
      <c r="Q546" s="19">
        <v>0.17208899847818049</v>
      </c>
      <c r="R546" s="19">
        <v>0.41017463427820011</v>
      </c>
      <c r="S546" s="19">
        <v>8.9193826945046434E-2</v>
      </c>
      <c r="T546" s="20">
        <v>12</v>
      </c>
      <c r="U546" s="17">
        <v>2</v>
      </c>
      <c r="V546" s="17">
        <v>21</v>
      </c>
    </row>
    <row r="547" spans="1:22" x14ac:dyDescent="0.2">
      <c r="A547" t="s">
        <v>1965</v>
      </c>
      <c r="B547" t="s">
        <v>1875</v>
      </c>
      <c r="C547" t="s">
        <v>1876</v>
      </c>
      <c r="D547" t="s">
        <v>1953</v>
      </c>
      <c r="E547" s="10" t="s">
        <v>1966</v>
      </c>
      <c r="F547" s="10"/>
      <c r="G547" s="10"/>
      <c r="H547" s="10" t="s">
        <v>1966</v>
      </c>
      <c r="I547" s="14">
        <v>155807.30503627934</v>
      </c>
      <c r="J547" s="19">
        <v>0</v>
      </c>
      <c r="K547" s="19">
        <v>0.69093194783978362</v>
      </c>
      <c r="L547" s="19">
        <v>0.30906805216021654</v>
      </c>
      <c r="M547" s="20">
        <v>2</v>
      </c>
      <c r="N547" s="19">
        <v>2.7233844634967017E-2</v>
      </c>
      <c r="O547" s="19">
        <v>0</v>
      </c>
      <c r="P547" s="19">
        <v>0.66369810320481659</v>
      </c>
      <c r="Q547" s="19">
        <v>5.0894570188755282E-2</v>
      </c>
      <c r="R547" s="19">
        <v>0.23973234288348019</v>
      </c>
      <c r="S547" s="19">
        <v>1.8441139087981059E-2</v>
      </c>
      <c r="T547" s="20">
        <v>21</v>
      </c>
      <c r="U547" s="17">
        <v>2</v>
      </c>
      <c r="V547" s="17">
        <v>21</v>
      </c>
    </row>
    <row r="548" spans="1:22" x14ac:dyDescent="0.2">
      <c r="A548" t="s">
        <v>1967</v>
      </c>
      <c r="B548" t="s">
        <v>1875</v>
      </c>
      <c r="C548" t="s">
        <v>1876</v>
      </c>
      <c r="D548" t="s">
        <v>1953</v>
      </c>
      <c r="E548" s="10" t="s">
        <v>1968</v>
      </c>
      <c r="F548" s="10"/>
      <c r="G548" s="10"/>
      <c r="H548" s="10" t="s">
        <v>1968</v>
      </c>
      <c r="I548" s="14">
        <v>55035.148721138481</v>
      </c>
      <c r="J548" s="19">
        <v>0</v>
      </c>
      <c r="K548" s="19">
        <v>0.20059882544076177</v>
      </c>
      <c r="L548" s="19">
        <v>0.7994011745592382</v>
      </c>
      <c r="M548" s="20">
        <v>1</v>
      </c>
      <c r="N548" s="19">
        <v>0</v>
      </c>
      <c r="O548" s="19">
        <v>0.20018896369462783</v>
      </c>
      <c r="P548" s="19">
        <v>4.0986174613394816E-4</v>
      </c>
      <c r="Q548" s="19">
        <v>0.39197558500273805</v>
      </c>
      <c r="R548" s="19">
        <v>0.35981433268322932</v>
      </c>
      <c r="S548" s="19">
        <v>4.7611256873270842E-2</v>
      </c>
      <c r="T548" s="20">
        <v>13</v>
      </c>
      <c r="U548" s="17">
        <v>2</v>
      </c>
      <c r="V548" s="17">
        <v>21</v>
      </c>
    </row>
    <row r="549" spans="1:22" x14ac:dyDescent="0.2">
      <c r="A549" t="s">
        <v>1969</v>
      </c>
      <c r="B549" t="s">
        <v>1875</v>
      </c>
      <c r="C549" t="s">
        <v>1876</v>
      </c>
      <c r="D549" t="s">
        <v>1970</v>
      </c>
      <c r="E549" s="10" t="s">
        <v>1971</v>
      </c>
      <c r="F549" s="10"/>
      <c r="G549" s="10"/>
      <c r="H549" s="10" t="s">
        <v>1971</v>
      </c>
      <c r="I549" s="14">
        <v>162251.77439258527</v>
      </c>
      <c r="J549" s="19">
        <v>0</v>
      </c>
      <c r="K549" s="19">
        <v>0.68898194952907021</v>
      </c>
      <c r="L549" s="19">
        <v>0.31101805047092979</v>
      </c>
      <c r="M549" s="20">
        <v>2</v>
      </c>
      <c r="N549" s="19">
        <v>0.15114848333374759</v>
      </c>
      <c r="O549" s="19">
        <v>9.7051946224501237E-2</v>
      </c>
      <c r="P549" s="19">
        <v>0.44078151997082138</v>
      </c>
      <c r="Q549" s="19">
        <v>0.17977318021005564</v>
      </c>
      <c r="R549" s="19">
        <v>0.1182390746782008</v>
      </c>
      <c r="S549" s="19">
        <v>1.3005795582673306E-2</v>
      </c>
      <c r="T549" s="20">
        <v>23</v>
      </c>
      <c r="U549" s="17">
        <v>2</v>
      </c>
      <c r="V549" s="17">
        <v>21</v>
      </c>
    </row>
    <row r="550" spans="1:22" x14ac:dyDescent="0.2">
      <c r="A550" t="s">
        <v>1972</v>
      </c>
      <c r="B550" t="s">
        <v>1875</v>
      </c>
      <c r="C550" t="s">
        <v>1876</v>
      </c>
      <c r="D550" t="s">
        <v>1970</v>
      </c>
      <c r="E550" s="10" t="s">
        <v>1973</v>
      </c>
      <c r="F550" s="10"/>
      <c r="G550" s="10"/>
      <c r="H550" s="10" t="s">
        <v>1973</v>
      </c>
      <c r="I550" s="14">
        <v>76674.723361607626</v>
      </c>
      <c r="J550" s="19">
        <v>0</v>
      </c>
      <c r="K550" s="19">
        <v>0.41122838277426277</v>
      </c>
      <c r="L550" s="19">
        <v>0.58877161722573745</v>
      </c>
      <c r="M550" s="20">
        <v>1</v>
      </c>
      <c r="N550" s="19">
        <v>0</v>
      </c>
      <c r="O550" s="19">
        <v>0.26301214993087185</v>
      </c>
      <c r="P550" s="19">
        <v>0.14821623284339092</v>
      </c>
      <c r="Q550" s="19">
        <v>0.20129964082674479</v>
      </c>
      <c r="R550" s="19">
        <v>0.34650348597779707</v>
      </c>
      <c r="S550" s="19">
        <v>4.0968490421195582E-2</v>
      </c>
      <c r="T550" s="20">
        <v>12</v>
      </c>
      <c r="U550" s="17">
        <v>2</v>
      </c>
      <c r="V550" s="17">
        <v>21</v>
      </c>
    </row>
    <row r="551" spans="1:22" x14ac:dyDescent="0.2">
      <c r="A551" t="s">
        <v>1974</v>
      </c>
      <c r="B551" t="s">
        <v>1875</v>
      </c>
      <c r="C551" t="s">
        <v>1876</v>
      </c>
      <c r="D551" t="s">
        <v>1970</v>
      </c>
      <c r="E551" s="10" t="s">
        <v>1975</v>
      </c>
      <c r="F551" s="10"/>
      <c r="G551" s="10"/>
      <c r="H551" s="10" t="s">
        <v>1975</v>
      </c>
      <c r="I551" s="14">
        <v>50430.635674610734</v>
      </c>
      <c r="J551" s="19">
        <v>0</v>
      </c>
      <c r="K551" s="19">
        <v>3.4427428865615533E-3</v>
      </c>
      <c r="L551" s="19">
        <v>0.99655725711343845</v>
      </c>
      <c r="M551" s="20">
        <v>1</v>
      </c>
      <c r="N551" s="19">
        <v>0</v>
      </c>
      <c r="O551" s="19">
        <v>3.4427428865615533E-3</v>
      </c>
      <c r="P551" s="19">
        <v>0</v>
      </c>
      <c r="Q551" s="19">
        <v>0.56953660119110572</v>
      </c>
      <c r="R551" s="19">
        <v>0.36616395666378043</v>
      </c>
      <c r="S551" s="19">
        <v>6.0856699258552319E-2</v>
      </c>
      <c r="T551" s="20">
        <v>13</v>
      </c>
      <c r="U551" s="17">
        <v>2</v>
      </c>
      <c r="V551" s="17">
        <v>21</v>
      </c>
    </row>
    <row r="552" spans="1:22" x14ac:dyDescent="0.2">
      <c r="A552" t="s">
        <v>1976</v>
      </c>
      <c r="B552" t="s">
        <v>1875</v>
      </c>
      <c r="C552" t="s">
        <v>1876</v>
      </c>
      <c r="D552" t="s">
        <v>1970</v>
      </c>
      <c r="E552" s="10" t="s">
        <v>1977</v>
      </c>
      <c r="F552" s="10"/>
      <c r="G552" s="10"/>
      <c r="H552" s="10" t="s">
        <v>1977</v>
      </c>
      <c r="I552" s="14">
        <v>39176.12582262978</v>
      </c>
      <c r="J552" s="19">
        <v>0</v>
      </c>
      <c r="K552" s="19">
        <v>0.15769863232258957</v>
      </c>
      <c r="L552" s="19">
        <v>0.84230136767741048</v>
      </c>
      <c r="M552" s="20">
        <v>1</v>
      </c>
      <c r="N552" s="19">
        <v>0</v>
      </c>
      <c r="O552" s="19">
        <v>0.15769863232258957</v>
      </c>
      <c r="P552" s="19">
        <v>0</v>
      </c>
      <c r="Q552" s="19">
        <v>0.47976344513605312</v>
      </c>
      <c r="R552" s="19">
        <v>0.30935764261477983</v>
      </c>
      <c r="S552" s="19">
        <v>5.3180279926577437E-2</v>
      </c>
      <c r="T552" s="20">
        <v>13</v>
      </c>
      <c r="U552" s="17">
        <v>2</v>
      </c>
      <c r="V552" s="17">
        <v>21</v>
      </c>
    </row>
    <row r="553" spans="1:22" x14ac:dyDescent="0.2">
      <c r="A553" t="s">
        <v>1978</v>
      </c>
      <c r="B553" t="s">
        <v>1875</v>
      </c>
      <c r="C553" t="s">
        <v>1876</v>
      </c>
      <c r="D553" t="s">
        <v>1970</v>
      </c>
      <c r="E553" s="10" t="s">
        <v>1979</v>
      </c>
      <c r="F553" s="10"/>
      <c r="G553" s="10"/>
      <c r="H553" s="10" t="s">
        <v>1979</v>
      </c>
      <c r="I553" s="14">
        <v>60944.592999545857</v>
      </c>
      <c r="J553" s="19">
        <v>0</v>
      </c>
      <c r="K553" s="19">
        <v>0.24009842251240288</v>
      </c>
      <c r="L553" s="19">
        <v>0.75990157748759712</v>
      </c>
      <c r="M553" s="20">
        <v>1</v>
      </c>
      <c r="N553" s="19">
        <v>0</v>
      </c>
      <c r="O553" s="19">
        <v>0.24009842251240288</v>
      </c>
      <c r="P553" s="19">
        <v>0</v>
      </c>
      <c r="Q553" s="19">
        <v>0.2644966640716972</v>
      </c>
      <c r="R553" s="19">
        <v>0.4232860362518952</v>
      </c>
      <c r="S553" s="19">
        <v>7.2118877164004752E-2</v>
      </c>
      <c r="T553" s="20">
        <v>12</v>
      </c>
      <c r="U553" s="17">
        <v>2</v>
      </c>
      <c r="V553" s="17">
        <v>21</v>
      </c>
    </row>
    <row r="554" spans="1:22" x14ac:dyDescent="0.2">
      <c r="A554" t="s">
        <v>1980</v>
      </c>
      <c r="B554" t="s">
        <v>1875</v>
      </c>
      <c r="C554" t="s">
        <v>1876</v>
      </c>
      <c r="D554" t="s">
        <v>1970</v>
      </c>
      <c r="E554" s="10" t="s">
        <v>1981</v>
      </c>
      <c r="F554" s="10"/>
      <c r="G554" s="10"/>
      <c r="H554" s="10" t="s">
        <v>1981</v>
      </c>
      <c r="I554" s="14">
        <v>88715.321903009899</v>
      </c>
      <c r="J554" s="19">
        <v>0</v>
      </c>
      <c r="K554" s="19">
        <v>0.502179183306661</v>
      </c>
      <c r="L554" s="19">
        <v>0.497820816693339</v>
      </c>
      <c r="M554" s="20">
        <v>2</v>
      </c>
      <c r="N554" s="19">
        <v>0.15044480362975393</v>
      </c>
      <c r="O554" s="19">
        <v>3.0429594682453587E-4</v>
      </c>
      <c r="P554" s="19">
        <v>0.3514300837300825</v>
      </c>
      <c r="Q554" s="19">
        <v>0.17193476156284371</v>
      </c>
      <c r="R554" s="19">
        <v>0.24430071140438914</v>
      </c>
      <c r="S554" s="19">
        <v>8.1585343726106194E-2</v>
      </c>
      <c r="T554" s="20">
        <v>23</v>
      </c>
      <c r="U554" s="17">
        <v>2</v>
      </c>
      <c r="V554" s="17">
        <v>21</v>
      </c>
    </row>
    <row r="555" spans="1:22" x14ac:dyDescent="0.2">
      <c r="A555" t="s">
        <v>1982</v>
      </c>
      <c r="B555" t="s">
        <v>1875</v>
      </c>
      <c r="C555" t="s">
        <v>1876</v>
      </c>
      <c r="D555" t="s">
        <v>1970</v>
      </c>
      <c r="E555" s="10" t="s">
        <v>1983</v>
      </c>
      <c r="F555" s="10"/>
      <c r="G555" s="10"/>
      <c r="H555" s="10" t="s">
        <v>1983</v>
      </c>
      <c r="I555" s="14">
        <v>106492.08742166311</v>
      </c>
      <c r="J555" s="19">
        <v>0</v>
      </c>
      <c r="K555" s="19">
        <v>0.65383616722624793</v>
      </c>
      <c r="L555" s="19">
        <v>0.34616383277375201</v>
      </c>
      <c r="M555" s="20">
        <v>2</v>
      </c>
      <c r="N555" s="19">
        <v>0.15226082126260829</v>
      </c>
      <c r="O555" s="19">
        <v>0.14610881370582066</v>
      </c>
      <c r="P555" s="19">
        <v>0.35546653225781905</v>
      </c>
      <c r="Q555" s="19">
        <v>0.12486020530121891</v>
      </c>
      <c r="R555" s="19">
        <v>0.19553796103292648</v>
      </c>
      <c r="S555" s="19">
        <v>2.5765666439606615E-2</v>
      </c>
      <c r="T555" s="20">
        <v>23</v>
      </c>
      <c r="U555" s="17">
        <v>2</v>
      </c>
      <c r="V555" s="17">
        <v>21</v>
      </c>
    </row>
    <row r="556" spans="1:22" x14ac:dyDescent="0.2">
      <c r="A556" t="s">
        <v>1984</v>
      </c>
      <c r="B556" t="s">
        <v>1875</v>
      </c>
      <c r="C556" t="s">
        <v>1876</v>
      </c>
      <c r="D556" t="s">
        <v>1970</v>
      </c>
      <c r="E556" s="10" t="s">
        <v>1985</v>
      </c>
      <c r="F556" s="10"/>
      <c r="G556" s="10"/>
      <c r="H556" s="10" t="s">
        <v>1985</v>
      </c>
      <c r="I556" s="14">
        <v>67569.405991689768</v>
      </c>
      <c r="J556" s="19">
        <v>0</v>
      </c>
      <c r="K556" s="19">
        <v>0.83535307372651635</v>
      </c>
      <c r="L556" s="19">
        <v>0.16464692627348371</v>
      </c>
      <c r="M556" s="20">
        <v>2</v>
      </c>
      <c r="N556" s="19">
        <v>0.26282833798762123</v>
      </c>
      <c r="O556" s="19">
        <v>0</v>
      </c>
      <c r="P556" s="19">
        <v>0.57252473573889506</v>
      </c>
      <c r="Q556" s="19">
        <v>5.7385947213964103E-2</v>
      </c>
      <c r="R556" s="19">
        <v>9.2786532554790899E-2</v>
      </c>
      <c r="S556" s="19">
        <v>1.4474446504728702E-2</v>
      </c>
      <c r="T556" s="20">
        <v>21</v>
      </c>
      <c r="U556" s="17">
        <v>2</v>
      </c>
      <c r="V556" s="17">
        <v>21</v>
      </c>
    </row>
    <row r="557" spans="1:22" x14ac:dyDescent="0.2">
      <c r="A557" t="s">
        <v>1986</v>
      </c>
      <c r="B557" t="s">
        <v>1875</v>
      </c>
      <c r="C557" t="s">
        <v>1876</v>
      </c>
      <c r="D557" t="s">
        <v>1987</v>
      </c>
      <c r="E557" s="10" t="s">
        <v>1988</v>
      </c>
      <c r="F557" s="10"/>
      <c r="G557" s="10"/>
      <c r="H557" s="10" t="s">
        <v>1988</v>
      </c>
      <c r="I557" s="14">
        <v>68106.374783853302</v>
      </c>
      <c r="J557" s="19">
        <v>0</v>
      </c>
      <c r="K557" s="19">
        <v>0.55149259719504562</v>
      </c>
      <c r="L557" s="19">
        <v>0.44850740280495427</v>
      </c>
      <c r="M557" s="20">
        <v>2</v>
      </c>
      <c r="N557" s="19">
        <v>0</v>
      </c>
      <c r="O557" s="19">
        <v>0.54246315821118951</v>
      </c>
      <c r="P557" s="19">
        <v>9.029438983856098E-3</v>
      </c>
      <c r="Q557" s="19">
        <v>8.1020607539021947E-2</v>
      </c>
      <c r="R557" s="19">
        <v>0.35442347547716807</v>
      </c>
      <c r="S557" s="19">
        <v>1.3063319788764322E-2</v>
      </c>
      <c r="T557" s="20">
        <v>22</v>
      </c>
      <c r="U557" s="17">
        <v>2</v>
      </c>
      <c r="V557" s="17">
        <v>21</v>
      </c>
    </row>
    <row r="558" spans="1:22" x14ac:dyDescent="0.2">
      <c r="A558" t="s">
        <v>1989</v>
      </c>
      <c r="B558" t="s">
        <v>1875</v>
      </c>
      <c r="C558" t="s">
        <v>1876</v>
      </c>
      <c r="D558" t="s">
        <v>1987</v>
      </c>
      <c r="E558" s="10" t="s">
        <v>1990</v>
      </c>
      <c r="F558" s="10"/>
      <c r="G558" s="10"/>
      <c r="H558" s="10" t="s">
        <v>1990</v>
      </c>
      <c r="I558" s="14">
        <v>79138.786971056368</v>
      </c>
      <c r="J558" s="19">
        <v>0</v>
      </c>
      <c r="K558" s="19">
        <v>0.42051576582229755</v>
      </c>
      <c r="L558" s="19">
        <v>0.57948423417770245</v>
      </c>
      <c r="M558" s="20">
        <v>1</v>
      </c>
      <c r="N558" s="19">
        <v>0</v>
      </c>
      <c r="O558" s="19">
        <v>0.42051576582229755</v>
      </c>
      <c r="P558" s="19">
        <v>0</v>
      </c>
      <c r="Q558" s="19">
        <v>0.12945169191267469</v>
      </c>
      <c r="R558" s="19">
        <v>0.4318948027792463</v>
      </c>
      <c r="S558" s="19">
        <v>1.8137739485781453E-2</v>
      </c>
      <c r="T558" s="20">
        <v>12</v>
      </c>
      <c r="U558" s="17">
        <v>2</v>
      </c>
      <c r="V558" s="17">
        <v>21</v>
      </c>
    </row>
    <row r="559" spans="1:22" x14ac:dyDescent="0.2">
      <c r="A559" t="s">
        <v>1991</v>
      </c>
      <c r="B559" t="s">
        <v>1875</v>
      </c>
      <c r="C559" t="s">
        <v>1876</v>
      </c>
      <c r="D559" t="s">
        <v>1987</v>
      </c>
      <c r="E559" s="10" t="s">
        <v>1992</v>
      </c>
      <c r="F559" s="10"/>
      <c r="G559" s="10"/>
      <c r="H559" s="10" t="s">
        <v>1992</v>
      </c>
      <c r="I559" s="14">
        <v>99513.464445952792</v>
      </c>
      <c r="J559" s="19">
        <v>0</v>
      </c>
      <c r="K559" s="19">
        <v>0.48783596252096595</v>
      </c>
      <c r="L559" s="19">
        <v>0.51216403747903405</v>
      </c>
      <c r="M559" s="20">
        <v>1</v>
      </c>
      <c r="N559" s="19">
        <v>0</v>
      </c>
      <c r="O559" s="19">
        <v>1.6347265934867749E-2</v>
      </c>
      <c r="P559" s="19">
        <v>0.47148869658609821</v>
      </c>
      <c r="Q559" s="19">
        <v>0.11899812346254793</v>
      </c>
      <c r="R559" s="19">
        <v>0.36611113660337596</v>
      </c>
      <c r="S559" s="19">
        <v>2.7054777413110159E-2</v>
      </c>
      <c r="T559" s="20">
        <v>12</v>
      </c>
      <c r="U559" s="17">
        <v>2</v>
      </c>
      <c r="V559" s="17">
        <v>21</v>
      </c>
    </row>
    <row r="560" spans="1:22" x14ac:dyDescent="0.2">
      <c r="A560" t="s">
        <v>1993</v>
      </c>
      <c r="B560" t="s">
        <v>1875</v>
      </c>
      <c r="C560" t="s">
        <v>1876</v>
      </c>
      <c r="D560" t="s">
        <v>1987</v>
      </c>
      <c r="E560" s="10" t="s">
        <v>1994</v>
      </c>
      <c r="F560" s="10"/>
      <c r="G560" s="10"/>
      <c r="H560" s="10" t="s">
        <v>1994</v>
      </c>
      <c r="I560" s="14">
        <v>77143.492178456858</v>
      </c>
      <c r="J560" s="19">
        <v>0</v>
      </c>
      <c r="K560" s="19">
        <v>0.42794459992237138</v>
      </c>
      <c r="L560" s="19">
        <v>0.57205540007762867</v>
      </c>
      <c r="M560" s="20">
        <v>1</v>
      </c>
      <c r="N560" s="19">
        <v>0</v>
      </c>
      <c r="O560" s="19">
        <v>9.0684796469579013E-2</v>
      </c>
      <c r="P560" s="19">
        <v>0.33725980345279233</v>
      </c>
      <c r="Q560" s="19">
        <v>4.4281820823590098E-2</v>
      </c>
      <c r="R560" s="19">
        <v>0.46521720831906976</v>
      </c>
      <c r="S560" s="19">
        <v>6.2556370934968769E-2</v>
      </c>
      <c r="T560" s="20">
        <v>12</v>
      </c>
      <c r="U560" s="17">
        <v>2</v>
      </c>
      <c r="V560" s="17">
        <v>21</v>
      </c>
    </row>
    <row r="561" spans="1:22" x14ac:dyDescent="0.2">
      <c r="A561" t="s">
        <v>1995</v>
      </c>
      <c r="B561" t="s">
        <v>1875</v>
      </c>
      <c r="C561" t="s">
        <v>1876</v>
      </c>
      <c r="D561" t="s">
        <v>1987</v>
      </c>
      <c r="E561" s="10" t="s">
        <v>1996</v>
      </c>
      <c r="F561" s="10"/>
      <c r="G561" s="10"/>
      <c r="H561" s="10" t="s">
        <v>1996</v>
      </c>
      <c r="I561" s="14">
        <v>54626.573853738606</v>
      </c>
      <c r="J561" s="19">
        <v>0</v>
      </c>
      <c r="K561" s="19">
        <v>0.26534697125514789</v>
      </c>
      <c r="L561" s="19">
        <v>0.73465302874485217</v>
      </c>
      <c r="M561" s="20">
        <v>1</v>
      </c>
      <c r="N561" s="19">
        <v>0</v>
      </c>
      <c r="O561" s="19">
        <v>0.15561546811898186</v>
      </c>
      <c r="P561" s="19">
        <v>0.10973150313616599</v>
      </c>
      <c r="Q561" s="19">
        <v>0.20703063519013143</v>
      </c>
      <c r="R561" s="19">
        <v>0.49908091193129822</v>
      </c>
      <c r="S561" s="19">
        <v>2.8541481623422474E-2</v>
      </c>
      <c r="T561" s="20">
        <v>12</v>
      </c>
      <c r="U561" s="17">
        <v>2</v>
      </c>
      <c r="V561" s="17">
        <v>21</v>
      </c>
    </row>
    <row r="562" spans="1:22" x14ac:dyDescent="0.2">
      <c r="A562" t="s">
        <v>1997</v>
      </c>
      <c r="B562" t="s">
        <v>1875</v>
      </c>
      <c r="C562" t="s">
        <v>1876</v>
      </c>
      <c r="D562" t="s">
        <v>1987</v>
      </c>
      <c r="E562" s="10" t="s">
        <v>1998</v>
      </c>
      <c r="F562" s="10"/>
      <c r="G562" s="10"/>
      <c r="H562" s="10" t="s">
        <v>1998</v>
      </c>
      <c r="I562" s="14">
        <v>38297.30652212631</v>
      </c>
      <c r="J562" s="19">
        <v>0</v>
      </c>
      <c r="K562" s="19">
        <v>0.94786288114215078</v>
      </c>
      <c r="L562" s="19">
        <v>5.2137118857849191E-2</v>
      </c>
      <c r="M562" s="20">
        <v>2</v>
      </c>
      <c r="N562" s="19">
        <v>0.74367770098569841</v>
      </c>
      <c r="O562" s="19">
        <v>0</v>
      </c>
      <c r="P562" s="19">
        <v>0.20418518015645234</v>
      </c>
      <c r="Q562" s="19">
        <v>0</v>
      </c>
      <c r="R562" s="19">
        <v>4.6994048860785523E-2</v>
      </c>
      <c r="S562" s="19">
        <v>5.1430699970636731E-3</v>
      </c>
      <c r="T562" s="20">
        <v>23</v>
      </c>
      <c r="U562" s="17">
        <v>2</v>
      </c>
      <c r="V562" s="17">
        <v>21</v>
      </c>
    </row>
    <row r="563" spans="1:22" x14ac:dyDescent="0.2">
      <c r="A563" t="s">
        <v>1999</v>
      </c>
      <c r="B563" t="s">
        <v>1875</v>
      </c>
      <c r="C563" t="s">
        <v>1876</v>
      </c>
      <c r="D563" t="s">
        <v>1987</v>
      </c>
      <c r="E563" s="10" t="s">
        <v>2000</v>
      </c>
      <c r="F563" s="10"/>
      <c r="G563" s="10"/>
      <c r="H563" s="10" t="s">
        <v>2000</v>
      </c>
      <c r="I563" s="14">
        <v>81806.97183832986</v>
      </c>
      <c r="J563" s="19">
        <v>0</v>
      </c>
      <c r="K563" s="19">
        <v>0.58203320801367553</v>
      </c>
      <c r="L563" s="19">
        <v>0.41796679198632442</v>
      </c>
      <c r="M563" s="20">
        <v>2</v>
      </c>
      <c r="N563" s="19">
        <v>0</v>
      </c>
      <c r="O563" s="19">
        <v>0.58203320801367553</v>
      </c>
      <c r="P563" s="19">
        <v>0</v>
      </c>
      <c r="Q563" s="19">
        <v>5.583057672788648E-2</v>
      </c>
      <c r="R563" s="19">
        <v>0.34280656578755314</v>
      </c>
      <c r="S563" s="19">
        <v>1.9329649470884822E-2</v>
      </c>
      <c r="T563" s="20">
        <v>22</v>
      </c>
      <c r="U563" s="17">
        <v>2</v>
      </c>
      <c r="V563" s="17">
        <v>21</v>
      </c>
    </row>
    <row r="564" spans="1:22" x14ac:dyDescent="0.2">
      <c r="A564" t="s">
        <v>2001</v>
      </c>
      <c r="B564" t="s">
        <v>1875</v>
      </c>
      <c r="C564" t="s">
        <v>1876</v>
      </c>
      <c r="D564" t="s">
        <v>1987</v>
      </c>
      <c r="E564" s="10" t="s">
        <v>2002</v>
      </c>
      <c r="F564" s="10"/>
      <c r="G564" s="10"/>
      <c r="H564" s="10" t="s">
        <v>2002</v>
      </c>
      <c r="I564" s="14">
        <v>116658.93275696412</v>
      </c>
      <c r="J564" s="19">
        <v>0</v>
      </c>
      <c r="K564" s="19">
        <v>0.62365368128585708</v>
      </c>
      <c r="L564" s="19">
        <v>0.37634631871414292</v>
      </c>
      <c r="M564" s="20">
        <v>2</v>
      </c>
      <c r="N564" s="19">
        <v>6.759375123393635E-2</v>
      </c>
      <c r="O564" s="19">
        <v>4.46972533003753E-2</v>
      </c>
      <c r="P564" s="19">
        <v>0.51136267675154545</v>
      </c>
      <c r="Q564" s="19">
        <v>0.13113088354449781</v>
      </c>
      <c r="R564" s="19">
        <v>0.20661005904586138</v>
      </c>
      <c r="S564" s="19">
        <v>3.860537612378373E-2</v>
      </c>
      <c r="T564" s="20">
        <v>21</v>
      </c>
      <c r="U564" s="17">
        <v>2</v>
      </c>
      <c r="V564" s="17">
        <v>21</v>
      </c>
    </row>
    <row r="565" spans="1:22" x14ac:dyDescent="0.2">
      <c r="A565" t="s">
        <v>2003</v>
      </c>
      <c r="B565" t="s">
        <v>1875</v>
      </c>
      <c r="C565" t="s">
        <v>1876</v>
      </c>
      <c r="D565" t="s">
        <v>2004</v>
      </c>
      <c r="E565" s="10" t="s">
        <v>2005</v>
      </c>
      <c r="F565" s="10"/>
      <c r="G565" s="10"/>
      <c r="H565" s="10" t="s">
        <v>2005</v>
      </c>
      <c r="I565" s="14">
        <v>190475.04695384228</v>
      </c>
      <c r="J565" s="19">
        <v>0.27856604308627819</v>
      </c>
      <c r="K565" s="19">
        <v>0.6453827239803368</v>
      </c>
      <c r="L565" s="19">
        <v>7.6051232933384977E-2</v>
      </c>
      <c r="M565" s="20">
        <v>2</v>
      </c>
      <c r="N565" s="19">
        <v>4.8182365801110495E-2</v>
      </c>
      <c r="O565" s="19">
        <v>0</v>
      </c>
      <c r="P565" s="19">
        <v>0.59720035817922634</v>
      </c>
      <c r="Q565" s="19">
        <v>0</v>
      </c>
      <c r="R565" s="19">
        <v>7.4243846362591154E-2</v>
      </c>
      <c r="S565" s="19">
        <v>1.8073865707938219E-3</v>
      </c>
      <c r="T565" s="20">
        <v>21</v>
      </c>
      <c r="U565" s="17">
        <v>2</v>
      </c>
      <c r="V565" s="17">
        <v>21</v>
      </c>
    </row>
    <row r="566" spans="1:22" x14ac:dyDescent="0.2">
      <c r="A566" t="s">
        <v>2006</v>
      </c>
      <c r="B566" t="s">
        <v>1875</v>
      </c>
      <c r="C566" t="s">
        <v>1876</v>
      </c>
      <c r="D566" t="s">
        <v>2004</v>
      </c>
      <c r="E566" s="10" t="s">
        <v>2007</v>
      </c>
      <c r="F566" s="10"/>
      <c r="G566" s="10"/>
      <c r="H566" s="10" t="s">
        <v>2007</v>
      </c>
      <c r="I566" s="14">
        <v>129662.83349337173</v>
      </c>
      <c r="J566" s="19">
        <v>4.0621623786929004E-2</v>
      </c>
      <c r="K566" s="19">
        <v>0.87921919302355778</v>
      </c>
      <c r="L566" s="19">
        <v>8.0159183189513233E-2</v>
      </c>
      <c r="M566" s="20">
        <v>2</v>
      </c>
      <c r="N566" s="19">
        <v>6.9457551513635418E-2</v>
      </c>
      <c r="O566" s="19">
        <v>0</v>
      </c>
      <c r="P566" s="19">
        <v>0.80976164150992225</v>
      </c>
      <c r="Q566" s="19">
        <v>0</v>
      </c>
      <c r="R566" s="19">
        <v>7.5554312140890215E-2</v>
      </c>
      <c r="S566" s="19">
        <v>4.6048710486230274E-3</v>
      </c>
      <c r="T566" s="20">
        <v>21</v>
      </c>
      <c r="U566" s="17">
        <v>2</v>
      </c>
      <c r="V566" s="17">
        <v>21</v>
      </c>
    </row>
    <row r="567" spans="1:22" x14ac:dyDescent="0.2">
      <c r="A567" t="s">
        <v>2008</v>
      </c>
      <c r="B567" t="s">
        <v>1875</v>
      </c>
      <c r="C567" t="s">
        <v>1876</v>
      </c>
      <c r="D567" t="s">
        <v>2004</v>
      </c>
      <c r="E567" s="10" t="s">
        <v>2009</v>
      </c>
      <c r="F567" s="10"/>
      <c r="G567" s="10"/>
      <c r="H567" s="10" t="s">
        <v>2009</v>
      </c>
      <c r="I567" s="14">
        <v>139741.0139823244</v>
      </c>
      <c r="J567" s="19">
        <v>0</v>
      </c>
      <c r="K567" s="19">
        <v>0.96914714727177642</v>
      </c>
      <c r="L567" s="19">
        <v>3.0852852728223547E-2</v>
      </c>
      <c r="M567" s="20">
        <v>2</v>
      </c>
      <c r="N567" s="19">
        <v>0.33734680442358234</v>
      </c>
      <c r="O567" s="19">
        <v>0</v>
      </c>
      <c r="P567" s="19">
        <v>0.63180034284819409</v>
      </c>
      <c r="Q567" s="19">
        <v>2.468376584403333E-3</v>
      </c>
      <c r="R567" s="19">
        <v>2.2117584277019525E-2</v>
      </c>
      <c r="S567" s="19">
        <v>6.2668918668006886E-3</v>
      </c>
      <c r="T567" s="20">
        <v>21</v>
      </c>
      <c r="U567" s="17">
        <v>2</v>
      </c>
      <c r="V567" s="17">
        <v>21</v>
      </c>
    </row>
    <row r="568" spans="1:22" x14ac:dyDescent="0.2">
      <c r="A568" t="s">
        <v>2010</v>
      </c>
      <c r="B568" t="s">
        <v>1875</v>
      </c>
      <c r="C568" t="s">
        <v>1876</v>
      </c>
      <c r="D568" t="s">
        <v>2004</v>
      </c>
      <c r="E568" s="10" t="s">
        <v>2011</v>
      </c>
      <c r="F568" s="10"/>
      <c r="G568" s="10"/>
      <c r="H568" s="10" t="s">
        <v>2011</v>
      </c>
      <c r="I568" s="14">
        <v>118149.14621430729</v>
      </c>
      <c r="J568" s="19">
        <v>0.1336489881393417</v>
      </c>
      <c r="K568" s="19">
        <v>0.78463915186343081</v>
      </c>
      <c r="L568" s="19">
        <v>8.1711859997227507E-2</v>
      </c>
      <c r="M568" s="20">
        <v>2</v>
      </c>
      <c r="N568" s="19">
        <v>0.35540023707738588</v>
      </c>
      <c r="O568" s="19">
        <v>5.2986216791551757E-2</v>
      </c>
      <c r="P568" s="19">
        <v>0.37625269799449312</v>
      </c>
      <c r="Q568" s="19">
        <v>2.1792570482828313E-2</v>
      </c>
      <c r="R568" s="19">
        <v>5.3886564913229712E-2</v>
      </c>
      <c r="S568" s="19">
        <v>6.032724601169475E-3</v>
      </c>
      <c r="T568" s="20">
        <v>23</v>
      </c>
      <c r="U568" s="17">
        <v>2</v>
      </c>
      <c r="V568" s="17">
        <v>21</v>
      </c>
    </row>
    <row r="569" spans="1:22" x14ac:dyDescent="0.2">
      <c r="A569" t="s">
        <v>2012</v>
      </c>
      <c r="B569" t="s">
        <v>1875</v>
      </c>
      <c r="C569" t="s">
        <v>1876</v>
      </c>
      <c r="D569" t="s">
        <v>2004</v>
      </c>
      <c r="E569" s="10" t="s">
        <v>2013</v>
      </c>
      <c r="F569" s="10"/>
      <c r="G569" s="10"/>
      <c r="H569" s="10" t="s">
        <v>2013</v>
      </c>
      <c r="I569" s="14">
        <v>188291.74246414378</v>
      </c>
      <c r="J569" s="19">
        <v>0.39751276210258807</v>
      </c>
      <c r="K569" s="19">
        <v>0.56726603618186244</v>
      </c>
      <c r="L569" s="19">
        <v>3.5221201715549426E-2</v>
      </c>
      <c r="M569" s="20">
        <v>2</v>
      </c>
      <c r="N569" s="19">
        <v>0.18218274822904523</v>
      </c>
      <c r="O569" s="19">
        <v>0</v>
      </c>
      <c r="P569" s="19">
        <v>0.38508328795281727</v>
      </c>
      <c r="Q569" s="19">
        <v>0</v>
      </c>
      <c r="R569" s="19">
        <v>3.025588134576453E-2</v>
      </c>
      <c r="S569" s="19">
        <v>4.9653203697848924E-3</v>
      </c>
      <c r="T569" s="20">
        <v>23</v>
      </c>
      <c r="U569" s="17">
        <v>2</v>
      </c>
      <c r="V569" s="17">
        <v>21</v>
      </c>
    </row>
    <row r="570" spans="1:22" x14ac:dyDescent="0.2">
      <c r="A570" t="s">
        <v>2014</v>
      </c>
      <c r="B570" t="s">
        <v>1875</v>
      </c>
      <c r="C570" t="s">
        <v>1876</v>
      </c>
      <c r="D570" t="s">
        <v>2004</v>
      </c>
      <c r="E570" s="10" t="s">
        <v>2015</v>
      </c>
      <c r="F570" s="10"/>
      <c r="G570" s="10"/>
      <c r="H570" s="10" t="s">
        <v>2015</v>
      </c>
      <c r="I570" s="14">
        <v>46925.845827667974</v>
      </c>
      <c r="J570" s="19">
        <v>0</v>
      </c>
      <c r="K570" s="19">
        <v>0.94939727578672595</v>
      </c>
      <c r="L570" s="19">
        <v>5.0602724213274032E-2</v>
      </c>
      <c r="M570" s="20">
        <v>2</v>
      </c>
      <c r="N570" s="19">
        <v>0.14501097337735747</v>
      </c>
      <c r="O570" s="19">
        <v>0</v>
      </c>
      <c r="P570" s="19">
        <v>0.80438630240936848</v>
      </c>
      <c r="Q570" s="19">
        <v>5.3884282247430876E-3</v>
      </c>
      <c r="R570" s="19">
        <v>3.7222028542031479E-2</v>
      </c>
      <c r="S570" s="19">
        <v>7.9922674464994719E-3</v>
      </c>
      <c r="T570" s="20">
        <v>21</v>
      </c>
      <c r="U570" s="17">
        <v>2</v>
      </c>
      <c r="V570" s="17">
        <v>21</v>
      </c>
    </row>
    <row r="571" spans="1:22" x14ac:dyDescent="0.2">
      <c r="A571" t="s">
        <v>2016</v>
      </c>
      <c r="B571" t="s">
        <v>1875</v>
      </c>
      <c r="C571" t="s">
        <v>1876</v>
      </c>
      <c r="D571" t="s">
        <v>2004</v>
      </c>
      <c r="E571" s="10" t="s">
        <v>2017</v>
      </c>
      <c r="F571" s="10"/>
      <c r="G571" s="10"/>
      <c r="H571" s="10" t="s">
        <v>2017</v>
      </c>
      <c r="I571" s="14">
        <v>59097.397071606487</v>
      </c>
      <c r="J571" s="19">
        <v>4.8937615832290851E-2</v>
      </c>
      <c r="K571" s="19">
        <v>0.82585968244376662</v>
      </c>
      <c r="L571" s="19">
        <v>0.12520270172394238</v>
      </c>
      <c r="M571" s="20">
        <v>2</v>
      </c>
      <c r="N571" s="19">
        <v>0.11320765315423235</v>
      </c>
      <c r="O571" s="19">
        <v>4.8093633098022143E-2</v>
      </c>
      <c r="P571" s="19">
        <v>0.66455839619151214</v>
      </c>
      <c r="Q571" s="19">
        <v>8.3436567112919982E-2</v>
      </c>
      <c r="R571" s="19">
        <v>3.8195954321193951E-2</v>
      </c>
      <c r="S571" s="19">
        <v>3.570180289828446E-3</v>
      </c>
      <c r="T571" s="20">
        <v>21</v>
      </c>
      <c r="U571" s="17">
        <v>2</v>
      </c>
      <c r="V571" s="17">
        <v>21</v>
      </c>
    </row>
    <row r="572" spans="1:22" x14ac:dyDescent="0.2">
      <c r="A572" t="s">
        <v>2018</v>
      </c>
      <c r="B572" t="s">
        <v>1875</v>
      </c>
      <c r="C572" t="s">
        <v>1876</v>
      </c>
      <c r="D572" t="s">
        <v>2004</v>
      </c>
      <c r="E572" s="10" t="s">
        <v>2019</v>
      </c>
      <c r="F572" s="10"/>
      <c r="G572" s="10"/>
      <c r="H572" s="10" t="s">
        <v>2019</v>
      </c>
      <c r="I572" s="14">
        <v>95014.384520592168</v>
      </c>
      <c r="J572" s="19">
        <v>3.71781152489001E-2</v>
      </c>
      <c r="K572" s="19">
        <v>0.9204064964188341</v>
      </c>
      <c r="L572" s="19">
        <v>4.2415388332265762E-2</v>
      </c>
      <c r="M572" s="20">
        <v>2</v>
      </c>
      <c r="N572" s="19">
        <v>0.38136010086055128</v>
      </c>
      <c r="O572" s="19">
        <v>0</v>
      </c>
      <c r="P572" s="19">
        <v>0.53904639555828282</v>
      </c>
      <c r="Q572" s="19">
        <v>0</v>
      </c>
      <c r="R572" s="19">
        <v>3.9761784816177058E-2</v>
      </c>
      <c r="S572" s="19">
        <v>2.6536035160887048E-3</v>
      </c>
      <c r="T572" s="20">
        <v>21</v>
      </c>
      <c r="U572" s="17">
        <v>2</v>
      </c>
      <c r="V572" s="17">
        <v>21</v>
      </c>
    </row>
    <row r="573" spans="1:22" x14ac:dyDescent="0.2">
      <c r="A573" t="s">
        <v>2020</v>
      </c>
      <c r="B573" t="s">
        <v>1875</v>
      </c>
      <c r="C573" t="s">
        <v>1876</v>
      </c>
      <c r="D573" t="s">
        <v>2004</v>
      </c>
      <c r="E573" s="10" t="s">
        <v>2021</v>
      </c>
      <c r="F573" s="10"/>
      <c r="G573" s="10"/>
      <c r="H573" s="10" t="s">
        <v>2021</v>
      </c>
      <c r="I573" s="14">
        <v>132180.42176122195</v>
      </c>
      <c r="J573" s="19">
        <v>6.7721056374128799E-2</v>
      </c>
      <c r="K573" s="19">
        <v>0.87824920460232037</v>
      </c>
      <c r="L573" s="19">
        <v>5.4029739023550849E-2</v>
      </c>
      <c r="M573" s="20">
        <v>2</v>
      </c>
      <c r="N573" s="19">
        <v>0.24723971271985443</v>
      </c>
      <c r="O573" s="19">
        <v>0</v>
      </c>
      <c r="P573" s="19">
        <v>0.63100949188246591</v>
      </c>
      <c r="Q573" s="19">
        <v>0</v>
      </c>
      <c r="R573" s="19">
        <v>5.0817509062510854E-2</v>
      </c>
      <c r="S573" s="19">
        <v>3.2122299610399911E-3</v>
      </c>
      <c r="T573" s="20">
        <v>21</v>
      </c>
      <c r="U573" s="17">
        <v>2</v>
      </c>
      <c r="V573" s="17">
        <v>21</v>
      </c>
    </row>
    <row r="574" spans="1:22" x14ac:dyDescent="0.2">
      <c r="A574" t="s">
        <v>2022</v>
      </c>
      <c r="B574" t="s">
        <v>1875</v>
      </c>
      <c r="C574" t="s">
        <v>1876</v>
      </c>
      <c r="D574" t="s">
        <v>2004</v>
      </c>
      <c r="E574" s="10" t="s">
        <v>2023</v>
      </c>
      <c r="F574" s="10"/>
      <c r="G574" s="10"/>
      <c r="H574" s="10" t="s">
        <v>2023</v>
      </c>
      <c r="I574" s="14">
        <v>209149.95863353647</v>
      </c>
      <c r="J574" s="19">
        <v>8.4728299523108522E-2</v>
      </c>
      <c r="K574" s="19">
        <v>0.83854465465216887</v>
      </c>
      <c r="L574" s="19">
        <v>7.6727045824722645E-2</v>
      </c>
      <c r="M574" s="20">
        <v>2</v>
      </c>
      <c r="N574" s="19">
        <v>0.33825270333787194</v>
      </c>
      <c r="O574" s="19">
        <v>0</v>
      </c>
      <c r="P574" s="19">
        <v>0.50029195131429693</v>
      </c>
      <c r="Q574" s="19">
        <v>2.4256075773704928E-2</v>
      </c>
      <c r="R574" s="19">
        <v>4.7958842579805309E-2</v>
      </c>
      <c r="S574" s="19">
        <v>4.512127471212408E-3</v>
      </c>
      <c r="T574" s="20">
        <v>21</v>
      </c>
      <c r="U574" s="17">
        <v>2</v>
      </c>
      <c r="V574" s="17">
        <v>21</v>
      </c>
    </row>
    <row r="575" spans="1:22" x14ac:dyDescent="0.2">
      <c r="A575" t="s">
        <v>2024</v>
      </c>
      <c r="B575" t="s">
        <v>1875</v>
      </c>
      <c r="C575" t="s">
        <v>1876</v>
      </c>
      <c r="D575" t="s">
        <v>2004</v>
      </c>
      <c r="E575" s="10" t="s">
        <v>2025</v>
      </c>
      <c r="F575" s="10"/>
      <c r="G575" s="10"/>
      <c r="H575" s="10" t="s">
        <v>2025</v>
      </c>
      <c r="I575" s="14">
        <v>109539.51429050602</v>
      </c>
      <c r="J575" s="19">
        <v>0.97818417424660187</v>
      </c>
      <c r="K575" s="19">
        <v>1.4566822684120176E-2</v>
      </c>
      <c r="L575" s="19">
        <v>7.2490030692779553E-3</v>
      </c>
      <c r="M575" s="20">
        <v>3</v>
      </c>
      <c r="N575" s="19">
        <v>0</v>
      </c>
      <c r="O575" s="19">
        <v>0</v>
      </c>
      <c r="P575" s="19">
        <v>1.4566822684120176E-2</v>
      </c>
      <c r="Q575" s="19">
        <v>0</v>
      </c>
      <c r="R575" s="19">
        <v>6.9073523298941297E-3</v>
      </c>
      <c r="S575" s="19">
        <v>3.4165073938382628E-4</v>
      </c>
      <c r="T575" s="20">
        <v>30</v>
      </c>
      <c r="U575" s="17">
        <v>2</v>
      </c>
      <c r="V575" s="17">
        <v>21</v>
      </c>
    </row>
    <row r="576" spans="1:22" x14ac:dyDescent="0.2">
      <c r="A576" t="s">
        <v>2026</v>
      </c>
      <c r="B576" t="s">
        <v>1875</v>
      </c>
      <c r="C576" t="s">
        <v>1876</v>
      </c>
      <c r="D576" t="s">
        <v>2027</v>
      </c>
      <c r="E576" s="10" t="s">
        <v>2028</v>
      </c>
      <c r="F576" s="10"/>
      <c r="G576" s="10"/>
      <c r="H576" s="10" t="s">
        <v>2028</v>
      </c>
      <c r="I576" s="14">
        <v>26008.114246300654</v>
      </c>
      <c r="J576" s="19">
        <v>0</v>
      </c>
      <c r="K576" s="19">
        <v>0.18126735429690152</v>
      </c>
      <c r="L576" s="19">
        <v>0.81873264570309845</v>
      </c>
      <c r="M576" s="20">
        <v>1</v>
      </c>
      <c r="N576" s="19">
        <v>0</v>
      </c>
      <c r="O576" s="19">
        <v>0.18126735429690152</v>
      </c>
      <c r="P576" s="19">
        <v>0</v>
      </c>
      <c r="Q576" s="19">
        <v>0.26434751116390343</v>
      </c>
      <c r="R576" s="19">
        <v>0.46593153684324085</v>
      </c>
      <c r="S576" s="19">
        <v>8.8453597695954206E-2</v>
      </c>
      <c r="T576" s="20">
        <v>12</v>
      </c>
      <c r="U576" s="17">
        <v>2</v>
      </c>
      <c r="V576" s="17">
        <v>21</v>
      </c>
    </row>
    <row r="577" spans="1:22" x14ac:dyDescent="0.2">
      <c r="A577" t="s">
        <v>2029</v>
      </c>
      <c r="B577" t="s">
        <v>1875</v>
      </c>
      <c r="C577" t="s">
        <v>1876</v>
      </c>
      <c r="D577" t="s">
        <v>2027</v>
      </c>
      <c r="E577" s="10" t="s">
        <v>2030</v>
      </c>
      <c r="F577" s="10"/>
      <c r="G577" s="10"/>
      <c r="H577" s="10" t="s">
        <v>2030</v>
      </c>
      <c r="I577" s="14">
        <v>20000.2198836077</v>
      </c>
      <c r="J577" s="19">
        <v>0</v>
      </c>
      <c r="K577" s="19">
        <v>0</v>
      </c>
      <c r="L577" s="19">
        <v>1</v>
      </c>
      <c r="M577" s="20">
        <v>1</v>
      </c>
      <c r="N577" s="19">
        <v>0</v>
      </c>
      <c r="O577" s="19">
        <v>0</v>
      </c>
      <c r="P577" s="19">
        <v>0</v>
      </c>
      <c r="Q577" s="19">
        <v>0.36291282044569495</v>
      </c>
      <c r="R577" s="19">
        <v>0.4889368991125605</v>
      </c>
      <c r="S577" s="19">
        <v>0.14815028044174455</v>
      </c>
      <c r="T577" s="20">
        <v>12</v>
      </c>
      <c r="U577" s="17">
        <v>2</v>
      </c>
      <c r="V577" s="17">
        <v>21</v>
      </c>
    </row>
    <row r="578" spans="1:22" x14ac:dyDescent="0.2">
      <c r="A578" t="s">
        <v>2031</v>
      </c>
      <c r="B578" t="s">
        <v>1875</v>
      </c>
      <c r="C578" t="s">
        <v>1876</v>
      </c>
      <c r="D578" t="s">
        <v>2027</v>
      </c>
      <c r="E578" s="10" t="s">
        <v>2032</v>
      </c>
      <c r="F578" s="10"/>
      <c r="G578" s="10"/>
      <c r="H578" s="10" t="s">
        <v>2032</v>
      </c>
      <c r="I578" s="14">
        <v>5364.8633908303455</v>
      </c>
      <c r="J578" s="19">
        <v>0</v>
      </c>
      <c r="K578" s="19">
        <v>0</v>
      </c>
      <c r="L578" s="19">
        <v>1</v>
      </c>
      <c r="M578" s="20">
        <v>1</v>
      </c>
      <c r="N578" s="19">
        <v>0</v>
      </c>
      <c r="O578" s="19">
        <v>0</v>
      </c>
      <c r="P578" s="19">
        <v>0</v>
      </c>
      <c r="Q578" s="19">
        <v>0.46094592180387201</v>
      </c>
      <c r="R578" s="19">
        <v>0.38868540632218102</v>
      </c>
      <c r="S578" s="19">
        <v>0.15036867187394698</v>
      </c>
      <c r="T578" s="20">
        <v>13</v>
      </c>
      <c r="U578" s="17">
        <v>2</v>
      </c>
      <c r="V578" s="17">
        <v>21</v>
      </c>
    </row>
    <row r="579" spans="1:22" x14ac:dyDescent="0.2">
      <c r="A579" t="s">
        <v>2033</v>
      </c>
      <c r="B579" t="s">
        <v>1875</v>
      </c>
      <c r="C579" t="s">
        <v>1876</v>
      </c>
      <c r="D579" t="s">
        <v>2027</v>
      </c>
      <c r="E579" s="10" t="s">
        <v>2034</v>
      </c>
      <c r="F579" s="10"/>
      <c r="G579" s="10"/>
      <c r="H579" s="10" t="s">
        <v>2034</v>
      </c>
      <c r="I579" s="14">
        <v>6628.4106764537282</v>
      </c>
      <c r="J579" s="19">
        <v>0</v>
      </c>
      <c r="K579" s="19">
        <v>0</v>
      </c>
      <c r="L579" s="19">
        <v>1</v>
      </c>
      <c r="M579" s="20">
        <v>1</v>
      </c>
      <c r="N579" s="19">
        <v>0</v>
      </c>
      <c r="O579" s="19">
        <v>0</v>
      </c>
      <c r="P579" s="19">
        <v>0</v>
      </c>
      <c r="Q579" s="19">
        <v>0.20027694075739433</v>
      </c>
      <c r="R579" s="19">
        <v>0.66166202422269282</v>
      </c>
      <c r="S579" s="19">
        <v>0.13806103501991285</v>
      </c>
      <c r="T579" s="20">
        <v>12</v>
      </c>
      <c r="U579" s="17">
        <v>2</v>
      </c>
      <c r="V579" s="17">
        <v>21</v>
      </c>
    </row>
    <row r="580" spans="1:22" x14ac:dyDescent="0.2">
      <c r="A580" t="s">
        <v>2035</v>
      </c>
      <c r="B580" t="s">
        <v>1875</v>
      </c>
      <c r="C580" t="s">
        <v>1876</v>
      </c>
      <c r="D580" t="s">
        <v>2027</v>
      </c>
      <c r="E580" s="10" t="s">
        <v>2036</v>
      </c>
      <c r="F580" s="10"/>
      <c r="G580" s="10"/>
      <c r="H580" s="10" t="s">
        <v>2036</v>
      </c>
      <c r="I580" s="14">
        <v>15308.403919000877</v>
      </c>
      <c r="J580" s="19">
        <v>0</v>
      </c>
      <c r="K580" s="19">
        <v>0.47066926593172498</v>
      </c>
      <c r="L580" s="19">
        <v>0.52933073406827502</v>
      </c>
      <c r="M580" s="20">
        <v>1</v>
      </c>
      <c r="N580" s="19">
        <v>0</v>
      </c>
      <c r="O580" s="19">
        <v>0.40942263852669908</v>
      </c>
      <c r="P580" s="19">
        <v>6.12466274050259E-2</v>
      </c>
      <c r="Q580" s="19">
        <v>0.23976061495844281</v>
      </c>
      <c r="R580" s="19">
        <v>0.21334083114642327</v>
      </c>
      <c r="S580" s="19">
        <v>7.622928796340897E-2</v>
      </c>
      <c r="T580" s="20">
        <v>13</v>
      </c>
      <c r="U580" s="17">
        <v>2</v>
      </c>
      <c r="V580" s="17">
        <v>21</v>
      </c>
    </row>
    <row r="581" spans="1:22" x14ac:dyDescent="0.2">
      <c r="A581" t="s">
        <v>2037</v>
      </c>
      <c r="B581" t="s">
        <v>1875</v>
      </c>
      <c r="C581" t="s">
        <v>1876</v>
      </c>
      <c r="D581" t="s">
        <v>2027</v>
      </c>
      <c r="E581" s="10" t="s">
        <v>2038</v>
      </c>
      <c r="F581" s="10"/>
      <c r="G581" s="10"/>
      <c r="H581" s="10" t="s">
        <v>2038</v>
      </c>
      <c r="I581" s="14">
        <v>20566.634531149641</v>
      </c>
      <c r="J581" s="19">
        <v>0</v>
      </c>
      <c r="K581" s="19">
        <v>0.90220556716335532</v>
      </c>
      <c r="L581" s="19">
        <v>9.7794432836644671E-2</v>
      </c>
      <c r="M581" s="20">
        <v>2</v>
      </c>
      <c r="N581" s="19">
        <v>0.775018659303914</v>
      </c>
      <c r="O581" s="19">
        <v>0</v>
      </c>
      <c r="P581" s="19">
        <v>0.12718690785944137</v>
      </c>
      <c r="Q581" s="19">
        <v>0</v>
      </c>
      <c r="R581" s="19">
        <v>7.4120365323745038E-2</v>
      </c>
      <c r="S581" s="19">
        <v>2.3674067512899629E-2</v>
      </c>
      <c r="T581" s="20">
        <v>23</v>
      </c>
      <c r="U581" s="17">
        <v>2</v>
      </c>
      <c r="V581" s="17">
        <v>21</v>
      </c>
    </row>
    <row r="582" spans="1:22" x14ac:dyDescent="0.2">
      <c r="A582" t="s">
        <v>2039</v>
      </c>
      <c r="B582" t="s">
        <v>1875</v>
      </c>
      <c r="C582" t="s">
        <v>1876</v>
      </c>
      <c r="D582" t="s">
        <v>2027</v>
      </c>
      <c r="E582" s="10" t="s">
        <v>2040</v>
      </c>
      <c r="F582" s="10"/>
      <c r="G582" s="10"/>
      <c r="H582" s="10" t="s">
        <v>2040</v>
      </c>
      <c r="I582" s="14">
        <v>39521.072330119554</v>
      </c>
      <c r="J582" s="19">
        <v>0</v>
      </c>
      <c r="K582" s="19">
        <v>0.42763247433809903</v>
      </c>
      <c r="L582" s="19">
        <v>0.57236752566190097</v>
      </c>
      <c r="M582" s="20">
        <v>1</v>
      </c>
      <c r="N582" s="19">
        <v>0.19445151774536951</v>
      </c>
      <c r="O582" s="19">
        <v>0.1426331969372599</v>
      </c>
      <c r="P582" s="19">
        <v>9.0547759655469642E-2</v>
      </c>
      <c r="Q582" s="19">
        <v>0.11288239322666797</v>
      </c>
      <c r="R582" s="19">
        <v>0.3341404724949073</v>
      </c>
      <c r="S582" s="19">
        <v>0.12534465994032568</v>
      </c>
      <c r="T582" s="20">
        <v>12</v>
      </c>
      <c r="U582" s="17">
        <v>2</v>
      </c>
      <c r="V582" s="17">
        <v>21</v>
      </c>
    </row>
    <row r="583" spans="1:22" x14ac:dyDescent="0.2">
      <c r="A583" t="s">
        <v>2041</v>
      </c>
      <c r="B583" t="s">
        <v>1875</v>
      </c>
      <c r="C583" t="s">
        <v>1876</v>
      </c>
      <c r="D583" t="s">
        <v>2027</v>
      </c>
      <c r="E583" s="10" t="s">
        <v>2042</v>
      </c>
      <c r="F583" s="10"/>
      <c r="G583" s="10"/>
      <c r="H583" s="10" t="s">
        <v>2042</v>
      </c>
      <c r="I583" s="14">
        <v>3052.6963640497997</v>
      </c>
      <c r="J583" s="19">
        <v>0</v>
      </c>
      <c r="K583" s="19">
        <v>0</v>
      </c>
      <c r="L583" s="19">
        <v>1</v>
      </c>
      <c r="M583" s="20">
        <v>1</v>
      </c>
      <c r="N583" s="19">
        <v>0</v>
      </c>
      <c r="O583" s="19">
        <v>0</v>
      </c>
      <c r="P583" s="19">
        <v>0</v>
      </c>
      <c r="Q583" s="19">
        <v>0</v>
      </c>
      <c r="R583" s="19">
        <v>0.71952279024588672</v>
      </c>
      <c r="S583" s="19">
        <v>0.28047720975411333</v>
      </c>
      <c r="T583" s="20">
        <v>12</v>
      </c>
      <c r="U583" s="17">
        <v>2</v>
      </c>
      <c r="V583" s="17">
        <v>21</v>
      </c>
    </row>
    <row r="584" spans="1:22" x14ac:dyDescent="0.2">
      <c r="A584" t="s">
        <v>2043</v>
      </c>
      <c r="B584" t="s">
        <v>1875</v>
      </c>
      <c r="C584" t="s">
        <v>1876</v>
      </c>
      <c r="D584" t="s">
        <v>2044</v>
      </c>
      <c r="E584" s="10" t="s">
        <v>2045</v>
      </c>
      <c r="F584" s="10"/>
      <c r="G584" s="10"/>
      <c r="H584" s="10" t="s">
        <v>2045</v>
      </c>
      <c r="I584" s="14">
        <v>42303.567933356506</v>
      </c>
      <c r="J584" s="19">
        <v>0</v>
      </c>
      <c r="K584" s="19">
        <v>0.78789934627545577</v>
      </c>
      <c r="L584" s="19">
        <v>0.21210065372454431</v>
      </c>
      <c r="M584" s="20">
        <v>2</v>
      </c>
      <c r="N584" s="19">
        <v>0</v>
      </c>
      <c r="O584" s="19">
        <v>0.293279386583986</v>
      </c>
      <c r="P584" s="19">
        <v>0.49461995969146971</v>
      </c>
      <c r="Q584" s="19">
        <v>0</v>
      </c>
      <c r="R584" s="19">
        <v>0.19266599130278828</v>
      </c>
      <c r="S584" s="19">
        <v>1.943466242175599E-2</v>
      </c>
      <c r="T584" s="20">
        <v>22</v>
      </c>
      <c r="U584" s="17">
        <v>2</v>
      </c>
      <c r="V584" s="17">
        <v>21</v>
      </c>
    </row>
    <row r="585" spans="1:22" x14ac:dyDescent="0.2">
      <c r="A585" t="s">
        <v>2046</v>
      </c>
      <c r="B585" t="s">
        <v>1875</v>
      </c>
      <c r="C585" t="s">
        <v>1876</v>
      </c>
      <c r="D585" t="s">
        <v>2047</v>
      </c>
      <c r="E585" s="10" t="s">
        <v>2048</v>
      </c>
      <c r="F585" s="10"/>
      <c r="G585" s="10"/>
      <c r="H585" s="10" t="s">
        <v>2048</v>
      </c>
      <c r="I585" s="14">
        <v>54259.681381480768</v>
      </c>
      <c r="J585" s="19">
        <v>0</v>
      </c>
      <c r="K585" s="19">
        <v>0.60589679382951367</v>
      </c>
      <c r="L585" s="19">
        <v>0.39410320617048628</v>
      </c>
      <c r="M585" s="20">
        <v>2</v>
      </c>
      <c r="N585" s="19">
        <v>0.20965083011526583</v>
      </c>
      <c r="O585" s="19">
        <v>0</v>
      </c>
      <c r="P585" s="19">
        <v>0.39624596371424781</v>
      </c>
      <c r="Q585" s="19">
        <v>0.17237700730003086</v>
      </c>
      <c r="R585" s="19">
        <v>0.15449553209568601</v>
      </c>
      <c r="S585" s="19">
        <v>6.7230666774769451E-2</v>
      </c>
      <c r="T585" s="20">
        <v>23</v>
      </c>
      <c r="U585" s="17">
        <v>2</v>
      </c>
      <c r="V585" s="17">
        <v>21</v>
      </c>
    </row>
    <row r="586" spans="1:22" x14ac:dyDescent="0.2">
      <c r="A586" t="s">
        <v>2049</v>
      </c>
      <c r="B586" t="s">
        <v>1875</v>
      </c>
      <c r="C586" t="s">
        <v>1876</v>
      </c>
      <c r="D586" t="s">
        <v>2047</v>
      </c>
      <c r="E586" s="10" t="s">
        <v>2050</v>
      </c>
      <c r="F586" s="10"/>
      <c r="G586" s="10"/>
      <c r="H586" s="10" t="s">
        <v>2050</v>
      </c>
      <c r="I586" s="14">
        <v>96747.878927905113</v>
      </c>
      <c r="J586" s="19">
        <v>0</v>
      </c>
      <c r="K586" s="19">
        <v>0.44933597421419924</v>
      </c>
      <c r="L586" s="19">
        <v>0.55066402578580076</v>
      </c>
      <c r="M586" s="20">
        <v>1</v>
      </c>
      <c r="N586" s="19">
        <v>0.19646298987119679</v>
      </c>
      <c r="O586" s="19">
        <v>0</v>
      </c>
      <c r="P586" s="19">
        <v>0.25287298434300237</v>
      </c>
      <c r="Q586" s="19">
        <v>0.26046916291529809</v>
      </c>
      <c r="R586" s="19">
        <v>0.24134638120587493</v>
      </c>
      <c r="S586" s="19">
        <v>4.8848481664627776E-2</v>
      </c>
      <c r="T586" s="20">
        <v>13</v>
      </c>
      <c r="U586" s="17">
        <v>2</v>
      </c>
      <c r="V586" s="17">
        <v>21</v>
      </c>
    </row>
    <row r="587" spans="1:22" x14ac:dyDescent="0.2">
      <c r="A587" t="s">
        <v>2051</v>
      </c>
      <c r="B587" t="s">
        <v>1875</v>
      </c>
      <c r="C587" t="s">
        <v>1876</v>
      </c>
      <c r="D587" t="s">
        <v>2047</v>
      </c>
      <c r="E587" s="10" t="s">
        <v>2052</v>
      </c>
      <c r="F587" s="10"/>
      <c r="G587" s="10"/>
      <c r="H587" s="10" t="s">
        <v>2052</v>
      </c>
      <c r="I587" s="14">
        <v>53761.539304176338</v>
      </c>
      <c r="J587" s="19">
        <v>0</v>
      </c>
      <c r="K587" s="19">
        <v>0.67674408249835349</v>
      </c>
      <c r="L587" s="19">
        <v>0.32325591750164667</v>
      </c>
      <c r="M587" s="20">
        <v>2</v>
      </c>
      <c r="N587" s="19">
        <v>0</v>
      </c>
      <c r="O587" s="19">
        <v>0</v>
      </c>
      <c r="P587" s="19">
        <v>0.67674408249835349</v>
      </c>
      <c r="Q587" s="19">
        <v>1.9231725728431199E-2</v>
      </c>
      <c r="R587" s="19">
        <v>0.20971631464663346</v>
      </c>
      <c r="S587" s="19">
        <v>9.4307877126582021E-2</v>
      </c>
      <c r="T587" s="20">
        <v>21</v>
      </c>
      <c r="U587" s="17">
        <v>2</v>
      </c>
      <c r="V587" s="17">
        <v>21</v>
      </c>
    </row>
    <row r="588" spans="1:22" x14ac:dyDescent="0.2">
      <c r="A588" t="s">
        <v>2053</v>
      </c>
      <c r="B588" t="s">
        <v>1875</v>
      </c>
      <c r="C588" t="s">
        <v>1876</v>
      </c>
      <c r="D588" t="s">
        <v>2047</v>
      </c>
      <c r="E588" s="10" t="s">
        <v>2054</v>
      </c>
      <c r="F588" s="10"/>
      <c r="G588" s="10"/>
      <c r="H588" s="10" t="s">
        <v>2054</v>
      </c>
      <c r="I588" s="14">
        <v>70450.572449158877</v>
      </c>
      <c r="J588" s="19">
        <v>0</v>
      </c>
      <c r="K588" s="19">
        <v>0.28180665725611076</v>
      </c>
      <c r="L588" s="19">
        <v>0.71819334274388924</v>
      </c>
      <c r="M588" s="20">
        <v>1</v>
      </c>
      <c r="N588" s="19">
        <v>7.1387817995889752E-2</v>
      </c>
      <c r="O588" s="19">
        <v>0</v>
      </c>
      <c r="P588" s="19">
        <v>0.21041883926022098</v>
      </c>
      <c r="Q588" s="19">
        <v>0.18989401042711335</v>
      </c>
      <c r="R588" s="19">
        <v>0.40562159627590605</v>
      </c>
      <c r="S588" s="19">
        <v>0.12267773604086987</v>
      </c>
      <c r="T588" s="20">
        <v>12</v>
      </c>
      <c r="U588" s="17">
        <v>2</v>
      </c>
      <c r="V588" s="17">
        <v>21</v>
      </c>
    </row>
    <row r="589" spans="1:22" x14ac:dyDescent="0.2">
      <c r="A589" t="s">
        <v>2055</v>
      </c>
      <c r="B589" t="s">
        <v>1875</v>
      </c>
      <c r="C589" t="s">
        <v>1876</v>
      </c>
      <c r="D589" t="s">
        <v>2047</v>
      </c>
      <c r="E589" s="10" t="s">
        <v>2056</v>
      </c>
      <c r="F589" s="10"/>
      <c r="G589" s="10"/>
      <c r="H589" s="10" t="s">
        <v>2056</v>
      </c>
      <c r="I589" s="14">
        <v>107129.72750190925</v>
      </c>
      <c r="J589" s="19">
        <v>0</v>
      </c>
      <c r="K589" s="19">
        <v>0.2937642177905006</v>
      </c>
      <c r="L589" s="19">
        <v>0.70623578220949956</v>
      </c>
      <c r="M589" s="20">
        <v>1</v>
      </c>
      <c r="N589" s="19">
        <v>9.4262598081296306E-2</v>
      </c>
      <c r="O589" s="19">
        <v>8.3267205773053604E-2</v>
      </c>
      <c r="P589" s="19">
        <v>0.11623441393615065</v>
      </c>
      <c r="Q589" s="19">
        <v>0.3177438025073418</v>
      </c>
      <c r="R589" s="19">
        <v>0.30538271115676852</v>
      </c>
      <c r="S589" s="19">
        <v>8.3109268545389123E-2</v>
      </c>
      <c r="T589" s="20">
        <v>13</v>
      </c>
      <c r="U589" s="17">
        <v>2</v>
      </c>
      <c r="V589" s="17">
        <v>21</v>
      </c>
    </row>
    <row r="590" spans="1:22" x14ac:dyDescent="0.2">
      <c r="A590" t="s">
        <v>2057</v>
      </c>
      <c r="B590" t="s">
        <v>1875</v>
      </c>
      <c r="C590" t="s">
        <v>1876</v>
      </c>
      <c r="D590" t="s">
        <v>2058</v>
      </c>
      <c r="E590" s="10" t="s">
        <v>2059</v>
      </c>
      <c r="F590" s="10"/>
      <c r="G590" s="10"/>
      <c r="H590" s="10" t="s">
        <v>2059</v>
      </c>
      <c r="I590" s="14">
        <v>90736.337460447103</v>
      </c>
      <c r="J590" s="19">
        <v>0</v>
      </c>
      <c r="K590" s="19">
        <v>0.77398721661588621</v>
      </c>
      <c r="L590" s="19">
        <v>0.22601278338411374</v>
      </c>
      <c r="M590" s="20">
        <v>2</v>
      </c>
      <c r="N590" s="19">
        <v>0.56413483409575937</v>
      </c>
      <c r="O590" s="19">
        <v>0</v>
      </c>
      <c r="P590" s="19">
        <v>0.20985238252012695</v>
      </c>
      <c r="Q590" s="19">
        <v>7.289200789353821E-2</v>
      </c>
      <c r="R590" s="19">
        <v>0.1262165649007978</v>
      </c>
      <c r="S590" s="19">
        <v>2.6904210589777742E-2</v>
      </c>
      <c r="T590" s="20">
        <v>23</v>
      </c>
      <c r="U590" s="17">
        <v>2</v>
      </c>
      <c r="V590" s="17">
        <v>21</v>
      </c>
    </row>
    <row r="591" spans="1:22" x14ac:dyDescent="0.2">
      <c r="A591" t="s">
        <v>2060</v>
      </c>
      <c r="B591" t="s">
        <v>1875</v>
      </c>
      <c r="C591" t="s">
        <v>1876</v>
      </c>
      <c r="D591" t="s">
        <v>2058</v>
      </c>
      <c r="E591" s="10" t="s">
        <v>2061</v>
      </c>
      <c r="F591" s="10"/>
      <c r="G591" s="10"/>
      <c r="H591" s="10" t="s">
        <v>2061</v>
      </c>
      <c r="I591" s="14">
        <v>191204.78270133887</v>
      </c>
      <c r="J591" s="19">
        <v>0</v>
      </c>
      <c r="K591" s="19">
        <v>0.79529068365653388</v>
      </c>
      <c r="L591" s="19">
        <v>0.20470931634346617</v>
      </c>
      <c r="M591" s="20">
        <v>2</v>
      </c>
      <c r="N591" s="19">
        <v>0.33483542539893563</v>
      </c>
      <c r="O591" s="19">
        <v>0.27943962708577286</v>
      </c>
      <c r="P591" s="19">
        <v>0.18101563117182534</v>
      </c>
      <c r="Q591" s="19">
        <v>6.7930504317259041E-2</v>
      </c>
      <c r="R591" s="19">
        <v>0.12394223596945354</v>
      </c>
      <c r="S591" s="19">
        <v>1.2836576056753545E-2</v>
      </c>
      <c r="T591" s="20">
        <v>23</v>
      </c>
      <c r="U591" s="17">
        <v>2</v>
      </c>
      <c r="V591" s="17">
        <v>21</v>
      </c>
    </row>
    <row r="592" spans="1:22" x14ac:dyDescent="0.2">
      <c r="A592" t="s">
        <v>2062</v>
      </c>
      <c r="B592" t="s">
        <v>1875</v>
      </c>
      <c r="C592" t="s">
        <v>1876</v>
      </c>
      <c r="D592" t="s">
        <v>2063</v>
      </c>
      <c r="E592" s="10" t="s">
        <v>2064</v>
      </c>
      <c r="F592" s="10"/>
      <c r="G592" s="10"/>
      <c r="H592" s="10" t="s">
        <v>2064</v>
      </c>
      <c r="I592" s="14">
        <v>44147.924765559845</v>
      </c>
      <c r="J592" s="19">
        <v>0</v>
      </c>
      <c r="K592" s="19">
        <v>0.43633437332450159</v>
      </c>
      <c r="L592" s="19">
        <v>0.56366562667549835</v>
      </c>
      <c r="M592" s="20">
        <v>1</v>
      </c>
      <c r="N592" s="19">
        <v>3.2717952922647099E-2</v>
      </c>
      <c r="O592" s="19">
        <v>0.40361642040185447</v>
      </c>
      <c r="P592" s="19">
        <v>0</v>
      </c>
      <c r="Q592" s="19">
        <v>0.23813152118655159</v>
      </c>
      <c r="R592" s="19">
        <v>0.26696243573689576</v>
      </c>
      <c r="S592" s="19">
        <v>5.857166975205106E-2</v>
      </c>
      <c r="T592" s="20">
        <v>12</v>
      </c>
      <c r="U592" s="17">
        <v>2</v>
      </c>
      <c r="V592" s="17">
        <v>21</v>
      </c>
    </row>
    <row r="593" spans="1:22" x14ac:dyDescent="0.2">
      <c r="A593" t="s">
        <v>2065</v>
      </c>
      <c r="B593" t="s">
        <v>1875</v>
      </c>
      <c r="C593" t="s">
        <v>1876</v>
      </c>
      <c r="D593" t="s">
        <v>2063</v>
      </c>
      <c r="E593" s="10" t="s">
        <v>2066</v>
      </c>
      <c r="F593" s="10"/>
      <c r="G593" s="10"/>
      <c r="H593" s="10" t="s">
        <v>2066</v>
      </c>
      <c r="I593" s="14">
        <v>25645.963856311515</v>
      </c>
      <c r="J593" s="19">
        <v>0</v>
      </c>
      <c r="K593" s="19">
        <v>0.35222364597851502</v>
      </c>
      <c r="L593" s="19">
        <v>0.64777635402148503</v>
      </c>
      <c r="M593" s="20">
        <v>1</v>
      </c>
      <c r="N593" s="19">
        <v>0</v>
      </c>
      <c r="O593" s="19">
        <v>0.35222364597851502</v>
      </c>
      <c r="P593" s="19">
        <v>0</v>
      </c>
      <c r="Q593" s="19">
        <v>0.25488410847973231</v>
      </c>
      <c r="R593" s="19">
        <v>0.29256468241692213</v>
      </c>
      <c r="S593" s="19">
        <v>0.10032756312483056</v>
      </c>
      <c r="T593" s="20">
        <v>12</v>
      </c>
      <c r="U593" s="17">
        <v>2</v>
      </c>
      <c r="V593" s="17">
        <v>21</v>
      </c>
    </row>
    <row r="594" spans="1:22" x14ac:dyDescent="0.2">
      <c r="A594" t="s">
        <v>2067</v>
      </c>
      <c r="B594" t="s">
        <v>1875</v>
      </c>
      <c r="C594" t="s">
        <v>1876</v>
      </c>
      <c r="D594" t="s">
        <v>2063</v>
      </c>
      <c r="E594" s="10" t="s">
        <v>2068</v>
      </c>
      <c r="F594" s="10"/>
      <c r="G594" s="10"/>
      <c r="H594" s="10" t="s">
        <v>2068</v>
      </c>
      <c r="I594" s="14">
        <v>6742.6332890875638</v>
      </c>
      <c r="J594" s="19">
        <v>0</v>
      </c>
      <c r="K594" s="19">
        <v>0</v>
      </c>
      <c r="L594" s="19">
        <v>1</v>
      </c>
      <c r="M594" s="20">
        <v>1</v>
      </c>
      <c r="N594" s="19">
        <v>0</v>
      </c>
      <c r="O594" s="19">
        <v>0</v>
      </c>
      <c r="P594" s="19">
        <v>0</v>
      </c>
      <c r="Q594" s="19">
        <v>0.31182285503379392</v>
      </c>
      <c r="R594" s="19">
        <v>0.41861514765939573</v>
      </c>
      <c r="S594" s="19">
        <v>0.26956199730681035</v>
      </c>
      <c r="T594" s="20">
        <v>12</v>
      </c>
      <c r="U594" s="17">
        <v>2</v>
      </c>
      <c r="V594" s="17">
        <v>21</v>
      </c>
    </row>
    <row r="595" spans="1:22" x14ac:dyDescent="0.2">
      <c r="A595" t="s">
        <v>2069</v>
      </c>
      <c r="B595" t="s">
        <v>1875</v>
      </c>
      <c r="C595" t="s">
        <v>1876</v>
      </c>
      <c r="D595" t="s">
        <v>2063</v>
      </c>
      <c r="E595" s="10" t="s">
        <v>2070</v>
      </c>
      <c r="F595" s="10"/>
      <c r="G595" s="10"/>
      <c r="H595" s="10" t="s">
        <v>2070</v>
      </c>
      <c r="I595" s="14">
        <v>22513.843797652982</v>
      </c>
      <c r="J595" s="19">
        <v>0</v>
      </c>
      <c r="K595" s="19">
        <v>0.41884330620034083</v>
      </c>
      <c r="L595" s="19">
        <v>0.58115669379965917</v>
      </c>
      <c r="M595" s="20">
        <v>1</v>
      </c>
      <c r="N595" s="19">
        <v>0.16683155497792967</v>
      </c>
      <c r="O595" s="19">
        <v>0.23298613431223061</v>
      </c>
      <c r="P595" s="19">
        <v>1.9025616910180555E-2</v>
      </c>
      <c r="Q595" s="19">
        <v>6.8023151504154541E-2</v>
      </c>
      <c r="R595" s="19">
        <v>0.39987850260588886</v>
      </c>
      <c r="S595" s="19">
        <v>0.11325503968961577</v>
      </c>
      <c r="T595" s="20">
        <v>12</v>
      </c>
      <c r="U595" s="17">
        <v>2</v>
      </c>
      <c r="V595" s="17">
        <v>21</v>
      </c>
    </row>
    <row r="596" spans="1:22" x14ac:dyDescent="0.2">
      <c r="A596" t="s">
        <v>2071</v>
      </c>
      <c r="B596" t="s">
        <v>1875</v>
      </c>
      <c r="C596" t="s">
        <v>1876</v>
      </c>
      <c r="D596" t="s">
        <v>2063</v>
      </c>
      <c r="E596" s="10" t="s">
        <v>2072</v>
      </c>
      <c r="F596" s="10"/>
      <c r="G596" s="10"/>
      <c r="H596" s="10" t="s">
        <v>2072</v>
      </c>
      <c r="I596" s="14">
        <v>20868.782943103462</v>
      </c>
      <c r="J596" s="19">
        <v>0</v>
      </c>
      <c r="K596" s="19">
        <v>0.55822962668903375</v>
      </c>
      <c r="L596" s="19">
        <v>0.4417703733109663</v>
      </c>
      <c r="M596" s="20">
        <v>2</v>
      </c>
      <c r="N596" s="19">
        <v>0.3566655780581981</v>
      </c>
      <c r="O596" s="19">
        <v>0</v>
      </c>
      <c r="P596" s="19">
        <v>0.20156404863083571</v>
      </c>
      <c r="Q596" s="19">
        <v>0.15967172109971509</v>
      </c>
      <c r="R596" s="19">
        <v>0.22326335861604404</v>
      </c>
      <c r="S596" s="19">
        <v>5.8835293595207082E-2</v>
      </c>
      <c r="T596" s="20">
        <v>23</v>
      </c>
      <c r="U596" s="17">
        <v>2</v>
      </c>
      <c r="V596" s="17">
        <v>21</v>
      </c>
    </row>
    <row r="597" spans="1:22" x14ac:dyDescent="0.2">
      <c r="A597" t="s">
        <v>2073</v>
      </c>
      <c r="B597" t="s">
        <v>1875</v>
      </c>
      <c r="C597" t="s">
        <v>1876</v>
      </c>
      <c r="D597" t="s">
        <v>2074</v>
      </c>
      <c r="E597" s="10" t="s">
        <v>2075</v>
      </c>
      <c r="F597" s="10"/>
      <c r="G597" s="10"/>
      <c r="H597" s="10" t="s">
        <v>2075</v>
      </c>
      <c r="I597" s="14">
        <v>599232.61655633245</v>
      </c>
      <c r="J597" s="19">
        <v>0.46612285438922213</v>
      </c>
      <c r="K597" s="19">
        <v>0.4067230282178167</v>
      </c>
      <c r="L597" s="19">
        <v>0.12715411739296117</v>
      </c>
      <c r="M597" s="20">
        <v>2</v>
      </c>
      <c r="N597" s="19">
        <v>0.12793159931517198</v>
      </c>
      <c r="O597" s="19">
        <v>4.1842282721032742E-2</v>
      </c>
      <c r="P597" s="19">
        <v>0.23694914618161195</v>
      </c>
      <c r="Q597" s="19">
        <v>6.2923981818059624E-2</v>
      </c>
      <c r="R597" s="19">
        <v>5.5941180869442886E-2</v>
      </c>
      <c r="S597" s="19">
        <v>8.2889547054586579E-3</v>
      </c>
      <c r="T597" s="20">
        <v>23</v>
      </c>
      <c r="U597" s="17">
        <v>2</v>
      </c>
      <c r="V597" s="17">
        <v>21</v>
      </c>
    </row>
    <row r="598" spans="1:22" x14ac:dyDescent="0.2">
      <c r="A598" t="s">
        <v>2076</v>
      </c>
      <c r="B598" t="s">
        <v>1875</v>
      </c>
      <c r="C598" t="s">
        <v>1876</v>
      </c>
      <c r="D598" t="s">
        <v>2074</v>
      </c>
      <c r="E598" s="10" t="s">
        <v>2077</v>
      </c>
      <c r="F598" s="10"/>
      <c r="G598" s="10"/>
      <c r="H598" s="10" t="s">
        <v>2077</v>
      </c>
      <c r="I598" s="14">
        <v>61978.335157260764</v>
      </c>
      <c r="J598" s="19">
        <v>0</v>
      </c>
      <c r="K598" s="19">
        <v>9.5249992566275823E-2</v>
      </c>
      <c r="L598" s="19">
        <v>0.90475000743372425</v>
      </c>
      <c r="M598" s="20">
        <v>1</v>
      </c>
      <c r="N598" s="19">
        <v>0</v>
      </c>
      <c r="O598" s="19">
        <v>9.5249992566275823E-2</v>
      </c>
      <c r="P598" s="19">
        <v>0</v>
      </c>
      <c r="Q598" s="19">
        <v>0.51654216243797269</v>
      </c>
      <c r="R598" s="19">
        <v>0.33566765690922984</v>
      </c>
      <c r="S598" s="19">
        <v>5.2540188086521618E-2</v>
      </c>
      <c r="T598" s="20">
        <v>13</v>
      </c>
      <c r="U598" s="17">
        <v>2</v>
      </c>
      <c r="V598" s="17">
        <v>21</v>
      </c>
    </row>
    <row r="599" spans="1:22" x14ac:dyDescent="0.2">
      <c r="A599" t="s">
        <v>2078</v>
      </c>
      <c r="B599" t="s">
        <v>1875</v>
      </c>
      <c r="C599" t="s">
        <v>1876</v>
      </c>
      <c r="D599" t="s">
        <v>2074</v>
      </c>
      <c r="E599" s="10" t="s">
        <v>2079</v>
      </c>
      <c r="F599" s="10"/>
      <c r="G599" s="10"/>
      <c r="H599" s="10" t="s">
        <v>2079</v>
      </c>
      <c r="I599" s="14">
        <v>21495.27025799733</v>
      </c>
      <c r="J599" s="19">
        <v>0</v>
      </c>
      <c r="K599" s="19">
        <v>0</v>
      </c>
      <c r="L599" s="19">
        <v>1</v>
      </c>
      <c r="M599" s="20">
        <v>1</v>
      </c>
      <c r="N599" s="19">
        <v>0</v>
      </c>
      <c r="O599" s="19">
        <v>0</v>
      </c>
      <c r="P599" s="19">
        <v>0</v>
      </c>
      <c r="Q599" s="19">
        <v>0.49665782180669638</v>
      </c>
      <c r="R599" s="19">
        <v>0.44226395696765564</v>
      </c>
      <c r="S599" s="19">
        <v>6.1078221225647766E-2</v>
      </c>
      <c r="T599" s="20">
        <v>13</v>
      </c>
      <c r="U599" s="17">
        <v>2</v>
      </c>
      <c r="V599" s="17">
        <v>21</v>
      </c>
    </row>
    <row r="600" spans="1:22" x14ac:dyDescent="0.2">
      <c r="A600" t="s">
        <v>2080</v>
      </c>
      <c r="B600" t="s">
        <v>1875</v>
      </c>
      <c r="C600" t="s">
        <v>1876</v>
      </c>
      <c r="D600" t="s">
        <v>2074</v>
      </c>
      <c r="E600" s="10" t="s">
        <v>2081</v>
      </c>
      <c r="F600" s="10"/>
      <c r="G600" s="10"/>
      <c r="H600" s="10" t="s">
        <v>2081</v>
      </c>
      <c r="I600" s="14">
        <v>113467.00780580007</v>
      </c>
      <c r="J600" s="19">
        <v>0</v>
      </c>
      <c r="K600" s="19">
        <v>0.60655573183599787</v>
      </c>
      <c r="L600" s="19">
        <v>0.39344426816400208</v>
      </c>
      <c r="M600" s="20">
        <v>2</v>
      </c>
      <c r="N600" s="19">
        <v>0.43983718832741203</v>
      </c>
      <c r="O600" s="19">
        <v>0</v>
      </c>
      <c r="P600" s="19">
        <v>0.16671854350858581</v>
      </c>
      <c r="Q600" s="19">
        <v>0.17387772870325213</v>
      </c>
      <c r="R600" s="19">
        <v>0.18692653619824637</v>
      </c>
      <c r="S600" s="19">
        <v>3.2640003262503624E-2</v>
      </c>
      <c r="T600" s="20">
        <v>23</v>
      </c>
      <c r="U600" s="17">
        <v>2</v>
      </c>
      <c r="V600" s="17">
        <v>21</v>
      </c>
    </row>
    <row r="601" spans="1:22" x14ac:dyDescent="0.2">
      <c r="A601" t="s">
        <v>2082</v>
      </c>
      <c r="B601" t="s">
        <v>1875</v>
      </c>
      <c r="C601" t="s">
        <v>1876</v>
      </c>
      <c r="D601" t="s">
        <v>2083</v>
      </c>
      <c r="E601" s="10" t="s">
        <v>2084</v>
      </c>
      <c r="F601" s="10"/>
      <c r="G601" s="10"/>
      <c r="H601" s="10" t="s">
        <v>2084</v>
      </c>
      <c r="I601" s="14">
        <v>118177.07993500913</v>
      </c>
      <c r="J601" s="19">
        <v>0</v>
      </c>
      <c r="K601" s="19">
        <v>0.34010979498675553</v>
      </c>
      <c r="L601" s="19">
        <v>0.65989020501324447</v>
      </c>
      <c r="M601" s="20">
        <v>1</v>
      </c>
      <c r="N601" s="19">
        <v>0</v>
      </c>
      <c r="O601" s="19">
        <v>0.33100934554900791</v>
      </c>
      <c r="P601" s="19">
        <v>9.1004494377475865E-3</v>
      </c>
      <c r="Q601" s="19">
        <v>0.19252894889052277</v>
      </c>
      <c r="R601" s="19">
        <v>0.42592286781925581</v>
      </c>
      <c r="S601" s="19">
        <v>4.143838830346587E-2</v>
      </c>
      <c r="T601" s="20">
        <v>12</v>
      </c>
      <c r="U601" s="17">
        <v>2</v>
      </c>
      <c r="V601" s="17">
        <v>21</v>
      </c>
    </row>
    <row r="602" spans="1:22" x14ac:dyDescent="0.2">
      <c r="A602" t="s">
        <v>2085</v>
      </c>
      <c r="B602" t="s">
        <v>1875</v>
      </c>
      <c r="C602" t="s">
        <v>1876</v>
      </c>
      <c r="D602" t="s">
        <v>2083</v>
      </c>
      <c r="E602" s="10" t="s">
        <v>2086</v>
      </c>
      <c r="F602" s="10"/>
      <c r="G602" s="10"/>
      <c r="H602" s="10" t="s">
        <v>2086</v>
      </c>
      <c r="I602" s="14">
        <v>54757.763024847489</v>
      </c>
      <c r="J602" s="19">
        <v>0</v>
      </c>
      <c r="K602" s="19">
        <v>0.53433979665532894</v>
      </c>
      <c r="L602" s="19">
        <v>0.46566020334467112</v>
      </c>
      <c r="M602" s="20">
        <v>2</v>
      </c>
      <c r="N602" s="19">
        <v>0.11198425360898881</v>
      </c>
      <c r="O602" s="19">
        <v>0.34838214686517777</v>
      </c>
      <c r="P602" s="19">
        <v>7.397339618116236E-2</v>
      </c>
      <c r="Q602" s="19">
        <v>0.19477073717731541</v>
      </c>
      <c r="R602" s="19">
        <v>0.25017949135294892</v>
      </c>
      <c r="S602" s="19">
        <v>2.0709974814406708E-2</v>
      </c>
      <c r="T602" s="20">
        <v>22</v>
      </c>
      <c r="U602" s="17">
        <v>2</v>
      </c>
      <c r="V602" s="17">
        <v>21</v>
      </c>
    </row>
    <row r="603" spans="1:22" x14ac:dyDescent="0.2">
      <c r="A603" t="s">
        <v>2087</v>
      </c>
      <c r="B603" t="s">
        <v>1875</v>
      </c>
      <c r="C603" t="s">
        <v>1876</v>
      </c>
      <c r="D603" t="s">
        <v>2083</v>
      </c>
      <c r="E603" s="10" t="s">
        <v>2088</v>
      </c>
      <c r="F603" s="10"/>
      <c r="G603" s="10"/>
      <c r="H603" s="10" t="s">
        <v>2088</v>
      </c>
      <c r="I603" s="14">
        <v>85911.703311812831</v>
      </c>
      <c r="J603" s="19">
        <v>0</v>
      </c>
      <c r="K603" s="19">
        <v>0.2464561708277217</v>
      </c>
      <c r="L603" s="19">
        <v>0.75354382917227836</v>
      </c>
      <c r="M603" s="20">
        <v>1</v>
      </c>
      <c r="N603" s="19">
        <v>9.0483225837281814E-2</v>
      </c>
      <c r="O603" s="19">
        <v>0.1021638829825654</v>
      </c>
      <c r="P603" s="19">
        <v>5.3809062007874449E-2</v>
      </c>
      <c r="Q603" s="19">
        <v>0.34478254955477022</v>
      </c>
      <c r="R603" s="19">
        <v>0.35095834058869141</v>
      </c>
      <c r="S603" s="19">
        <v>5.7802939028816704E-2</v>
      </c>
      <c r="T603" s="20">
        <v>12</v>
      </c>
      <c r="U603" s="17">
        <v>2</v>
      </c>
      <c r="V603" s="17">
        <v>21</v>
      </c>
    </row>
    <row r="604" spans="1:22" x14ac:dyDescent="0.2">
      <c r="A604" t="s">
        <v>2089</v>
      </c>
      <c r="B604" t="s">
        <v>1875</v>
      </c>
      <c r="C604" t="s">
        <v>1876</v>
      </c>
      <c r="D604" t="s">
        <v>2083</v>
      </c>
      <c r="E604" s="10" t="s">
        <v>2090</v>
      </c>
      <c r="F604" s="10"/>
      <c r="G604" s="10"/>
      <c r="H604" s="10" t="s">
        <v>2090</v>
      </c>
      <c r="I604" s="14">
        <v>60796.390328798443</v>
      </c>
      <c r="J604" s="19">
        <v>0</v>
      </c>
      <c r="K604" s="19">
        <v>0.19848058713217295</v>
      </c>
      <c r="L604" s="19">
        <v>0.80151941286782702</v>
      </c>
      <c r="M604" s="20">
        <v>1</v>
      </c>
      <c r="N604" s="19">
        <v>0</v>
      </c>
      <c r="O604" s="19">
        <v>0.19848058713217295</v>
      </c>
      <c r="P604" s="19">
        <v>0</v>
      </c>
      <c r="Q604" s="19">
        <v>0.26498482640576015</v>
      </c>
      <c r="R604" s="19">
        <v>0.44514060625220908</v>
      </c>
      <c r="S604" s="19">
        <v>9.1393980209857853E-2</v>
      </c>
      <c r="T604" s="20">
        <v>12</v>
      </c>
      <c r="U604" s="17">
        <v>2</v>
      </c>
      <c r="V604" s="17">
        <v>21</v>
      </c>
    </row>
    <row r="605" spans="1:22" x14ac:dyDescent="0.2">
      <c r="A605" t="s">
        <v>2091</v>
      </c>
      <c r="B605" t="s">
        <v>1875</v>
      </c>
      <c r="C605" t="s">
        <v>1876</v>
      </c>
      <c r="D605" t="s">
        <v>2083</v>
      </c>
      <c r="E605" s="10" t="s">
        <v>2092</v>
      </c>
      <c r="F605" s="10"/>
      <c r="G605" s="10"/>
      <c r="H605" s="10" t="s">
        <v>2092</v>
      </c>
      <c r="I605" s="14">
        <v>57895.429430980934</v>
      </c>
      <c r="J605" s="19">
        <v>0</v>
      </c>
      <c r="K605" s="19">
        <v>0.5541120666521544</v>
      </c>
      <c r="L605" s="19">
        <v>0.44588793334784554</v>
      </c>
      <c r="M605" s="20">
        <v>2</v>
      </c>
      <c r="N605" s="19">
        <v>0.31151253810964008</v>
      </c>
      <c r="O605" s="19">
        <v>0</v>
      </c>
      <c r="P605" s="19">
        <v>0.24259952854251438</v>
      </c>
      <c r="Q605" s="19">
        <v>0.15813714928200087</v>
      </c>
      <c r="R605" s="19">
        <v>0.24909924721154564</v>
      </c>
      <c r="S605" s="19">
        <v>3.8651536854299069E-2</v>
      </c>
      <c r="T605" s="20">
        <v>23</v>
      </c>
      <c r="U605" s="17">
        <v>2</v>
      </c>
      <c r="V605" s="17">
        <v>21</v>
      </c>
    </row>
    <row r="606" spans="1:22" x14ac:dyDescent="0.2">
      <c r="A606" t="s">
        <v>2093</v>
      </c>
      <c r="B606" t="s">
        <v>1875</v>
      </c>
      <c r="C606" t="s">
        <v>1876</v>
      </c>
      <c r="D606" t="s">
        <v>2083</v>
      </c>
      <c r="E606" s="10" t="s">
        <v>2094</v>
      </c>
      <c r="F606" s="10"/>
      <c r="G606" s="10"/>
      <c r="H606" s="10" t="s">
        <v>2094</v>
      </c>
      <c r="I606" s="14">
        <v>16065.609292529056</v>
      </c>
      <c r="J606" s="19">
        <v>0</v>
      </c>
      <c r="K606" s="19">
        <v>0</v>
      </c>
      <c r="L606" s="19">
        <v>1</v>
      </c>
      <c r="M606" s="20">
        <v>1</v>
      </c>
      <c r="N606" s="19">
        <v>0</v>
      </c>
      <c r="O606" s="19">
        <v>0</v>
      </c>
      <c r="P606" s="19">
        <v>0</v>
      </c>
      <c r="Q606" s="19">
        <v>0.20571237313073004</v>
      </c>
      <c r="R606" s="19">
        <v>0.46701281179483778</v>
      </c>
      <c r="S606" s="19">
        <v>0.3272748150744324</v>
      </c>
      <c r="T606" s="20">
        <v>12</v>
      </c>
      <c r="U606" s="17">
        <v>2</v>
      </c>
      <c r="V606" s="17">
        <v>21</v>
      </c>
    </row>
    <row r="607" spans="1:22" x14ac:dyDescent="0.2">
      <c r="A607" t="s">
        <v>2095</v>
      </c>
      <c r="B607" t="s">
        <v>1875</v>
      </c>
      <c r="C607" t="s">
        <v>1876</v>
      </c>
      <c r="D607" t="s">
        <v>2096</v>
      </c>
      <c r="E607" s="10" t="s">
        <v>2097</v>
      </c>
      <c r="F607" s="10"/>
      <c r="G607" s="10"/>
      <c r="H607" s="10" t="s">
        <v>2097</v>
      </c>
      <c r="I607" s="14">
        <v>27148.98425207939</v>
      </c>
      <c r="J607" s="19">
        <v>0</v>
      </c>
      <c r="K607" s="19">
        <v>0</v>
      </c>
      <c r="L607" s="19">
        <v>1</v>
      </c>
      <c r="M607" s="20">
        <v>1</v>
      </c>
      <c r="N607" s="19">
        <v>0</v>
      </c>
      <c r="O607" s="19">
        <v>0</v>
      </c>
      <c r="P607" s="19">
        <v>0</v>
      </c>
      <c r="Q607" s="19">
        <v>0.59481405239147234</v>
      </c>
      <c r="R607" s="19">
        <v>0.3421163599937021</v>
      </c>
      <c r="S607" s="19">
        <v>6.3069587614825617E-2</v>
      </c>
      <c r="T607" s="20">
        <v>13</v>
      </c>
      <c r="U607" s="17">
        <v>2</v>
      </c>
      <c r="V607" s="17">
        <v>21</v>
      </c>
    </row>
    <row r="608" spans="1:22" x14ac:dyDescent="0.2">
      <c r="A608" t="s">
        <v>2098</v>
      </c>
      <c r="B608" t="s">
        <v>1875</v>
      </c>
      <c r="C608" t="s">
        <v>1876</v>
      </c>
      <c r="D608" t="s">
        <v>2096</v>
      </c>
      <c r="E608" s="10" t="s">
        <v>2099</v>
      </c>
      <c r="F608" s="10"/>
      <c r="G608" s="10"/>
      <c r="H608" s="10" t="s">
        <v>2099</v>
      </c>
      <c r="I608" s="14">
        <v>21286.47138655372</v>
      </c>
      <c r="J608" s="19">
        <v>0</v>
      </c>
      <c r="K608" s="19">
        <v>9.9495422112255871E-2</v>
      </c>
      <c r="L608" s="19">
        <v>0.90050457788774407</v>
      </c>
      <c r="M608" s="20">
        <v>1</v>
      </c>
      <c r="N608" s="19">
        <v>0</v>
      </c>
      <c r="O608" s="19">
        <v>9.9495422112255871E-2</v>
      </c>
      <c r="P608" s="19">
        <v>0</v>
      </c>
      <c r="Q608" s="19">
        <v>0.42013518928408022</v>
      </c>
      <c r="R608" s="19">
        <v>0.39605593543956186</v>
      </c>
      <c r="S608" s="19">
        <v>8.4313453164102048E-2</v>
      </c>
      <c r="T608" s="20">
        <v>13</v>
      </c>
      <c r="U608" s="17">
        <v>2</v>
      </c>
      <c r="V608" s="17">
        <v>21</v>
      </c>
    </row>
    <row r="609" spans="1:22" x14ac:dyDescent="0.2">
      <c r="A609" t="s">
        <v>2100</v>
      </c>
      <c r="B609" t="s">
        <v>1875</v>
      </c>
      <c r="C609" t="s">
        <v>1876</v>
      </c>
      <c r="D609" t="s">
        <v>2096</v>
      </c>
      <c r="E609" s="10" t="s">
        <v>2101</v>
      </c>
      <c r="F609" s="10"/>
      <c r="G609" s="10"/>
      <c r="H609" s="10" t="s">
        <v>2101</v>
      </c>
      <c r="I609" s="14">
        <v>43049.533443867695</v>
      </c>
      <c r="J609" s="19">
        <v>0</v>
      </c>
      <c r="K609" s="19">
        <v>0.16889073972663984</v>
      </c>
      <c r="L609" s="19">
        <v>0.83110926027336018</v>
      </c>
      <c r="M609" s="20">
        <v>1</v>
      </c>
      <c r="N609" s="19">
        <v>0</v>
      </c>
      <c r="O609" s="19">
        <v>0.15688403780627683</v>
      </c>
      <c r="P609" s="19">
        <v>1.200670192036301E-2</v>
      </c>
      <c r="Q609" s="19">
        <v>0.16289815251346834</v>
      </c>
      <c r="R609" s="19">
        <v>0.53378780543115978</v>
      </c>
      <c r="S609" s="19">
        <v>0.13442330232873201</v>
      </c>
      <c r="T609" s="20">
        <v>12</v>
      </c>
      <c r="U609" s="17">
        <v>2</v>
      </c>
      <c r="V609" s="17">
        <v>21</v>
      </c>
    </row>
    <row r="610" spans="1:22" x14ac:dyDescent="0.2">
      <c r="A610" t="s">
        <v>2102</v>
      </c>
      <c r="B610" t="s">
        <v>1875</v>
      </c>
      <c r="C610" t="s">
        <v>1876</v>
      </c>
      <c r="D610" t="s">
        <v>2096</v>
      </c>
      <c r="E610" s="10" t="s">
        <v>2103</v>
      </c>
      <c r="F610" s="10"/>
      <c r="G610" s="10"/>
      <c r="H610" s="10" t="s">
        <v>2103</v>
      </c>
      <c r="I610" s="14">
        <v>51254.058649409562</v>
      </c>
      <c r="J610" s="19">
        <v>0</v>
      </c>
      <c r="K610" s="19">
        <v>0.44902855003351194</v>
      </c>
      <c r="L610" s="19">
        <v>0.55097144996648806</v>
      </c>
      <c r="M610" s="20">
        <v>1</v>
      </c>
      <c r="N610" s="19">
        <v>0.10783044004428365</v>
      </c>
      <c r="O610" s="19">
        <v>0.26255405480398403</v>
      </c>
      <c r="P610" s="19">
        <v>7.8644055185244269E-2</v>
      </c>
      <c r="Q610" s="19">
        <v>0.30336061655804936</v>
      </c>
      <c r="R610" s="19">
        <v>0.1926444089359706</v>
      </c>
      <c r="S610" s="19">
        <v>5.4966424472468092E-2</v>
      </c>
      <c r="T610" s="20">
        <v>13</v>
      </c>
      <c r="U610" s="17">
        <v>2</v>
      </c>
      <c r="V610" s="17">
        <v>21</v>
      </c>
    </row>
    <row r="611" spans="1:22" x14ac:dyDescent="0.2">
      <c r="A611" t="s">
        <v>2104</v>
      </c>
      <c r="B611" t="s">
        <v>1875</v>
      </c>
      <c r="C611" t="s">
        <v>1876</v>
      </c>
      <c r="D611" t="s">
        <v>2096</v>
      </c>
      <c r="E611" s="10" t="s">
        <v>2105</v>
      </c>
      <c r="F611" s="10"/>
      <c r="G611" s="10"/>
      <c r="H611" s="10" t="s">
        <v>2105</v>
      </c>
      <c r="I611" s="14">
        <v>44869.896525957622</v>
      </c>
      <c r="J611" s="19">
        <v>0</v>
      </c>
      <c r="K611" s="19">
        <v>0.25649703216545461</v>
      </c>
      <c r="L611" s="19">
        <v>0.74350296783454539</v>
      </c>
      <c r="M611" s="20">
        <v>1</v>
      </c>
      <c r="N611" s="19">
        <v>0</v>
      </c>
      <c r="O611" s="19">
        <v>0.25649703216545461</v>
      </c>
      <c r="P611" s="19">
        <v>0</v>
      </c>
      <c r="Q611" s="19">
        <v>0.29045638285929687</v>
      </c>
      <c r="R611" s="19">
        <v>0.3847512323393858</v>
      </c>
      <c r="S611" s="19">
        <v>6.8295352635862713E-2</v>
      </c>
      <c r="T611" s="20">
        <v>12</v>
      </c>
      <c r="U611" s="17">
        <v>2</v>
      </c>
      <c r="V611" s="17">
        <v>21</v>
      </c>
    </row>
    <row r="612" spans="1:22" x14ac:dyDescent="0.2">
      <c r="A612" t="s">
        <v>2106</v>
      </c>
      <c r="B612" t="s">
        <v>1875</v>
      </c>
      <c r="C612" t="s">
        <v>1876</v>
      </c>
      <c r="D612" t="s">
        <v>2096</v>
      </c>
      <c r="E612" s="10" t="s">
        <v>2107</v>
      </c>
      <c r="F612" s="10"/>
      <c r="G612" s="10"/>
      <c r="H612" s="10" t="s">
        <v>2107</v>
      </c>
      <c r="I612" s="14">
        <v>20303.862068334594</v>
      </c>
      <c r="J612" s="19">
        <v>0</v>
      </c>
      <c r="K612" s="19">
        <v>0</v>
      </c>
      <c r="L612" s="19">
        <v>1</v>
      </c>
      <c r="M612" s="20">
        <v>1</v>
      </c>
      <c r="N612" s="19">
        <v>0</v>
      </c>
      <c r="O612" s="19">
        <v>0</v>
      </c>
      <c r="P612" s="19">
        <v>0</v>
      </c>
      <c r="Q612" s="19">
        <v>0.59010318368780812</v>
      </c>
      <c r="R612" s="19">
        <v>0.32856157624900262</v>
      </c>
      <c r="S612" s="19">
        <v>8.1335240063189276E-2</v>
      </c>
      <c r="T612" s="20">
        <v>13</v>
      </c>
      <c r="U612" s="17">
        <v>2</v>
      </c>
      <c r="V612" s="17">
        <v>21</v>
      </c>
    </row>
    <row r="613" spans="1:22" x14ac:dyDescent="0.2">
      <c r="A613" t="s">
        <v>2108</v>
      </c>
      <c r="B613" t="s">
        <v>1875</v>
      </c>
      <c r="C613" t="s">
        <v>1876</v>
      </c>
      <c r="D613" t="s">
        <v>2096</v>
      </c>
      <c r="E613" s="10" t="s">
        <v>2109</v>
      </c>
      <c r="F613" s="10"/>
      <c r="G613" s="10"/>
      <c r="H613" s="10" t="s">
        <v>2109</v>
      </c>
      <c r="I613" s="14">
        <v>41797.62407669425</v>
      </c>
      <c r="J613" s="19">
        <v>0</v>
      </c>
      <c r="K613" s="19">
        <v>0.48597482837066658</v>
      </c>
      <c r="L613" s="19">
        <v>0.51402517162933348</v>
      </c>
      <c r="M613" s="20">
        <v>1</v>
      </c>
      <c r="N613" s="19">
        <v>0.24327757628485575</v>
      </c>
      <c r="O613" s="19">
        <v>0</v>
      </c>
      <c r="P613" s="19">
        <v>0.24269725208581081</v>
      </c>
      <c r="Q613" s="19">
        <v>0.28676617488894346</v>
      </c>
      <c r="R613" s="19">
        <v>0.17667973910126475</v>
      </c>
      <c r="S613" s="19">
        <v>5.0579257639125262E-2</v>
      </c>
      <c r="T613" s="20">
        <v>13</v>
      </c>
      <c r="U613" s="17">
        <v>2</v>
      </c>
      <c r="V613" s="17">
        <v>21</v>
      </c>
    </row>
    <row r="614" spans="1:22" x14ac:dyDescent="0.2">
      <c r="A614" t="s">
        <v>2110</v>
      </c>
      <c r="B614" t="s">
        <v>1875</v>
      </c>
      <c r="C614" t="s">
        <v>1876</v>
      </c>
      <c r="D614" t="s">
        <v>2111</v>
      </c>
      <c r="E614" s="10" t="s">
        <v>2112</v>
      </c>
      <c r="F614" s="10"/>
      <c r="G614" s="10"/>
      <c r="H614" s="10" t="s">
        <v>2112</v>
      </c>
      <c r="I614" s="14">
        <v>66206.230390754994</v>
      </c>
      <c r="J614" s="19">
        <v>0</v>
      </c>
      <c r="K614" s="19">
        <v>0.64621359140770185</v>
      </c>
      <c r="L614" s="19">
        <v>0.35378640859229821</v>
      </c>
      <c r="M614" s="20">
        <v>2</v>
      </c>
      <c r="N614" s="19">
        <v>0</v>
      </c>
      <c r="O614" s="19">
        <v>0.63647019888678047</v>
      </c>
      <c r="P614" s="19">
        <v>9.7433925209213495E-3</v>
      </c>
      <c r="Q614" s="19">
        <v>2.0150156841124048E-2</v>
      </c>
      <c r="R614" s="19">
        <v>0.32009244678913945</v>
      </c>
      <c r="S614" s="19">
        <v>1.3543804962034646E-2</v>
      </c>
      <c r="T614" s="20">
        <v>22</v>
      </c>
      <c r="U614" s="17">
        <v>2</v>
      </c>
      <c r="V614" s="17">
        <v>21</v>
      </c>
    </row>
    <row r="615" spans="1:22" x14ac:dyDescent="0.2">
      <c r="A615" t="s">
        <v>2113</v>
      </c>
      <c r="B615" t="s">
        <v>1875</v>
      </c>
      <c r="C615" t="s">
        <v>1876</v>
      </c>
      <c r="D615" t="s">
        <v>2111</v>
      </c>
      <c r="E615" s="10" t="s">
        <v>2114</v>
      </c>
      <c r="F615" s="10"/>
      <c r="G615" s="10"/>
      <c r="H615" s="10" t="s">
        <v>2114</v>
      </c>
      <c r="I615" s="14">
        <v>69579.718019431923</v>
      </c>
      <c r="J615" s="19">
        <v>0</v>
      </c>
      <c r="K615" s="19">
        <v>0.33114759543471561</v>
      </c>
      <c r="L615" s="19">
        <v>0.66885240456528439</v>
      </c>
      <c r="M615" s="20">
        <v>1</v>
      </c>
      <c r="N615" s="19">
        <v>0</v>
      </c>
      <c r="O615" s="19">
        <v>0.33114759543471561</v>
      </c>
      <c r="P615" s="19">
        <v>0</v>
      </c>
      <c r="Q615" s="19">
        <v>0.26320991946527239</v>
      </c>
      <c r="R615" s="19">
        <v>0.38367082079593168</v>
      </c>
      <c r="S615" s="19">
        <v>2.1971664304080325E-2</v>
      </c>
      <c r="T615" s="20">
        <v>12</v>
      </c>
      <c r="U615" s="17">
        <v>2</v>
      </c>
      <c r="V615" s="17">
        <v>21</v>
      </c>
    </row>
    <row r="616" spans="1:22" x14ac:dyDescent="0.2">
      <c r="A616" t="s">
        <v>2115</v>
      </c>
      <c r="B616" t="s">
        <v>1875</v>
      </c>
      <c r="C616" t="s">
        <v>1876</v>
      </c>
      <c r="D616" t="s">
        <v>2111</v>
      </c>
      <c r="E616" s="10" t="s">
        <v>2116</v>
      </c>
      <c r="F616" s="10"/>
      <c r="G616" s="10"/>
      <c r="H616" s="10" t="s">
        <v>2116</v>
      </c>
      <c r="I616" s="14">
        <v>49872.737987223547</v>
      </c>
      <c r="J616" s="19">
        <v>0</v>
      </c>
      <c r="K616" s="19">
        <v>0.65653836781085384</v>
      </c>
      <c r="L616" s="19">
        <v>0.34346163218914616</v>
      </c>
      <c r="M616" s="20">
        <v>2</v>
      </c>
      <c r="N616" s="19">
        <v>0.21298694428113166</v>
      </c>
      <c r="O616" s="19">
        <v>0</v>
      </c>
      <c r="P616" s="19">
        <v>0.44355142352972227</v>
      </c>
      <c r="Q616" s="19">
        <v>0.28976838894261348</v>
      </c>
      <c r="R616" s="19">
        <v>4.4995571969365926E-2</v>
      </c>
      <c r="S616" s="19">
        <v>8.6976712771667554E-3</v>
      </c>
      <c r="T616" s="20">
        <v>23</v>
      </c>
      <c r="U616" s="17">
        <v>2</v>
      </c>
      <c r="V616" s="17">
        <v>21</v>
      </c>
    </row>
    <row r="617" spans="1:22" x14ac:dyDescent="0.2">
      <c r="A617" t="s">
        <v>2117</v>
      </c>
      <c r="B617" t="s">
        <v>1875</v>
      </c>
      <c r="C617" t="s">
        <v>1876</v>
      </c>
      <c r="D617" t="s">
        <v>2111</v>
      </c>
      <c r="E617" s="10" t="s">
        <v>2118</v>
      </c>
      <c r="F617" s="10"/>
      <c r="G617" s="10"/>
      <c r="H617" s="10" t="s">
        <v>2118</v>
      </c>
      <c r="I617" s="14">
        <v>104623.06630047456</v>
      </c>
      <c r="J617" s="19">
        <v>0</v>
      </c>
      <c r="K617" s="19">
        <v>0.64893708254282878</v>
      </c>
      <c r="L617" s="19">
        <v>0.35106291745717139</v>
      </c>
      <c r="M617" s="20">
        <v>2</v>
      </c>
      <c r="N617" s="19">
        <v>0</v>
      </c>
      <c r="O617" s="19">
        <v>0.64593390970147468</v>
      </c>
      <c r="P617" s="19">
        <v>3.0031728413540668E-3</v>
      </c>
      <c r="Q617" s="19">
        <v>3.1778322549919184E-2</v>
      </c>
      <c r="R617" s="19">
        <v>0.3086079045652545</v>
      </c>
      <c r="S617" s="19">
        <v>1.0676690341997688E-2</v>
      </c>
      <c r="T617" s="20">
        <v>22</v>
      </c>
      <c r="U617" s="17">
        <v>2</v>
      </c>
      <c r="V617" s="17">
        <v>21</v>
      </c>
    </row>
    <row r="618" spans="1:22" x14ac:dyDescent="0.2">
      <c r="A618" t="s">
        <v>2119</v>
      </c>
      <c r="B618" t="s">
        <v>1875</v>
      </c>
      <c r="C618" t="s">
        <v>1876</v>
      </c>
      <c r="D618" t="s">
        <v>2111</v>
      </c>
      <c r="E618" s="10" t="s">
        <v>2120</v>
      </c>
      <c r="F618" s="10"/>
      <c r="G618" s="10"/>
      <c r="H618" s="10" t="s">
        <v>2120</v>
      </c>
      <c r="I618" s="14">
        <v>47921.835524096154</v>
      </c>
      <c r="J618" s="19">
        <v>0</v>
      </c>
      <c r="K618" s="19">
        <v>0.58220657109640128</v>
      </c>
      <c r="L618" s="19">
        <v>0.41779342890359866</v>
      </c>
      <c r="M618" s="20">
        <v>2</v>
      </c>
      <c r="N618" s="19">
        <v>0</v>
      </c>
      <c r="O618" s="19">
        <v>0.22628072488278839</v>
      </c>
      <c r="P618" s="19">
        <v>0.35592584621361295</v>
      </c>
      <c r="Q618" s="19">
        <v>0.11372730684869797</v>
      </c>
      <c r="R618" s="19">
        <v>0.28885170370784724</v>
      </c>
      <c r="S618" s="19">
        <v>1.5214418347053475E-2</v>
      </c>
      <c r="T618" s="20">
        <v>22</v>
      </c>
      <c r="U618" s="17">
        <v>2</v>
      </c>
      <c r="V618" s="17">
        <v>21</v>
      </c>
    </row>
    <row r="619" spans="1:22" x14ac:dyDescent="0.2">
      <c r="A619" t="s">
        <v>2121</v>
      </c>
      <c r="B619" t="s">
        <v>1875</v>
      </c>
      <c r="C619" t="s">
        <v>1876</v>
      </c>
      <c r="D619" t="s">
        <v>2111</v>
      </c>
      <c r="E619" s="10" t="s">
        <v>2122</v>
      </c>
      <c r="F619" s="10"/>
      <c r="G619" s="10"/>
      <c r="H619" s="10" t="s">
        <v>2122</v>
      </c>
      <c r="I619" s="14">
        <v>79010.673427988309</v>
      </c>
      <c r="J619" s="19">
        <v>0</v>
      </c>
      <c r="K619" s="19">
        <v>0.41462619237347015</v>
      </c>
      <c r="L619" s="19">
        <v>0.58537380762652991</v>
      </c>
      <c r="M619" s="20">
        <v>1</v>
      </c>
      <c r="N619" s="19">
        <v>0</v>
      </c>
      <c r="O619" s="19">
        <v>0.41462619237347015</v>
      </c>
      <c r="P619" s="19">
        <v>0</v>
      </c>
      <c r="Q619" s="19">
        <v>0.11509356694302235</v>
      </c>
      <c r="R619" s="19">
        <v>0.45468392211539382</v>
      </c>
      <c r="S619" s="19">
        <v>1.559631856811366E-2</v>
      </c>
      <c r="T619" s="20">
        <v>12</v>
      </c>
      <c r="U619" s="17">
        <v>2</v>
      </c>
      <c r="V619" s="17">
        <v>21</v>
      </c>
    </row>
    <row r="620" spans="1:22" x14ac:dyDescent="0.2">
      <c r="A620" t="s">
        <v>2123</v>
      </c>
      <c r="B620" t="s">
        <v>1875</v>
      </c>
      <c r="C620" t="s">
        <v>1876</v>
      </c>
      <c r="D620" t="s">
        <v>2111</v>
      </c>
      <c r="E620" s="10" t="s">
        <v>2124</v>
      </c>
      <c r="F620" s="10"/>
      <c r="G620" s="10"/>
      <c r="H620" s="10" t="s">
        <v>2124</v>
      </c>
      <c r="I620" s="14">
        <v>102163.9169496363</v>
      </c>
      <c r="J620" s="19">
        <v>0</v>
      </c>
      <c r="K620" s="19">
        <v>0.65089098202454088</v>
      </c>
      <c r="L620" s="19">
        <v>0.34910901797545918</v>
      </c>
      <c r="M620" s="20">
        <v>2</v>
      </c>
      <c r="N620" s="19">
        <v>0.20962503222740642</v>
      </c>
      <c r="O620" s="19">
        <v>0.26618498847136823</v>
      </c>
      <c r="P620" s="19">
        <v>0.1750809613257662</v>
      </c>
      <c r="Q620" s="19">
        <v>0.2440055608102133</v>
      </c>
      <c r="R620" s="19">
        <v>9.6817281017632886E-2</v>
      </c>
      <c r="S620" s="19">
        <v>8.2861761476129697E-3</v>
      </c>
      <c r="T620" s="20">
        <v>22</v>
      </c>
      <c r="U620" s="17">
        <v>2</v>
      </c>
      <c r="V620" s="17">
        <v>21</v>
      </c>
    </row>
    <row r="621" spans="1:22" x14ac:dyDescent="0.2">
      <c r="A621" t="s">
        <v>2125</v>
      </c>
      <c r="B621" t="s">
        <v>1875</v>
      </c>
      <c r="C621" t="s">
        <v>1876</v>
      </c>
      <c r="D621" t="s">
        <v>2111</v>
      </c>
      <c r="E621" s="10" t="s">
        <v>2126</v>
      </c>
      <c r="F621" s="10"/>
      <c r="G621" s="10"/>
      <c r="H621" s="10" t="s">
        <v>2126</v>
      </c>
      <c r="I621" s="14">
        <v>61464.695672981441</v>
      </c>
      <c r="J621" s="19">
        <v>0</v>
      </c>
      <c r="K621" s="19">
        <v>0.49187945899867164</v>
      </c>
      <c r="L621" s="19">
        <v>0.50812054100132842</v>
      </c>
      <c r="M621" s="20">
        <v>1</v>
      </c>
      <c r="N621" s="19">
        <v>6.1282742874879052E-4</v>
      </c>
      <c r="O621" s="19">
        <v>9.5609308695911383E-4</v>
      </c>
      <c r="P621" s="19">
        <v>0.4903105384829638</v>
      </c>
      <c r="Q621" s="19">
        <v>0.27585927016075412</v>
      </c>
      <c r="R621" s="19">
        <v>0.21732693204953921</v>
      </c>
      <c r="S621" s="19">
        <v>1.493433879103505E-2</v>
      </c>
      <c r="T621" s="20">
        <v>13</v>
      </c>
      <c r="U621" s="17">
        <v>2</v>
      </c>
      <c r="V621" s="17">
        <v>21</v>
      </c>
    </row>
    <row r="622" spans="1:22" x14ac:dyDescent="0.2">
      <c r="A622" t="s">
        <v>2127</v>
      </c>
      <c r="B622" t="s">
        <v>1875</v>
      </c>
      <c r="C622" t="s">
        <v>1876</v>
      </c>
      <c r="D622" t="s">
        <v>2111</v>
      </c>
      <c r="E622" s="10" t="s">
        <v>2128</v>
      </c>
      <c r="F622" s="10"/>
      <c r="G622" s="10"/>
      <c r="H622" s="10" t="s">
        <v>2128</v>
      </c>
      <c r="I622" s="14">
        <v>54338.505700309761</v>
      </c>
      <c r="J622" s="19">
        <v>0</v>
      </c>
      <c r="K622" s="19">
        <v>0.80153734251850783</v>
      </c>
      <c r="L622" s="19">
        <v>0.19846265748149217</v>
      </c>
      <c r="M622" s="20">
        <v>2</v>
      </c>
      <c r="N622" s="19">
        <v>0.26609122781230815</v>
      </c>
      <c r="O622" s="19">
        <v>0</v>
      </c>
      <c r="P622" s="19">
        <v>0.53544611470619974</v>
      </c>
      <c r="Q622" s="19">
        <v>0.13168824915107696</v>
      </c>
      <c r="R622" s="19">
        <v>6.138954736208091E-2</v>
      </c>
      <c r="S622" s="19">
        <v>5.3848609683342886E-3</v>
      </c>
      <c r="T622" s="20">
        <v>21</v>
      </c>
      <c r="U622" s="17">
        <v>2</v>
      </c>
      <c r="V622" s="17">
        <v>21</v>
      </c>
    </row>
    <row r="623" spans="1:22" x14ac:dyDescent="0.2">
      <c r="A623" t="s">
        <v>2129</v>
      </c>
      <c r="B623" t="s">
        <v>1875</v>
      </c>
      <c r="C623" t="s">
        <v>1876</v>
      </c>
      <c r="D623" t="s">
        <v>2111</v>
      </c>
      <c r="E623" s="10" t="s">
        <v>2130</v>
      </c>
      <c r="F623" s="10"/>
      <c r="G623" s="10"/>
      <c r="H623" s="10" t="s">
        <v>2130</v>
      </c>
      <c r="I623" s="14">
        <v>106424.82320078417</v>
      </c>
      <c r="J623" s="19">
        <v>0</v>
      </c>
      <c r="K623" s="19">
        <v>0.52106274085654247</v>
      </c>
      <c r="L623" s="19">
        <v>0.47893725914345742</v>
      </c>
      <c r="M623" s="20">
        <v>2</v>
      </c>
      <c r="N623" s="19">
        <v>0</v>
      </c>
      <c r="O623" s="19">
        <v>0.51740354037977865</v>
      </c>
      <c r="P623" s="19">
        <v>3.6592004767637566E-3</v>
      </c>
      <c r="Q623" s="19">
        <v>0.14746579291051184</v>
      </c>
      <c r="R623" s="19">
        <v>0.32225704192389704</v>
      </c>
      <c r="S623" s="19">
        <v>9.2144243090485339E-3</v>
      </c>
      <c r="T623" s="20">
        <v>22</v>
      </c>
      <c r="U623" s="17">
        <v>2</v>
      </c>
      <c r="V623" s="17">
        <v>21</v>
      </c>
    </row>
    <row r="624" spans="1:22" x14ac:dyDescent="0.2">
      <c r="A624" t="s">
        <v>2131</v>
      </c>
      <c r="B624" t="s">
        <v>1875</v>
      </c>
      <c r="C624" t="s">
        <v>1876</v>
      </c>
      <c r="D624" t="s">
        <v>2111</v>
      </c>
      <c r="E624" s="10" t="s">
        <v>2132</v>
      </c>
      <c r="F624" s="10"/>
      <c r="G624" s="10"/>
      <c r="H624" s="10" t="s">
        <v>2132</v>
      </c>
      <c r="I624" s="14">
        <v>84794.08382623177</v>
      </c>
      <c r="J624" s="19">
        <v>0</v>
      </c>
      <c r="K624" s="19">
        <v>0.65554830480580728</v>
      </c>
      <c r="L624" s="19">
        <v>0.34445169519419272</v>
      </c>
      <c r="M624" s="20">
        <v>2</v>
      </c>
      <c r="N624" s="19">
        <v>0</v>
      </c>
      <c r="O624" s="19">
        <v>0.55966888999815512</v>
      </c>
      <c r="P624" s="19">
        <v>9.5879414807652122E-2</v>
      </c>
      <c r="Q624" s="19">
        <v>0.12486451482358274</v>
      </c>
      <c r="R624" s="19">
        <v>0.20696054736698652</v>
      </c>
      <c r="S624" s="19">
        <v>1.2626633003623442E-2</v>
      </c>
      <c r="T624" s="20">
        <v>22</v>
      </c>
      <c r="U624" s="17">
        <v>2</v>
      </c>
      <c r="V624" s="17">
        <v>21</v>
      </c>
    </row>
    <row r="625" spans="1:22" x14ac:dyDescent="0.2">
      <c r="A625" t="s">
        <v>2133</v>
      </c>
      <c r="B625" t="s">
        <v>1875</v>
      </c>
      <c r="C625" t="s">
        <v>1876</v>
      </c>
      <c r="D625" t="s">
        <v>2111</v>
      </c>
      <c r="E625" s="10" t="s">
        <v>2134</v>
      </c>
      <c r="F625" s="10"/>
      <c r="G625" s="10"/>
      <c r="H625" s="10" t="s">
        <v>2134</v>
      </c>
      <c r="I625" s="14">
        <v>47624.203025612049</v>
      </c>
      <c r="J625" s="19">
        <v>0</v>
      </c>
      <c r="K625" s="19">
        <v>0.3326008061483669</v>
      </c>
      <c r="L625" s="19">
        <v>0.66739919385163315</v>
      </c>
      <c r="M625" s="20">
        <v>1</v>
      </c>
      <c r="N625" s="19">
        <v>0</v>
      </c>
      <c r="O625" s="19">
        <v>0.17665528340474065</v>
      </c>
      <c r="P625" s="19">
        <v>0.15594552274362627</v>
      </c>
      <c r="Q625" s="19">
        <v>0.51041196214349538</v>
      </c>
      <c r="R625" s="19">
        <v>0.14803427909595523</v>
      </c>
      <c r="S625" s="19">
        <v>8.9529526121824941E-3</v>
      </c>
      <c r="T625" s="20">
        <v>13</v>
      </c>
      <c r="U625" s="17">
        <v>2</v>
      </c>
      <c r="V625" s="17">
        <v>21</v>
      </c>
    </row>
    <row r="626" spans="1:22" x14ac:dyDescent="0.2">
      <c r="A626" t="s">
        <v>2135</v>
      </c>
      <c r="B626" t="s">
        <v>1875</v>
      </c>
      <c r="C626" t="s">
        <v>1876</v>
      </c>
      <c r="D626" t="s">
        <v>2136</v>
      </c>
      <c r="E626" s="10" t="s">
        <v>2137</v>
      </c>
      <c r="F626" s="10"/>
      <c r="G626" s="10"/>
      <c r="H626" s="10" t="s">
        <v>2137</v>
      </c>
      <c r="I626" s="14">
        <v>12834.238694145344</v>
      </c>
      <c r="J626" s="19">
        <v>0</v>
      </c>
      <c r="K626" s="19">
        <v>0</v>
      </c>
      <c r="L626" s="19">
        <v>1</v>
      </c>
      <c r="M626" s="20">
        <v>1</v>
      </c>
      <c r="N626" s="19">
        <v>0</v>
      </c>
      <c r="O626" s="19">
        <v>0</v>
      </c>
      <c r="P626" s="19">
        <v>0</v>
      </c>
      <c r="Q626" s="19">
        <v>0.19354618184782013</v>
      </c>
      <c r="R626" s="19">
        <v>0.58282302747909787</v>
      </c>
      <c r="S626" s="19">
        <v>0.22363079067308195</v>
      </c>
      <c r="T626" s="20">
        <v>12</v>
      </c>
      <c r="U626" s="17">
        <v>2</v>
      </c>
      <c r="V626" s="17">
        <v>21</v>
      </c>
    </row>
    <row r="627" spans="1:22" x14ac:dyDescent="0.2">
      <c r="A627" t="s">
        <v>2138</v>
      </c>
      <c r="B627" t="s">
        <v>1875</v>
      </c>
      <c r="C627" t="s">
        <v>1876</v>
      </c>
      <c r="D627" t="s">
        <v>2136</v>
      </c>
      <c r="E627" s="10" t="s">
        <v>2139</v>
      </c>
      <c r="F627" s="10"/>
      <c r="G627" s="10"/>
      <c r="H627" s="10" t="s">
        <v>2139</v>
      </c>
      <c r="I627" s="14">
        <v>50062.486441507936</v>
      </c>
      <c r="J627" s="19">
        <v>0</v>
      </c>
      <c r="K627" s="19">
        <v>0.84182535899007216</v>
      </c>
      <c r="L627" s="19">
        <v>0.15817464100992784</v>
      </c>
      <c r="M627" s="20">
        <v>2</v>
      </c>
      <c r="N627" s="19">
        <v>0.62787626174649536</v>
      </c>
      <c r="O627" s="19">
        <v>0</v>
      </c>
      <c r="P627" s="19">
        <v>0.21394909724357686</v>
      </c>
      <c r="Q627" s="19">
        <v>3.9167302010324936E-2</v>
      </c>
      <c r="R627" s="19">
        <v>8.8853732249320583E-2</v>
      </c>
      <c r="S627" s="19">
        <v>3.0153606750282311E-2</v>
      </c>
      <c r="T627" s="20">
        <v>23</v>
      </c>
      <c r="U627" s="17">
        <v>2</v>
      </c>
      <c r="V627" s="17">
        <v>21</v>
      </c>
    </row>
    <row r="628" spans="1:22" x14ac:dyDescent="0.2">
      <c r="A628" t="s">
        <v>2140</v>
      </c>
      <c r="B628" t="s">
        <v>1875</v>
      </c>
      <c r="C628" t="s">
        <v>1876</v>
      </c>
      <c r="D628" t="s">
        <v>2136</v>
      </c>
      <c r="E628" s="10" t="s">
        <v>2141</v>
      </c>
      <c r="F628" s="10"/>
      <c r="G628" s="10"/>
      <c r="H628" s="10" t="s">
        <v>2141</v>
      </c>
      <c r="I628" s="14">
        <v>33352.084198477678</v>
      </c>
      <c r="J628" s="19">
        <v>0</v>
      </c>
      <c r="K628" s="19">
        <v>0.32659049760154379</v>
      </c>
      <c r="L628" s="19">
        <v>0.67340950239845621</v>
      </c>
      <c r="M628" s="20">
        <v>1</v>
      </c>
      <c r="N628" s="19">
        <v>0</v>
      </c>
      <c r="O628" s="19">
        <v>0.32659049760154379</v>
      </c>
      <c r="P628" s="19">
        <v>0</v>
      </c>
      <c r="Q628" s="19">
        <v>0.14387039096235996</v>
      </c>
      <c r="R628" s="19">
        <v>0.41008958364608739</v>
      </c>
      <c r="S628" s="19">
        <v>0.11944952779000884</v>
      </c>
      <c r="T628" s="20">
        <v>12</v>
      </c>
      <c r="U628" s="17">
        <v>2</v>
      </c>
      <c r="V628" s="17">
        <v>21</v>
      </c>
    </row>
    <row r="629" spans="1:22" x14ac:dyDescent="0.2">
      <c r="A629" t="s">
        <v>2142</v>
      </c>
      <c r="B629" t="s">
        <v>1875</v>
      </c>
      <c r="C629" t="s">
        <v>1876</v>
      </c>
      <c r="D629" t="s">
        <v>2136</v>
      </c>
      <c r="E629" s="10" t="s">
        <v>2143</v>
      </c>
      <c r="F629" s="10"/>
      <c r="G629" s="10"/>
      <c r="H629" s="10" t="s">
        <v>2143</v>
      </c>
      <c r="I629" s="14">
        <v>27091.16200668551</v>
      </c>
      <c r="J629" s="19">
        <v>0</v>
      </c>
      <c r="K629" s="19">
        <v>0.23550931704843392</v>
      </c>
      <c r="L629" s="19">
        <v>0.76449068295156608</v>
      </c>
      <c r="M629" s="20">
        <v>1</v>
      </c>
      <c r="N629" s="19">
        <v>0</v>
      </c>
      <c r="O629" s="19">
        <v>0.23550931704843392</v>
      </c>
      <c r="P629" s="19">
        <v>0</v>
      </c>
      <c r="Q629" s="19">
        <v>0.22140797954587449</v>
      </c>
      <c r="R629" s="19">
        <v>0.41746000995845639</v>
      </c>
      <c r="S629" s="19">
        <v>0.12562269344723523</v>
      </c>
      <c r="T629" s="20">
        <v>12</v>
      </c>
      <c r="U629" s="17">
        <v>2</v>
      </c>
      <c r="V629" s="17">
        <v>21</v>
      </c>
    </row>
    <row r="630" spans="1:22" x14ac:dyDescent="0.2">
      <c r="A630" t="s">
        <v>2144</v>
      </c>
      <c r="B630" t="s">
        <v>1875</v>
      </c>
      <c r="C630" t="s">
        <v>1876</v>
      </c>
      <c r="D630" t="s">
        <v>2136</v>
      </c>
      <c r="E630" s="10" t="s">
        <v>2145</v>
      </c>
      <c r="F630" s="10"/>
      <c r="G630" s="10"/>
      <c r="H630" s="10" t="s">
        <v>2145</v>
      </c>
      <c r="I630" s="14">
        <v>34158.912642031908</v>
      </c>
      <c r="J630" s="19">
        <v>0</v>
      </c>
      <c r="K630" s="19">
        <v>0</v>
      </c>
      <c r="L630" s="19">
        <v>1</v>
      </c>
      <c r="M630" s="20">
        <v>1</v>
      </c>
      <c r="N630" s="19">
        <v>0</v>
      </c>
      <c r="O630" s="19">
        <v>0</v>
      </c>
      <c r="P630" s="19">
        <v>0</v>
      </c>
      <c r="Q630" s="19">
        <v>0.38221523142566338</v>
      </c>
      <c r="R630" s="19">
        <v>0.49937086245158646</v>
      </c>
      <c r="S630" s="19">
        <v>0.11841390612275013</v>
      </c>
      <c r="T630" s="20">
        <v>12</v>
      </c>
      <c r="U630" s="17">
        <v>2</v>
      </c>
      <c r="V630" s="17">
        <v>21</v>
      </c>
    </row>
    <row r="631" spans="1:22" x14ac:dyDescent="0.2">
      <c r="A631" t="s">
        <v>2146</v>
      </c>
      <c r="B631" t="s">
        <v>1875</v>
      </c>
      <c r="C631" t="s">
        <v>1876</v>
      </c>
      <c r="D631" t="s">
        <v>2136</v>
      </c>
      <c r="E631" s="10" t="s">
        <v>2147</v>
      </c>
      <c r="F631" s="10"/>
      <c r="G631" s="10"/>
      <c r="H631" s="10" t="s">
        <v>2147</v>
      </c>
      <c r="I631" s="14">
        <v>23915.432241745293</v>
      </c>
      <c r="J631" s="19">
        <v>0</v>
      </c>
      <c r="K631" s="19">
        <v>0.11326231103266314</v>
      </c>
      <c r="L631" s="19">
        <v>0.88673768896733696</v>
      </c>
      <c r="M631" s="20">
        <v>1</v>
      </c>
      <c r="N631" s="19">
        <v>0</v>
      </c>
      <c r="O631" s="19">
        <v>0</v>
      </c>
      <c r="P631" s="19">
        <v>0.11326231103266314</v>
      </c>
      <c r="Q631" s="19">
        <v>0.31508088894287883</v>
      </c>
      <c r="R631" s="19">
        <v>0.49007786369580947</v>
      </c>
      <c r="S631" s="19">
        <v>8.1578936328648571E-2</v>
      </c>
      <c r="T631" s="20">
        <v>12</v>
      </c>
      <c r="U631" s="17">
        <v>2</v>
      </c>
      <c r="V631" s="17">
        <v>21</v>
      </c>
    </row>
    <row r="632" spans="1:22" x14ac:dyDescent="0.2">
      <c r="A632" t="s">
        <v>2148</v>
      </c>
      <c r="B632" t="s">
        <v>1875</v>
      </c>
      <c r="C632" t="s">
        <v>1876</v>
      </c>
      <c r="D632" t="s">
        <v>2136</v>
      </c>
      <c r="E632" s="10" t="s">
        <v>2149</v>
      </c>
      <c r="F632" s="10"/>
      <c r="G632" s="10"/>
      <c r="H632" s="10" t="s">
        <v>2149</v>
      </c>
      <c r="I632" s="14">
        <v>24961.36297544232</v>
      </c>
      <c r="J632" s="19">
        <v>0</v>
      </c>
      <c r="K632" s="19">
        <v>8.8501157038931803E-3</v>
      </c>
      <c r="L632" s="19">
        <v>0.99114988429610662</v>
      </c>
      <c r="M632" s="20">
        <v>1</v>
      </c>
      <c r="N632" s="19">
        <v>0</v>
      </c>
      <c r="O632" s="19">
        <v>8.8501157038931803E-3</v>
      </c>
      <c r="P632" s="19">
        <v>0</v>
      </c>
      <c r="Q632" s="19">
        <v>0.45925237983564821</v>
      </c>
      <c r="R632" s="19">
        <v>0.43165334138705602</v>
      </c>
      <c r="S632" s="19">
        <v>0.10024416307340242</v>
      </c>
      <c r="T632" s="20">
        <v>13</v>
      </c>
      <c r="U632" s="17">
        <v>2</v>
      </c>
      <c r="V632" s="17">
        <v>21</v>
      </c>
    </row>
    <row r="633" spans="1:22" x14ac:dyDescent="0.2">
      <c r="A633" t="s">
        <v>2150</v>
      </c>
      <c r="B633" t="s">
        <v>1875</v>
      </c>
      <c r="C633" t="s">
        <v>1876</v>
      </c>
      <c r="D633" t="s">
        <v>2136</v>
      </c>
      <c r="E633" s="10" t="s">
        <v>2151</v>
      </c>
      <c r="F633" s="10"/>
      <c r="G633" s="10"/>
      <c r="H633" s="10" t="s">
        <v>2151</v>
      </c>
      <c r="I633" s="14">
        <v>7307.9303001277158</v>
      </c>
      <c r="J633" s="19">
        <v>0</v>
      </c>
      <c r="K633" s="19">
        <v>0</v>
      </c>
      <c r="L633" s="19">
        <v>1</v>
      </c>
      <c r="M633" s="20">
        <v>1</v>
      </c>
      <c r="N633" s="19">
        <v>0</v>
      </c>
      <c r="O633" s="19">
        <v>0</v>
      </c>
      <c r="P633" s="19">
        <v>0</v>
      </c>
      <c r="Q633" s="19">
        <v>0.20367611019577828</v>
      </c>
      <c r="R633" s="19">
        <v>0.62473335370816718</v>
      </c>
      <c r="S633" s="19">
        <v>0.17159053609605443</v>
      </c>
      <c r="T633" s="20">
        <v>12</v>
      </c>
      <c r="U633" s="17">
        <v>2</v>
      </c>
      <c r="V633" s="17">
        <v>21</v>
      </c>
    </row>
    <row r="634" spans="1:22" x14ac:dyDescent="0.2">
      <c r="A634" t="s">
        <v>2152</v>
      </c>
      <c r="B634" t="s">
        <v>1875</v>
      </c>
      <c r="C634" t="s">
        <v>1876</v>
      </c>
      <c r="D634" t="s">
        <v>2136</v>
      </c>
      <c r="E634" s="10" t="s">
        <v>2153</v>
      </c>
      <c r="F634" s="10"/>
      <c r="G634" s="10"/>
      <c r="H634" s="10" t="s">
        <v>2153</v>
      </c>
      <c r="I634" s="14">
        <v>20579.419643496163</v>
      </c>
      <c r="J634" s="19">
        <v>0</v>
      </c>
      <c r="K634" s="19">
        <v>0.26141493009423555</v>
      </c>
      <c r="L634" s="19">
        <v>0.73858506990576445</v>
      </c>
      <c r="M634" s="20">
        <v>1</v>
      </c>
      <c r="N634" s="19">
        <v>0</v>
      </c>
      <c r="O634" s="19">
        <v>0.26141493009423555</v>
      </c>
      <c r="P634" s="19">
        <v>0</v>
      </c>
      <c r="Q634" s="19">
        <v>0.18132057847278132</v>
      </c>
      <c r="R634" s="19">
        <v>0.43885824614022723</v>
      </c>
      <c r="S634" s="19">
        <v>0.11840624529275592</v>
      </c>
      <c r="T634" s="20">
        <v>12</v>
      </c>
      <c r="U634" s="17">
        <v>2</v>
      </c>
      <c r="V634" s="17">
        <v>21</v>
      </c>
    </row>
    <row r="635" spans="1:22" x14ac:dyDescent="0.2">
      <c r="A635" t="s">
        <v>2154</v>
      </c>
      <c r="B635" t="s">
        <v>1875</v>
      </c>
      <c r="C635" t="s">
        <v>1876</v>
      </c>
      <c r="D635" t="s">
        <v>2155</v>
      </c>
      <c r="E635" s="10" t="s">
        <v>2156</v>
      </c>
      <c r="F635" s="10"/>
      <c r="G635" s="10"/>
      <c r="H635" s="10" t="s">
        <v>2156</v>
      </c>
      <c r="I635" s="14">
        <v>55385.729816044688</v>
      </c>
      <c r="J635" s="19">
        <v>0</v>
      </c>
      <c r="K635" s="19">
        <v>0.2494983481880502</v>
      </c>
      <c r="L635" s="19">
        <v>0.75050165181194972</v>
      </c>
      <c r="M635" s="20">
        <v>1</v>
      </c>
      <c r="N635" s="19">
        <v>0</v>
      </c>
      <c r="O635" s="19">
        <v>0.2494983481880502</v>
      </c>
      <c r="P635" s="19">
        <v>0</v>
      </c>
      <c r="Q635" s="19">
        <v>0.37825993920805356</v>
      </c>
      <c r="R635" s="19">
        <v>0.34332947300157951</v>
      </c>
      <c r="S635" s="19">
        <v>2.8912239602316585E-2</v>
      </c>
      <c r="T635" s="20">
        <v>13</v>
      </c>
      <c r="U635" s="17">
        <v>2</v>
      </c>
      <c r="V635" s="17">
        <v>21</v>
      </c>
    </row>
    <row r="636" spans="1:22" x14ac:dyDescent="0.2">
      <c r="A636" t="s">
        <v>2157</v>
      </c>
      <c r="B636" t="s">
        <v>1875</v>
      </c>
      <c r="C636" t="s">
        <v>1876</v>
      </c>
      <c r="D636" t="s">
        <v>2155</v>
      </c>
      <c r="E636" s="10" t="s">
        <v>2158</v>
      </c>
      <c r="F636" s="10"/>
      <c r="G636" s="10"/>
      <c r="H636" s="10" t="s">
        <v>2158</v>
      </c>
      <c r="I636" s="14">
        <v>31391.363141101785</v>
      </c>
      <c r="J636" s="19">
        <v>0</v>
      </c>
      <c r="K636" s="19">
        <v>0.3970079982347941</v>
      </c>
      <c r="L636" s="19">
        <v>0.60299200176520584</v>
      </c>
      <c r="M636" s="20">
        <v>1</v>
      </c>
      <c r="N636" s="19">
        <v>0</v>
      </c>
      <c r="O636" s="19">
        <v>0.23902090621177785</v>
      </c>
      <c r="P636" s="19">
        <v>0.15798709202301625</v>
      </c>
      <c r="Q636" s="19">
        <v>0.16435030964135514</v>
      </c>
      <c r="R636" s="19">
        <v>0.35694537392935943</v>
      </c>
      <c r="S636" s="19">
        <v>8.169631819449133E-2</v>
      </c>
      <c r="T636" s="20">
        <v>12</v>
      </c>
      <c r="U636" s="17">
        <v>2</v>
      </c>
      <c r="V636" s="17">
        <v>21</v>
      </c>
    </row>
    <row r="637" spans="1:22" x14ac:dyDescent="0.2">
      <c r="A637" t="s">
        <v>2159</v>
      </c>
      <c r="B637" t="s">
        <v>1875</v>
      </c>
      <c r="C637" t="s">
        <v>1876</v>
      </c>
      <c r="D637" t="s">
        <v>2155</v>
      </c>
      <c r="E637" s="10" t="s">
        <v>2160</v>
      </c>
      <c r="F637" s="10"/>
      <c r="G637" s="10"/>
      <c r="H637" s="10" t="s">
        <v>2160</v>
      </c>
      <c r="I637" s="14">
        <v>54476.639557949267</v>
      </c>
      <c r="J637" s="19">
        <v>0</v>
      </c>
      <c r="K637" s="19">
        <v>0.2516359259127644</v>
      </c>
      <c r="L637" s="19">
        <v>0.7483640740872356</v>
      </c>
      <c r="M637" s="20">
        <v>1</v>
      </c>
      <c r="N637" s="19">
        <v>0</v>
      </c>
      <c r="O637" s="19">
        <v>0.24728633489848501</v>
      </c>
      <c r="P637" s="19">
        <v>4.3495910142793588E-3</v>
      </c>
      <c r="Q637" s="19">
        <v>0.19515487253983749</v>
      </c>
      <c r="R637" s="19">
        <v>0.48286186420058846</v>
      </c>
      <c r="S637" s="19">
        <v>7.0347337346809674E-2</v>
      </c>
      <c r="T637" s="20">
        <v>12</v>
      </c>
      <c r="U637" s="17">
        <v>2</v>
      </c>
      <c r="V637" s="17">
        <v>21</v>
      </c>
    </row>
    <row r="638" spans="1:22" x14ac:dyDescent="0.2">
      <c r="A638" t="s">
        <v>2161</v>
      </c>
      <c r="B638" t="s">
        <v>1875</v>
      </c>
      <c r="C638" t="s">
        <v>1876</v>
      </c>
      <c r="D638" t="s">
        <v>2155</v>
      </c>
      <c r="E638" s="10" t="s">
        <v>2162</v>
      </c>
      <c r="F638" s="10"/>
      <c r="G638" s="10"/>
      <c r="H638" s="10" t="s">
        <v>2162</v>
      </c>
      <c r="I638" s="14">
        <v>137302.52561344393</v>
      </c>
      <c r="J638" s="19">
        <v>0</v>
      </c>
      <c r="K638" s="19">
        <v>0.54238874651789493</v>
      </c>
      <c r="L638" s="19">
        <v>0.45761125348210507</v>
      </c>
      <c r="M638" s="20">
        <v>2</v>
      </c>
      <c r="N638" s="19">
        <v>0.22158588707881471</v>
      </c>
      <c r="O638" s="19">
        <v>0.20491182469363112</v>
      </c>
      <c r="P638" s="19">
        <v>0.11589103474544905</v>
      </c>
      <c r="Q638" s="19">
        <v>0.21975898106900527</v>
      </c>
      <c r="R638" s="19">
        <v>0.20061058270093093</v>
      </c>
      <c r="S638" s="19">
        <v>3.7241689712168881E-2</v>
      </c>
      <c r="T638" s="20">
        <v>23</v>
      </c>
      <c r="U638" s="17">
        <v>2</v>
      </c>
      <c r="V638" s="17">
        <v>21</v>
      </c>
    </row>
    <row r="639" spans="1:22" x14ac:dyDescent="0.2">
      <c r="A639" t="s">
        <v>2163</v>
      </c>
      <c r="B639" t="s">
        <v>1875</v>
      </c>
      <c r="C639" t="s">
        <v>1876</v>
      </c>
      <c r="D639" t="s">
        <v>2155</v>
      </c>
      <c r="E639" s="10" t="s">
        <v>2164</v>
      </c>
      <c r="F639" s="10"/>
      <c r="G639" s="10"/>
      <c r="H639" s="10" t="s">
        <v>2164</v>
      </c>
      <c r="I639" s="14">
        <v>54324.863542450592</v>
      </c>
      <c r="J639" s="19">
        <v>0</v>
      </c>
      <c r="K639" s="19">
        <v>0.4777083780168232</v>
      </c>
      <c r="L639" s="19">
        <v>0.52229162198317691</v>
      </c>
      <c r="M639" s="20">
        <v>1</v>
      </c>
      <c r="N639" s="19">
        <v>0.1120797603561164</v>
      </c>
      <c r="O639" s="19">
        <v>0.13982490763015665</v>
      </c>
      <c r="P639" s="19">
        <v>0.22580371003055016</v>
      </c>
      <c r="Q639" s="19">
        <v>0.15963370988522779</v>
      </c>
      <c r="R639" s="19">
        <v>0.33550135124749408</v>
      </c>
      <c r="S639" s="19">
        <v>2.7156560850454925E-2</v>
      </c>
      <c r="T639" s="20">
        <v>12</v>
      </c>
      <c r="U639" s="17">
        <v>2</v>
      </c>
      <c r="V639" s="17">
        <v>21</v>
      </c>
    </row>
    <row r="640" spans="1:22" x14ac:dyDescent="0.2">
      <c r="A640" t="s">
        <v>2165</v>
      </c>
      <c r="B640" t="s">
        <v>1875</v>
      </c>
      <c r="C640" t="s">
        <v>1876</v>
      </c>
      <c r="D640" t="s">
        <v>2155</v>
      </c>
      <c r="E640" s="10" t="s">
        <v>2166</v>
      </c>
      <c r="F640" s="10"/>
      <c r="G640" s="10"/>
      <c r="H640" s="10" t="s">
        <v>2166</v>
      </c>
      <c r="I640" s="14">
        <v>82975.036737932824</v>
      </c>
      <c r="J640" s="19">
        <v>3.9817856858844577E-2</v>
      </c>
      <c r="K640" s="19">
        <v>0.73120493523761609</v>
      </c>
      <c r="L640" s="19">
        <v>0.22897720790353934</v>
      </c>
      <c r="M640" s="20">
        <v>2</v>
      </c>
      <c r="N640" s="19">
        <v>6.1664478208764598E-2</v>
      </c>
      <c r="O640" s="19">
        <v>0</v>
      </c>
      <c r="P640" s="19">
        <v>0.66954045702885145</v>
      </c>
      <c r="Q640" s="19">
        <v>4.0019976871467765E-2</v>
      </c>
      <c r="R640" s="19">
        <v>0.17770211943692341</v>
      </c>
      <c r="S640" s="19">
        <v>1.1255111595148191E-2</v>
      </c>
      <c r="T640" s="20">
        <v>21</v>
      </c>
      <c r="U640" s="17">
        <v>2</v>
      </c>
      <c r="V640" s="17">
        <v>21</v>
      </c>
    </row>
    <row r="641" spans="1:22" x14ac:dyDescent="0.2">
      <c r="A641" t="s">
        <v>2167</v>
      </c>
      <c r="B641" t="s">
        <v>1875</v>
      </c>
      <c r="C641" t="s">
        <v>1876</v>
      </c>
      <c r="D641" t="s">
        <v>2155</v>
      </c>
      <c r="E641" s="10" t="s">
        <v>2168</v>
      </c>
      <c r="F641" s="10"/>
      <c r="G641" s="10"/>
      <c r="H641" s="10" t="s">
        <v>2168</v>
      </c>
      <c r="I641" s="14">
        <v>147212.73222401273</v>
      </c>
      <c r="J641" s="19">
        <v>7.7703010779006871E-3</v>
      </c>
      <c r="K641" s="19">
        <v>0.64572398729623748</v>
      </c>
      <c r="L641" s="19">
        <v>0.34650571162586191</v>
      </c>
      <c r="M641" s="20">
        <v>2</v>
      </c>
      <c r="N641" s="19">
        <v>6.855320944551338E-2</v>
      </c>
      <c r="O641" s="19">
        <v>0.15256276545142056</v>
      </c>
      <c r="P641" s="19">
        <v>0.42460801239930357</v>
      </c>
      <c r="Q641" s="19">
        <v>0.16799329083890363</v>
      </c>
      <c r="R641" s="19">
        <v>0.16742882147097282</v>
      </c>
      <c r="S641" s="19">
        <v>1.1083599315985428E-2</v>
      </c>
      <c r="T641" s="20">
        <v>22</v>
      </c>
      <c r="U641" s="17">
        <v>2</v>
      </c>
      <c r="V641" s="17">
        <v>21</v>
      </c>
    </row>
    <row r="642" spans="1:22" x14ac:dyDescent="0.2">
      <c r="A642" t="s">
        <v>2169</v>
      </c>
      <c r="B642" t="s">
        <v>1875</v>
      </c>
      <c r="C642" t="s">
        <v>1876</v>
      </c>
      <c r="D642" t="s">
        <v>2155</v>
      </c>
      <c r="E642" s="10" t="s">
        <v>2170</v>
      </c>
      <c r="F642" s="10"/>
      <c r="G642" s="10"/>
      <c r="H642" s="10" t="s">
        <v>2170</v>
      </c>
      <c r="I642" s="14">
        <v>339552.17002751678</v>
      </c>
      <c r="J642" s="19">
        <v>0.84794201088156906</v>
      </c>
      <c r="K642" s="19">
        <v>0.12095510048706544</v>
      </c>
      <c r="L642" s="19">
        <v>3.1102888631365459E-2</v>
      </c>
      <c r="M642" s="20">
        <v>3</v>
      </c>
      <c r="N642" s="19">
        <v>0</v>
      </c>
      <c r="O642" s="19">
        <v>3.4822970218310482E-4</v>
      </c>
      <c r="P642" s="19">
        <v>0.12060687078488234</v>
      </c>
      <c r="Q642" s="19">
        <v>7.9280087882578568E-3</v>
      </c>
      <c r="R642" s="19">
        <v>2.1371161611378416E-2</v>
      </c>
      <c r="S642" s="19">
        <v>1.8037182317291855E-3</v>
      </c>
      <c r="T642" s="20">
        <v>30</v>
      </c>
      <c r="U642" s="17">
        <v>2</v>
      </c>
      <c r="V642" s="17">
        <v>21</v>
      </c>
    </row>
    <row r="643" spans="1:22" x14ac:dyDescent="0.2">
      <c r="A643" t="s">
        <v>2171</v>
      </c>
      <c r="B643" t="s">
        <v>1875</v>
      </c>
      <c r="C643" t="s">
        <v>1876</v>
      </c>
      <c r="D643" t="s">
        <v>2155</v>
      </c>
      <c r="E643" s="10" t="s">
        <v>2172</v>
      </c>
      <c r="F643" s="10"/>
      <c r="G643" s="10"/>
      <c r="H643" s="10" t="s">
        <v>2172</v>
      </c>
      <c r="I643" s="14">
        <v>99297.634420079179</v>
      </c>
      <c r="J643" s="19">
        <v>0</v>
      </c>
      <c r="K643" s="19">
        <v>0.67573360555599071</v>
      </c>
      <c r="L643" s="19">
        <v>0.32426639444400929</v>
      </c>
      <c r="M643" s="20">
        <v>2</v>
      </c>
      <c r="N643" s="19">
        <v>7.9995558142173434E-2</v>
      </c>
      <c r="O643" s="19">
        <v>9.9411300210331205E-2</v>
      </c>
      <c r="P643" s="19">
        <v>0.49632674720348607</v>
      </c>
      <c r="Q643" s="19">
        <v>8.8252372785190616E-2</v>
      </c>
      <c r="R643" s="19">
        <v>0.21981129168293143</v>
      </c>
      <c r="S643" s="19">
        <v>1.6202729975887245E-2</v>
      </c>
      <c r="T643" s="20">
        <v>22</v>
      </c>
      <c r="U643" s="17">
        <v>2</v>
      </c>
      <c r="V643" s="17">
        <v>21</v>
      </c>
    </row>
    <row r="644" spans="1:22" x14ac:dyDescent="0.2">
      <c r="A644" t="s">
        <v>2173</v>
      </c>
      <c r="B644" t="s">
        <v>1875</v>
      </c>
      <c r="C644" t="s">
        <v>1876</v>
      </c>
      <c r="D644" t="s">
        <v>2155</v>
      </c>
      <c r="E644" s="10" t="s">
        <v>2174</v>
      </c>
      <c r="F644" s="10"/>
      <c r="G644" s="10"/>
      <c r="H644" s="10" t="s">
        <v>2174</v>
      </c>
      <c r="I644" s="14">
        <v>34296.477417783812</v>
      </c>
      <c r="J644" s="19">
        <v>0</v>
      </c>
      <c r="K644" s="19">
        <v>0</v>
      </c>
      <c r="L644" s="19">
        <v>1</v>
      </c>
      <c r="M644" s="20">
        <v>1</v>
      </c>
      <c r="N644" s="19">
        <v>0</v>
      </c>
      <c r="O644" s="19">
        <v>0</v>
      </c>
      <c r="P644" s="19">
        <v>0</v>
      </c>
      <c r="Q644" s="19">
        <v>0.72795909759913735</v>
      </c>
      <c r="R644" s="19">
        <v>0.23014588937109554</v>
      </c>
      <c r="S644" s="19">
        <v>4.1895013029767107E-2</v>
      </c>
      <c r="T644" s="20">
        <v>13</v>
      </c>
      <c r="U644" s="17">
        <v>2</v>
      </c>
      <c r="V644" s="17">
        <v>21</v>
      </c>
    </row>
    <row r="645" spans="1:22" x14ac:dyDescent="0.2">
      <c r="A645" t="s">
        <v>2175</v>
      </c>
      <c r="B645" t="s">
        <v>1875</v>
      </c>
      <c r="C645" t="s">
        <v>1876</v>
      </c>
      <c r="D645" t="s">
        <v>2155</v>
      </c>
      <c r="E645" s="10" t="s">
        <v>2176</v>
      </c>
      <c r="F645" s="10"/>
      <c r="G645" s="10"/>
      <c r="H645" s="10" t="s">
        <v>2176</v>
      </c>
      <c r="I645" s="14">
        <v>216108.83878384158</v>
      </c>
      <c r="J645" s="19">
        <v>2.2827135238526312E-2</v>
      </c>
      <c r="K645" s="19">
        <v>0.69319981380147777</v>
      </c>
      <c r="L645" s="19">
        <v>0.28397305095999587</v>
      </c>
      <c r="M645" s="20">
        <v>2</v>
      </c>
      <c r="N645" s="19">
        <v>0.41233006331284494</v>
      </c>
      <c r="O645" s="19">
        <v>6.8785474637765394E-3</v>
      </c>
      <c r="P645" s="19">
        <v>0.2739912030248563</v>
      </c>
      <c r="Q645" s="19">
        <v>0.13287822000860425</v>
      </c>
      <c r="R645" s="19">
        <v>0.1248997449417204</v>
      </c>
      <c r="S645" s="19">
        <v>2.6195086009671218E-2</v>
      </c>
      <c r="T645" s="20">
        <v>23</v>
      </c>
      <c r="U645" s="17">
        <v>2</v>
      </c>
      <c r="V645" s="17">
        <v>21</v>
      </c>
    </row>
    <row r="646" spans="1:22" x14ac:dyDescent="0.2">
      <c r="A646" t="s">
        <v>2177</v>
      </c>
      <c r="B646" t="s">
        <v>1875</v>
      </c>
      <c r="C646" t="s">
        <v>1876</v>
      </c>
      <c r="D646" t="s">
        <v>2155</v>
      </c>
      <c r="E646" s="10" t="s">
        <v>2178</v>
      </c>
      <c r="F646" s="10"/>
      <c r="G646" s="10"/>
      <c r="H646" s="10" t="s">
        <v>2178</v>
      </c>
      <c r="I646" s="14">
        <v>94080.406625464559</v>
      </c>
      <c r="J646" s="19">
        <v>0</v>
      </c>
      <c r="K646" s="19">
        <v>0.28453318461572391</v>
      </c>
      <c r="L646" s="19">
        <v>0.71546681538427603</v>
      </c>
      <c r="M646" s="20">
        <v>1</v>
      </c>
      <c r="N646" s="19">
        <v>5.3864023646017341E-2</v>
      </c>
      <c r="O646" s="19">
        <v>0.19621273937929695</v>
      </c>
      <c r="P646" s="19">
        <v>3.4456421590409646E-2</v>
      </c>
      <c r="Q646" s="19">
        <v>0.34621950193498918</v>
      </c>
      <c r="R646" s="19">
        <v>0.29160494521149505</v>
      </c>
      <c r="S646" s="19">
        <v>7.7642368237791831E-2</v>
      </c>
      <c r="T646" s="20">
        <v>13</v>
      </c>
      <c r="U646" s="17">
        <v>2</v>
      </c>
      <c r="V646" s="17">
        <v>21</v>
      </c>
    </row>
    <row r="647" spans="1:22" x14ac:dyDescent="0.2">
      <c r="A647" t="s">
        <v>2179</v>
      </c>
      <c r="B647" t="s">
        <v>1875</v>
      </c>
      <c r="C647" t="s">
        <v>1876</v>
      </c>
      <c r="D647" t="s">
        <v>2180</v>
      </c>
      <c r="E647" s="10" t="s">
        <v>2181</v>
      </c>
      <c r="F647" s="10"/>
      <c r="G647" s="10"/>
      <c r="H647" s="10" t="s">
        <v>2181</v>
      </c>
      <c r="I647" s="14">
        <v>26397.606822338887</v>
      </c>
      <c r="J647" s="19">
        <v>0</v>
      </c>
      <c r="K647" s="19">
        <v>0</v>
      </c>
      <c r="L647" s="19">
        <v>1</v>
      </c>
      <c r="M647" s="20">
        <v>1</v>
      </c>
      <c r="N647" s="19">
        <v>0</v>
      </c>
      <c r="O647" s="19">
        <v>0</v>
      </c>
      <c r="P647" s="19">
        <v>0</v>
      </c>
      <c r="Q647" s="19">
        <v>0.52342429281922953</v>
      </c>
      <c r="R647" s="19">
        <v>0.37873387100637962</v>
      </c>
      <c r="S647" s="19">
        <v>9.7841836174390823E-2</v>
      </c>
      <c r="T647" s="20">
        <v>13</v>
      </c>
      <c r="U647" s="17">
        <v>2</v>
      </c>
      <c r="V647" s="17">
        <v>21</v>
      </c>
    </row>
    <row r="648" spans="1:22" x14ac:dyDescent="0.2">
      <c r="A648" t="s">
        <v>2182</v>
      </c>
      <c r="B648" t="s">
        <v>1875</v>
      </c>
      <c r="C648" t="s">
        <v>1876</v>
      </c>
      <c r="D648" t="s">
        <v>2180</v>
      </c>
      <c r="E648" s="10" t="s">
        <v>2183</v>
      </c>
      <c r="F648" s="10"/>
      <c r="G648" s="10"/>
      <c r="H648" s="10" t="s">
        <v>2183</v>
      </c>
      <c r="I648" s="14">
        <v>20117.370023706695</v>
      </c>
      <c r="J648" s="19">
        <v>0</v>
      </c>
      <c r="K648" s="19">
        <v>0</v>
      </c>
      <c r="L648" s="19">
        <v>1</v>
      </c>
      <c r="M648" s="20">
        <v>1</v>
      </c>
      <c r="N648" s="19">
        <v>0</v>
      </c>
      <c r="O648" s="19">
        <v>0</v>
      </c>
      <c r="P648" s="19">
        <v>0</v>
      </c>
      <c r="Q648" s="19">
        <v>0.42158837428214491</v>
      </c>
      <c r="R648" s="19">
        <v>0.47846863779901788</v>
      </c>
      <c r="S648" s="19">
        <v>9.9942987918837226E-2</v>
      </c>
      <c r="T648" s="20">
        <v>12</v>
      </c>
      <c r="U648" s="17">
        <v>2</v>
      </c>
      <c r="V648" s="17">
        <v>21</v>
      </c>
    </row>
    <row r="649" spans="1:22" x14ac:dyDescent="0.2">
      <c r="A649" t="s">
        <v>2184</v>
      </c>
      <c r="B649" t="s">
        <v>1875</v>
      </c>
      <c r="C649" t="s">
        <v>1876</v>
      </c>
      <c r="D649" t="s">
        <v>2180</v>
      </c>
      <c r="E649" s="10" t="s">
        <v>2185</v>
      </c>
      <c r="F649" s="10"/>
      <c r="G649" s="10"/>
      <c r="H649" s="10" t="s">
        <v>2185</v>
      </c>
      <c r="I649" s="14">
        <v>23453.535541332327</v>
      </c>
      <c r="J649" s="19">
        <v>0</v>
      </c>
      <c r="K649" s="19">
        <v>0</v>
      </c>
      <c r="L649" s="19">
        <v>1</v>
      </c>
      <c r="M649" s="20">
        <v>1</v>
      </c>
      <c r="N649" s="19">
        <v>0</v>
      </c>
      <c r="O649" s="19">
        <v>0</v>
      </c>
      <c r="P649" s="19">
        <v>0</v>
      </c>
      <c r="Q649" s="19">
        <v>0.47281373372375435</v>
      </c>
      <c r="R649" s="19">
        <v>0.45468089038276133</v>
      </c>
      <c r="S649" s="19">
        <v>7.2505375893484339E-2</v>
      </c>
      <c r="T649" s="20">
        <v>13</v>
      </c>
      <c r="U649" s="17">
        <v>2</v>
      </c>
      <c r="V649" s="17">
        <v>21</v>
      </c>
    </row>
    <row r="650" spans="1:22" x14ac:dyDescent="0.2">
      <c r="A650" t="s">
        <v>2186</v>
      </c>
      <c r="B650" t="s">
        <v>1875</v>
      </c>
      <c r="C650" t="s">
        <v>1876</v>
      </c>
      <c r="D650" t="s">
        <v>2180</v>
      </c>
      <c r="E650" s="10" t="s">
        <v>2187</v>
      </c>
      <c r="F650" s="10"/>
      <c r="G650" s="10"/>
      <c r="H650" s="10" t="s">
        <v>2187</v>
      </c>
      <c r="I650" s="14">
        <v>37092.652383244829</v>
      </c>
      <c r="J650" s="19">
        <v>0</v>
      </c>
      <c r="K650" s="19">
        <v>0.70324587126057581</v>
      </c>
      <c r="L650" s="19">
        <v>0.29675412873942419</v>
      </c>
      <c r="M650" s="20">
        <v>2</v>
      </c>
      <c r="N650" s="19">
        <v>0.49220423296328525</v>
      </c>
      <c r="O650" s="19">
        <v>0</v>
      </c>
      <c r="P650" s="19">
        <v>0.21104163829729056</v>
      </c>
      <c r="Q650" s="19">
        <v>1.8622165659494455E-2</v>
      </c>
      <c r="R650" s="19">
        <v>0.21776780802926463</v>
      </c>
      <c r="S650" s="19">
        <v>6.0364155050665141E-2</v>
      </c>
      <c r="T650" s="20">
        <v>23</v>
      </c>
      <c r="U650" s="17">
        <v>2</v>
      </c>
      <c r="V650" s="17">
        <v>21</v>
      </c>
    </row>
    <row r="651" spans="1:22" x14ac:dyDescent="0.2">
      <c r="A651" t="s">
        <v>2188</v>
      </c>
      <c r="B651" t="s">
        <v>1875</v>
      </c>
      <c r="C651" t="s">
        <v>1876</v>
      </c>
      <c r="D651" t="s">
        <v>2180</v>
      </c>
      <c r="E651" s="10" t="s">
        <v>2189</v>
      </c>
      <c r="F651" s="10"/>
      <c r="G651" s="10"/>
      <c r="H651" s="10" t="s">
        <v>2189</v>
      </c>
      <c r="I651" s="14">
        <v>40572.329767451622</v>
      </c>
      <c r="J651" s="19">
        <v>0</v>
      </c>
      <c r="K651" s="19">
        <v>0.19971810391979039</v>
      </c>
      <c r="L651" s="19">
        <v>0.80028189608020961</v>
      </c>
      <c r="M651" s="20">
        <v>1</v>
      </c>
      <c r="N651" s="19">
        <v>0</v>
      </c>
      <c r="O651" s="19">
        <v>0.11224917644991676</v>
      </c>
      <c r="P651" s="19">
        <v>8.7468927469873614E-2</v>
      </c>
      <c r="Q651" s="19">
        <v>0.32586386331999567</v>
      </c>
      <c r="R651" s="19">
        <v>0.37748010291556261</v>
      </c>
      <c r="S651" s="19">
        <v>9.6937929844651327E-2</v>
      </c>
      <c r="T651" s="20">
        <v>12</v>
      </c>
      <c r="U651" s="17">
        <v>2</v>
      </c>
      <c r="V651" s="17">
        <v>21</v>
      </c>
    </row>
    <row r="652" spans="1:22" x14ac:dyDescent="0.2">
      <c r="A652" t="s">
        <v>2190</v>
      </c>
      <c r="B652" t="s">
        <v>1875</v>
      </c>
      <c r="C652" t="s">
        <v>1876</v>
      </c>
      <c r="D652" t="s">
        <v>2191</v>
      </c>
      <c r="E652" s="10" t="s">
        <v>2192</v>
      </c>
      <c r="F652" s="10"/>
      <c r="G652" s="10"/>
      <c r="H652" s="10" t="s">
        <v>2192</v>
      </c>
      <c r="I652" s="14">
        <v>59949.486290954046</v>
      </c>
      <c r="J652" s="19">
        <v>0</v>
      </c>
      <c r="K652" s="19">
        <v>0.46788941132115813</v>
      </c>
      <c r="L652" s="19">
        <v>0.53211058867884198</v>
      </c>
      <c r="M652" s="20">
        <v>1</v>
      </c>
      <c r="N652" s="19">
        <v>0</v>
      </c>
      <c r="O652" s="19">
        <v>0.46788941132115813</v>
      </c>
      <c r="P652" s="19">
        <v>0</v>
      </c>
      <c r="Q652" s="19">
        <v>0.19950564152881883</v>
      </c>
      <c r="R652" s="19">
        <v>0.30834269721126495</v>
      </c>
      <c r="S652" s="19">
        <v>2.4262249938758217E-2</v>
      </c>
      <c r="T652" s="20">
        <v>12</v>
      </c>
      <c r="U652" s="17">
        <v>2</v>
      </c>
      <c r="V652" s="17">
        <v>21</v>
      </c>
    </row>
    <row r="653" spans="1:22" x14ac:dyDescent="0.2">
      <c r="A653" t="s">
        <v>2193</v>
      </c>
      <c r="B653" t="s">
        <v>1875</v>
      </c>
      <c r="C653" t="s">
        <v>1876</v>
      </c>
      <c r="D653" t="s">
        <v>2191</v>
      </c>
      <c r="E653" s="10" t="s">
        <v>2194</v>
      </c>
      <c r="F653" s="10"/>
      <c r="G653" s="10"/>
      <c r="H653" s="10" t="s">
        <v>2194</v>
      </c>
      <c r="I653" s="14">
        <v>57601.838053562678</v>
      </c>
      <c r="J653" s="19">
        <v>0</v>
      </c>
      <c r="K653" s="19">
        <v>0.30145533975485822</v>
      </c>
      <c r="L653" s="19">
        <v>0.69854466024514195</v>
      </c>
      <c r="M653" s="20">
        <v>1</v>
      </c>
      <c r="N653" s="19">
        <v>0</v>
      </c>
      <c r="O653" s="19">
        <v>0.26712133763152113</v>
      </c>
      <c r="P653" s="19">
        <v>3.43340021233371E-2</v>
      </c>
      <c r="Q653" s="19">
        <v>0.16957224222254452</v>
      </c>
      <c r="R653" s="19">
        <v>0.50712816816873552</v>
      </c>
      <c r="S653" s="19">
        <v>2.1844249853861682E-2</v>
      </c>
      <c r="T653" s="20">
        <v>12</v>
      </c>
      <c r="U653" s="17">
        <v>2</v>
      </c>
      <c r="V653" s="17">
        <v>21</v>
      </c>
    </row>
    <row r="654" spans="1:22" x14ac:dyDescent="0.2">
      <c r="A654" t="s">
        <v>2195</v>
      </c>
      <c r="B654" t="s">
        <v>1875</v>
      </c>
      <c r="C654" t="s">
        <v>1876</v>
      </c>
      <c r="D654" t="s">
        <v>2191</v>
      </c>
      <c r="E654" s="10" t="s">
        <v>2196</v>
      </c>
      <c r="F654" s="10"/>
      <c r="G654" s="10"/>
      <c r="H654" s="10" t="s">
        <v>2196</v>
      </c>
      <c r="I654" s="14">
        <v>99249.633204969345</v>
      </c>
      <c r="J654" s="19">
        <v>0</v>
      </c>
      <c r="K654" s="19">
        <v>0.10283717751469677</v>
      </c>
      <c r="L654" s="19">
        <v>0.89716282248530321</v>
      </c>
      <c r="M654" s="20">
        <v>1</v>
      </c>
      <c r="N654" s="19">
        <v>0</v>
      </c>
      <c r="O654" s="19">
        <v>0.10283717751469677</v>
      </c>
      <c r="P654" s="19">
        <v>0</v>
      </c>
      <c r="Q654" s="19">
        <v>0.22619008395242932</v>
      </c>
      <c r="R654" s="19">
        <v>0.63807676735561869</v>
      </c>
      <c r="S654" s="19">
        <v>3.2895971177255276E-2</v>
      </c>
      <c r="T654" s="20">
        <v>12</v>
      </c>
      <c r="U654" s="17">
        <v>2</v>
      </c>
      <c r="V654" s="17">
        <v>21</v>
      </c>
    </row>
    <row r="655" spans="1:22" x14ac:dyDescent="0.2">
      <c r="A655" t="s">
        <v>2197</v>
      </c>
      <c r="B655" t="s">
        <v>1875</v>
      </c>
      <c r="C655" t="s">
        <v>1876</v>
      </c>
      <c r="D655" t="s">
        <v>2191</v>
      </c>
      <c r="E655" s="10" t="s">
        <v>2198</v>
      </c>
      <c r="F655" s="10"/>
      <c r="G655" s="10"/>
      <c r="H655" s="10" t="s">
        <v>2198</v>
      </c>
      <c r="I655" s="14">
        <v>40783.926023979206</v>
      </c>
      <c r="J655" s="19">
        <v>0</v>
      </c>
      <c r="K655" s="19">
        <v>5.6996856379354727E-2</v>
      </c>
      <c r="L655" s="19">
        <v>0.9430031436206453</v>
      </c>
      <c r="M655" s="20">
        <v>1</v>
      </c>
      <c r="N655" s="19">
        <v>0</v>
      </c>
      <c r="O655" s="19">
        <v>5.6396210783345398E-2</v>
      </c>
      <c r="P655" s="19">
        <v>6.0064559600933034E-4</v>
      </c>
      <c r="Q655" s="19">
        <v>0.18773036262510984</v>
      </c>
      <c r="R655" s="19">
        <v>0.73228293208656503</v>
      </c>
      <c r="S655" s="19">
        <v>2.2989848908970455E-2</v>
      </c>
      <c r="T655" s="20">
        <v>12</v>
      </c>
      <c r="U655" s="17">
        <v>2</v>
      </c>
      <c r="V655" s="17">
        <v>21</v>
      </c>
    </row>
    <row r="656" spans="1:22" x14ac:dyDescent="0.2">
      <c r="A656" t="s">
        <v>2199</v>
      </c>
      <c r="B656" t="s">
        <v>1875</v>
      </c>
      <c r="C656" t="s">
        <v>1876</v>
      </c>
      <c r="D656" t="s">
        <v>2191</v>
      </c>
      <c r="E656" s="10" t="s">
        <v>2200</v>
      </c>
      <c r="F656" s="10"/>
      <c r="G656" s="10"/>
      <c r="H656" s="10" t="s">
        <v>2200</v>
      </c>
      <c r="I656" s="14">
        <v>116370.51885124155</v>
      </c>
      <c r="J656" s="19">
        <v>0</v>
      </c>
      <c r="K656" s="19">
        <v>0.45016791275929241</v>
      </c>
      <c r="L656" s="19">
        <v>0.54983208724070776</v>
      </c>
      <c r="M656" s="20">
        <v>1</v>
      </c>
      <c r="N656" s="19">
        <v>0</v>
      </c>
      <c r="O656" s="19">
        <v>0.10704755537868003</v>
      </c>
      <c r="P656" s="19">
        <v>0.34312035738061242</v>
      </c>
      <c r="Q656" s="19">
        <v>0.17460081383238099</v>
      </c>
      <c r="R656" s="19">
        <v>0.36381558024063609</v>
      </c>
      <c r="S656" s="19">
        <v>1.1415693167690602E-2</v>
      </c>
      <c r="T656" s="20">
        <v>12</v>
      </c>
      <c r="U656" s="17">
        <v>2</v>
      </c>
      <c r="V656" s="17">
        <v>21</v>
      </c>
    </row>
    <row r="657" spans="1:22" x14ac:dyDescent="0.2">
      <c r="A657" t="s">
        <v>2201</v>
      </c>
      <c r="B657" t="s">
        <v>1875</v>
      </c>
      <c r="C657" t="s">
        <v>1876</v>
      </c>
      <c r="D657" t="s">
        <v>2191</v>
      </c>
      <c r="E657" s="10" t="s">
        <v>2191</v>
      </c>
      <c r="F657" s="10"/>
      <c r="G657" s="10"/>
      <c r="H657" s="10" t="s">
        <v>2191</v>
      </c>
      <c r="I657" s="14">
        <v>20031.1846917402</v>
      </c>
      <c r="J657" s="19">
        <v>0</v>
      </c>
      <c r="K657" s="19">
        <v>0.93511994433520884</v>
      </c>
      <c r="L657" s="19">
        <v>6.4880055664791159E-2</v>
      </c>
      <c r="M657" s="20">
        <v>2</v>
      </c>
      <c r="N657" s="19">
        <v>0.67014372198693251</v>
      </c>
      <c r="O657" s="19">
        <v>0</v>
      </c>
      <c r="P657" s="19">
        <v>0.26497622234827645</v>
      </c>
      <c r="Q657" s="19">
        <v>0</v>
      </c>
      <c r="R657" s="19">
        <v>6.3282441196463771E-2</v>
      </c>
      <c r="S657" s="19">
        <v>1.5976144683273867E-3</v>
      </c>
      <c r="T657" s="20">
        <v>23</v>
      </c>
      <c r="U657" s="17">
        <v>2</v>
      </c>
      <c r="V657" s="17">
        <v>21</v>
      </c>
    </row>
    <row r="658" spans="1:22" x14ac:dyDescent="0.2">
      <c r="A658" t="s">
        <v>2202</v>
      </c>
      <c r="B658" t="s">
        <v>1875</v>
      </c>
      <c r="C658" t="s">
        <v>1876</v>
      </c>
      <c r="D658" t="s">
        <v>2191</v>
      </c>
      <c r="E658" s="10" t="s">
        <v>2203</v>
      </c>
      <c r="F658" s="10"/>
      <c r="G658" s="10"/>
      <c r="H658" s="10" t="s">
        <v>2203</v>
      </c>
      <c r="I658" s="14">
        <v>56028.343811256811</v>
      </c>
      <c r="J658" s="19">
        <v>0</v>
      </c>
      <c r="K658" s="19">
        <v>0.22909203854731811</v>
      </c>
      <c r="L658" s="19">
        <v>0.77090796145268181</v>
      </c>
      <c r="M658" s="20">
        <v>1</v>
      </c>
      <c r="N658" s="19">
        <v>0</v>
      </c>
      <c r="O658" s="19">
        <v>0.21037959224590125</v>
      </c>
      <c r="P658" s="19">
        <v>1.8712446301416854E-2</v>
      </c>
      <c r="Q658" s="19">
        <v>0.27426983769678814</v>
      </c>
      <c r="R658" s="19">
        <v>0.4714335058905415</v>
      </c>
      <c r="S658" s="19">
        <v>2.5204617865352254E-2</v>
      </c>
      <c r="T658" s="20">
        <v>12</v>
      </c>
      <c r="U658" s="17">
        <v>2</v>
      </c>
      <c r="V658" s="17">
        <v>21</v>
      </c>
    </row>
    <row r="659" spans="1:22" x14ac:dyDescent="0.2">
      <c r="A659" t="s">
        <v>2204</v>
      </c>
      <c r="B659" t="s">
        <v>1875</v>
      </c>
      <c r="C659" t="s">
        <v>1876</v>
      </c>
      <c r="D659" t="s">
        <v>2205</v>
      </c>
      <c r="E659" s="10" t="s">
        <v>2206</v>
      </c>
      <c r="F659" s="10"/>
      <c r="G659" s="10"/>
      <c r="H659" s="10" t="s">
        <v>2206</v>
      </c>
      <c r="I659" s="14">
        <v>44703.97569100745</v>
      </c>
      <c r="J659" s="19">
        <v>0</v>
      </c>
      <c r="K659" s="19">
        <v>0.86835448406927063</v>
      </c>
      <c r="L659" s="19">
        <v>0.13164551593072932</v>
      </c>
      <c r="M659" s="20">
        <v>2</v>
      </c>
      <c r="N659" s="19">
        <v>0.36327376403493561</v>
      </c>
      <c r="O659" s="19">
        <v>0.11773469546958057</v>
      </c>
      <c r="P659" s="19">
        <v>0.38734602456475448</v>
      </c>
      <c r="Q659" s="19">
        <v>5.1708427612701835E-2</v>
      </c>
      <c r="R659" s="19">
        <v>6.8087386852999268E-2</v>
      </c>
      <c r="S659" s="19">
        <v>1.184970146502822E-2</v>
      </c>
      <c r="T659" s="20">
        <v>23</v>
      </c>
      <c r="U659" s="17">
        <v>2</v>
      </c>
      <c r="V659" s="17">
        <v>21</v>
      </c>
    </row>
    <row r="660" spans="1:22" x14ac:dyDescent="0.2">
      <c r="A660" t="s">
        <v>2207</v>
      </c>
      <c r="B660" t="s">
        <v>1875</v>
      </c>
      <c r="C660" t="s">
        <v>1876</v>
      </c>
      <c r="D660" t="s">
        <v>2205</v>
      </c>
      <c r="E660" s="10" t="s">
        <v>2208</v>
      </c>
      <c r="F660" s="10"/>
      <c r="G660" s="10"/>
      <c r="H660" s="10" t="s">
        <v>2208</v>
      </c>
      <c r="I660" s="14">
        <v>142474.13787493762</v>
      </c>
      <c r="J660" s="19">
        <v>0</v>
      </c>
      <c r="K660" s="19">
        <v>0.90788742966999536</v>
      </c>
      <c r="L660" s="19">
        <v>9.2112570330004667E-2</v>
      </c>
      <c r="M660" s="20">
        <v>2</v>
      </c>
      <c r="N660" s="19">
        <v>3.789401846406186E-2</v>
      </c>
      <c r="O660" s="19">
        <v>0</v>
      </c>
      <c r="P660" s="19">
        <v>0.86999341120593343</v>
      </c>
      <c r="Q660" s="19">
        <v>4.7826698764450517E-5</v>
      </c>
      <c r="R660" s="19">
        <v>8.7428499803080872E-2</v>
      </c>
      <c r="S660" s="19">
        <v>4.6362438281593241E-3</v>
      </c>
      <c r="T660" s="20">
        <v>21</v>
      </c>
      <c r="U660" s="17">
        <v>2</v>
      </c>
      <c r="V660" s="17">
        <v>21</v>
      </c>
    </row>
    <row r="661" spans="1:22" x14ac:dyDescent="0.2">
      <c r="A661" t="s">
        <v>2209</v>
      </c>
      <c r="B661" t="s">
        <v>1875</v>
      </c>
      <c r="C661" t="s">
        <v>1876</v>
      </c>
      <c r="D661" t="s">
        <v>2205</v>
      </c>
      <c r="E661" s="10" t="s">
        <v>2210</v>
      </c>
      <c r="F661" s="10"/>
      <c r="G661" s="10"/>
      <c r="H661" s="10" t="s">
        <v>2210</v>
      </c>
      <c r="I661" s="14">
        <v>25220.436307201162</v>
      </c>
      <c r="J661" s="19">
        <v>0</v>
      </c>
      <c r="K661" s="19">
        <v>0.52315282726117596</v>
      </c>
      <c r="L661" s="19">
        <v>0.47684717273882415</v>
      </c>
      <c r="M661" s="20">
        <v>2</v>
      </c>
      <c r="N661" s="19">
        <v>4.5734389412353874E-3</v>
      </c>
      <c r="O661" s="19">
        <v>0.22643093609584769</v>
      </c>
      <c r="P661" s="19">
        <v>0.29214845222409286</v>
      </c>
      <c r="Q661" s="19">
        <v>0.23021195383965834</v>
      </c>
      <c r="R661" s="19">
        <v>0.22078843917591312</v>
      </c>
      <c r="S661" s="19">
        <v>2.5846779723252625E-2</v>
      </c>
      <c r="T661" s="20">
        <v>22</v>
      </c>
      <c r="U661" s="17">
        <v>2</v>
      </c>
      <c r="V661" s="17">
        <v>21</v>
      </c>
    </row>
    <row r="662" spans="1:22" x14ac:dyDescent="0.2">
      <c r="A662" t="s">
        <v>2211</v>
      </c>
      <c r="B662" t="s">
        <v>1875</v>
      </c>
      <c r="C662" t="s">
        <v>1876</v>
      </c>
      <c r="D662" t="s">
        <v>2205</v>
      </c>
      <c r="E662" s="10" t="s">
        <v>2212</v>
      </c>
      <c r="F662" s="10"/>
      <c r="G662" s="10"/>
      <c r="H662" s="10" t="s">
        <v>2212</v>
      </c>
      <c r="I662" s="14">
        <v>41589.146918810438</v>
      </c>
      <c r="J662" s="19">
        <v>0</v>
      </c>
      <c r="K662" s="19">
        <v>0.80975885331341668</v>
      </c>
      <c r="L662" s="19">
        <v>0.19024114668658335</v>
      </c>
      <c r="M662" s="20">
        <v>2</v>
      </c>
      <c r="N662" s="19">
        <v>0.38813732173362714</v>
      </c>
      <c r="O662" s="19">
        <v>0</v>
      </c>
      <c r="P662" s="19">
        <v>0.42162153157978954</v>
      </c>
      <c r="Q662" s="19">
        <v>6.5669749152497459E-2</v>
      </c>
      <c r="R662" s="19">
        <v>0.12144654663802616</v>
      </c>
      <c r="S662" s="19">
        <v>3.1248508960596885E-3</v>
      </c>
      <c r="T662" s="20">
        <v>23</v>
      </c>
      <c r="U662" s="17">
        <v>2</v>
      </c>
      <c r="V662" s="17">
        <v>21</v>
      </c>
    </row>
    <row r="663" spans="1:22" x14ac:dyDescent="0.2">
      <c r="A663" t="s">
        <v>2213</v>
      </c>
      <c r="B663" t="s">
        <v>1875</v>
      </c>
      <c r="C663" t="s">
        <v>1876</v>
      </c>
      <c r="D663" t="s">
        <v>2205</v>
      </c>
      <c r="E663" s="10" t="s">
        <v>2214</v>
      </c>
      <c r="F663" s="10"/>
      <c r="G663" s="10"/>
      <c r="H663" s="10" t="s">
        <v>2214</v>
      </c>
      <c r="I663" s="14">
        <v>48781.980969351724</v>
      </c>
      <c r="J663" s="19">
        <v>0</v>
      </c>
      <c r="K663" s="19">
        <v>0.49136022490391301</v>
      </c>
      <c r="L663" s="19">
        <v>0.50863977509608682</v>
      </c>
      <c r="M663" s="20">
        <v>1</v>
      </c>
      <c r="N663" s="19">
        <v>0.19981486468429663</v>
      </c>
      <c r="O663" s="19">
        <v>0.26960500832946338</v>
      </c>
      <c r="P663" s="19">
        <v>2.1940351890153011E-2</v>
      </c>
      <c r="Q663" s="19">
        <v>0.33523282466556908</v>
      </c>
      <c r="R663" s="19">
        <v>0.15849747295937408</v>
      </c>
      <c r="S663" s="19">
        <v>1.4909477471143679E-2</v>
      </c>
      <c r="T663" s="20">
        <v>13</v>
      </c>
      <c r="U663" s="17">
        <v>2</v>
      </c>
      <c r="V663" s="17">
        <v>21</v>
      </c>
    </row>
    <row r="664" spans="1:22" x14ac:dyDescent="0.2">
      <c r="A664" t="s">
        <v>2215</v>
      </c>
      <c r="B664" t="s">
        <v>1875</v>
      </c>
      <c r="C664" t="s">
        <v>1876</v>
      </c>
      <c r="D664" t="s">
        <v>2205</v>
      </c>
      <c r="E664" s="10" t="s">
        <v>2216</v>
      </c>
      <c r="F664" s="10"/>
      <c r="G664" s="10"/>
      <c r="H664" s="10" t="s">
        <v>2216</v>
      </c>
      <c r="I664" s="14">
        <v>93523.863247298636</v>
      </c>
      <c r="J664" s="19">
        <v>0</v>
      </c>
      <c r="K664" s="19">
        <v>0.68207242231862775</v>
      </c>
      <c r="L664" s="19">
        <v>0.31792757768137225</v>
      </c>
      <c r="M664" s="20">
        <v>2</v>
      </c>
      <c r="N664" s="19">
        <v>0.14765707642364492</v>
      </c>
      <c r="O664" s="19">
        <v>0.31275439298574448</v>
      </c>
      <c r="P664" s="19">
        <v>0.22166095290923829</v>
      </c>
      <c r="Q664" s="19">
        <v>0.14389856887456651</v>
      </c>
      <c r="R664" s="19">
        <v>0.16081189336797375</v>
      </c>
      <c r="S664" s="19">
        <v>1.3217115438832038E-2</v>
      </c>
      <c r="T664" s="20">
        <v>22</v>
      </c>
      <c r="U664" s="17">
        <v>2</v>
      </c>
      <c r="V664" s="17">
        <v>21</v>
      </c>
    </row>
    <row r="665" spans="1:22" x14ac:dyDescent="0.2">
      <c r="A665" t="s">
        <v>2217</v>
      </c>
      <c r="B665" t="s">
        <v>1875</v>
      </c>
      <c r="C665" t="s">
        <v>1876</v>
      </c>
      <c r="D665" t="s">
        <v>2205</v>
      </c>
      <c r="E665" s="10" t="s">
        <v>2218</v>
      </c>
      <c r="F665" s="10"/>
      <c r="G665" s="10"/>
      <c r="H665" s="10" t="s">
        <v>2218</v>
      </c>
      <c r="I665" s="14">
        <v>97062.103557714261</v>
      </c>
      <c r="J665" s="19">
        <v>0</v>
      </c>
      <c r="K665" s="19">
        <v>0.90634647008489688</v>
      </c>
      <c r="L665" s="19">
        <v>9.3653529915103173E-2</v>
      </c>
      <c r="M665" s="20">
        <v>2</v>
      </c>
      <c r="N665" s="19">
        <v>0</v>
      </c>
      <c r="O665" s="19">
        <v>0</v>
      </c>
      <c r="P665" s="19">
        <v>0.90634647008489688</v>
      </c>
      <c r="Q665" s="19">
        <v>9.6604048720452095E-3</v>
      </c>
      <c r="R665" s="19">
        <v>7.8283633378555137E-2</v>
      </c>
      <c r="S665" s="19">
        <v>5.7094916645028171E-3</v>
      </c>
      <c r="T665" s="20">
        <v>21</v>
      </c>
      <c r="U665" s="17">
        <v>2</v>
      </c>
      <c r="V665" s="17">
        <v>21</v>
      </c>
    </row>
    <row r="666" spans="1:22" x14ac:dyDescent="0.2">
      <c r="A666" t="s">
        <v>2219</v>
      </c>
      <c r="B666" t="s">
        <v>1875</v>
      </c>
      <c r="C666" t="s">
        <v>1876</v>
      </c>
      <c r="D666" t="s">
        <v>2205</v>
      </c>
      <c r="E666" s="10" t="s">
        <v>2081</v>
      </c>
      <c r="F666" s="10"/>
      <c r="G666" s="10"/>
      <c r="H666" s="10" t="s">
        <v>2081</v>
      </c>
      <c r="I666" s="14">
        <v>109699.44616282173</v>
      </c>
      <c r="J666" s="19">
        <v>0</v>
      </c>
      <c r="K666" s="19">
        <v>0.84242252479083068</v>
      </c>
      <c r="L666" s="19">
        <v>0.15757747520916926</v>
      </c>
      <c r="M666" s="20">
        <v>2</v>
      </c>
      <c r="N666" s="19">
        <v>0</v>
      </c>
      <c r="O666" s="19">
        <v>0</v>
      </c>
      <c r="P666" s="19">
        <v>0.84242252479083068</v>
      </c>
      <c r="Q666" s="19">
        <v>1.5491827384271826E-2</v>
      </c>
      <c r="R666" s="19">
        <v>0.13878181963742714</v>
      </c>
      <c r="S666" s="19">
        <v>3.3038281874702997E-3</v>
      </c>
      <c r="T666" s="20">
        <v>21</v>
      </c>
      <c r="U666" s="17">
        <v>2</v>
      </c>
      <c r="V666" s="17">
        <v>21</v>
      </c>
    </row>
    <row r="667" spans="1:22" x14ac:dyDescent="0.2">
      <c r="A667" t="s">
        <v>2220</v>
      </c>
      <c r="B667" t="s">
        <v>1875</v>
      </c>
      <c r="C667" t="s">
        <v>1876</v>
      </c>
      <c r="D667" t="s">
        <v>2205</v>
      </c>
      <c r="E667" s="10" t="s">
        <v>2221</v>
      </c>
      <c r="F667" s="10"/>
      <c r="G667" s="10"/>
      <c r="H667" s="10" t="s">
        <v>2221</v>
      </c>
      <c r="I667" s="14">
        <v>144523.2129013564</v>
      </c>
      <c r="J667" s="19">
        <v>0</v>
      </c>
      <c r="K667" s="19">
        <v>0.52859031154771885</v>
      </c>
      <c r="L667" s="19">
        <v>0.47140968845228121</v>
      </c>
      <c r="M667" s="20">
        <v>2</v>
      </c>
      <c r="N667" s="19">
        <v>4.4833889799881163E-2</v>
      </c>
      <c r="O667" s="19">
        <v>0</v>
      </c>
      <c r="P667" s="19">
        <v>0.48375642174783767</v>
      </c>
      <c r="Q667" s="19">
        <v>8.7254347153705211E-2</v>
      </c>
      <c r="R667" s="19">
        <v>0.37623476989659194</v>
      </c>
      <c r="S667" s="19">
        <v>7.9205714019840376E-3</v>
      </c>
      <c r="T667" s="20">
        <v>23</v>
      </c>
      <c r="U667" s="17">
        <v>2</v>
      </c>
      <c r="V667" s="17">
        <v>21</v>
      </c>
    </row>
    <row r="668" spans="1:22" x14ac:dyDescent="0.2">
      <c r="A668" t="s">
        <v>2222</v>
      </c>
      <c r="B668" t="s">
        <v>1875</v>
      </c>
      <c r="C668" t="s">
        <v>1876</v>
      </c>
      <c r="D668" t="s">
        <v>2205</v>
      </c>
      <c r="E668" s="10" t="s">
        <v>2223</v>
      </c>
      <c r="F668" s="10"/>
      <c r="G668" s="10"/>
      <c r="H668" s="10" t="s">
        <v>2223</v>
      </c>
      <c r="I668" s="14">
        <v>90921.987018194981</v>
      </c>
      <c r="J668" s="19">
        <v>0</v>
      </c>
      <c r="K668" s="19">
        <v>0.74928206995186319</v>
      </c>
      <c r="L668" s="19">
        <v>0.25071793004813681</v>
      </c>
      <c r="M668" s="20">
        <v>2</v>
      </c>
      <c r="N668" s="19">
        <v>0</v>
      </c>
      <c r="O668" s="19">
        <v>0</v>
      </c>
      <c r="P668" s="19">
        <v>0.74928206995186319</v>
      </c>
      <c r="Q668" s="19">
        <v>2.3470072579109699E-2</v>
      </c>
      <c r="R668" s="19">
        <v>0.21635154073238197</v>
      </c>
      <c r="S668" s="19">
        <v>1.0896316736645142E-2</v>
      </c>
      <c r="T668" s="20">
        <v>21</v>
      </c>
      <c r="U668" s="17">
        <v>2</v>
      </c>
      <c r="V668" s="17">
        <v>21</v>
      </c>
    </row>
    <row r="669" spans="1:22" x14ac:dyDescent="0.2">
      <c r="A669" t="s">
        <v>2224</v>
      </c>
      <c r="B669" t="s">
        <v>1875</v>
      </c>
      <c r="C669" t="s">
        <v>1876</v>
      </c>
      <c r="D669" t="s">
        <v>2225</v>
      </c>
      <c r="E669" s="10" t="s">
        <v>2226</v>
      </c>
      <c r="F669" s="10"/>
      <c r="G669" s="10"/>
      <c r="H669" s="10" t="s">
        <v>2226</v>
      </c>
      <c r="I669" s="14">
        <v>128849.41683962895</v>
      </c>
      <c r="J669" s="19">
        <v>0</v>
      </c>
      <c r="K669" s="19">
        <v>0.55879411676034707</v>
      </c>
      <c r="L669" s="19">
        <v>0.44120588323965293</v>
      </c>
      <c r="M669" s="20">
        <v>2</v>
      </c>
      <c r="N669" s="19">
        <v>4.3473105444362947E-2</v>
      </c>
      <c r="O669" s="19">
        <v>0.41297481802749342</v>
      </c>
      <c r="P669" s="19">
        <v>0.10234619328849069</v>
      </c>
      <c r="Q669" s="19">
        <v>0.26210370132223498</v>
      </c>
      <c r="R669" s="19">
        <v>0.15827662695086689</v>
      </c>
      <c r="S669" s="19">
        <v>2.0825554966551054E-2</v>
      </c>
      <c r="T669" s="20">
        <v>22</v>
      </c>
      <c r="U669" s="17">
        <v>2</v>
      </c>
      <c r="V669" s="17">
        <v>21</v>
      </c>
    </row>
    <row r="670" spans="1:22" x14ac:dyDescent="0.2">
      <c r="A670" t="s">
        <v>2227</v>
      </c>
      <c r="B670" t="s">
        <v>1875</v>
      </c>
      <c r="C670" t="s">
        <v>1876</v>
      </c>
      <c r="D670" t="s">
        <v>2225</v>
      </c>
      <c r="E670" s="10" t="s">
        <v>1924</v>
      </c>
      <c r="F670" s="10"/>
      <c r="G670" s="10"/>
      <c r="H670" s="10" t="s">
        <v>1924</v>
      </c>
      <c r="I670" s="14">
        <v>3841.4869972355664</v>
      </c>
      <c r="J670" s="19">
        <v>0</v>
      </c>
      <c r="K670" s="19">
        <v>0.84049555955670963</v>
      </c>
      <c r="L670" s="19">
        <v>0.15950444044329032</v>
      </c>
      <c r="M670" s="20">
        <v>2</v>
      </c>
      <c r="N670" s="19">
        <v>0</v>
      </c>
      <c r="O670" s="19">
        <v>3.0120493591930669E-3</v>
      </c>
      <c r="P670" s="19">
        <v>0.83748351019751643</v>
      </c>
      <c r="Q670" s="19">
        <v>0</v>
      </c>
      <c r="R670" s="19">
        <v>0.14392297683256303</v>
      </c>
      <c r="S670" s="19">
        <v>1.5581463610727313E-2</v>
      </c>
      <c r="T670" s="20">
        <v>21</v>
      </c>
      <c r="U670" s="17">
        <v>2</v>
      </c>
      <c r="V670" s="17">
        <v>21</v>
      </c>
    </row>
    <row r="671" spans="1:22" x14ac:dyDescent="0.2">
      <c r="A671" t="s">
        <v>2228</v>
      </c>
      <c r="B671" t="s">
        <v>1875</v>
      </c>
      <c r="C671" t="s">
        <v>1876</v>
      </c>
      <c r="D671" t="s">
        <v>2225</v>
      </c>
      <c r="E671" s="10" t="s">
        <v>2229</v>
      </c>
      <c r="F671" s="10"/>
      <c r="G671" s="10"/>
      <c r="H671" s="10" t="s">
        <v>2229</v>
      </c>
      <c r="I671" s="14">
        <v>75168.880616220646</v>
      </c>
      <c r="J671" s="19">
        <v>0</v>
      </c>
      <c r="K671" s="19">
        <v>0.79411038636343423</v>
      </c>
      <c r="L671" s="19">
        <v>0.20588961363656572</v>
      </c>
      <c r="M671" s="20">
        <v>2</v>
      </c>
      <c r="N671" s="19">
        <v>0.22631760897388931</v>
      </c>
      <c r="O671" s="19">
        <v>0.14525006424128115</v>
      </c>
      <c r="P671" s="19">
        <v>0.4225427131482638</v>
      </c>
      <c r="Q671" s="19">
        <v>0.1109332117960412</v>
      </c>
      <c r="R671" s="19">
        <v>8.6703353287904725E-2</v>
      </c>
      <c r="S671" s="19">
        <v>8.253048552619803E-3</v>
      </c>
      <c r="T671" s="20">
        <v>23</v>
      </c>
      <c r="U671" s="17">
        <v>2</v>
      </c>
      <c r="V671" s="17">
        <v>21</v>
      </c>
    </row>
    <row r="672" spans="1:22" x14ac:dyDescent="0.2">
      <c r="A672" t="s">
        <v>2230</v>
      </c>
      <c r="B672" t="s">
        <v>1875</v>
      </c>
      <c r="C672" t="s">
        <v>1876</v>
      </c>
      <c r="D672" t="s">
        <v>2225</v>
      </c>
      <c r="E672" s="10" t="s">
        <v>2231</v>
      </c>
      <c r="F672" s="10"/>
      <c r="G672" s="10"/>
      <c r="H672" s="10" t="s">
        <v>2231</v>
      </c>
      <c r="I672" s="14">
        <v>190966.53700674511</v>
      </c>
      <c r="J672" s="19">
        <v>0</v>
      </c>
      <c r="K672" s="19">
        <v>0.46314874230811048</v>
      </c>
      <c r="L672" s="19">
        <v>0.53685125769188957</v>
      </c>
      <c r="M672" s="20">
        <v>1</v>
      </c>
      <c r="N672" s="19">
        <v>0.10359037962818708</v>
      </c>
      <c r="O672" s="19">
        <v>0.13687006423007278</v>
      </c>
      <c r="P672" s="19">
        <v>0.22268829844985061</v>
      </c>
      <c r="Q672" s="19">
        <v>0.32084987161634576</v>
      </c>
      <c r="R672" s="19">
        <v>0.18373495785563276</v>
      </c>
      <c r="S672" s="19">
        <v>3.2266428219911006E-2</v>
      </c>
      <c r="T672" s="20">
        <v>13</v>
      </c>
      <c r="U672" s="17">
        <v>2</v>
      </c>
      <c r="V672" s="17">
        <v>21</v>
      </c>
    </row>
    <row r="673" spans="1:22" x14ac:dyDescent="0.2">
      <c r="A673" t="s">
        <v>2232</v>
      </c>
      <c r="B673" t="s">
        <v>1875</v>
      </c>
      <c r="C673" t="s">
        <v>1876</v>
      </c>
      <c r="D673" t="s">
        <v>2225</v>
      </c>
      <c r="E673" s="10" t="s">
        <v>2233</v>
      </c>
      <c r="F673" s="10"/>
      <c r="G673" s="10"/>
      <c r="H673" s="10" t="s">
        <v>2233</v>
      </c>
      <c r="I673" s="14">
        <v>71349.62071849592</v>
      </c>
      <c r="J673" s="19">
        <v>0</v>
      </c>
      <c r="K673" s="19">
        <v>0.65804008563761573</v>
      </c>
      <c r="L673" s="19">
        <v>0.34195991436238432</v>
      </c>
      <c r="M673" s="20">
        <v>2</v>
      </c>
      <c r="N673" s="19">
        <v>9.0706932331655901E-2</v>
      </c>
      <c r="O673" s="19">
        <v>0</v>
      </c>
      <c r="P673" s="19">
        <v>0.56733315330595979</v>
      </c>
      <c r="Q673" s="19">
        <v>0.14976091821730775</v>
      </c>
      <c r="R673" s="19">
        <v>0.18169601855929798</v>
      </c>
      <c r="S673" s="19">
        <v>1.0502977585778575E-2</v>
      </c>
      <c r="T673" s="20">
        <v>21</v>
      </c>
      <c r="U673" s="17">
        <v>2</v>
      </c>
      <c r="V673" s="17">
        <v>21</v>
      </c>
    </row>
    <row r="674" spans="1:22" x14ac:dyDescent="0.2">
      <c r="A674" t="s">
        <v>2234</v>
      </c>
      <c r="B674" t="s">
        <v>1875</v>
      </c>
      <c r="C674" t="s">
        <v>1876</v>
      </c>
      <c r="D674" t="s">
        <v>2225</v>
      </c>
      <c r="E674" s="10" t="s">
        <v>2235</v>
      </c>
      <c r="F674" s="10"/>
      <c r="G674" s="10"/>
      <c r="H674" s="10" t="s">
        <v>2235</v>
      </c>
      <c r="I674" s="14">
        <v>138427.76925057918</v>
      </c>
      <c r="J674" s="19">
        <v>0</v>
      </c>
      <c r="K674" s="19">
        <v>0.62186537014528731</v>
      </c>
      <c r="L674" s="19">
        <v>0.37813462985471263</v>
      </c>
      <c r="M674" s="20">
        <v>2</v>
      </c>
      <c r="N674" s="19">
        <v>0.12200705069737425</v>
      </c>
      <c r="O674" s="19">
        <v>0.16489543543929613</v>
      </c>
      <c r="P674" s="19">
        <v>0.3349628840086169</v>
      </c>
      <c r="Q674" s="19">
        <v>0.17024208967469109</v>
      </c>
      <c r="R674" s="19">
        <v>0.18696422395277545</v>
      </c>
      <c r="S674" s="19">
        <v>2.092831622724611E-2</v>
      </c>
      <c r="T674" s="20">
        <v>22</v>
      </c>
      <c r="U674" s="17">
        <v>2</v>
      </c>
      <c r="V674" s="17">
        <v>21</v>
      </c>
    </row>
    <row r="675" spans="1:22" x14ac:dyDescent="0.2">
      <c r="A675" t="s">
        <v>2236</v>
      </c>
      <c r="B675" t="s">
        <v>1875</v>
      </c>
      <c r="C675" t="s">
        <v>1876</v>
      </c>
      <c r="D675" t="s">
        <v>2225</v>
      </c>
      <c r="E675" s="10" t="s">
        <v>2237</v>
      </c>
      <c r="F675" s="10"/>
      <c r="G675" s="10"/>
      <c r="H675" s="10" t="s">
        <v>2237</v>
      </c>
      <c r="I675" s="14">
        <v>198355.37702471996</v>
      </c>
      <c r="J675" s="19">
        <v>8.7973289700772942E-4</v>
      </c>
      <c r="K675" s="19">
        <v>0.71187754955400406</v>
      </c>
      <c r="L675" s="19">
        <v>0.28724271754898817</v>
      </c>
      <c r="M675" s="20">
        <v>2</v>
      </c>
      <c r="N675" s="19">
        <v>8.122344780406815E-2</v>
      </c>
      <c r="O675" s="19">
        <v>0.32481000542883037</v>
      </c>
      <c r="P675" s="19">
        <v>0.3058440963211056</v>
      </c>
      <c r="Q675" s="19">
        <v>0.12347511733403982</v>
      </c>
      <c r="R675" s="19">
        <v>0.15142941584320477</v>
      </c>
      <c r="S675" s="19">
        <v>1.2338184371743575E-2</v>
      </c>
      <c r="T675" s="20">
        <v>22</v>
      </c>
      <c r="U675" s="17">
        <v>2</v>
      </c>
      <c r="V675" s="17">
        <v>21</v>
      </c>
    </row>
    <row r="676" spans="1:22" x14ac:dyDescent="0.2">
      <c r="A676" t="s">
        <v>2238</v>
      </c>
      <c r="B676" t="s">
        <v>1875</v>
      </c>
      <c r="C676" t="s">
        <v>1876</v>
      </c>
      <c r="D676" t="s">
        <v>2239</v>
      </c>
      <c r="E676" s="10"/>
      <c r="F676" s="10"/>
      <c r="G676" s="10"/>
      <c r="H676" s="10" t="s">
        <v>2239</v>
      </c>
      <c r="I676" s="14">
        <v>1950535.9530553527</v>
      </c>
      <c r="J676" s="19">
        <v>0.96010700100274293</v>
      </c>
      <c r="K676" s="19">
        <v>3.7233587997434051E-2</v>
      </c>
      <c r="L676" s="19">
        <v>2.6594109998230851E-3</v>
      </c>
      <c r="M676" s="20">
        <v>3</v>
      </c>
      <c r="N676" s="19">
        <v>1.1772702163248596E-2</v>
      </c>
      <c r="O676" s="19">
        <v>0</v>
      </c>
      <c r="P676" s="19">
        <v>2.5460885834185452E-2</v>
      </c>
      <c r="Q676" s="19">
        <v>0</v>
      </c>
      <c r="R676" s="19">
        <v>2.5485302217093746E-3</v>
      </c>
      <c r="S676" s="19">
        <v>1.1088077811371122E-4</v>
      </c>
      <c r="T676" s="20">
        <v>30</v>
      </c>
      <c r="U676" s="17">
        <v>2</v>
      </c>
      <c r="V676" s="17">
        <v>21</v>
      </c>
    </row>
    <row r="677" spans="1:22" x14ac:dyDescent="0.2">
      <c r="A677" t="s">
        <v>2240</v>
      </c>
      <c r="B677" t="s">
        <v>1875</v>
      </c>
      <c r="C677" t="s">
        <v>1876</v>
      </c>
      <c r="D677" t="s">
        <v>2241</v>
      </c>
      <c r="E677" s="10"/>
      <c r="F677" s="10"/>
      <c r="G677" s="10"/>
      <c r="H677" s="10" t="s">
        <v>2241</v>
      </c>
      <c r="I677" s="14">
        <v>240596.01284969831</v>
      </c>
      <c r="J677" s="19">
        <v>0.41185239510998678</v>
      </c>
      <c r="K677" s="19">
        <v>0.3903385043523212</v>
      </c>
      <c r="L677" s="19">
        <v>0.19780910053769196</v>
      </c>
      <c r="M677" s="20">
        <v>2</v>
      </c>
      <c r="N677" s="19">
        <v>0.10646762078497136</v>
      </c>
      <c r="O677" s="19">
        <v>6.4660563657499753E-2</v>
      </c>
      <c r="P677" s="19">
        <v>0.2192103199098501</v>
      </c>
      <c r="Q677" s="19">
        <v>7.0408792202612744E-2</v>
      </c>
      <c r="R677" s="19">
        <v>0.10718022895957531</v>
      </c>
      <c r="S677" s="19">
        <v>2.0220079375503918E-2</v>
      </c>
      <c r="T677" s="20">
        <v>23</v>
      </c>
      <c r="U677" s="17">
        <v>2</v>
      </c>
      <c r="V677" s="17">
        <v>21</v>
      </c>
    </row>
    <row r="678" spans="1:22" x14ac:dyDescent="0.2">
      <c r="A678" t="s">
        <v>2242</v>
      </c>
      <c r="B678" t="s">
        <v>2243</v>
      </c>
      <c r="C678" t="s">
        <v>2244</v>
      </c>
      <c r="D678" t="s">
        <v>2245</v>
      </c>
      <c r="E678" s="10"/>
      <c r="F678" s="10"/>
      <c r="G678" s="10"/>
      <c r="H678" s="10" t="s">
        <v>2245</v>
      </c>
      <c r="I678" s="14">
        <v>173136.28575271205</v>
      </c>
      <c r="J678" s="19">
        <v>0</v>
      </c>
      <c r="K678" s="19">
        <v>0.23747270410748672</v>
      </c>
      <c r="L678" s="19">
        <v>0.76252729589251311</v>
      </c>
      <c r="M678" s="20">
        <v>1</v>
      </c>
      <c r="N678" s="19">
        <v>8.2770177547999702E-2</v>
      </c>
      <c r="O678" s="19">
        <v>0.11250971157466506</v>
      </c>
      <c r="P678" s="19">
        <v>4.219281498482199E-2</v>
      </c>
      <c r="Q678" s="19">
        <v>0.3274756470643711</v>
      </c>
      <c r="R678" s="19">
        <v>0.34467564911204179</v>
      </c>
      <c r="S678" s="19">
        <v>9.0375999716100136E-2</v>
      </c>
      <c r="T678" s="20">
        <v>12</v>
      </c>
      <c r="U678" s="17">
        <v>2</v>
      </c>
      <c r="V678" s="17">
        <v>29</v>
      </c>
    </row>
    <row r="679" spans="1:22" x14ac:dyDescent="0.2">
      <c r="A679" t="s">
        <v>2246</v>
      </c>
      <c r="B679" t="s">
        <v>2243</v>
      </c>
      <c r="C679" t="s">
        <v>2244</v>
      </c>
      <c r="D679" t="s">
        <v>2247</v>
      </c>
      <c r="E679" s="10"/>
      <c r="F679" s="10"/>
      <c r="G679" s="10"/>
      <c r="H679" s="10" t="s">
        <v>2247</v>
      </c>
      <c r="I679" s="14">
        <v>214486.49358963501</v>
      </c>
      <c r="J679" s="19">
        <v>0</v>
      </c>
      <c r="K679" s="19">
        <v>0.3051778211453996</v>
      </c>
      <c r="L679" s="19">
        <v>0.6948221788546004</v>
      </c>
      <c r="M679" s="20">
        <v>1</v>
      </c>
      <c r="N679" s="19">
        <v>7.1248766867069713E-2</v>
      </c>
      <c r="O679" s="19">
        <v>0.13202845129138607</v>
      </c>
      <c r="P679" s="19">
        <v>0.1019006029869438</v>
      </c>
      <c r="Q679" s="19">
        <v>0.31577301072127051</v>
      </c>
      <c r="R679" s="19">
        <v>0.29439138877984944</v>
      </c>
      <c r="S679" s="19">
        <v>8.465777935348047E-2</v>
      </c>
      <c r="T679" s="20">
        <v>13</v>
      </c>
      <c r="U679" s="17">
        <v>2</v>
      </c>
      <c r="V679" s="17">
        <v>29</v>
      </c>
    </row>
    <row r="680" spans="1:22" x14ac:dyDescent="0.2">
      <c r="A680" t="s">
        <v>2248</v>
      </c>
      <c r="B680" t="s">
        <v>2243</v>
      </c>
      <c r="C680" t="s">
        <v>2244</v>
      </c>
      <c r="D680" t="s">
        <v>2249</v>
      </c>
      <c r="E680" s="10"/>
      <c r="F680" s="10"/>
      <c r="G680" s="10"/>
      <c r="H680" s="10" t="s">
        <v>2249</v>
      </c>
      <c r="I680" s="14">
        <v>390337.28227444622</v>
      </c>
      <c r="J680" s="19">
        <v>0</v>
      </c>
      <c r="K680" s="19">
        <v>0.29490109818295102</v>
      </c>
      <c r="L680" s="19">
        <v>0.70509890181704893</v>
      </c>
      <c r="M680" s="20">
        <v>1</v>
      </c>
      <c r="N680" s="19">
        <v>9.7094054219496281E-2</v>
      </c>
      <c r="O680" s="19">
        <v>9.8080447232833073E-2</v>
      </c>
      <c r="P680" s="19">
        <v>9.9726596730621689E-2</v>
      </c>
      <c r="Q680" s="19">
        <v>0.38348529095859285</v>
      </c>
      <c r="R680" s="19">
        <v>0.2685377988582493</v>
      </c>
      <c r="S680" s="19">
        <v>5.3075812000206814E-2</v>
      </c>
      <c r="T680" s="20">
        <v>13</v>
      </c>
      <c r="U680" s="17">
        <v>2</v>
      </c>
      <c r="V680" s="17">
        <v>29</v>
      </c>
    </row>
    <row r="681" spans="1:22" x14ac:dyDescent="0.2">
      <c r="A681" t="s">
        <v>2250</v>
      </c>
      <c r="B681" t="s">
        <v>2243</v>
      </c>
      <c r="C681" t="s">
        <v>2244</v>
      </c>
      <c r="D681" t="s">
        <v>2251</v>
      </c>
      <c r="E681" s="10"/>
      <c r="F681" s="10"/>
      <c r="G681" s="10"/>
      <c r="H681" s="10" t="s">
        <v>2251</v>
      </c>
      <c r="I681" s="14">
        <v>854374.01512940915</v>
      </c>
      <c r="J681" s="19">
        <v>9.3640126812958122E-2</v>
      </c>
      <c r="K681" s="19">
        <v>0.38959179228043317</v>
      </c>
      <c r="L681" s="19">
        <v>0.51676808090660886</v>
      </c>
      <c r="M681" s="20">
        <v>1</v>
      </c>
      <c r="N681" s="19">
        <v>2.232583299695368E-2</v>
      </c>
      <c r="O681" s="19">
        <v>0.28259630140843967</v>
      </c>
      <c r="P681" s="19">
        <v>8.4669657875039855E-2</v>
      </c>
      <c r="Q681" s="19">
        <v>0.24740334542052306</v>
      </c>
      <c r="R681" s="19">
        <v>0.21997395183998916</v>
      </c>
      <c r="S681" s="19">
        <v>4.9390783646096607E-2</v>
      </c>
      <c r="T681" s="20">
        <v>13</v>
      </c>
      <c r="U681" s="17">
        <v>2</v>
      </c>
      <c r="V681" s="17">
        <v>29</v>
      </c>
    </row>
    <row r="682" spans="1:22" x14ac:dyDescent="0.2">
      <c r="A682" t="s">
        <v>2252</v>
      </c>
      <c r="B682" t="s">
        <v>2243</v>
      </c>
      <c r="C682" t="s">
        <v>2244</v>
      </c>
      <c r="D682" t="s">
        <v>2253</v>
      </c>
      <c r="E682" s="10"/>
      <c r="F682" s="10"/>
      <c r="G682" s="10"/>
      <c r="H682" s="10" t="s">
        <v>2253</v>
      </c>
      <c r="I682" s="14">
        <v>299532.72698423825</v>
      </c>
      <c r="J682" s="19">
        <v>0</v>
      </c>
      <c r="K682" s="19">
        <v>8.6077354436230144E-2</v>
      </c>
      <c r="L682" s="19">
        <v>0.9139226455637699</v>
      </c>
      <c r="M682" s="20">
        <v>1</v>
      </c>
      <c r="N682" s="19">
        <v>3.9124678623234634E-2</v>
      </c>
      <c r="O682" s="19">
        <v>2.1383321668911152E-2</v>
      </c>
      <c r="P682" s="19">
        <v>2.5569354144084358E-2</v>
      </c>
      <c r="Q682" s="19">
        <v>0.28952969694582975</v>
      </c>
      <c r="R682" s="19">
        <v>0.49823080542344922</v>
      </c>
      <c r="S682" s="19">
        <v>0.1261621431944909</v>
      </c>
      <c r="T682" s="20">
        <v>12</v>
      </c>
      <c r="U682" s="17">
        <v>2</v>
      </c>
      <c r="V682" s="17">
        <v>29</v>
      </c>
    </row>
    <row r="683" spans="1:22" x14ac:dyDescent="0.2">
      <c r="A683" t="s">
        <v>2254</v>
      </c>
      <c r="B683" t="s">
        <v>2243</v>
      </c>
      <c r="C683" t="s">
        <v>2244</v>
      </c>
      <c r="D683" t="s">
        <v>2255</v>
      </c>
      <c r="E683" s="10"/>
      <c r="F683" s="10"/>
      <c r="G683" s="10"/>
      <c r="H683" s="10" t="s">
        <v>2255</v>
      </c>
      <c r="I683" s="14">
        <v>476543.15847182309</v>
      </c>
      <c r="J683" s="19">
        <v>7.8242868078808453E-2</v>
      </c>
      <c r="K683" s="19">
        <v>0.138339490514925</v>
      </c>
      <c r="L683" s="19">
        <v>0.78341764140626646</v>
      </c>
      <c r="M683" s="20">
        <v>1</v>
      </c>
      <c r="N683" s="19">
        <v>0</v>
      </c>
      <c r="O683" s="19">
        <v>6.5549414882820151E-2</v>
      </c>
      <c r="P683" s="19">
        <v>7.279007563210485E-2</v>
      </c>
      <c r="Q683" s="19">
        <v>0.36337882404655591</v>
      </c>
      <c r="R683" s="19">
        <v>0.36481192738035523</v>
      </c>
      <c r="S683" s="19">
        <v>5.522688997935539E-2</v>
      </c>
      <c r="T683" s="20">
        <v>12</v>
      </c>
      <c r="U683" s="17">
        <v>2</v>
      </c>
      <c r="V683" s="17">
        <v>29</v>
      </c>
    </row>
    <row r="684" spans="1:22" x14ac:dyDescent="0.2">
      <c r="A684" t="s">
        <v>2256</v>
      </c>
      <c r="B684" t="s">
        <v>2243</v>
      </c>
      <c r="C684" t="s">
        <v>2244</v>
      </c>
      <c r="D684" t="s">
        <v>2257</v>
      </c>
      <c r="E684" s="10"/>
      <c r="F684" s="10"/>
      <c r="G684" s="10"/>
      <c r="H684" s="10" t="s">
        <v>2257</v>
      </c>
      <c r="I684" s="14">
        <v>226356.81732952071</v>
      </c>
      <c r="J684" s="19">
        <v>0</v>
      </c>
      <c r="K684" s="19">
        <v>0.25210981929066961</v>
      </c>
      <c r="L684" s="19">
        <v>0.74789018070933044</v>
      </c>
      <c r="M684" s="20">
        <v>1</v>
      </c>
      <c r="N684" s="19">
        <v>8.7281138063027702E-2</v>
      </c>
      <c r="O684" s="19">
        <v>2.8957989401282413E-2</v>
      </c>
      <c r="P684" s="19">
        <v>0.13587069182635952</v>
      </c>
      <c r="Q684" s="19">
        <v>0.27386949093106577</v>
      </c>
      <c r="R684" s="19">
        <v>0.38335801174641532</v>
      </c>
      <c r="S684" s="19">
        <v>9.0662678031849242E-2</v>
      </c>
      <c r="T684" s="20">
        <v>12</v>
      </c>
      <c r="U684" s="17">
        <v>2</v>
      </c>
      <c r="V684" s="17">
        <v>29</v>
      </c>
    </row>
    <row r="685" spans="1:22" x14ac:dyDescent="0.2">
      <c r="A685" t="s">
        <v>2258</v>
      </c>
      <c r="B685" t="s">
        <v>2243</v>
      </c>
      <c r="C685" t="s">
        <v>2244</v>
      </c>
      <c r="D685" t="s">
        <v>2259</v>
      </c>
      <c r="E685" s="10"/>
      <c r="F685" s="10"/>
      <c r="G685" s="10"/>
      <c r="H685" s="10" t="s">
        <v>2259</v>
      </c>
      <c r="I685" s="14">
        <v>506613.2768537869</v>
      </c>
      <c r="J685" s="19">
        <v>0.12032294239364534</v>
      </c>
      <c r="K685" s="19">
        <v>7.6886898697334394E-2</v>
      </c>
      <c r="L685" s="19">
        <v>0.80279015890902028</v>
      </c>
      <c r="M685" s="20">
        <v>1</v>
      </c>
      <c r="N685" s="19">
        <v>0</v>
      </c>
      <c r="O685" s="19">
        <v>5.1266357586519734E-2</v>
      </c>
      <c r="P685" s="19">
        <v>2.5620541110814656E-2</v>
      </c>
      <c r="Q685" s="19">
        <v>0.34884087751729775</v>
      </c>
      <c r="R685" s="19">
        <v>0.38133191508931391</v>
      </c>
      <c r="S685" s="19">
        <v>7.2617366302408656E-2</v>
      </c>
      <c r="T685" s="20">
        <v>12</v>
      </c>
      <c r="U685" s="17">
        <v>2</v>
      </c>
      <c r="V685" s="17">
        <v>29</v>
      </c>
    </row>
    <row r="686" spans="1:22" x14ac:dyDescent="0.2">
      <c r="A686" t="s">
        <v>2260</v>
      </c>
      <c r="B686" t="s">
        <v>2243</v>
      </c>
      <c r="C686" t="s">
        <v>2244</v>
      </c>
      <c r="D686" t="s">
        <v>2261</v>
      </c>
      <c r="E686" s="10"/>
      <c r="F686" s="10"/>
      <c r="G686" s="10"/>
      <c r="H686" s="10" t="s">
        <v>2261</v>
      </c>
      <c r="I686" s="14">
        <v>398764.50371853565</v>
      </c>
      <c r="J686" s="19">
        <v>0</v>
      </c>
      <c r="K686" s="19">
        <v>0.22299059600020626</v>
      </c>
      <c r="L686" s="19">
        <v>0.77700940399979368</v>
      </c>
      <c r="M686" s="20">
        <v>1</v>
      </c>
      <c r="N686" s="19">
        <v>8.3548463627897002E-2</v>
      </c>
      <c r="O686" s="19">
        <v>6.2497880211625001E-2</v>
      </c>
      <c r="P686" s="19">
        <v>7.6944252160684248E-2</v>
      </c>
      <c r="Q686" s="19">
        <v>0.36310630211585082</v>
      </c>
      <c r="R686" s="19">
        <v>0.31703686745917026</v>
      </c>
      <c r="S686" s="19">
        <v>9.6866234424772615E-2</v>
      </c>
      <c r="T686" s="20">
        <v>13</v>
      </c>
      <c r="U686" s="17">
        <v>2</v>
      </c>
      <c r="V686" s="17">
        <v>29</v>
      </c>
    </row>
    <row r="687" spans="1:22" x14ac:dyDescent="0.2">
      <c r="A687" t="s">
        <v>2262</v>
      </c>
      <c r="B687" t="s">
        <v>2243</v>
      </c>
      <c r="C687" t="s">
        <v>2244</v>
      </c>
      <c r="D687" t="s">
        <v>2263</v>
      </c>
      <c r="E687" s="10"/>
      <c r="F687" s="10"/>
      <c r="G687" s="10"/>
      <c r="H687" s="10" t="s">
        <v>2263</v>
      </c>
      <c r="I687" s="14">
        <v>201577.83927239676</v>
      </c>
      <c r="J687" s="19">
        <v>0</v>
      </c>
      <c r="K687" s="19">
        <v>0</v>
      </c>
      <c r="L687" s="19">
        <v>1</v>
      </c>
      <c r="M687" s="20">
        <v>1</v>
      </c>
      <c r="N687" s="19">
        <v>0</v>
      </c>
      <c r="O687" s="19">
        <v>0</v>
      </c>
      <c r="P687" s="19">
        <v>0</v>
      </c>
      <c r="Q687" s="19">
        <v>0.19187089959290998</v>
      </c>
      <c r="R687" s="19">
        <v>0.62880557765595602</v>
      </c>
      <c r="S687" s="19">
        <v>0.179323522751134</v>
      </c>
      <c r="T687" s="20">
        <v>12</v>
      </c>
      <c r="U687" s="17">
        <v>2</v>
      </c>
      <c r="V687" s="17">
        <v>29</v>
      </c>
    </row>
    <row r="688" spans="1:22" x14ac:dyDescent="0.2">
      <c r="A688" t="s">
        <v>2264</v>
      </c>
      <c r="B688" t="s">
        <v>2243</v>
      </c>
      <c r="C688" t="s">
        <v>2244</v>
      </c>
      <c r="D688" t="s">
        <v>2265</v>
      </c>
      <c r="E688" s="10"/>
      <c r="F688" s="10"/>
      <c r="G688" s="10"/>
      <c r="H688" s="10" t="s">
        <v>2265</v>
      </c>
      <c r="I688" s="14">
        <v>488967.00760960038</v>
      </c>
      <c r="J688" s="19">
        <v>0</v>
      </c>
      <c r="K688" s="19">
        <v>0.16218009842015041</v>
      </c>
      <c r="L688" s="19">
        <v>0.83781990157984965</v>
      </c>
      <c r="M688" s="20">
        <v>1</v>
      </c>
      <c r="N688" s="19">
        <v>3.707618789911224E-2</v>
      </c>
      <c r="O688" s="19">
        <v>8.4548780125950032E-2</v>
      </c>
      <c r="P688" s="19">
        <v>4.0555130395088138E-2</v>
      </c>
      <c r="Q688" s="19">
        <v>0.40242278462608289</v>
      </c>
      <c r="R688" s="19">
        <v>0.36425281293340706</v>
      </c>
      <c r="S688" s="19">
        <v>7.1144304020359636E-2</v>
      </c>
      <c r="T688" s="20">
        <v>13</v>
      </c>
      <c r="U688" s="17">
        <v>2</v>
      </c>
      <c r="V688" s="17">
        <v>29</v>
      </c>
    </row>
    <row r="689" spans="1:22" x14ac:dyDescent="0.2">
      <c r="A689" t="s">
        <v>2266</v>
      </c>
      <c r="B689" t="s">
        <v>2243</v>
      </c>
      <c r="C689" t="s">
        <v>2244</v>
      </c>
      <c r="D689" t="s">
        <v>2267</v>
      </c>
      <c r="E689" s="10"/>
      <c r="F689" s="10"/>
      <c r="G689" s="10"/>
      <c r="H689" s="10" t="s">
        <v>2267</v>
      </c>
      <c r="I689" s="14">
        <v>1065370.704622583</v>
      </c>
      <c r="J689" s="19">
        <v>3.8960175675659049E-2</v>
      </c>
      <c r="K689" s="19">
        <v>0.19295112995878</v>
      </c>
      <c r="L689" s="19">
        <v>0.76808869436556082</v>
      </c>
      <c r="M689" s="20">
        <v>1</v>
      </c>
      <c r="N689" s="19">
        <v>2.8019214026319354E-2</v>
      </c>
      <c r="O689" s="19">
        <v>0.10080073219621838</v>
      </c>
      <c r="P689" s="19">
        <v>6.413118373624227E-2</v>
      </c>
      <c r="Q689" s="19">
        <v>0.37032925042966797</v>
      </c>
      <c r="R689" s="19">
        <v>0.32644680574967183</v>
      </c>
      <c r="S689" s="19">
        <v>7.1312638186220967E-2</v>
      </c>
      <c r="T689" s="20">
        <v>13</v>
      </c>
      <c r="U689" s="17">
        <v>2</v>
      </c>
      <c r="V689" s="17">
        <v>29</v>
      </c>
    </row>
    <row r="690" spans="1:22" x14ac:dyDescent="0.2">
      <c r="A690" t="s">
        <v>2268</v>
      </c>
      <c r="B690" t="s">
        <v>2243</v>
      </c>
      <c r="C690" t="s">
        <v>2244</v>
      </c>
      <c r="D690" t="s">
        <v>2269</v>
      </c>
      <c r="E690" s="10"/>
      <c r="F690" s="10"/>
      <c r="G690" s="10"/>
      <c r="H690" s="10" t="s">
        <v>2269</v>
      </c>
      <c r="I690" s="14">
        <v>442580.77262261626</v>
      </c>
      <c r="J690" s="19">
        <v>0</v>
      </c>
      <c r="K690" s="19">
        <v>0.33812858333896723</v>
      </c>
      <c r="L690" s="19">
        <v>0.66187141666103277</v>
      </c>
      <c r="M690" s="20">
        <v>1</v>
      </c>
      <c r="N690" s="19">
        <v>6.8284498885926317E-2</v>
      </c>
      <c r="O690" s="19">
        <v>0.21224008499467492</v>
      </c>
      <c r="P690" s="19">
        <v>5.760399945836598E-2</v>
      </c>
      <c r="Q690" s="19">
        <v>0.32576237764861676</v>
      </c>
      <c r="R690" s="19">
        <v>0.28697768974671478</v>
      </c>
      <c r="S690" s="19">
        <v>4.9131349265701223E-2</v>
      </c>
      <c r="T690" s="20">
        <v>13</v>
      </c>
      <c r="U690" s="17">
        <v>2</v>
      </c>
      <c r="V690" s="17">
        <v>29</v>
      </c>
    </row>
    <row r="691" spans="1:22" x14ac:dyDescent="0.2">
      <c r="A691" t="s">
        <v>2270</v>
      </c>
      <c r="B691" t="s">
        <v>2243</v>
      </c>
      <c r="C691" t="s">
        <v>2244</v>
      </c>
      <c r="D691" t="s">
        <v>2271</v>
      </c>
      <c r="E691" s="10"/>
      <c r="F691" s="10"/>
      <c r="G691" s="10"/>
      <c r="H691" s="10" t="s">
        <v>2271</v>
      </c>
      <c r="I691" s="14">
        <v>623204.47534658143</v>
      </c>
      <c r="J691" s="19">
        <v>0.31961595241021967</v>
      </c>
      <c r="K691" s="19">
        <v>0.39978813829606669</v>
      </c>
      <c r="L691" s="19">
        <v>0.2805959092937137</v>
      </c>
      <c r="M691" s="20">
        <v>2</v>
      </c>
      <c r="N691" s="19">
        <v>4.079336712556221E-2</v>
      </c>
      <c r="O691" s="19">
        <v>5.171447781932325E-2</v>
      </c>
      <c r="P691" s="19">
        <v>0.30728029335118123</v>
      </c>
      <c r="Q691" s="19">
        <v>9.9023459319414475E-2</v>
      </c>
      <c r="R691" s="19">
        <v>0.15545323168340422</v>
      </c>
      <c r="S691" s="19">
        <v>2.6119218290894981E-2</v>
      </c>
      <c r="T691" s="20">
        <v>22</v>
      </c>
      <c r="U691" s="17">
        <v>2</v>
      </c>
      <c r="V691" s="17">
        <v>29</v>
      </c>
    </row>
    <row r="692" spans="1:22" x14ac:dyDescent="0.2">
      <c r="A692" t="s">
        <v>2272</v>
      </c>
      <c r="B692" t="s">
        <v>2243</v>
      </c>
      <c r="C692" t="s">
        <v>2244</v>
      </c>
      <c r="D692" t="s">
        <v>2273</v>
      </c>
      <c r="E692" s="10"/>
      <c r="F692" s="10"/>
      <c r="G692" s="10"/>
      <c r="H692" s="10" t="s">
        <v>2273</v>
      </c>
      <c r="I692" s="14">
        <v>435748.60860830714</v>
      </c>
      <c r="J692" s="19">
        <v>0</v>
      </c>
      <c r="K692" s="19">
        <v>0.21462132311934159</v>
      </c>
      <c r="L692" s="19">
        <v>0.78537867688065821</v>
      </c>
      <c r="M692" s="20">
        <v>1</v>
      </c>
      <c r="N692" s="19">
        <v>5.4224517602247592E-2</v>
      </c>
      <c r="O692" s="19">
        <v>0.11022646441114177</v>
      </c>
      <c r="P692" s="19">
        <v>5.017034110595224E-2</v>
      </c>
      <c r="Q692" s="19">
        <v>0.45348765648969819</v>
      </c>
      <c r="R692" s="19">
        <v>0.27764058543388043</v>
      </c>
      <c r="S692" s="19">
        <v>5.4250434957079659E-2</v>
      </c>
      <c r="T692" s="20">
        <v>13</v>
      </c>
      <c r="U692" s="17">
        <v>2</v>
      </c>
      <c r="V692" s="17">
        <v>29</v>
      </c>
    </row>
    <row r="693" spans="1:22" x14ac:dyDescent="0.2">
      <c r="A693" t="s">
        <v>2274</v>
      </c>
      <c r="B693" t="s">
        <v>2243</v>
      </c>
      <c r="C693" t="s">
        <v>2244</v>
      </c>
      <c r="D693" t="s">
        <v>2275</v>
      </c>
      <c r="E693" s="10"/>
      <c r="F693" s="10"/>
      <c r="G693" s="10"/>
      <c r="H693" s="10" t="s">
        <v>2275</v>
      </c>
      <c r="I693" s="14">
        <v>86861.691217412183</v>
      </c>
      <c r="J693" s="19">
        <v>0</v>
      </c>
      <c r="K693" s="19">
        <v>0.154475290449098</v>
      </c>
      <c r="L693" s="19">
        <v>0.84552470955090198</v>
      </c>
      <c r="M693" s="20">
        <v>1</v>
      </c>
      <c r="N693" s="19">
        <v>0</v>
      </c>
      <c r="O693" s="19">
        <v>0.154475290449098</v>
      </c>
      <c r="P693" s="19">
        <v>0</v>
      </c>
      <c r="Q693" s="19">
        <v>0.39688888003090472</v>
      </c>
      <c r="R693" s="19">
        <v>0.34876954365147267</v>
      </c>
      <c r="S693" s="19">
        <v>9.9866285868524571E-2</v>
      </c>
      <c r="T693" s="20">
        <v>13</v>
      </c>
      <c r="U693" s="17">
        <v>2</v>
      </c>
      <c r="V693" s="17">
        <v>29</v>
      </c>
    </row>
    <row r="694" spans="1:22" x14ac:dyDescent="0.2">
      <c r="A694" t="s">
        <v>2276</v>
      </c>
      <c r="B694" t="s">
        <v>2243</v>
      </c>
      <c r="C694" t="s">
        <v>2244</v>
      </c>
      <c r="D694" t="s">
        <v>2277</v>
      </c>
      <c r="E694" s="10"/>
      <c r="F694" s="10"/>
      <c r="G694" s="10"/>
      <c r="H694" s="10" t="s">
        <v>2277</v>
      </c>
      <c r="I694" s="14">
        <v>139181.4562910909</v>
      </c>
      <c r="J694" s="19">
        <v>0</v>
      </c>
      <c r="K694" s="19">
        <v>0.22079291101485979</v>
      </c>
      <c r="L694" s="19">
        <v>0.77920708898514024</v>
      </c>
      <c r="M694" s="20">
        <v>1</v>
      </c>
      <c r="N694" s="19">
        <v>0</v>
      </c>
      <c r="O694" s="19">
        <v>0.22079291101485979</v>
      </c>
      <c r="P694" s="19">
        <v>0</v>
      </c>
      <c r="Q694" s="19">
        <v>0.2425427669998978</v>
      </c>
      <c r="R694" s="19">
        <v>0.43128142505078171</v>
      </c>
      <c r="S694" s="19">
        <v>0.10538289693446073</v>
      </c>
      <c r="T694" s="20">
        <v>12</v>
      </c>
      <c r="U694" s="17">
        <v>2</v>
      </c>
      <c r="V694" s="17">
        <v>29</v>
      </c>
    </row>
    <row r="695" spans="1:22" x14ac:dyDescent="0.2">
      <c r="A695" t="s">
        <v>2278</v>
      </c>
      <c r="B695" t="s">
        <v>2243</v>
      </c>
      <c r="C695" t="s">
        <v>2244</v>
      </c>
      <c r="D695" t="s">
        <v>2279</v>
      </c>
      <c r="E695" s="10"/>
      <c r="F695" s="10"/>
      <c r="G695" s="10"/>
      <c r="H695" s="10" t="s">
        <v>2279</v>
      </c>
      <c r="I695" s="14">
        <v>302780.44443599507</v>
      </c>
      <c r="J695" s="19">
        <v>0</v>
      </c>
      <c r="K695" s="19">
        <v>0.20879526125003278</v>
      </c>
      <c r="L695" s="19">
        <v>0.79120473874996722</v>
      </c>
      <c r="M695" s="20">
        <v>1</v>
      </c>
      <c r="N695" s="19">
        <v>9.9104408500701277E-2</v>
      </c>
      <c r="O695" s="19">
        <v>6.5054423078972648E-2</v>
      </c>
      <c r="P695" s="19">
        <v>4.4636429670358843E-2</v>
      </c>
      <c r="Q695" s="19">
        <v>0.22488336239308421</v>
      </c>
      <c r="R695" s="19">
        <v>0.48095949292399515</v>
      </c>
      <c r="S695" s="19">
        <v>8.536188343288785E-2</v>
      </c>
      <c r="T695" s="20">
        <v>12</v>
      </c>
      <c r="U695" s="17">
        <v>2</v>
      </c>
      <c r="V695" s="17">
        <v>29</v>
      </c>
    </row>
    <row r="696" spans="1:22" x14ac:dyDescent="0.2">
      <c r="A696" t="s">
        <v>2280</v>
      </c>
      <c r="B696" t="s">
        <v>2281</v>
      </c>
      <c r="C696" t="s">
        <v>2282</v>
      </c>
      <c r="D696" t="s">
        <v>2283</v>
      </c>
      <c r="E696" s="10" t="s">
        <v>2284</v>
      </c>
      <c r="F696" s="10"/>
      <c r="G696" s="10"/>
      <c r="H696" s="10" t="s">
        <v>2284</v>
      </c>
      <c r="I696" s="14">
        <v>1521285.0528966924</v>
      </c>
      <c r="J696" s="19">
        <v>0.21829418830334951</v>
      </c>
      <c r="K696" s="19">
        <v>0.40659340551478601</v>
      </c>
      <c r="L696" s="19">
        <v>0.37511240618186448</v>
      </c>
      <c r="M696" s="20">
        <v>2</v>
      </c>
      <c r="N696" s="19">
        <v>0.20774701584385402</v>
      </c>
      <c r="O696" s="19">
        <v>9.0693180822714464E-2</v>
      </c>
      <c r="P696" s="19">
        <v>0.10815320884821755</v>
      </c>
      <c r="Q696" s="19">
        <v>0.18805349328689699</v>
      </c>
      <c r="R696" s="19">
        <v>0.16199330459288078</v>
      </c>
      <c r="S696" s="19">
        <v>2.5065608302086675E-2</v>
      </c>
      <c r="T696" s="20">
        <v>23</v>
      </c>
      <c r="U696" s="17">
        <v>2</v>
      </c>
      <c r="V696" s="17">
        <v>28</v>
      </c>
    </row>
    <row r="697" spans="1:22" x14ac:dyDescent="0.2">
      <c r="A697" t="s">
        <v>2285</v>
      </c>
      <c r="B697" t="s">
        <v>2281</v>
      </c>
      <c r="C697" t="s">
        <v>2282</v>
      </c>
      <c r="D697" t="s">
        <v>2283</v>
      </c>
      <c r="E697" s="10" t="s">
        <v>2286</v>
      </c>
      <c r="F697" s="10"/>
      <c r="G697" s="10"/>
      <c r="H697" s="10" t="s">
        <v>2286</v>
      </c>
      <c r="I697" s="14">
        <v>1210224.0406391155</v>
      </c>
      <c r="J697" s="19">
        <v>0.29609928141424235</v>
      </c>
      <c r="K697" s="19">
        <v>0.29188157341071536</v>
      </c>
      <c r="L697" s="19">
        <v>0.41201914517504235</v>
      </c>
      <c r="M697" s="20">
        <v>2</v>
      </c>
      <c r="N697" s="19">
        <v>9.850496843251734E-2</v>
      </c>
      <c r="O697" s="19">
        <v>9.9961383214280636E-2</v>
      </c>
      <c r="P697" s="19">
        <v>9.3415221763917353E-2</v>
      </c>
      <c r="Q697" s="19">
        <v>0.18123253017216057</v>
      </c>
      <c r="R697" s="19">
        <v>0.21203238612896588</v>
      </c>
      <c r="S697" s="19">
        <v>1.8754228873915875E-2</v>
      </c>
      <c r="T697" s="20">
        <v>22</v>
      </c>
      <c r="U697" s="17">
        <v>2</v>
      </c>
      <c r="V697" s="17">
        <v>28</v>
      </c>
    </row>
    <row r="698" spans="1:22" x14ac:dyDescent="0.2">
      <c r="A698" t="s">
        <v>2287</v>
      </c>
      <c r="B698" t="s">
        <v>2281</v>
      </c>
      <c r="C698" t="s">
        <v>2282</v>
      </c>
      <c r="D698" t="s">
        <v>2283</v>
      </c>
      <c r="E698" s="10" t="s">
        <v>2288</v>
      </c>
      <c r="F698" s="10"/>
      <c r="G698" s="10"/>
      <c r="H698" s="10" t="s">
        <v>2288</v>
      </c>
      <c r="I698" s="14">
        <v>1128556.3056823779</v>
      </c>
      <c r="J698" s="19">
        <v>0.4433488427442559</v>
      </c>
      <c r="K698" s="19">
        <v>0.23627631136427663</v>
      </c>
      <c r="L698" s="19">
        <v>0.32037484589146747</v>
      </c>
      <c r="M698" s="20">
        <v>2</v>
      </c>
      <c r="N698" s="19">
        <v>5.3673372662997876E-2</v>
      </c>
      <c r="O698" s="19">
        <v>9.9216604404775227E-2</v>
      </c>
      <c r="P698" s="19">
        <v>8.3386334296503523E-2</v>
      </c>
      <c r="Q698" s="19">
        <v>0.1402085669076934</v>
      </c>
      <c r="R698" s="19">
        <v>0.16053434225283661</v>
      </c>
      <c r="S698" s="19">
        <v>1.9631936730937508E-2</v>
      </c>
      <c r="T698" s="20">
        <v>22</v>
      </c>
      <c r="U698" s="17">
        <v>2</v>
      </c>
      <c r="V698" s="17">
        <v>28</v>
      </c>
    </row>
    <row r="699" spans="1:22" x14ac:dyDescent="0.2">
      <c r="A699" t="s">
        <v>2289</v>
      </c>
      <c r="B699" t="s">
        <v>2281</v>
      </c>
      <c r="C699" t="s">
        <v>2282</v>
      </c>
      <c r="D699" t="s">
        <v>2283</v>
      </c>
      <c r="E699" s="10" t="s">
        <v>2290</v>
      </c>
      <c r="F699" s="10"/>
      <c r="G699" s="10"/>
      <c r="H699" s="10" t="s">
        <v>2290</v>
      </c>
      <c r="I699" s="14">
        <v>1434907.2369821891</v>
      </c>
      <c r="J699" s="19">
        <v>0.47671098570854625</v>
      </c>
      <c r="K699" s="19">
        <v>9.329464269652965E-2</v>
      </c>
      <c r="L699" s="19">
        <v>0.42999437159492404</v>
      </c>
      <c r="M699" s="20">
        <v>2</v>
      </c>
      <c r="N699" s="19">
        <v>2.9066790799605721E-2</v>
      </c>
      <c r="O699" s="19">
        <v>3.1708483068651636E-2</v>
      </c>
      <c r="P699" s="19">
        <v>3.2519368828272291E-2</v>
      </c>
      <c r="Q699" s="19">
        <v>0.14809949506177336</v>
      </c>
      <c r="R699" s="19">
        <v>0.2354728691655025</v>
      </c>
      <c r="S699" s="19">
        <v>4.6422007367648149E-2</v>
      </c>
      <c r="T699" s="20">
        <v>22</v>
      </c>
      <c r="U699" s="17">
        <v>2</v>
      </c>
      <c r="V699" s="17">
        <v>28</v>
      </c>
    </row>
    <row r="700" spans="1:22" x14ac:dyDescent="0.2">
      <c r="A700" t="s">
        <v>2291</v>
      </c>
      <c r="B700" t="s">
        <v>2281</v>
      </c>
      <c r="C700" t="s">
        <v>2282</v>
      </c>
      <c r="D700" t="s">
        <v>2283</v>
      </c>
      <c r="E700" s="10" t="s">
        <v>2292</v>
      </c>
      <c r="F700" s="10"/>
      <c r="G700" s="10"/>
      <c r="H700" s="10" t="s">
        <v>2292</v>
      </c>
      <c r="I700" s="14">
        <v>1095267.3408746775</v>
      </c>
      <c r="J700" s="19">
        <v>0.4567915332892275</v>
      </c>
      <c r="K700" s="19">
        <v>0.19195072701892954</v>
      </c>
      <c r="L700" s="19">
        <v>0.35125773969184287</v>
      </c>
      <c r="M700" s="20">
        <v>2</v>
      </c>
      <c r="N700" s="19">
        <v>0.12001504672680674</v>
      </c>
      <c r="O700" s="19">
        <v>3.2134589083325324E-2</v>
      </c>
      <c r="P700" s="19">
        <v>3.980109120879749E-2</v>
      </c>
      <c r="Q700" s="19">
        <v>0.12261684452695425</v>
      </c>
      <c r="R700" s="19">
        <v>0.18608849561610147</v>
      </c>
      <c r="S700" s="19">
        <v>4.2552399548787131E-2</v>
      </c>
      <c r="T700" s="20">
        <v>23</v>
      </c>
      <c r="U700" s="17">
        <v>2</v>
      </c>
      <c r="V700" s="17">
        <v>28</v>
      </c>
    </row>
    <row r="701" spans="1:22" x14ac:dyDescent="0.2">
      <c r="A701" t="s">
        <v>2293</v>
      </c>
      <c r="B701" t="s">
        <v>2281</v>
      </c>
      <c r="C701" t="s">
        <v>2282</v>
      </c>
      <c r="D701" t="s">
        <v>2294</v>
      </c>
      <c r="E701" s="10" t="s">
        <v>2295</v>
      </c>
      <c r="F701" s="10"/>
      <c r="G701" s="10"/>
      <c r="H701" s="10" t="s">
        <v>2295</v>
      </c>
      <c r="I701" s="14">
        <v>1843734.8358442523</v>
      </c>
      <c r="J701" s="19">
        <v>0.39074413005892344</v>
      </c>
      <c r="K701" s="19">
        <v>0.36436840110723728</v>
      </c>
      <c r="L701" s="19">
        <v>0.24488746883383924</v>
      </c>
      <c r="M701" s="20">
        <v>2</v>
      </c>
      <c r="N701" s="19">
        <v>0.22608655271728054</v>
      </c>
      <c r="O701" s="19">
        <v>4.3752054507030423E-2</v>
      </c>
      <c r="P701" s="19">
        <v>9.452979388292633E-2</v>
      </c>
      <c r="Q701" s="19">
        <v>0.14845602584173473</v>
      </c>
      <c r="R701" s="19">
        <v>8.264985792972869E-2</v>
      </c>
      <c r="S701" s="19">
        <v>1.3781585062375874E-2</v>
      </c>
      <c r="T701" s="20">
        <v>23</v>
      </c>
      <c r="U701" s="17">
        <v>2</v>
      </c>
      <c r="V701" s="17">
        <v>28</v>
      </c>
    </row>
    <row r="702" spans="1:22" x14ac:dyDescent="0.2">
      <c r="A702" t="s">
        <v>2296</v>
      </c>
      <c r="B702" t="s">
        <v>2281</v>
      </c>
      <c r="C702" t="s">
        <v>2282</v>
      </c>
      <c r="D702" t="s">
        <v>2294</v>
      </c>
      <c r="E702" s="10" t="s">
        <v>2297</v>
      </c>
      <c r="F702" s="10"/>
      <c r="G702" s="10"/>
      <c r="H702" s="10" t="s">
        <v>2297</v>
      </c>
      <c r="I702" s="14">
        <v>952493.63185199525</v>
      </c>
      <c r="J702" s="19">
        <v>0.26124821937731302</v>
      </c>
      <c r="K702" s="19">
        <v>0.39412970659359836</v>
      </c>
      <c r="L702" s="19">
        <v>0.34462207402908873</v>
      </c>
      <c r="M702" s="20">
        <v>2</v>
      </c>
      <c r="N702" s="19">
        <v>0.16755197938517355</v>
      </c>
      <c r="O702" s="19">
        <v>8.7710665940649898E-2</v>
      </c>
      <c r="P702" s="19">
        <v>0.13886706126777493</v>
      </c>
      <c r="Q702" s="19">
        <v>0.17066223054062818</v>
      </c>
      <c r="R702" s="19">
        <v>0.16087500346598746</v>
      </c>
      <c r="S702" s="19">
        <v>1.308484002247306E-2</v>
      </c>
      <c r="T702" s="20">
        <v>23</v>
      </c>
      <c r="U702" s="17">
        <v>2</v>
      </c>
      <c r="V702" s="17">
        <v>28</v>
      </c>
    </row>
    <row r="703" spans="1:22" x14ac:dyDescent="0.2">
      <c r="A703" t="s">
        <v>2298</v>
      </c>
      <c r="B703" t="s">
        <v>2281</v>
      </c>
      <c r="C703" t="s">
        <v>2282</v>
      </c>
      <c r="D703" t="s">
        <v>2294</v>
      </c>
      <c r="E703" s="10" t="s">
        <v>2299</v>
      </c>
      <c r="F703" s="10"/>
      <c r="G703" s="10"/>
      <c r="H703" s="10" t="s">
        <v>2299</v>
      </c>
      <c r="I703" s="14">
        <v>1203076.7323760968</v>
      </c>
      <c r="J703" s="19">
        <v>0.22924258381679671</v>
      </c>
      <c r="K703" s="19">
        <v>0.54180286950751078</v>
      </c>
      <c r="L703" s="19">
        <v>0.22895454667569248</v>
      </c>
      <c r="M703" s="20">
        <v>2</v>
      </c>
      <c r="N703" s="19">
        <v>0.30275776122060494</v>
      </c>
      <c r="O703" s="19">
        <v>5.3245422040748891E-2</v>
      </c>
      <c r="P703" s="19">
        <v>0.18579968624615698</v>
      </c>
      <c r="Q703" s="19">
        <v>0.11011002130737159</v>
      </c>
      <c r="R703" s="19">
        <v>0.10524600669520119</v>
      </c>
      <c r="S703" s="19">
        <v>1.3598518673119706E-2</v>
      </c>
      <c r="T703" s="20">
        <v>23</v>
      </c>
      <c r="U703" s="17">
        <v>2</v>
      </c>
      <c r="V703" s="17">
        <v>28</v>
      </c>
    </row>
    <row r="704" spans="1:22" x14ac:dyDescent="0.2">
      <c r="A704" t="s">
        <v>2300</v>
      </c>
      <c r="B704" t="s">
        <v>2281</v>
      </c>
      <c r="C704" t="s">
        <v>2282</v>
      </c>
      <c r="D704" t="s">
        <v>2294</v>
      </c>
      <c r="E704" s="10" t="s">
        <v>2301</v>
      </c>
      <c r="F704" s="10"/>
      <c r="G704" s="10"/>
      <c r="H704" s="10" t="s">
        <v>2301</v>
      </c>
      <c r="I704" s="14">
        <v>1115512.0155054871</v>
      </c>
      <c r="J704" s="19">
        <v>0.29228121007976804</v>
      </c>
      <c r="K704" s="19">
        <v>0.3889992404673161</v>
      </c>
      <c r="L704" s="19">
        <v>0.31871954945291586</v>
      </c>
      <c r="M704" s="20">
        <v>2</v>
      </c>
      <c r="N704" s="19">
        <v>0.12174994400825494</v>
      </c>
      <c r="O704" s="19">
        <v>9.7615972431334783E-2</v>
      </c>
      <c r="P704" s="19">
        <v>0.16963332402772638</v>
      </c>
      <c r="Q704" s="19">
        <v>0.16848156371967202</v>
      </c>
      <c r="R704" s="19">
        <v>0.13816661349692028</v>
      </c>
      <c r="S704" s="19">
        <v>1.2071372236323569E-2</v>
      </c>
      <c r="T704" s="20">
        <v>23</v>
      </c>
      <c r="U704" s="17">
        <v>2</v>
      </c>
      <c r="V704" s="17">
        <v>28</v>
      </c>
    </row>
    <row r="705" spans="1:22" x14ac:dyDescent="0.2">
      <c r="A705" t="s">
        <v>2302</v>
      </c>
      <c r="B705" t="s">
        <v>2281</v>
      </c>
      <c r="C705" t="s">
        <v>2282</v>
      </c>
      <c r="D705" t="s">
        <v>2303</v>
      </c>
      <c r="E705" s="10" t="s">
        <v>2304</v>
      </c>
      <c r="F705" s="10"/>
      <c r="G705" s="10"/>
      <c r="H705" s="10" t="s">
        <v>2304</v>
      </c>
      <c r="I705" s="14">
        <v>233984.7040149169</v>
      </c>
      <c r="J705" s="19">
        <v>0</v>
      </c>
      <c r="K705" s="19">
        <v>0.56673483815884529</v>
      </c>
      <c r="L705" s="19">
        <v>0.43326516184115471</v>
      </c>
      <c r="M705" s="20">
        <v>2</v>
      </c>
      <c r="N705" s="19">
        <v>0.47594389583917079</v>
      </c>
      <c r="O705" s="19">
        <v>2.5588038473227034E-2</v>
      </c>
      <c r="P705" s="19">
        <v>6.5202903846447446E-2</v>
      </c>
      <c r="Q705" s="19">
        <v>0.2666534016805725</v>
      </c>
      <c r="R705" s="19">
        <v>0.13992089322574483</v>
      </c>
      <c r="S705" s="19">
        <v>2.6690866934837389E-2</v>
      </c>
      <c r="T705" s="20">
        <v>23</v>
      </c>
      <c r="U705" s="17">
        <v>2</v>
      </c>
      <c r="V705" s="17">
        <v>28</v>
      </c>
    </row>
    <row r="706" spans="1:22" x14ac:dyDescent="0.2">
      <c r="A706" t="s">
        <v>2305</v>
      </c>
      <c r="B706" t="s">
        <v>2281</v>
      </c>
      <c r="C706" t="s">
        <v>2282</v>
      </c>
      <c r="D706" t="s">
        <v>2303</v>
      </c>
      <c r="E706" s="10" t="s">
        <v>2306</v>
      </c>
      <c r="F706" s="10"/>
      <c r="G706" s="10"/>
      <c r="H706" s="10" t="s">
        <v>2306</v>
      </c>
      <c r="I706" s="14">
        <v>345338.08356741769</v>
      </c>
      <c r="J706" s="19">
        <v>5.728429673312896E-3</v>
      </c>
      <c r="K706" s="19">
        <v>0.39801519733670943</v>
      </c>
      <c r="L706" s="19">
        <v>0.59625637298997769</v>
      </c>
      <c r="M706" s="20">
        <v>1</v>
      </c>
      <c r="N706" s="19">
        <v>0.22606797900802697</v>
      </c>
      <c r="O706" s="19">
        <v>3.1320345555560243E-2</v>
      </c>
      <c r="P706" s="19">
        <v>0.14062687277312216</v>
      </c>
      <c r="Q706" s="19">
        <v>0.31172947165017806</v>
      </c>
      <c r="R706" s="19">
        <v>0.24447857583969651</v>
      </c>
      <c r="S706" s="19">
        <v>4.0048325500103142E-2</v>
      </c>
      <c r="T706" s="20">
        <v>13</v>
      </c>
      <c r="U706" s="17">
        <v>2</v>
      </c>
      <c r="V706" s="17">
        <v>28</v>
      </c>
    </row>
    <row r="707" spans="1:22" x14ac:dyDescent="0.2">
      <c r="A707" t="s">
        <v>2307</v>
      </c>
      <c r="B707" t="s">
        <v>2281</v>
      </c>
      <c r="C707" t="s">
        <v>2282</v>
      </c>
      <c r="D707" t="s">
        <v>2308</v>
      </c>
      <c r="E707" s="10" t="s">
        <v>2309</v>
      </c>
      <c r="F707" s="10"/>
      <c r="G707" s="10"/>
      <c r="H707" s="10" t="s">
        <v>2309</v>
      </c>
      <c r="I707" s="14">
        <v>414386.36430723313</v>
      </c>
      <c r="J707" s="19">
        <v>0.38394093490075015</v>
      </c>
      <c r="K707" s="19">
        <v>0.31653426218610725</v>
      </c>
      <c r="L707" s="19">
        <v>0.29952480291314254</v>
      </c>
      <c r="M707" s="20">
        <v>2</v>
      </c>
      <c r="N707" s="19">
        <v>0.13567899554618734</v>
      </c>
      <c r="O707" s="19">
        <v>3.9989127839543503E-2</v>
      </c>
      <c r="P707" s="19">
        <v>0.14086613880037641</v>
      </c>
      <c r="Q707" s="19">
        <v>0.16693270069115382</v>
      </c>
      <c r="R707" s="19">
        <v>0.11905357168308026</v>
      </c>
      <c r="S707" s="19">
        <v>1.3538530538908505E-2</v>
      </c>
      <c r="T707" s="20">
        <v>23</v>
      </c>
      <c r="U707" s="17">
        <v>2</v>
      </c>
      <c r="V707" s="17">
        <v>28</v>
      </c>
    </row>
    <row r="708" spans="1:22" x14ac:dyDescent="0.2">
      <c r="A708" t="s">
        <v>2310</v>
      </c>
      <c r="B708" t="s">
        <v>2281</v>
      </c>
      <c r="C708" t="s">
        <v>2282</v>
      </c>
      <c r="D708" t="s">
        <v>2308</v>
      </c>
      <c r="E708" s="10" t="s">
        <v>2311</v>
      </c>
      <c r="F708" s="10"/>
      <c r="G708" s="10"/>
      <c r="H708" s="10" t="s">
        <v>2311</v>
      </c>
      <c r="I708" s="14">
        <v>1452041.1883456297</v>
      </c>
      <c r="J708" s="19">
        <v>0.5283316890919858</v>
      </c>
      <c r="K708" s="19">
        <v>0.32839666838590265</v>
      </c>
      <c r="L708" s="19">
        <v>0.14327164252211158</v>
      </c>
      <c r="M708" s="20">
        <v>3</v>
      </c>
      <c r="N708" s="19">
        <v>0.2239187046791799</v>
      </c>
      <c r="O708" s="19">
        <v>1.8891524811893438E-2</v>
      </c>
      <c r="P708" s="19">
        <v>8.5586438894829309E-2</v>
      </c>
      <c r="Q708" s="19">
        <v>7.2489193468710619E-2</v>
      </c>
      <c r="R708" s="19">
        <v>6.0046736396174839E-2</v>
      </c>
      <c r="S708" s="19">
        <v>1.073571265722614E-2</v>
      </c>
      <c r="T708" s="20">
        <v>30</v>
      </c>
      <c r="U708" s="17">
        <v>2</v>
      </c>
      <c r="V708" s="17">
        <v>28</v>
      </c>
    </row>
    <row r="709" spans="1:22" x14ac:dyDescent="0.2">
      <c r="A709" t="s">
        <v>2312</v>
      </c>
      <c r="B709" t="s">
        <v>2281</v>
      </c>
      <c r="C709" t="s">
        <v>2282</v>
      </c>
      <c r="D709" t="s">
        <v>2308</v>
      </c>
      <c r="E709" s="10" t="s">
        <v>2313</v>
      </c>
      <c r="F709" s="10"/>
      <c r="G709" s="10"/>
      <c r="H709" s="10" t="s">
        <v>2313</v>
      </c>
      <c r="I709" s="14">
        <v>109923.33853905648</v>
      </c>
      <c r="J709" s="19">
        <v>0</v>
      </c>
      <c r="K709" s="19">
        <v>0.46890262221061157</v>
      </c>
      <c r="L709" s="19">
        <v>0.53109737778938848</v>
      </c>
      <c r="M709" s="20">
        <v>1</v>
      </c>
      <c r="N709" s="19">
        <v>0.1142389960917457</v>
      </c>
      <c r="O709" s="19">
        <v>0.34757993872829407</v>
      </c>
      <c r="P709" s="19">
        <v>7.0836873905718205E-3</v>
      </c>
      <c r="Q709" s="19">
        <v>0.31906792881287793</v>
      </c>
      <c r="R709" s="19">
        <v>0.18330746659975838</v>
      </c>
      <c r="S709" s="19">
        <v>2.8721982376752126E-2</v>
      </c>
      <c r="T709" s="20">
        <v>13</v>
      </c>
      <c r="U709" s="17">
        <v>2</v>
      </c>
      <c r="V709" s="17">
        <v>28</v>
      </c>
    </row>
    <row r="710" spans="1:22" x14ac:dyDescent="0.2">
      <c r="A710" t="s">
        <v>2314</v>
      </c>
      <c r="B710" t="s">
        <v>2281</v>
      </c>
      <c r="C710" t="s">
        <v>2282</v>
      </c>
      <c r="D710" t="s">
        <v>2315</v>
      </c>
      <c r="E710" s="10" t="s">
        <v>2316</v>
      </c>
      <c r="F710" s="10"/>
      <c r="G710" s="10"/>
      <c r="H710" s="10" t="s">
        <v>2316</v>
      </c>
      <c r="I710" s="14">
        <v>47287.685426399112</v>
      </c>
      <c r="J710" s="19">
        <v>0</v>
      </c>
      <c r="K710" s="19">
        <v>0.59105017678553684</v>
      </c>
      <c r="L710" s="19">
        <v>0.40894982321446316</v>
      </c>
      <c r="M710" s="20">
        <v>2</v>
      </c>
      <c r="N710" s="19">
        <v>0.2348922651226866</v>
      </c>
      <c r="O710" s="19">
        <v>0.14208723098100573</v>
      </c>
      <c r="P710" s="19">
        <v>0.21407068068184454</v>
      </c>
      <c r="Q710" s="19">
        <v>0.19822645141744186</v>
      </c>
      <c r="R710" s="19">
        <v>0.17213543197125275</v>
      </c>
      <c r="S710" s="19">
        <v>3.8587939825768532E-2</v>
      </c>
      <c r="T710" s="20">
        <v>23</v>
      </c>
      <c r="U710" s="17">
        <v>2</v>
      </c>
      <c r="V710" s="17">
        <v>28</v>
      </c>
    </row>
    <row r="711" spans="1:22" x14ac:dyDescent="0.2">
      <c r="A711" t="s">
        <v>2317</v>
      </c>
      <c r="B711" t="s">
        <v>2281</v>
      </c>
      <c r="C711" t="s">
        <v>2282</v>
      </c>
      <c r="D711" t="s">
        <v>2315</v>
      </c>
      <c r="E711" s="10" t="s">
        <v>2318</v>
      </c>
      <c r="F711" s="10"/>
      <c r="G711" s="10"/>
      <c r="H711" s="10" t="s">
        <v>2318</v>
      </c>
      <c r="I711" s="14">
        <v>262796.22420469671</v>
      </c>
      <c r="J711" s="19">
        <v>0.42907041091559495</v>
      </c>
      <c r="K711" s="19">
        <v>0.33163127063076897</v>
      </c>
      <c r="L711" s="19">
        <v>0.23929831845363608</v>
      </c>
      <c r="M711" s="20">
        <v>2</v>
      </c>
      <c r="N711" s="19">
        <v>0.17587743216507851</v>
      </c>
      <c r="O711" s="19">
        <v>2.0699106075711231E-2</v>
      </c>
      <c r="P711" s="19">
        <v>0.13505473238997923</v>
      </c>
      <c r="Q711" s="19">
        <v>7.5381511496207393E-2</v>
      </c>
      <c r="R711" s="19">
        <v>0.14265500406633438</v>
      </c>
      <c r="S711" s="19">
        <v>2.1261802891094323E-2</v>
      </c>
      <c r="T711" s="20">
        <v>23</v>
      </c>
      <c r="U711" s="17">
        <v>2</v>
      </c>
      <c r="V711" s="17">
        <v>28</v>
      </c>
    </row>
    <row r="712" spans="1:22" x14ac:dyDescent="0.2">
      <c r="A712" t="s">
        <v>2319</v>
      </c>
      <c r="B712" t="s">
        <v>2281</v>
      </c>
      <c r="C712" t="s">
        <v>2282</v>
      </c>
      <c r="D712" t="s">
        <v>2320</v>
      </c>
      <c r="E712" s="10" t="s">
        <v>2321</v>
      </c>
      <c r="F712" s="10"/>
      <c r="G712" s="10"/>
      <c r="H712" s="10" t="s">
        <v>2321</v>
      </c>
      <c r="I712" s="14">
        <v>487627.31163814571</v>
      </c>
      <c r="J712" s="19">
        <v>0.27290721155934899</v>
      </c>
      <c r="K712" s="19">
        <v>0.34644089287631613</v>
      </c>
      <c r="L712" s="19">
        <v>0.38065189556433487</v>
      </c>
      <c r="M712" s="20">
        <v>2</v>
      </c>
      <c r="N712" s="19">
        <v>0.2509207354987309</v>
      </c>
      <c r="O712" s="19">
        <v>1.0441480452340727E-2</v>
      </c>
      <c r="P712" s="19">
        <v>8.5078676925244512E-2</v>
      </c>
      <c r="Q712" s="19">
        <v>0.20226335575897617</v>
      </c>
      <c r="R712" s="19">
        <v>0.1455125427918712</v>
      </c>
      <c r="S712" s="19">
        <v>3.2875997013487486E-2</v>
      </c>
      <c r="T712" s="20">
        <v>23</v>
      </c>
      <c r="U712" s="17">
        <v>2</v>
      </c>
      <c r="V712" s="17">
        <v>28</v>
      </c>
    </row>
    <row r="713" spans="1:22" x14ac:dyDescent="0.2">
      <c r="A713" t="s">
        <v>2322</v>
      </c>
      <c r="B713" t="s">
        <v>2281</v>
      </c>
      <c r="C713" t="s">
        <v>2282</v>
      </c>
      <c r="D713" t="s">
        <v>2320</v>
      </c>
      <c r="E713" s="10" t="s">
        <v>2323</v>
      </c>
      <c r="F713" s="10"/>
      <c r="G713" s="10"/>
      <c r="H713" s="10" t="s">
        <v>2323</v>
      </c>
      <c r="I713" s="14">
        <v>881348.67341797915</v>
      </c>
      <c r="J713" s="19">
        <v>0.3055644509295487</v>
      </c>
      <c r="K713" s="19">
        <v>0.35529667755690653</v>
      </c>
      <c r="L713" s="19">
        <v>0.33913887151354483</v>
      </c>
      <c r="M713" s="20">
        <v>2</v>
      </c>
      <c r="N713" s="19">
        <v>0.1864524311864357</v>
      </c>
      <c r="O713" s="19">
        <v>8.367607855352667E-2</v>
      </c>
      <c r="P713" s="19">
        <v>8.516816781694414E-2</v>
      </c>
      <c r="Q713" s="19">
        <v>0.18922771299427166</v>
      </c>
      <c r="R713" s="19">
        <v>0.12723698168768877</v>
      </c>
      <c r="S713" s="19">
        <v>2.2674176831584361E-2</v>
      </c>
      <c r="T713" s="20">
        <v>23</v>
      </c>
      <c r="U713" s="17">
        <v>2</v>
      </c>
      <c r="V713" s="17">
        <v>28</v>
      </c>
    </row>
    <row r="714" spans="1:22" x14ac:dyDescent="0.2">
      <c r="A714" t="s">
        <v>2324</v>
      </c>
      <c r="B714" t="s">
        <v>2281</v>
      </c>
      <c r="C714" t="s">
        <v>2282</v>
      </c>
      <c r="D714" t="s">
        <v>2320</v>
      </c>
      <c r="E714" s="10" t="s">
        <v>2325</v>
      </c>
      <c r="F714" s="10"/>
      <c r="G714" s="10"/>
      <c r="H714" s="10" t="s">
        <v>2325</v>
      </c>
      <c r="I714" s="14">
        <v>224996.68014131769</v>
      </c>
      <c r="J714" s="19">
        <v>0.59094860548717942</v>
      </c>
      <c r="K714" s="19">
        <v>0.1660378144895498</v>
      </c>
      <c r="L714" s="19">
        <v>0.24301358002327067</v>
      </c>
      <c r="M714" s="20">
        <v>3</v>
      </c>
      <c r="N714" s="19">
        <v>6.2542321608113849E-2</v>
      </c>
      <c r="O714" s="19">
        <v>1.421102213065298E-2</v>
      </c>
      <c r="P714" s="19">
        <v>8.9284470750782968E-2</v>
      </c>
      <c r="Q714" s="19">
        <v>0.12352583476676873</v>
      </c>
      <c r="R714" s="19">
        <v>9.3441297143569677E-2</v>
      </c>
      <c r="S714" s="19">
        <v>2.6046448112932295E-2</v>
      </c>
      <c r="T714" s="20">
        <v>30</v>
      </c>
      <c r="U714" s="17">
        <v>2</v>
      </c>
      <c r="V714" s="17">
        <v>28</v>
      </c>
    </row>
    <row r="715" spans="1:22" x14ac:dyDescent="0.2">
      <c r="A715" t="s">
        <v>2326</v>
      </c>
      <c r="B715" t="s">
        <v>2281</v>
      </c>
      <c r="C715" t="s">
        <v>2282</v>
      </c>
      <c r="D715" t="s">
        <v>2327</v>
      </c>
      <c r="E715" s="10" t="s">
        <v>2328</v>
      </c>
      <c r="F715" s="10"/>
      <c r="G715" s="10"/>
      <c r="H715" s="10" t="s">
        <v>2328</v>
      </c>
      <c r="I715" s="14">
        <v>1247552.4491128088</v>
      </c>
      <c r="J715" s="19">
        <v>0.21032551972404645</v>
      </c>
      <c r="K715" s="19">
        <v>0.20750288139614168</v>
      </c>
      <c r="L715" s="19">
        <v>0.58217159887981185</v>
      </c>
      <c r="M715" s="20">
        <v>1</v>
      </c>
      <c r="N715" s="19">
        <v>8.0527082948602752E-2</v>
      </c>
      <c r="O715" s="19">
        <v>5.4247221100815812E-2</v>
      </c>
      <c r="P715" s="19">
        <v>7.2728577346723111E-2</v>
      </c>
      <c r="Q715" s="19">
        <v>0.41452528355807444</v>
      </c>
      <c r="R715" s="19">
        <v>0.15457322874363663</v>
      </c>
      <c r="S715" s="19">
        <v>1.3073086578100808E-2</v>
      </c>
      <c r="T715" s="20">
        <v>13</v>
      </c>
      <c r="U715" s="17">
        <v>2</v>
      </c>
      <c r="V715" s="17">
        <v>28</v>
      </c>
    </row>
    <row r="716" spans="1:22" x14ac:dyDescent="0.2">
      <c r="A716" t="s">
        <v>2329</v>
      </c>
      <c r="B716" t="s">
        <v>2281</v>
      </c>
      <c r="C716" t="s">
        <v>2282</v>
      </c>
      <c r="D716" t="s">
        <v>2327</v>
      </c>
      <c r="E716" s="10" t="s">
        <v>2330</v>
      </c>
      <c r="F716" s="10"/>
      <c r="G716" s="10"/>
      <c r="H716" s="10" t="s">
        <v>2330</v>
      </c>
      <c r="I716" s="14">
        <v>686978.16539405379</v>
      </c>
      <c r="J716" s="19">
        <v>0</v>
      </c>
      <c r="K716" s="19">
        <v>0.55123380122901566</v>
      </c>
      <c r="L716" s="19">
        <v>0.44876619877098434</v>
      </c>
      <c r="M716" s="20">
        <v>2</v>
      </c>
      <c r="N716" s="19">
        <v>0.25731758450602038</v>
      </c>
      <c r="O716" s="19">
        <v>6.8366238909444141E-2</v>
      </c>
      <c r="P716" s="19">
        <v>0.22554997781355116</v>
      </c>
      <c r="Q716" s="19">
        <v>0.28613186464752183</v>
      </c>
      <c r="R716" s="19">
        <v>0.14966898105186488</v>
      </c>
      <c r="S716" s="19">
        <v>1.2965353071597595E-2</v>
      </c>
      <c r="T716" s="20">
        <v>23</v>
      </c>
      <c r="U716" s="17">
        <v>2</v>
      </c>
      <c r="V716" s="17">
        <v>28</v>
      </c>
    </row>
    <row r="717" spans="1:22" x14ac:dyDescent="0.2">
      <c r="A717" t="s">
        <v>2331</v>
      </c>
      <c r="B717" t="s">
        <v>2281</v>
      </c>
      <c r="C717" t="s">
        <v>2282</v>
      </c>
      <c r="D717" t="s">
        <v>2327</v>
      </c>
      <c r="E717" s="10" t="s">
        <v>2332</v>
      </c>
      <c r="F717" s="10"/>
      <c r="G717" s="10"/>
      <c r="H717" s="10" t="s">
        <v>2332</v>
      </c>
      <c r="I717" s="14">
        <v>1218324.1436061291</v>
      </c>
      <c r="J717" s="19">
        <v>9.3697627257573982E-2</v>
      </c>
      <c r="K717" s="19">
        <v>0.36711949621236373</v>
      </c>
      <c r="L717" s="19">
        <v>0.53918287653006225</v>
      </c>
      <c r="M717" s="20">
        <v>1</v>
      </c>
      <c r="N717" s="19">
        <v>0.15007764377570346</v>
      </c>
      <c r="O717" s="19">
        <v>0.10798987462656941</v>
      </c>
      <c r="P717" s="19">
        <v>0.10905197781009085</v>
      </c>
      <c r="Q717" s="19">
        <v>0.35636312833048905</v>
      </c>
      <c r="R717" s="19">
        <v>0.16784495989808623</v>
      </c>
      <c r="S717" s="19">
        <v>1.4974788301487001E-2</v>
      </c>
      <c r="T717" s="20">
        <v>13</v>
      </c>
      <c r="U717" s="17">
        <v>2</v>
      </c>
      <c r="V717" s="17">
        <v>28</v>
      </c>
    </row>
    <row r="718" spans="1:22" x14ac:dyDescent="0.2">
      <c r="A718" t="s">
        <v>2333</v>
      </c>
      <c r="B718" t="s">
        <v>2281</v>
      </c>
      <c r="C718" t="s">
        <v>2282</v>
      </c>
      <c r="D718" t="s">
        <v>2327</v>
      </c>
      <c r="E718" s="10" t="s">
        <v>2334</v>
      </c>
      <c r="F718" s="10"/>
      <c r="G718" s="10"/>
      <c r="H718" s="10" t="s">
        <v>2334</v>
      </c>
      <c r="I718" s="14">
        <v>729676.14719412476</v>
      </c>
      <c r="J718" s="19">
        <v>0.11207942659763438</v>
      </c>
      <c r="K718" s="19">
        <v>0.29701099512648194</v>
      </c>
      <c r="L718" s="19">
        <v>0.59090957827588375</v>
      </c>
      <c r="M718" s="20">
        <v>1</v>
      </c>
      <c r="N718" s="19">
        <v>0.15499007471049436</v>
      </c>
      <c r="O718" s="19">
        <v>8.3007910851523051E-2</v>
      </c>
      <c r="P718" s="19">
        <v>5.9013009564464501E-2</v>
      </c>
      <c r="Q718" s="19">
        <v>0.37577141235391648</v>
      </c>
      <c r="R718" s="19">
        <v>0.20081708348422664</v>
      </c>
      <c r="S718" s="19">
        <v>1.4321082437740563E-2</v>
      </c>
      <c r="T718" s="20">
        <v>13</v>
      </c>
      <c r="U718" s="17">
        <v>2</v>
      </c>
      <c r="V718" s="17">
        <v>28</v>
      </c>
    </row>
    <row r="719" spans="1:22" x14ac:dyDescent="0.2">
      <c r="A719" t="s">
        <v>2335</v>
      </c>
      <c r="B719" t="s">
        <v>2281</v>
      </c>
      <c r="C719" t="s">
        <v>2282</v>
      </c>
      <c r="D719" t="s">
        <v>2336</v>
      </c>
      <c r="E719" s="10" t="s">
        <v>2337</v>
      </c>
      <c r="F719" s="10"/>
      <c r="G719" s="10"/>
      <c r="H719" s="10" t="s">
        <v>2337</v>
      </c>
      <c r="I719" s="14">
        <v>726287.83685592841</v>
      </c>
      <c r="J719" s="19">
        <v>0.1679739092790766</v>
      </c>
      <c r="K719" s="19">
        <v>0.50150529882207584</v>
      </c>
      <c r="L719" s="19">
        <v>0.33052079189884759</v>
      </c>
      <c r="M719" s="20">
        <v>2</v>
      </c>
      <c r="N719" s="19">
        <v>0.15032257867703813</v>
      </c>
      <c r="O719" s="19">
        <v>0.11711000972169561</v>
      </c>
      <c r="P719" s="19">
        <v>0.23407271042334207</v>
      </c>
      <c r="Q719" s="19">
        <v>0.20719540853607812</v>
      </c>
      <c r="R719" s="19">
        <v>0.11257675388615829</v>
      </c>
      <c r="S719" s="19">
        <v>1.0748629476611231E-2</v>
      </c>
      <c r="T719" s="20">
        <v>23</v>
      </c>
      <c r="U719" s="17">
        <v>2</v>
      </c>
      <c r="V719" s="17">
        <v>28</v>
      </c>
    </row>
    <row r="720" spans="1:22" x14ac:dyDescent="0.2">
      <c r="A720" t="s">
        <v>2338</v>
      </c>
      <c r="B720" t="s">
        <v>2281</v>
      </c>
      <c r="C720" t="s">
        <v>2282</v>
      </c>
      <c r="D720" t="s">
        <v>2336</v>
      </c>
      <c r="E720" s="10" t="s">
        <v>2336</v>
      </c>
      <c r="F720" s="10"/>
      <c r="G720" s="10"/>
      <c r="H720" s="10" t="s">
        <v>2336</v>
      </c>
      <c r="I720" s="14">
        <v>2186777.2836795561</v>
      </c>
      <c r="J720" s="19">
        <v>0.83498488361786505</v>
      </c>
      <c r="K720" s="19">
        <v>0.11985425274988597</v>
      </c>
      <c r="L720" s="19">
        <v>4.5160863632248971E-2</v>
      </c>
      <c r="M720" s="20">
        <v>3</v>
      </c>
      <c r="N720" s="19">
        <v>5.4664075488515131E-2</v>
      </c>
      <c r="O720" s="19">
        <v>1.9892427736610697E-3</v>
      </c>
      <c r="P720" s="19">
        <v>6.3200934487709762E-2</v>
      </c>
      <c r="Q720" s="19">
        <v>1.8458084834399417E-2</v>
      </c>
      <c r="R720" s="19">
        <v>2.3938151930083137E-2</v>
      </c>
      <c r="S720" s="19">
        <v>2.7646268677664178E-3</v>
      </c>
      <c r="T720" s="20">
        <v>30</v>
      </c>
      <c r="U720" s="17">
        <v>2</v>
      </c>
      <c r="V720" s="17">
        <v>28</v>
      </c>
    </row>
    <row r="721" spans="1:22" x14ac:dyDescent="0.2">
      <c r="A721" t="s">
        <v>2339</v>
      </c>
      <c r="B721" t="s">
        <v>2281</v>
      </c>
      <c r="C721" t="s">
        <v>2282</v>
      </c>
      <c r="D721" t="s">
        <v>2336</v>
      </c>
      <c r="E721" s="10" t="s">
        <v>2340</v>
      </c>
      <c r="F721" s="10"/>
      <c r="G721" s="10"/>
      <c r="H721" s="10" t="s">
        <v>2340</v>
      </c>
      <c r="I721" s="14">
        <v>1017846.9357788991</v>
      </c>
      <c r="J721" s="19">
        <v>0.1888566881948327</v>
      </c>
      <c r="K721" s="19">
        <v>0.34562165415399676</v>
      </c>
      <c r="L721" s="19">
        <v>0.46552165765117054</v>
      </c>
      <c r="M721" s="20">
        <v>2</v>
      </c>
      <c r="N721" s="19">
        <v>0.1621417542343902</v>
      </c>
      <c r="O721" s="19">
        <v>7.8323669690435027E-2</v>
      </c>
      <c r="P721" s="19">
        <v>0.10515623022917153</v>
      </c>
      <c r="Q721" s="19">
        <v>0.32512205806492178</v>
      </c>
      <c r="R721" s="19">
        <v>0.12873801993763967</v>
      </c>
      <c r="S721" s="19">
        <v>1.1661579648609118E-2</v>
      </c>
      <c r="T721" s="20">
        <v>23</v>
      </c>
      <c r="U721" s="17">
        <v>2</v>
      </c>
      <c r="V721" s="17">
        <v>28</v>
      </c>
    </row>
    <row r="722" spans="1:22" x14ac:dyDescent="0.2">
      <c r="A722" t="s">
        <v>2341</v>
      </c>
      <c r="B722" t="s">
        <v>2281</v>
      </c>
      <c r="C722" t="s">
        <v>2282</v>
      </c>
      <c r="D722" t="s">
        <v>2336</v>
      </c>
      <c r="E722" s="10" t="s">
        <v>2342</v>
      </c>
      <c r="F722" s="10"/>
      <c r="G722" s="10"/>
      <c r="H722" s="10" t="s">
        <v>2342</v>
      </c>
      <c r="I722" s="14">
        <v>1297167.5666252291</v>
      </c>
      <c r="J722" s="19">
        <v>0.19718414240776652</v>
      </c>
      <c r="K722" s="19">
        <v>0.28464998550016252</v>
      </c>
      <c r="L722" s="19">
        <v>0.51816587209207099</v>
      </c>
      <c r="M722" s="20">
        <v>1</v>
      </c>
      <c r="N722" s="19">
        <v>0.12083798865442967</v>
      </c>
      <c r="O722" s="19">
        <v>7.7033761673533499E-2</v>
      </c>
      <c r="P722" s="19">
        <v>8.6778235172199347E-2</v>
      </c>
      <c r="Q722" s="19">
        <v>0.37054084776810459</v>
      </c>
      <c r="R722" s="19">
        <v>0.13463102343797517</v>
      </c>
      <c r="S722" s="19">
        <v>1.2994000885991239E-2</v>
      </c>
      <c r="T722" s="20">
        <v>13</v>
      </c>
      <c r="U722" s="17">
        <v>2</v>
      </c>
      <c r="V722" s="17">
        <v>28</v>
      </c>
    </row>
    <row r="723" spans="1:22" x14ac:dyDescent="0.2">
      <c r="A723" t="s">
        <v>2343</v>
      </c>
      <c r="B723" t="s">
        <v>2281</v>
      </c>
      <c r="C723" t="s">
        <v>2282</v>
      </c>
      <c r="D723" t="s">
        <v>2336</v>
      </c>
      <c r="E723" s="10" t="s">
        <v>2344</v>
      </c>
      <c r="F723" s="10"/>
      <c r="G723" s="10"/>
      <c r="H723" s="10" t="s">
        <v>2344</v>
      </c>
      <c r="I723" s="14">
        <v>712156.93550758716</v>
      </c>
      <c r="J723" s="19">
        <v>0.23646524650470777</v>
      </c>
      <c r="K723" s="19">
        <v>0.51337980671177808</v>
      </c>
      <c r="L723" s="19">
        <v>0.25015494678351413</v>
      </c>
      <c r="M723" s="20">
        <v>2</v>
      </c>
      <c r="N723" s="19">
        <v>0.24570592209696554</v>
      </c>
      <c r="O723" s="19">
        <v>9.1319560050373269E-2</v>
      </c>
      <c r="P723" s="19">
        <v>0.17635432456443922</v>
      </c>
      <c r="Q723" s="19">
        <v>0.14485027694092562</v>
      </c>
      <c r="R723" s="19">
        <v>9.1783280532606884E-2</v>
      </c>
      <c r="S723" s="19">
        <v>1.352138930998166E-2</v>
      </c>
      <c r="T723" s="20">
        <v>23</v>
      </c>
      <c r="U723" s="17">
        <v>2</v>
      </c>
      <c r="V723" s="17">
        <v>28</v>
      </c>
    </row>
    <row r="724" spans="1:22" x14ac:dyDescent="0.2">
      <c r="A724" t="s">
        <v>2345</v>
      </c>
      <c r="B724" t="s">
        <v>2281</v>
      </c>
      <c r="C724" t="s">
        <v>2282</v>
      </c>
      <c r="D724" t="s">
        <v>2336</v>
      </c>
      <c r="E724" s="10" t="s">
        <v>2346</v>
      </c>
      <c r="F724" s="10"/>
      <c r="G724" s="10"/>
      <c r="H724" s="10" t="s">
        <v>2346</v>
      </c>
      <c r="I724" s="14">
        <v>1004742.7130584754</v>
      </c>
      <c r="J724" s="19">
        <v>0.29454759718745072</v>
      </c>
      <c r="K724" s="19">
        <v>0.36223172203014287</v>
      </c>
      <c r="L724" s="19">
        <v>0.34322068078240647</v>
      </c>
      <c r="M724" s="20">
        <v>2</v>
      </c>
      <c r="N724" s="19">
        <v>0.13096815551177859</v>
      </c>
      <c r="O724" s="19">
        <v>7.8316723972994995E-2</v>
      </c>
      <c r="P724" s="19">
        <v>0.15294684254536928</v>
      </c>
      <c r="Q724" s="19">
        <v>0.19683573348475641</v>
      </c>
      <c r="R724" s="19">
        <v>0.13166314254432929</v>
      </c>
      <c r="S724" s="19">
        <v>1.4721804753320741E-2</v>
      </c>
      <c r="T724" s="20">
        <v>23</v>
      </c>
      <c r="U724" s="17">
        <v>2</v>
      </c>
      <c r="V724" s="17">
        <v>28</v>
      </c>
    </row>
    <row r="725" spans="1:22" x14ac:dyDescent="0.2">
      <c r="A725" t="s">
        <v>2347</v>
      </c>
      <c r="B725" t="s">
        <v>2281</v>
      </c>
      <c r="C725" t="s">
        <v>2282</v>
      </c>
      <c r="D725" t="s">
        <v>2348</v>
      </c>
      <c r="E725" s="10" t="s">
        <v>2349</v>
      </c>
      <c r="F725" s="10"/>
      <c r="G725" s="10"/>
      <c r="H725" s="10" t="s">
        <v>2349</v>
      </c>
      <c r="I725" s="14">
        <v>1187277.4978241054</v>
      </c>
      <c r="J725" s="19">
        <v>0.37612926251164885</v>
      </c>
      <c r="K725" s="19">
        <v>0.43442435793618095</v>
      </c>
      <c r="L725" s="19">
        <v>0.1894463795521702</v>
      </c>
      <c r="M725" s="20">
        <v>2</v>
      </c>
      <c r="N725" s="19">
        <v>0.26818689234080256</v>
      </c>
      <c r="O725" s="19">
        <v>2.8515439864170922E-2</v>
      </c>
      <c r="P725" s="19">
        <v>0.13772202573120751</v>
      </c>
      <c r="Q725" s="19">
        <v>0.11184921109465396</v>
      </c>
      <c r="R725" s="19">
        <v>6.5889833442182938E-2</v>
      </c>
      <c r="S725" s="19">
        <v>1.1707335015333274E-2</v>
      </c>
      <c r="T725" s="20">
        <v>23</v>
      </c>
      <c r="U725" s="17">
        <v>2</v>
      </c>
      <c r="V725" s="17">
        <v>28</v>
      </c>
    </row>
    <row r="726" spans="1:22" x14ac:dyDescent="0.2">
      <c r="A726" t="s">
        <v>2350</v>
      </c>
      <c r="B726" t="s">
        <v>2281</v>
      </c>
      <c r="C726" t="s">
        <v>2282</v>
      </c>
      <c r="D726" t="s">
        <v>2348</v>
      </c>
      <c r="E726" s="10" t="s">
        <v>2351</v>
      </c>
      <c r="F726" s="10"/>
      <c r="G726" s="10"/>
      <c r="H726" s="10" t="s">
        <v>2351</v>
      </c>
      <c r="I726" s="14">
        <v>793842.3510452155</v>
      </c>
      <c r="J726" s="19">
        <v>0.3114210557776852</v>
      </c>
      <c r="K726" s="19">
        <v>0.53965807923512188</v>
      </c>
      <c r="L726" s="19">
        <v>0.14892086498719298</v>
      </c>
      <c r="M726" s="20">
        <v>2</v>
      </c>
      <c r="N726" s="19">
        <v>0.32612636940946926</v>
      </c>
      <c r="O726" s="19">
        <v>3.4767459365336963E-2</v>
      </c>
      <c r="P726" s="19">
        <v>0.1787642504603156</v>
      </c>
      <c r="Q726" s="19">
        <v>7.3329722679962794E-2</v>
      </c>
      <c r="R726" s="19">
        <v>6.2874612623956064E-2</v>
      </c>
      <c r="S726" s="19">
        <v>1.2716529683274117E-2</v>
      </c>
      <c r="T726" s="20">
        <v>23</v>
      </c>
      <c r="U726" s="17">
        <v>2</v>
      </c>
      <c r="V726" s="17">
        <v>28</v>
      </c>
    </row>
    <row r="727" spans="1:22" x14ac:dyDescent="0.2">
      <c r="A727" t="s">
        <v>2352</v>
      </c>
      <c r="B727" t="s">
        <v>2281</v>
      </c>
      <c r="C727" t="s">
        <v>2282</v>
      </c>
      <c r="D727" t="s">
        <v>2353</v>
      </c>
      <c r="E727" s="10" t="s">
        <v>2353</v>
      </c>
      <c r="F727" s="10"/>
      <c r="G727" s="10"/>
      <c r="H727" s="10" t="s">
        <v>2353</v>
      </c>
      <c r="I727" s="14">
        <v>222321.314658585</v>
      </c>
      <c r="J727" s="19">
        <v>0.69663330964053372</v>
      </c>
      <c r="K727" s="19">
        <v>0.27924316693950485</v>
      </c>
      <c r="L727" s="19">
        <v>2.41235234199614E-2</v>
      </c>
      <c r="M727" s="20">
        <v>3</v>
      </c>
      <c r="N727" s="19">
        <v>2.3506060483146185E-2</v>
      </c>
      <c r="O727" s="19">
        <v>0</v>
      </c>
      <c r="P727" s="19">
        <v>0.25573710645635866</v>
      </c>
      <c r="Q727" s="19">
        <v>0</v>
      </c>
      <c r="R727" s="19">
        <v>2.3526794614996981E-2</v>
      </c>
      <c r="S727" s="19">
        <v>5.9672880496441797E-4</v>
      </c>
      <c r="T727" s="20">
        <v>30</v>
      </c>
      <c r="U727" s="17">
        <v>2</v>
      </c>
      <c r="V727" s="17">
        <v>28</v>
      </c>
    </row>
    <row r="728" spans="1:22" x14ac:dyDescent="0.2">
      <c r="A728" t="s">
        <v>2354</v>
      </c>
      <c r="B728" t="s">
        <v>2281</v>
      </c>
      <c r="C728" t="s">
        <v>2282</v>
      </c>
      <c r="D728" t="s">
        <v>2355</v>
      </c>
      <c r="E728" s="10" t="s">
        <v>2356</v>
      </c>
      <c r="F728" s="10"/>
      <c r="G728" s="10"/>
      <c r="H728" s="10" t="s">
        <v>2356</v>
      </c>
      <c r="I728" s="14">
        <v>419403.60824365076</v>
      </c>
      <c r="J728" s="19">
        <v>0.25884055182250665</v>
      </c>
      <c r="K728" s="19">
        <v>0.38974798750485662</v>
      </c>
      <c r="L728" s="19">
        <v>0.35141146067263679</v>
      </c>
      <c r="M728" s="20">
        <v>2</v>
      </c>
      <c r="N728" s="19">
        <v>0.28405746994183273</v>
      </c>
      <c r="O728" s="19">
        <v>1.6134102222670206E-2</v>
      </c>
      <c r="P728" s="19">
        <v>8.9556415340353648E-2</v>
      </c>
      <c r="Q728" s="19">
        <v>0.24497085391150797</v>
      </c>
      <c r="R728" s="19">
        <v>9.5312331827015859E-2</v>
      </c>
      <c r="S728" s="19">
        <v>1.1128274934112921E-2</v>
      </c>
      <c r="T728" s="20">
        <v>23</v>
      </c>
      <c r="U728" s="17">
        <v>2</v>
      </c>
      <c r="V728" s="17">
        <v>28</v>
      </c>
    </row>
    <row r="729" spans="1:22" x14ac:dyDescent="0.2">
      <c r="A729" t="s">
        <v>2357</v>
      </c>
      <c r="B729" t="s">
        <v>2281</v>
      </c>
      <c r="C729" t="s">
        <v>2282</v>
      </c>
      <c r="D729" t="s">
        <v>2355</v>
      </c>
      <c r="E729" s="10" t="s">
        <v>2358</v>
      </c>
      <c r="F729" s="10"/>
      <c r="G729" s="10"/>
      <c r="H729" s="10" t="s">
        <v>2358</v>
      </c>
      <c r="I729" s="14">
        <v>409918.70076840743</v>
      </c>
      <c r="J729" s="19">
        <v>0.24761631190774652</v>
      </c>
      <c r="K729" s="19">
        <v>0.41918042499701147</v>
      </c>
      <c r="L729" s="19">
        <v>0.33320326309524195</v>
      </c>
      <c r="M729" s="20">
        <v>2</v>
      </c>
      <c r="N729" s="19">
        <v>0.334555808340183</v>
      </c>
      <c r="O729" s="19">
        <v>1.4221034623561328E-2</v>
      </c>
      <c r="P729" s="19">
        <v>7.0403582033267104E-2</v>
      </c>
      <c r="Q729" s="19">
        <v>0.20554683146564587</v>
      </c>
      <c r="R729" s="19">
        <v>0.11399194565866121</v>
      </c>
      <c r="S729" s="19">
        <v>1.3664485970934944E-2</v>
      </c>
      <c r="T729" s="20">
        <v>23</v>
      </c>
      <c r="U729" s="17">
        <v>2</v>
      </c>
      <c r="V729" s="17">
        <v>28</v>
      </c>
    </row>
    <row r="730" spans="1:22" x14ac:dyDescent="0.2">
      <c r="A730" t="s">
        <v>2359</v>
      </c>
      <c r="B730" t="s">
        <v>2281</v>
      </c>
      <c r="C730" t="s">
        <v>2282</v>
      </c>
      <c r="D730" t="s">
        <v>2355</v>
      </c>
      <c r="E730" s="10" t="s">
        <v>2360</v>
      </c>
      <c r="F730" s="10"/>
      <c r="G730" s="10"/>
      <c r="H730" s="10" t="s">
        <v>2360</v>
      </c>
      <c r="I730" s="14">
        <v>50105.013868270435</v>
      </c>
      <c r="J730" s="19">
        <v>0</v>
      </c>
      <c r="K730" s="19">
        <v>0.70950505092721183</v>
      </c>
      <c r="L730" s="19">
        <v>0.29049494907278839</v>
      </c>
      <c r="M730" s="20">
        <v>2</v>
      </c>
      <c r="N730" s="19">
        <v>0.56933171643037406</v>
      </c>
      <c r="O730" s="19">
        <v>0</v>
      </c>
      <c r="P730" s="19">
        <v>0.14017333449683772</v>
      </c>
      <c r="Q730" s="19">
        <v>8.9575771626031531E-2</v>
      </c>
      <c r="R730" s="19">
        <v>0.16259952687204887</v>
      </c>
      <c r="S730" s="19">
        <v>3.8319650574707938E-2</v>
      </c>
      <c r="T730" s="20">
        <v>23</v>
      </c>
      <c r="U730" s="17">
        <v>2</v>
      </c>
      <c r="V730" s="17">
        <v>28</v>
      </c>
    </row>
    <row r="731" spans="1:22" x14ac:dyDescent="0.2">
      <c r="A731" t="s">
        <v>2361</v>
      </c>
      <c r="B731" t="s">
        <v>2281</v>
      </c>
      <c r="C731" t="s">
        <v>2282</v>
      </c>
      <c r="D731" t="s">
        <v>2355</v>
      </c>
      <c r="E731" s="10" t="s">
        <v>2362</v>
      </c>
      <c r="F731" s="10"/>
      <c r="G731" s="10"/>
      <c r="H731" s="10" t="s">
        <v>2362</v>
      </c>
      <c r="I731" s="14">
        <v>746829.79305166379</v>
      </c>
      <c r="J731" s="19">
        <v>0.33345522599228805</v>
      </c>
      <c r="K731" s="19">
        <v>0.32318227048949627</v>
      </c>
      <c r="L731" s="19">
        <v>0.34336250351821562</v>
      </c>
      <c r="M731" s="20">
        <v>2</v>
      </c>
      <c r="N731" s="19">
        <v>0.23407181814803704</v>
      </c>
      <c r="O731" s="19">
        <v>3.1976013786867923E-2</v>
      </c>
      <c r="P731" s="19">
        <v>5.7134438554591292E-2</v>
      </c>
      <c r="Q731" s="19">
        <v>0.24632138023682343</v>
      </c>
      <c r="R731" s="19">
        <v>8.9017177809200793E-2</v>
      </c>
      <c r="S731" s="19">
        <v>8.0239454721914277E-3</v>
      </c>
      <c r="T731" s="20">
        <v>23</v>
      </c>
      <c r="U731" s="17">
        <v>2</v>
      </c>
      <c r="V731" s="17">
        <v>28</v>
      </c>
    </row>
    <row r="732" spans="1:22" x14ac:dyDescent="0.2">
      <c r="A732" t="s">
        <v>2363</v>
      </c>
      <c r="B732" t="s">
        <v>2281</v>
      </c>
      <c r="C732" t="s">
        <v>2282</v>
      </c>
      <c r="D732" t="s">
        <v>2355</v>
      </c>
      <c r="E732" s="10" t="s">
        <v>2364</v>
      </c>
      <c r="F732" s="10"/>
      <c r="G732" s="10"/>
      <c r="H732" s="10" t="s">
        <v>2364</v>
      </c>
      <c r="I732" s="14">
        <v>337235.79912550747</v>
      </c>
      <c r="J732" s="19">
        <v>0.23254653540412656</v>
      </c>
      <c r="K732" s="19">
        <v>0.55371810317279235</v>
      </c>
      <c r="L732" s="19">
        <v>0.21373536142308111</v>
      </c>
      <c r="M732" s="20">
        <v>2</v>
      </c>
      <c r="N732" s="19">
        <v>0.43159193384212607</v>
      </c>
      <c r="O732" s="19">
        <v>3.9496030288319182E-2</v>
      </c>
      <c r="P732" s="19">
        <v>8.2630139042347048E-2</v>
      </c>
      <c r="Q732" s="19">
        <v>0.14031082235156592</v>
      </c>
      <c r="R732" s="19">
        <v>6.3083155028685986E-2</v>
      </c>
      <c r="S732" s="19">
        <v>1.0341384042829201E-2</v>
      </c>
      <c r="T732" s="20">
        <v>23</v>
      </c>
      <c r="U732" s="17">
        <v>2</v>
      </c>
      <c r="V732" s="17">
        <v>28</v>
      </c>
    </row>
    <row r="733" spans="1:22" x14ac:dyDescent="0.2">
      <c r="A733" t="s">
        <v>2365</v>
      </c>
      <c r="B733" t="s">
        <v>2281</v>
      </c>
      <c r="C733" t="s">
        <v>2282</v>
      </c>
      <c r="D733" t="s">
        <v>2366</v>
      </c>
      <c r="E733" s="10" t="s">
        <v>2367</v>
      </c>
      <c r="F733" s="10"/>
      <c r="G733" s="10"/>
      <c r="H733" s="10" t="s">
        <v>2367</v>
      </c>
      <c r="I733" s="14">
        <v>454487.76441684738</v>
      </c>
      <c r="J733" s="19">
        <v>0.11157551361615528</v>
      </c>
      <c r="K733" s="19">
        <v>0.29612682096739212</v>
      </c>
      <c r="L733" s="19">
        <v>0.59229766541645257</v>
      </c>
      <c r="M733" s="20">
        <v>1</v>
      </c>
      <c r="N733" s="19">
        <v>7.5973343439257129E-2</v>
      </c>
      <c r="O733" s="19">
        <v>0.13443564308681558</v>
      </c>
      <c r="P733" s="19">
        <v>8.5717834441319404E-2</v>
      </c>
      <c r="Q733" s="19">
        <v>0.2952295147110483</v>
      </c>
      <c r="R733" s="19">
        <v>0.25462083478655423</v>
      </c>
      <c r="S733" s="19">
        <v>4.244731591885003E-2</v>
      </c>
      <c r="T733" s="20">
        <v>13</v>
      </c>
      <c r="U733" s="17">
        <v>2</v>
      </c>
      <c r="V733" s="17">
        <v>28</v>
      </c>
    </row>
    <row r="734" spans="1:22" x14ac:dyDescent="0.2">
      <c r="A734" t="s">
        <v>2368</v>
      </c>
      <c r="B734" t="s">
        <v>2281</v>
      </c>
      <c r="C734" t="s">
        <v>2282</v>
      </c>
      <c r="D734" t="s">
        <v>2366</v>
      </c>
      <c r="E734" s="10" t="s">
        <v>2369</v>
      </c>
      <c r="F734" s="10"/>
      <c r="G734" s="10"/>
      <c r="H734" s="10" t="s">
        <v>2369</v>
      </c>
      <c r="I734" s="14">
        <v>495405.78729778063</v>
      </c>
      <c r="J734" s="19">
        <v>0.36778705677827889</v>
      </c>
      <c r="K734" s="19">
        <v>0.32425663343539329</v>
      </c>
      <c r="L734" s="19">
        <v>0.30795630978632788</v>
      </c>
      <c r="M734" s="20">
        <v>2</v>
      </c>
      <c r="N734" s="19">
        <v>0.109467245020767</v>
      </c>
      <c r="O734" s="19">
        <v>0.12508800671344397</v>
      </c>
      <c r="P734" s="19">
        <v>8.9701381701182303E-2</v>
      </c>
      <c r="Q734" s="19">
        <v>0.18379601826332453</v>
      </c>
      <c r="R734" s="19">
        <v>0.11390427271441</v>
      </c>
      <c r="S734" s="19">
        <v>1.0256018808593323E-2</v>
      </c>
      <c r="T734" s="20">
        <v>22</v>
      </c>
      <c r="U734" s="17">
        <v>2</v>
      </c>
      <c r="V734" s="17">
        <v>28</v>
      </c>
    </row>
    <row r="735" spans="1:22" x14ac:dyDescent="0.2">
      <c r="A735" t="s">
        <v>2370</v>
      </c>
      <c r="B735" t="s">
        <v>2281</v>
      </c>
      <c r="C735" t="s">
        <v>2282</v>
      </c>
      <c r="D735" t="s">
        <v>2366</v>
      </c>
      <c r="E735" s="10" t="s">
        <v>2371</v>
      </c>
      <c r="F735" s="10"/>
      <c r="G735" s="10"/>
      <c r="H735" s="10" t="s">
        <v>2371</v>
      </c>
      <c r="I735" s="14">
        <v>936713.74390512891</v>
      </c>
      <c r="J735" s="19">
        <v>6.3733153716069871E-2</v>
      </c>
      <c r="K735" s="19">
        <v>0.44567681900557876</v>
      </c>
      <c r="L735" s="19">
        <v>0.49059002727835122</v>
      </c>
      <c r="M735" s="20">
        <v>2</v>
      </c>
      <c r="N735" s="19">
        <v>0.25752259589386439</v>
      </c>
      <c r="O735" s="19">
        <v>7.0416800719339673E-2</v>
      </c>
      <c r="P735" s="19">
        <v>0.11773742239237478</v>
      </c>
      <c r="Q735" s="19">
        <v>0.32363672522875142</v>
      </c>
      <c r="R735" s="19">
        <v>0.15219648843329156</v>
      </c>
      <c r="S735" s="19">
        <v>1.4756813616308324E-2</v>
      </c>
      <c r="T735" s="20">
        <v>23</v>
      </c>
      <c r="U735" s="17">
        <v>2</v>
      </c>
      <c r="V735" s="17">
        <v>28</v>
      </c>
    </row>
    <row r="736" spans="1:22" x14ac:dyDescent="0.2">
      <c r="A736" t="s">
        <v>2372</v>
      </c>
      <c r="B736" t="s">
        <v>2281</v>
      </c>
      <c r="C736" t="s">
        <v>2282</v>
      </c>
      <c r="D736" t="s">
        <v>2366</v>
      </c>
      <c r="E736" s="10" t="s">
        <v>2373</v>
      </c>
      <c r="F736" s="10"/>
      <c r="G736" s="10"/>
      <c r="H736" s="10" t="s">
        <v>2373</v>
      </c>
      <c r="I736" s="14">
        <v>175595.04955031164</v>
      </c>
      <c r="J736" s="19">
        <v>0</v>
      </c>
      <c r="K736" s="19">
        <v>0.32875704384813165</v>
      </c>
      <c r="L736" s="19">
        <v>0.67124295615186835</v>
      </c>
      <c r="M736" s="20">
        <v>1</v>
      </c>
      <c r="N736" s="19">
        <v>0.14486035296456271</v>
      </c>
      <c r="O736" s="19">
        <v>5.3824716625322427E-2</v>
      </c>
      <c r="P736" s="19">
        <v>0.13007197425824649</v>
      </c>
      <c r="Q736" s="19">
        <v>0.37833479862199598</v>
      </c>
      <c r="R736" s="19">
        <v>0.24171057309379565</v>
      </c>
      <c r="S736" s="19">
        <v>5.1197584436076769E-2</v>
      </c>
      <c r="T736" s="20">
        <v>13</v>
      </c>
      <c r="U736" s="17">
        <v>2</v>
      </c>
      <c r="V736" s="17">
        <v>28</v>
      </c>
    </row>
    <row r="737" spans="1:22" x14ac:dyDescent="0.2">
      <c r="A737" t="s">
        <v>2374</v>
      </c>
      <c r="B737" t="s">
        <v>2281</v>
      </c>
      <c r="C737" t="s">
        <v>2282</v>
      </c>
      <c r="D737" t="s">
        <v>2366</v>
      </c>
      <c r="E737" s="10" t="s">
        <v>2375</v>
      </c>
      <c r="F737" s="10"/>
      <c r="G737" s="10"/>
      <c r="H737" s="10" t="s">
        <v>2375</v>
      </c>
      <c r="I737" s="14">
        <v>1398993.4379251427</v>
      </c>
      <c r="J737" s="19">
        <v>0.17347642342052214</v>
      </c>
      <c r="K737" s="19">
        <v>0.38101480601164311</v>
      </c>
      <c r="L737" s="19">
        <v>0.44550877056783472</v>
      </c>
      <c r="M737" s="20">
        <v>2</v>
      </c>
      <c r="N737" s="19">
        <v>0.13065251845096731</v>
      </c>
      <c r="O737" s="19">
        <v>9.4533783489135256E-2</v>
      </c>
      <c r="P737" s="19">
        <v>0.15582850407154061</v>
      </c>
      <c r="Q737" s="19">
        <v>0.32247834228785377</v>
      </c>
      <c r="R737" s="19">
        <v>0.11042960700874316</v>
      </c>
      <c r="S737" s="19">
        <v>1.2600821271237775E-2</v>
      </c>
      <c r="T737" s="20">
        <v>23</v>
      </c>
      <c r="U737" s="17">
        <v>2</v>
      </c>
      <c r="V737" s="17">
        <v>28</v>
      </c>
    </row>
    <row r="738" spans="1:22" x14ac:dyDescent="0.2">
      <c r="A738" t="s">
        <v>2376</v>
      </c>
      <c r="B738" t="s">
        <v>2281</v>
      </c>
      <c r="C738" t="s">
        <v>2282</v>
      </c>
      <c r="D738" t="s">
        <v>2366</v>
      </c>
      <c r="E738" s="10" t="s">
        <v>2366</v>
      </c>
      <c r="F738" s="10"/>
      <c r="G738" s="10"/>
      <c r="H738" s="10" t="s">
        <v>2366</v>
      </c>
      <c r="I738" s="14">
        <v>720399.66781628691</v>
      </c>
      <c r="J738" s="19">
        <v>0.22047125157253752</v>
      </c>
      <c r="K738" s="19">
        <v>0.35395902845010713</v>
      </c>
      <c r="L738" s="19">
        <v>0.42556971997735538</v>
      </c>
      <c r="M738" s="20">
        <v>2</v>
      </c>
      <c r="N738" s="19">
        <v>0.1676144675243682</v>
      </c>
      <c r="O738" s="19">
        <v>6.494812320283487E-2</v>
      </c>
      <c r="P738" s="19">
        <v>0.12139643772290401</v>
      </c>
      <c r="Q738" s="19">
        <v>0.3209871634449597</v>
      </c>
      <c r="R738" s="19">
        <v>9.4062734254214103E-2</v>
      </c>
      <c r="S738" s="19">
        <v>1.0519822278181585E-2</v>
      </c>
      <c r="T738" s="20">
        <v>23</v>
      </c>
      <c r="U738" s="17">
        <v>2</v>
      </c>
      <c r="V738" s="17">
        <v>28</v>
      </c>
    </row>
    <row r="739" spans="1:22" x14ac:dyDescent="0.2">
      <c r="A739" t="s">
        <v>2377</v>
      </c>
      <c r="B739" t="s">
        <v>2281</v>
      </c>
      <c r="C739" t="s">
        <v>2282</v>
      </c>
      <c r="D739" t="s">
        <v>2366</v>
      </c>
      <c r="E739" s="10" t="s">
        <v>2378</v>
      </c>
      <c r="F739" s="10"/>
      <c r="G739" s="10"/>
      <c r="H739" s="10" t="s">
        <v>2378</v>
      </c>
      <c r="I739" s="14">
        <v>1534214.0624842832</v>
      </c>
      <c r="J739" s="19">
        <v>7.0421471588555259E-2</v>
      </c>
      <c r="K739" s="19">
        <v>0.40159870867967479</v>
      </c>
      <c r="L739" s="19">
        <v>0.52797981973177011</v>
      </c>
      <c r="M739" s="20">
        <v>1</v>
      </c>
      <c r="N739" s="19">
        <v>0.17007993014979733</v>
      </c>
      <c r="O739" s="19">
        <v>0.15092413394719659</v>
      </c>
      <c r="P739" s="19">
        <v>8.0594644582680883E-2</v>
      </c>
      <c r="Q739" s="19">
        <v>0.3763723780090959</v>
      </c>
      <c r="R739" s="19">
        <v>0.13737788865699094</v>
      </c>
      <c r="S739" s="19">
        <v>1.4229553065683236E-2</v>
      </c>
      <c r="T739" s="20">
        <v>13</v>
      </c>
      <c r="U739" s="17">
        <v>2</v>
      </c>
      <c r="V739" s="17">
        <v>28</v>
      </c>
    </row>
    <row r="740" spans="1:22" x14ac:dyDescent="0.2">
      <c r="A740" t="s">
        <v>2379</v>
      </c>
      <c r="B740" t="s">
        <v>2281</v>
      </c>
      <c r="C740" t="s">
        <v>2282</v>
      </c>
      <c r="D740" t="s">
        <v>2366</v>
      </c>
      <c r="E740" s="10" t="s">
        <v>2380</v>
      </c>
      <c r="F740" s="10"/>
      <c r="G740" s="10"/>
      <c r="H740" s="10" t="s">
        <v>2380</v>
      </c>
      <c r="I740" s="14">
        <v>119728.18265491351</v>
      </c>
      <c r="J740" s="19">
        <v>0</v>
      </c>
      <c r="K740" s="19">
        <v>0.66429051939647865</v>
      </c>
      <c r="L740" s="19">
        <v>0.33570948060352135</v>
      </c>
      <c r="M740" s="20">
        <v>2</v>
      </c>
      <c r="N740" s="19">
        <v>0.55319406929026016</v>
      </c>
      <c r="O740" s="19">
        <v>0</v>
      </c>
      <c r="P740" s="19">
        <v>0.11109645010621842</v>
      </c>
      <c r="Q740" s="19">
        <v>0.15478160691583709</v>
      </c>
      <c r="R740" s="19">
        <v>0.14723338005946449</v>
      </c>
      <c r="S740" s="19">
        <v>3.3694493628219822E-2</v>
      </c>
      <c r="T740" s="20">
        <v>23</v>
      </c>
      <c r="U740" s="17">
        <v>2</v>
      </c>
      <c r="V740" s="17">
        <v>28</v>
      </c>
    </row>
    <row r="741" spans="1:22" x14ac:dyDescent="0.2">
      <c r="A741" t="s">
        <v>2381</v>
      </c>
      <c r="B741" t="s">
        <v>2281</v>
      </c>
      <c r="C741" t="s">
        <v>2282</v>
      </c>
      <c r="D741" t="s">
        <v>2382</v>
      </c>
      <c r="E741" s="10" t="s">
        <v>2383</v>
      </c>
      <c r="F741" s="10"/>
      <c r="G741" s="10"/>
      <c r="H741" s="10" t="s">
        <v>2383</v>
      </c>
      <c r="I741" s="14">
        <v>431319.32666133344</v>
      </c>
      <c r="J741" s="19">
        <v>0.29631340890613184</v>
      </c>
      <c r="K741" s="19">
        <v>0.42005288668611496</v>
      </c>
      <c r="L741" s="19">
        <v>0.28363370440775315</v>
      </c>
      <c r="M741" s="20">
        <v>2</v>
      </c>
      <c r="N741" s="19">
        <v>0.27087032271360045</v>
      </c>
      <c r="O741" s="19">
        <v>1.2858781216305831E-2</v>
      </c>
      <c r="P741" s="19">
        <v>0.13632378275620868</v>
      </c>
      <c r="Q741" s="19">
        <v>0.13059543880178512</v>
      </c>
      <c r="R741" s="19">
        <v>0.13599013291195644</v>
      </c>
      <c r="S741" s="19">
        <v>1.7048132694011616E-2</v>
      </c>
      <c r="T741" s="20">
        <v>23</v>
      </c>
      <c r="U741" s="17">
        <v>2</v>
      </c>
      <c r="V741" s="17">
        <v>28</v>
      </c>
    </row>
    <row r="742" spans="1:22" x14ac:dyDescent="0.2">
      <c r="A742" t="s">
        <v>2384</v>
      </c>
      <c r="B742" t="s">
        <v>2281</v>
      </c>
      <c r="C742" t="s">
        <v>2282</v>
      </c>
      <c r="D742" t="s">
        <v>2382</v>
      </c>
      <c r="E742" s="10" t="s">
        <v>2385</v>
      </c>
      <c r="F742" s="10"/>
      <c r="G742" s="10"/>
      <c r="H742" s="10" t="s">
        <v>2385</v>
      </c>
      <c r="I742" s="14">
        <v>212013.75992802251</v>
      </c>
      <c r="J742" s="19">
        <v>0.29663105422176578</v>
      </c>
      <c r="K742" s="19">
        <v>0.54370333671283644</v>
      </c>
      <c r="L742" s="19">
        <v>0.15966560906539776</v>
      </c>
      <c r="M742" s="20">
        <v>2</v>
      </c>
      <c r="N742" s="19">
        <v>0.38910890760734756</v>
      </c>
      <c r="O742" s="19">
        <v>0</v>
      </c>
      <c r="P742" s="19">
        <v>0.1545944291054889</v>
      </c>
      <c r="Q742" s="19">
        <v>3.4114762263315654E-2</v>
      </c>
      <c r="R742" s="19">
        <v>0.10365434654711098</v>
      </c>
      <c r="S742" s="19">
        <v>2.1896500254971134E-2</v>
      </c>
      <c r="T742" s="20">
        <v>23</v>
      </c>
      <c r="U742" s="17">
        <v>2</v>
      </c>
      <c r="V742" s="17">
        <v>28</v>
      </c>
    </row>
    <row r="743" spans="1:22" x14ac:dyDescent="0.2">
      <c r="A743" t="s">
        <v>2386</v>
      </c>
      <c r="B743" t="s">
        <v>2281</v>
      </c>
      <c r="C743" t="s">
        <v>2282</v>
      </c>
      <c r="D743" t="s">
        <v>2382</v>
      </c>
      <c r="E743" s="10" t="s">
        <v>2387</v>
      </c>
      <c r="F743" s="10"/>
      <c r="G743" s="10"/>
      <c r="H743" s="10" t="s">
        <v>2387</v>
      </c>
      <c r="I743" s="14">
        <v>899389.0790252462</v>
      </c>
      <c r="J743" s="19">
        <v>0.25744036016341498</v>
      </c>
      <c r="K743" s="19">
        <v>0.33251026546673762</v>
      </c>
      <c r="L743" s="19">
        <v>0.4100493743698474</v>
      </c>
      <c r="M743" s="20">
        <v>2</v>
      </c>
      <c r="N743" s="19">
        <v>0.2015528573360976</v>
      </c>
      <c r="O743" s="19">
        <v>3.2662375104596957E-2</v>
      </c>
      <c r="P743" s="19">
        <v>9.8295033026043074E-2</v>
      </c>
      <c r="Q743" s="19">
        <v>0.20896417643611501</v>
      </c>
      <c r="R743" s="19">
        <v>0.1776857290034552</v>
      </c>
      <c r="S743" s="19">
        <v>2.3399468930277195E-2</v>
      </c>
      <c r="T743" s="20">
        <v>23</v>
      </c>
      <c r="U743" s="17">
        <v>2</v>
      </c>
      <c r="V743" s="17">
        <v>28</v>
      </c>
    </row>
    <row r="744" spans="1:22" x14ac:dyDescent="0.2">
      <c r="A744" t="s">
        <v>2388</v>
      </c>
      <c r="B744" t="s">
        <v>2281</v>
      </c>
      <c r="C744" t="s">
        <v>2282</v>
      </c>
      <c r="D744" t="s">
        <v>2382</v>
      </c>
      <c r="E744" s="10" t="s">
        <v>2389</v>
      </c>
      <c r="F744" s="10"/>
      <c r="G744" s="10"/>
      <c r="H744" s="10" t="s">
        <v>2389</v>
      </c>
      <c r="I744" s="14">
        <v>1239851.9257696862</v>
      </c>
      <c r="J744" s="19">
        <v>0.36476363019831032</v>
      </c>
      <c r="K744" s="19">
        <v>0.32746490032025993</v>
      </c>
      <c r="L744" s="19">
        <v>0.30777146948142969</v>
      </c>
      <c r="M744" s="20">
        <v>2</v>
      </c>
      <c r="N744" s="19">
        <v>0.20092407558919695</v>
      </c>
      <c r="O744" s="19">
        <v>3.0186931706251065E-2</v>
      </c>
      <c r="P744" s="19">
        <v>9.6353893024811954E-2</v>
      </c>
      <c r="Q744" s="19">
        <v>0.14802986350068953</v>
      </c>
      <c r="R744" s="19">
        <v>0.13594050424733323</v>
      </c>
      <c r="S744" s="19">
        <v>2.3801101733406979E-2</v>
      </c>
      <c r="T744" s="20">
        <v>23</v>
      </c>
      <c r="U744" s="17">
        <v>2</v>
      </c>
      <c r="V744" s="17">
        <v>28</v>
      </c>
    </row>
    <row r="745" spans="1:22" x14ac:dyDescent="0.2">
      <c r="A745" t="s">
        <v>2390</v>
      </c>
      <c r="B745" t="s">
        <v>2281</v>
      </c>
      <c r="C745" t="s">
        <v>2282</v>
      </c>
      <c r="D745" t="s">
        <v>2382</v>
      </c>
      <c r="E745" s="10" t="s">
        <v>2391</v>
      </c>
      <c r="F745" s="10"/>
      <c r="G745" s="10"/>
      <c r="H745" s="10" t="s">
        <v>2391</v>
      </c>
      <c r="I745" s="14">
        <v>71129.260043582879</v>
      </c>
      <c r="J745" s="19">
        <v>0</v>
      </c>
      <c r="K745" s="19">
        <v>0.50598450002486028</v>
      </c>
      <c r="L745" s="19">
        <v>0.49401549997513977</v>
      </c>
      <c r="M745" s="20">
        <v>2</v>
      </c>
      <c r="N745" s="19">
        <v>0.17531364164622215</v>
      </c>
      <c r="O745" s="19">
        <v>7.5508201043651954E-2</v>
      </c>
      <c r="P745" s="19">
        <v>0.25516265733498622</v>
      </c>
      <c r="Q745" s="19">
        <v>0.33767939307224015</v>
      </c>
      <c r="R745" s="19">
        <v>0.1382916403184877</v>
      </c>
      <c r="S745" s="19">
        <v>1.8044466584411823E-2</v>
      </c>
      <c r="T745" s="20">
        <v>23</v>
      </c>
      <c r="U745" s="17">
        <v>2</v>
      </c>
      <c r="V745" s="17">
        <v>28</v>
      </c>
    </row>
    <row r="746" spans="1:22" x14ac:dyDescent="0.2">
      <c r="A746" t="s">
        <v>2392</v>
      </c>
      <c r="B746" t="s">
        <v>2281</v>
      </c>
      <c r="C746" t="s">
        <v>2282</v>
      </c>
      <c r="D746" t="s">
        <v>2382</v>
      </c>
      <c r="E746" s="10" t="s">
        <v>2393</v>
      </c>
      <c r="F746" s="10"/>
      <c r="G746" s="10"/>
      <c r="H746" s="10" t="s">
        <v>2393</v>
      </c>
      <c r="I746" s="14">
        <v>863463.304051226</v>
      </c>
      <c r="J746" s="19">
        <v>0.1442039761494813</v>
      </c>
      <c r="K746" s="19">
        <v>0.52836371961713735</v>
      </c>
      <c r="L746" s="19">
        <v>0.32743230423338138</v>
      </c>
      <c r="M746" s="20">
        <v>2</v>
      </c>
      <c r="N746" s="19">
        <v>0.39461242870257862</v>
      </c>
      <c r="O746" s="19">
        <v>2.9600336079571795E-2</v>
      </c>
      <c r="P746" s="19">
        <v>0.1041509548349869</v>
      </c>
      <c r="Q746" s="19">
        <v>0.13642573456897697</v>
      </c>
      <c r="R746" s="19">
        <v>0.16032820089001604</v>
      </c>
      <c r="S746" s="19">
        <v>3.0678368774388377E-2</v>
      </c>
      <c r="T746" s="20">
        <v>23</v>
      </c>
      <c r="U746" s="17">
        <v>2</v>
      </c>
      <c r="V746" s="17">
        <v>28</v>
      </c>
    </row>
    <row r="747" spans="1:22" x14ac:dyDescent="0.2">
      <c r="A747" t="s">
        <v>2394</v>
      </c>
      <c r="B747" t="s">
        <v>2281</v>
      </c>
      <c r="C747" t="s">
        <v>2282</v>
      </c>
      <c r="D747" t="s">
        <v>2382</v>
      </c>
      <c r="E747" s="10" t="s">
        <v>2395</v>
      </c>
      <c r="F747" s="10"/>
      <c r="G747" s="10"/>
      <c r="H747" s="10" t="s">
        <v>2395</v>
      </c>
      <c r="I747" s="14">
        <v>130064.39020992255</v>
      </c>
      <c r="J747" s="19">
        <v>0</v>
      </c>
      <c r="K747" s="19">
        <v>0.57151755071419907</v>
      </c>
      <c r="L747" s="19">
        <v>0.42848244928580104</v>
      </c>
      <c r="M747" s="20">
        <v>2</v>
      </c>
      <c r="N747" s="19">
        <v>0.31761419887504833</v>
      </c>
      <c r="O747" s="19">
        <v>4.5668942367376272E-2</v>
      </c>
      <c r="P747" s="19">
        <v>0.20823440947177443</v>
      </c>
      <c r="Q747" s="19">
        <v>0.20188165527194968</v>
      </c>
      <c r="R747" s="19">
        <v>0.19854188967423478</v>
      </c>
      <c r="S747" s="19">
        <v>2.8058904339616591E-2</v>
      </c>
      <c r="T747" s="20">
        <v>23</v>
      </c>
      <c r="U747" s="17">
        <v>2</v>
      </c>
      <c r="V747" s="17">
        <v>28</v>
      </c>
    </row>
    <row r="748" spans="1:22" x14ac:dyDescent="0.2">
      <c r="A748" t="s">
        <v>2396</v>
      </c>
      <c r="B748" t="s">
        <v>2281</v>
      </c>
      <c r="C748" t="s">
        <v>2282</v>
      </c>
      <c r="D748" t="s">
        <v>2382</v>
      </c>
      <c r="E748" s="10" t="s">
        <v>2397</v>
      </c>
      <c r="F748" s="10"/>
      <c r="G748" s="10"/>
      <c r="H748" s="10" t="s">
        <v>2397</v>
      </c>
      <c r="I748" s="14">
        <v>280947.36797577469</v>
      </c>
      <c r="J748" s="19">
        <v>0</v>
      </c>
      <c r="K748" s="19">
        <v>0.60554600375918133</v>
      </c>
      <c r="L748" s="19">
        <v>0.39445399624081856</v>
      </c>
      <c r="M748" s="20">
        <v>2</v>
      </c>
      <c r="N748" s="19">
        <v>0.38778131984781522</v>
      </c>
      <c r="O748" s="19">
        <v>7.6908966102478091E-2</v>
      </c>
      <c r="P748" s="19">
        <v>0.14085571780888817</v>
      </c>
      <c r="Q748" s="19">
        <v>0.24480088703468461</v>
      </c>
      <c r="R748" s="19">
        <v>0.12974648170004865</v>
      </c>
      <c r="S748" s="19">
        <v>1.9906627506085281E-2</v>
      </c>
      <c r="T748" s="20">
        <v>23</v>
      </c>
      <c r="U748" s="17">
        <v>2</v>
      </c>
      <c r="V748" s="17">
        <v>28</v>
      </c>
    </row>
    <row r="749" spans="1:22" x14ac:dyDescent="0.2">
      <c r="A749" t="s">
        <v>2398</v>
      </c>
      <c r="B749" t="s">
        <v>2281</v>
      </c>
      <c r="C749" t="s">
        <v>2282</v>
      </c>
      <c r="D749" t="s">
        <v>2382</v>
      </c>
      <c r="E749" s="10" t="s">
        <v>2399</v>
      </c>
      <c r="F749" s="10"/>
      <c r="G749" s="10"/>
      <c r="H749" s="10" t="s">
        <v>2399</v>
      </c>
      <c r="I749" s="14">
        <v>535761.49257527315</v>
      </c>
      <c r="J749" s="19">
        <v>0.5232944902915444</v>
      </c>
      <c r="K749" s="19">
        <v>0.30810996380890993</v>
      </c>
      <c r="L749" s="19">
        <v>0.16859554589954567</v>
      </c>
      <c r="M749" s="20">
        <v>3</v>
      </c>
      <c r="N749" s="19">
        <v>0.19865734812751801</v>
      </c>
      <c r="O749" s="19">
        <v>1.8963067689610476E-2</v>
      </c>
      <c r="P749" s="19">
        <v>9.0489547991781424E-2</v>
      </c>
      <c r="Q749" s="19">
        <v>7.9506900671180741E-2</v>
      </c>
      <c r="R749" s="19">
        <v>7.6055597922626367E-2</v>
      </c>
      <c r="S749" s="19">
        <v>1.3033047305738567E-2</v>
      </c>
      <c r="T749" s="20">
        <v>30</v>
      </c>
      <c r="U749" s="17">
        <v>2</v>
      </c>
      <c r="V749" s="17">
        <v>28</v>
      </c>
    </row>
    <row r="750" spans="1:22" x14ac:dyDescent="0.2">
      <c r="A750" t="s">
        <v>2400</v>
      </c>
      <c r="B750" t="s">
        <v>2281</v>
      </c>
      <c r="C750" t="s">
        <v>2282</v>
      </c>
      <c r="D750" t="s">
        <v>2382</v>
      </c>
      <c r="E750" s="10" t="s">
        <v>2401</v>
      </c>
      <c r="F750" s="10"/>
      <c r="G750" s="10"/>
      <c r="H750" s="10" t="s">
        <v>2401</v>
      </c>
      <c r="I750" s="14">
        <v>209219.99101633439</v>
      </c>
      <c r="J750" s="19">
        <v>0.54606036523066026</v>
      </c>
      <c r="K750" s="19">
        <v>0.27489348586669166</v>
      </c>
      <c r="L750" s="19">
        <v>0.17904614890264811</v>
      </c>
      <c r="M750" s="20">
        <v>3</v>
      </c>
      <c r="N750" s="19">
        <v>0</v>
      </c>
      <c r="O750" s="19">
        <v>0.16841333735095629</v>
      </c>
      <c r="P750" s="19">
        <v>0.10648014851573533</v>
      </c>
      <c r="Q750" s="19">
        <v>6.1340253488353057E-2</v>
      </c>
      <c r="R750" s="19">
        <v>0.10133644700389774</v>
      </c>
      <c r="S750" s="19">
        <v>1.6369448410397273E-2</v>
      </c>
      <c r="T750" s="20">
        <v>30</v>
      </c>
      <c r="U750" s="17">
        <v>2</v>
      </c>
      <c r="V750" s="17">
        <v>28</v>
      </c>
    </row>
    <row r="751" spans="1:22" x14ac:dyDescent="0.2">
      <c r="A751" t="s">
        <v>2402</v>
      </c>
      <c r="B751" t="s">
        <v>2281</v>
      </c>
      <c r="C751" t="s">
        <v>2282</v>
      </c>
      <c r="D751" t="s">
        <v>2382</v>
      </c>
      <c r="E751" s="10" t="s">
        <v>2403</v>
      </c>
      <c r="F751" s="10"/>
      <c r="G751" s="10"/>
      <c r="H751" s="10" t="s">
        <v>2403</v>
      </c>
      <c r="I751" s="14">
        <v>1964139.1926968284</v>
      </c>
      <c r="J751" s="19">
        <v>0.34045075034190725</v>
      </c>
      <c r="K751" s="19">
        <v>0.32643809909539112</v>
      </c>
      <c r="L751" s="19">
        <v>0.33311115056270163</v>
      </c>
      <c r="M751" s="20">
        <v>2</v>
      </c>
      <c r="N751" s="19">
        <v>0.18821341517215517</v>
      </c>
      <c r="O751" s="19">
        <v>3.4651256817081283E-2</v>
      </c>
      <c r="P751" s="19">
        <v>0.10357342710615464</v>
      </c>
      <c r="Q751" s="19">
        <v>0.19391100476689463</v>
      </c>
      <c r="R751" s="19">
        <v>0.12328696553615941</v>
      </c>
      <c r="S751" s="19">
        <v>1.5913180259647622E-2</v>
      </c>
      <c r="T751" s="20">
        <v>23</v>
      </c>
      <c r="U751" s="17">
        <v>2</v>
      </c>
      <c r="V751" s="17">
        <v>28</v>
      </c>
    </row>
    <row r="752" spans="1:22" x14ac:dyDescent="0.2">
      <c r="A752" t="s">
        <v>2404</v>
      </c>
      <c r="B752" t="s">
        <v>2281</v>
      </c>
      <c r="C752" t="s">
        <v>2282</v>
      </c>
      <c r="D752" t="s">
        <v>2405</v>
      </c>
      <c r="E752" s="10" t="s">
        <v>2406</v>
      </c>
      <c r="F752" s="10"/>
      <c r="G752" s="10"/>
      <c r="H752" s="10" t="s">
        <v>2406</v>
      </c>
      <c r="I752" s="14">
        <v>532250.54370025732</v>
      </c>
      <c r="J752" s="19">
        <v>0.22568451668436104</v>
      </c>
      <c r="K752" s="19">
        <v>0.39819672041474707</v>
      </c>
      <c r="L752" s="19">
        <v>0.37611876290089186</v>
      </c>
      <c r="M752" s="20">
        <v>2</v>
      </c>
      <c r="N752" s="19">
        <v>0.16486394309153757</v>
      </c>
      <c r="O752" s="19">
        <v>9.0245881652334922E-2</v>
      </c>
      <c r="P752" s="19">
        <v>0.1430868956708746</v>
      </c>
      <c r="Q752" s="19">
        <v>0.23255046783641123</v>
      </c>
      <c r="R752" s="19">
        <v>0.12439500749858257</v>
      </c>
      <c r="S752" s="19">
        <v>1.9173287565898041E-2</v>
      </c>
      <c r="T752" s="20">
        <v>23</v>
      </c>
      <c r="U752" s="17">
        <v>2</v>
      </c>
      <c r="V752" s="17">
        <v>28</v>
      </c>
    </row>
    <row r="753" spans="1:22" x14ac:dyDescent="0.2">
      <c r="A753" t="s">
        <v>2407</v>
      </c>
      <c r="B753" t="s">
        <v>2281</v>
      </c>
      <c r="C753" t="s">
        <v>2282</v>
      </c>
      <c r="D753" t="s">
        <v>2405</v>
      </c>
      <c r="E753" s="10" t="s">
        <v>2408</v>
      </c>
      <c r="F753" s="10"/>
      <c r="G753" s="10"/>
      <c r="H753" s="10" t="s">
        <v>2408</v>
      </c>
      <c r="I753" s="14">
        <v>236401.78871758585</v>
      </c>
      <c r="J753" s="19">
        <v>0.41832361494076031</v>
      </c>
      <c r="K753" s="19">
        <v>0.26960479605655951</v>
      </c>
      <c r="L753" s="19">
        <v>0.31207158900268017</v>
      </c>
      <c r="M753" s="20">
        <v>2</v>
      </c>
      <c r="N753" s="19">
        <v>6.7462542460138164E-2</v>
      </c>
      <c r="O753" s="19">
        <v>9.2383395994423217E-2</v>
      </c>
      <c r="P753" s="19">
        <v>0.10975885760199815</v>
      </c>
      <c r="Q753" s="19">
        <v>0.17757406305681744</v>
      </c>
      <c r="R753" s="19">
        <v>0.10854658539167936</v>
      </c>
      <c r="S753" s="19">
        <v>2.5950940554183417E-2</v>
      </c>
      <c r="T753" s="20">
        <v>22</v>
      </c>
      <c r="U753" s="17">
        <v>2</v>
      </c>
      <c r="V753" s="17">
        <v>28</v>
      </c>
    </row>
    <row r="754" spans="1:22" x14ac:dyDescent="0.2">
      <c r="A754" t="s">
        <v>2409</v>
      </c>
      <c r="B754" t="s">
        <v>2281</v>
      </c>
      <c r="C754" t="s">
        <v>2282</v>
      </c>
      <c r="D754" t="s">
        <v>2405</v>
      </c>
      <c r="E754" s="10" t="s">
        <v>2410</v>
      </c>
      <c r="F754" s="10"/>
      <c r="G754" s="10"/>
      <c r="H754" s="10" t="s">
        <v>2410</v>
      </c>
      <c r="I754" s="14">
        <v>740427.33676520921</v>
      </c>
      <c r="J754" s="19">
        <v>0.47487684624697374</v>
      </c>
      <c r="K754" s="19">
        <v>0.22845834485719632</v>
      </c>
      <c r="L754" s="19">
        <v>0.29666480889582991</v>
      </c>
      <c r="M754" s="20">
        <v>2</v>
      </c>
      <c r="N754" s="19">
        <v>0.11205909919871668</v>
      </c>
      <c r="O754" s="19">
        <v>6.2943866120441297E-2</v>
      </c>
      <c r="P754" s="19">
        <v>5.3455379538038354E-2</v>
      </c>
      <c r="Q754" s="19">
        <v>0.19302359571399816</v>
      </c>
      <c r="R754" s="19">
        <v>8.9908016880655528E-2</v>
      </c>
      <c r="S754" s="19">
        <v>1.3733196301176233E-2</v>
      </c>
      <c r="T754" s="20">
        <v>23</v>
      </c>
      <c r="U754" s="17">
        <v>2</v>
      </c>
      <c r="V754" s="17">
        <v>28</v>
      </c>
    </row>
    <row r="755" spans="1:22" x14ac:dyDescent="0.2">
      <c r="A755" t="s">
        <v>2411</v>
      </c>
      <c r="B755" t="s">
        <v>2281</v>
      </c>
      <c r="C755" t="s">
        <v>2282</v>
      </c>
      <c r="D755" t="s">
        <v>2412</v>
      </c>
      <c r="E755" s="10" t="s">
        <v>2412</v>
      </c>
      <c r="F755" s="10"/>
      <c r="G755" s="10"/>
      <c r="H755" s="10" t="s">
        <v>2412</v>
      </c>
      <c r="I755" s="14">
        <v>3455119.4194642166</v>
      </c>
      <c r="J755" s="19">
        <v>0.99531126335613074</v>
      </c>
      <c r="K755" s="19">
        <v>4.3582706633857222E-3</v>
      </c>
      <c r="L755" s="19">
        <v>3.3046598048364225E-4</v>
      </c>
      <c r="M755" s="20">
        <v>3</v>
      </c>
      <c r="N755" s="19">
        <v>1.8974890653380833E-3</v>
      </c>
      <c r="O755" s="19">
        <v>0</v>
      </c>
      <c r="P755" s="19">
        <v>2.4607815980476392E-3</v>
      </c>
      <c r="Q755" s="19">
        <v>0</v>
      </c>
      <c r="R755" s="19">
        <v>3.195307248951695E-4</v>
      </c>
      <c r="S755" s="19">
        <v>1.0935255588472801E-5</v>
      </c>
      <c r="T755" s="20">
        <v>30</v>
      </c>
      <c r="U755" s="17">
        <v>2</v>
      </c>
      <c r="V755" s="17">
        <v>28</v>
      </c>
    </row>
    <row r="756" spans="1:22" x14ac:dyDescent="0.2">
      <c r="A756" t="s">
        <v>2413</v>
      </c>
      <c r="B756" t="s">
        <v>2281</v>
      </c>
      <c r="C756" t="s">
        <v>2282</v>
      </c>
      <c r="D756" t="s">
        <v>2412</v>
      </c>
      <c r="E756" s="10" t="s">
        <v>2414</v>
      </c>
      <c r="F756" s="10"/>
      <c r="G756" s="10"/>
      <c r="H756" s="10" t="s">
        <v>2414</v>
      </c>
      <c r="I756" s="14">
        <v>2989837.2420319039</v>
      </c>
      <c r="J756" s="19">
        <v>0.78287628729583947</v>
      </c>
      <c r="K756" s="19">
        <v>0.15543109289311857</v>
      </c>
      <c r="L756" s="19">
        <v>6.1692619811041967E-2</v>
      </c>
      <c r="M756" s="20">
        <v>3</v>
      </c>
      <c r="N756" s="19">
        <v>3.9840968776915023E-2</v>
      </c>
      <c r="O756" s="19">
        <v>3.1722852279885978E-2</v>
      </c>
      <c r="P756" s="19">
        <v>8.3867271836317536E-2</v>
      </c>
      <c r="Q756" s="19">
        <v>2.4468219194620687E-2</v>
      </c>
      <c r="R756" s="19">
        <v>3.2970933074878438E-2</v>
      </c>
      <c r="S756" s="19">
        <v>4.2534675415428413E-3</v>
      </c>
      <c r="T756" s="20">
        <v>30</v>
      </c>
      <c r="U756" s="17">
        <v>2</v>
      </c>
      <c r="V756" s="17">
        <v>28</v>
      </c>
    </row>
    <row r="757" spans="1:22" x14ac:dyDescent="0.2">
      <c r="A757" t="s">
        <v>2415</v>
      </c>
      <c r="B757" t="s">
        <v>2281</v>
      </c>
      <c r="C757" t="s">
        <v>2282</v>
      </c>
      <c r="D757" t="s">
        <v>2412</v>
      </c>
      <c r="E757" s="10" t="s">
        <v>2416</v>
      </c>
      <c r="F757" s="10"/>
      <c r="G757" s="10"/>
      <c r="H757" s="10" t="s">
        <v>2416</v>
      </c>
      <c r="I757" s="14">
        <v>1801784.2731965482</v>
      </c>
      <c r="J757" s="19">
        <v>0.6091604331526973</v>
      </c>
      <c r="K757" s="19">
        <v>0.22094796844953773</v>
      </c>
      <c r="L757" s="19">
        <v>0.16989159839776499</v>
      </c>
      <c r="M757" s="20">
        <v>3</v>
      </c>
      <c r="N757" s="19">
        <v>8.7025912257927968E-2</v>
      </c>
      <c r="O757" s="19">
        <v>2.6937342410407111E-2</v>
      </c>
      <c r="P757" s="19">
        <v>0.10698471378120265</v>
      </c>
      <c r="Q757" s="19">
        <v>0.11311468675743441</v>
      </c>
      <c r="R757" s="19">
        <v>4.9411613601237976E-2</v>
      </c>
      <c r="S757" s="19">
        <v>7.3652980390925748E-3</v>
      </c>
      <c r="T757" s="20">
        <v>30</v>
      </c>
      <c r="U757" s="17">
        <v>2</v>
      </c>
      <c r="V757" s="17">
        <v>28</v>
      </c>
    </row>
    <row r="758" spans="1:22" x14ac:dyDescent="0.2">
      <c r="A758" t="s">
        <v>2417</v>
      </c>
      <c r="B758" t="s">
        <v>2418</v>
      </c>
      <c r="C758" t="s">
        <v>2419</v>
      </c>
      <c r="D758" t="s">
        <v>2420</v>
      </c>
      <c r="E758" s="10" t="s">
        <v>2421</v>
      </c>
      <c r="F758" s="10"/>
      <c r="G758" s="10"/>
      <c r="H758" s="10" t="s">
        <v>2421</v>
      </c>
      <c r="I758" s="14">
        <v>453295.60276624747</v>
      </c>
      <c r="J758" s="19">
        <v>0.31773355530003183</v>
      </c>
      <c r="K758" s="19">
        <v>0.38333903671519415</v>
      </c>
      <c r="L758" s="19">
        <v>0.29892740798477396</v>
      </c>
      <c r="M758" s="20">
        <v>2</v>
      </c>
      <c r="N758" s="19">
        <v>0.18879291145486124</v>
      </c>
      <c r="O758" s="19">
        <v>4.4416527604757075E-2</v>
      </c>
      <c r="P758" s="19">
        <v>0.15012959765557582</v>
      </c>
      <c r="Q758" s="19">
        <v>6.36904206559709E-2</v>
      </c>
      <c r="R758" s="19">
        <v>0.21065989632735213</v>
      </c>
      <c r="S758" s="19">
        <v>2.4577091001450911E-2</v>
      </c>
      <c r="T758" s="20">
        <v>23</v>
      </c>
      <c r="U758" s="17">
        <v>3</v>
      </c>
      <c r="V758" s="17">
        <v>51</v>
      </c>
    </row>
    <row r="759" spans="1:22" x14ac:dyDescent="0.2">
      <c r="A759" t="s">
        <v>2422</v>
      </c>
      <c r="B759" t="s">
        <v>2418</v>
      </c>
      <c r="C759" t="s">
        <v>2419</v>
      </c>
      <c r="D759" t="s">
        <v>2420</v>
      </c>
      <c r="E759" s="10" t="s">
        <v>2423</v>
      </c>
      <c r="F759" s="10"/>
      <c r="G759" s="10"/>
      <c r="H759" s="10" t="s">
        <v>2423</v>
      </c>
      <c r="I759" s="14">
        <v>1702157.3590085716</v>
      </c>
      <c r="J759" s="19">
        <v>0.88771806964221012</v>
      </c>
      <c r="K759" s="19">
        <v>9.5845672306950791E-2</v>
      </c>
      <c r="L759" s="19">
        <v>1.6436258050839068E-2</v>
      </c>
      <c r="M759" s="20">
        <v>3</v>
      </c>
      <c r="N759" s="19">
        <v>3.0448370053210459E-2</v>
      </c>
      <c r="O759" s="19">
        <v>0</v>
      </c>
      <c r="P759" s="19">
        <v>6.5397302253740325E-2</v>
      </c>
      <c r="Q759" s="19">
        <v>3.461739037852875E-3</v>
      </c>
      <c r="R759" s="19">
        <v>1.1445897188870771E-2</v>
      </c>
      <c r="S759" s="19">
        <v>1.5286218241154198E-3</v>
      </c>
      <c r="T759" s="20">
        <v>30</v>
      </c>
      <c r="U759" s="17">
        <v>3</v>
      </c>
      <c r="V759" s="17">
        <v>51</v>
      </c>
    </row>
    <row r="760" spans="1:22" x14ac:dyDescent="0.2">
      <c r="A760" t="s">
        <v>2424</v>
      </c>
      <c r="B760" t="s">
        <v>2418</v>
      </c>
      <c r="C760" t="s">
        <v>2419</v>
      </c>
      <c r="D760" t="s">
        <v>2420</v>
      </c>
      <c r="E760" s="10" t="s">
        <v>2425</v>
      </c>
      <c r="F760" s="10"/>
      <c r="G760" s="10"/>
      <c r="H760" s="10" t="s">
        <v>2425</v>
      </c>
      <c r="I760" s="14">
        <v>317717.38814535388</v>
      </c>
      <c r="J760" s="19">
        <v>0.47655431273101051</v>
      </c>
      <c r="K760" s="19">
        <v>0.3055066677217933</v>
      </c>
      <c r="L760" s="19">
        <v>0.21793901954719616</v>
      </c>
      <c r="M760" s="20">
        <v>2</v>
      </c>
      <c r="N760" s="19">
        <v>0.14713146224136506</v>
      </c>
      <c r="O760" s="19">
        <v>0</v>
      </c>
      <c r="P760" s="19">
        <v>0.15837520548042827</v>
      </c>
      <c r="Q760" s="19">
        <v>8.8581628167041473E-2</v>
      </c>
      <c r="R760" s="19">
        <v>0.10501504592114992</v>
      </c>
      <c r="S760" s="19">
        <v>2.434234545900478E-2</v>
      </c>
      <c r="T760" s="20">
        <v>23</v>
      </c>
      <c r="U760" s="17">
        <v>3</v>
      </c>
      <c r="V760" s="17">
        <v>51</v>
      </c>
    </row>
    <row r="761" spans="1:22" x14ac:dyDescent="0.2">
      <c r="A761" t="s">
        <v>2426</v>
      </c>
      <c r="B761" t="s">
        <v>2418</v>
      </c>
      <c r="C761" t="s">
        <v>2419</v>
      </c>
      <c r="D761" t="s">
        <v>2420</v>
      </c>
      <c r="E761" s="10" t="s">
        <v>2427</v>
      </c>
      <c r="F761" s="10"/>
      <c r="G761" s="10"/>
      <c r="H761" s="10" t="s">
        <v>2427</v>
      </c>
      <c r="I761" s="14">
        <v>197087.41485685844</v>
      </c>
      <c r="J761" s="19">
        <v>0</v>
      </c>
      <c r="K761" s="19">
        <v>0.53083922160935615</v>
      </c>
      <c r="L761" s="19">
        <v>0.46916077839064385</v>
      </c>
      <c r="M761" s="20">
        <v>2</v>
      </c>
      <c r="N761" s="19">
        <v>0.23961747848188195</v>
      </c>
      <c r="O761" s="19">
        <v>0.2514290422717248</v>
      </c>
      <c r="P761" s="19">
        <v>3.9792700855749479E-2</v>
      </c>
      <c r="Q761" s="19">
        <v>0.18975946499325327</v>
      </c>
      <c r="R761" s="19">
        <v>0.22815113226358241</v>
      </c>
      <c r="S761" s="19">
        <v>5.1250181133808158E-2</v>
      </c>
      <c r="T761" s="20">
        <v>22</v>
      </c>
      <c r="U761" s="17">
        <v>3</v>
      </c>
      <c r="V761" s="17">
        <v>51</v>
      </c>
    </row>
    <row r="762" spans="1:22" x14ac:dyDescent="0.2">
      <c r="A762" t="s">
        <v>2428</v>
      </c>
      <c r="B762" t="s">
        <v>2418</v>
      </c>
      <c r="C762" t="s">
        <v>2419</v>
      </c>
      <c r="D762" t="s">
        <v>2420</v>
      </c>
      <c r="E762" s="10" t="s">
        <v>2429</v>
      </c>
      <c r="F762" s="10"/>
      <c r="G762" s="10"/>
      <c r="H762" s="10" t="s">
        <v>2429</v>
      </c>
      <c r="I762" s="14">
        <v>320617.09590961202</v>
      </c>
      <c r="J762" s="19">
        <v>0.64178761372585402</v>
      </c>
      <c r="K762" s="19">
        <v>0.26135127223641508</v>
      </c>
      <c r="L762" s="19">
        <v>9.6861114037730914E-2</v>
      </c>
      <c r="M762" s="20">
        <v>3</v>
      </c>
      <c r="N762" s="19">
        <v>0.1297374395950765</v>
      </c>
      <c r="O762" s="19">
        <v>0</v>
      </c>
      <c r="P762" s="19">
        <v>0.13161383264133861</v>
      </c>
      <c r="Q762" s="19">
        <v>3.6080719788536615E-2</v>
      </c>
      <c r="R762" s="19">
        <v>5.1527324051347023E-2</v>
      </c>
      <c r="S762" s="19">
        <v>9.2530701978472789E-3</v>
      </c>
      <c r="T762" s="20">
        <v>30</v>
      </c>
      <c r="U762" s="17">
        <v>3</v>
      </c>
      <c r="V762" s="17">
        <v>51</v>
      </c>
    </row>
    <row r="763" spans="1:22" x14ac:dyDescent="0.2">
      <c r="A763" t="s">
        <v>2430</v>
      </c>
      <c r="B763" t="s">
        <v>2418</v>
      </c>
      <c r="C763" t="s">
        <v>2419</v>
      </c>
      <c r="D763" t="s">
        <v>2420</v>
      </c>
      <c r="E763" s="10" t="s">
        <v>2431</v>
      </c>
      <c r="F763" s="10"/>
      <c r="G763" s="10"/>
      <c r="H763" s="10" t="s">
        <v>2431</v>
      </c>
      <c r="I763" s="14">
        <v>143070.44509895612</v>
      </c>
      <c r="J763" s="19">
        <v>7.2828564054611064E-2</v>
      </c>
      <c r="K763" s="19">
        <v>0.57740566095014245</v>
      </c>
      <c r="L763" s="19">
        <v>0.34976577499524647</v>
      </c>
      <c r="M763" s="20">
        <v>2</v>
      </c>
      <c r="N763" s="19">
        <v>0.34023571963851729</v>
      </c>
      <c r="O763" s="19">
        <v>0.10379099346127048</v>
      </c>
      <c r="P763" s="19">
        <v>0.13337894785035465</v>
      </c>
      <c r="Q763" s="19">
        <v>0.10505319898679059</v>
      </c>
      <c r="R763" s="19">
        <v>0.20866628765524189</v>
      </c>
      <c r="S763" s="19">
        <v>3.6046288353214044E-2</v>
      </c>
      <c r="T763" s="20">
        <v>23</v>
      </c>
      <c r="U763" s="17">
        <v>3</v>
      </c>
      <c r="V763" s="17">
        <v>51</v>
      </c>
    </row>
    <row r="764" spans="1:22" x14ac:dyDescent="0.2">
      <c r="A764" t="s">
        <v>2432</v>
      </c>
      <c r="B764" t="s">
        <v>2418</v>
      </c>
      <c r="C764" t="s">
        <v>2419</v>
      </c>
      <c r="D764" t="s">
        <v>2420</v>
      </c>
      <c r="E764" s="10" t="s">
        <v>2433</v>
      </c>
      <c r="F764" s="10"/>
      <c r="G764" s="10"/>
      <c r="H764" s="10" t="s">
        <v>2433</v>
      </c>
      <c r="I764" s="14">
        <v>78247.866088192677</v>
      </c>
      <c r="J764" s="19">
        <v>0</v>
      </c>
      <c r="K764" s="19">
        <v>0.52830343744965491</v>
      </c>
      <c r="L764" s="19">
        <v>0.47169656255034503</v>
      </c>
      <c r="M764" s="20">
        <v>2</v>
      </c>
      <c r="N764" s="19">
        <v>0.37013726201446628</v>
      </c>
      <c r="O764" s="19">
        <v>0</v>
      </c>
      <c r="P764" s="19">
        <v>0.15816617543518871</v>
      </c>
      <c r="Q764" s="19">
        <v>0.15833129810026284</v>
      </c>
      <c r="R764" s="19">
        <v>0.26387007953433228</v>
      </c>
      <c r="S764" s="19">
        <v>4.9495184915749939E-2</v>
      </c>
      <c r="T764" s="20">
        <v>23</v>
      </c>
      <c r="U764" s="17">
        <v>3</v>
      </c>
      <c r="V764" s="17">
        <v>51</v>
      </c>
    </row>
    <row r="765" spans="1:22" x14ac:dyDescent="0.2">
      <c r="A765" t="s">
        <v>2434</v>
      </c>
      <c r="B765" t="s">
        <v>2418</v>
      </c>
      <c r="C765" t="s">
        <v>2419</v>
      </c>
      <c r="D765" t="s">
        <v>2420</v>
      </c>
      <c r="E765" s="10" t="s">
        <v>2435</v>
      </c>
      <c r="F765" s="10"/>
      <c r="G765" s="10"/>
      <c r="H765" s="10" t="s">
        <v>2435</v>
      </c>
      <c r="I765" s="14">
        <v>265332.70567770116</v>
      </c>
      <c r="J765" s="19">
        <v>0.42573465512429609</v>
      </c>
      <c r="K765" s="19">
        <v>0.32758434943857317</v>
      </c>
      <c r="L765" s="19">
        <v>0.24668099543713076</v>
      </c>
      <c r="M765" s="20">
        <v>2</v>
      </c>
      <c r="N765" s="19">
        <v>8.9141999259515145E-2</v>
      </c>
      <c r="O765" s="19">
        <v>9.7206462423946594E-2</v>
      </c>
      <c r="P765" s="19">
        <v>0.14123588775511142</v>
      </c>
      <c r="Q765" s="19">
        <v>5.8397428075477154E-2</v>
      </c>
      <c r="R765" s="19">
        <v>0.16650190716422866</v>
      </c>
      <c r="S765" s="19">
        <v>2.1781660197424932E-2</v>
      </c>
      <c r="T765" s="20">
        <v>22</v>
      </c>
      <c r="U765" s="17">
        <v>3</v>
      </c>
      <c r="V765" s="17">
        <v>51</v>
      </c>
    </row>
    <row r="766" spans="1:22" x14ac:dyDescent="0.2">
      <c r="A766" t="s">
        <v>2436</v>
      </c>
      <c r="B766" t="s">
        <v>2418</v>
      </c>
      <c r="C766" t="s">
        <v>2419</v>
      </c>
      <c r="D766" t="s">
        <v>2420</v>
      </c>
      <c r="E766" s="10" t="s">
        <v>2437</v>
      </c>
      <c r="F766" s="10"/>
      <c r="G766" s="10"/>
      <c r="H766" s="10" t="s">
        <v>2437</v>
      </c>
      <c r="I766" s="14">
        <v>157404.76627513627</v>
      </c>
      <c r="J766" s="19">
        <v>0</v>
      </c>
      <c r="K766" s="19">
        <v>0.59188470431242823</v>
      </c>
      <c r="L766" s="19">
        <v>0.40811529568757171</v>
      </c>
      <c r="M766" s="20">
        <v>2</v>
      </c>
      <c r="N766" s="19">
        <v>0.35621576050071402</v>
      </c>
      <c r="O766" s="19">
        <v>8.8882790396594843E-2</v>
      </c>
      <c r="P766" s="19">
        <v>0.14678615341511941</v>
      </c>
      <c r="Q766" s="19">
        <v>4.5216026611547458E-2</v>
      </c>
      <c r="R766" s="19">
        <v>0.32547821956674278</v>
      </c>
      <c r="S766" s="19">
        <v>3.7421049509281476E-2</v>
      </c>
      <c r="T766" s="20">
        <v>23</v>
      </c>
      <c r="U766" s="17">
        <v>3</v>
      </c>
      <c r="V766" s="17">
        <v>51</v>
      </c>
    </row>
    <row r="767" spans="1:22" x14ac:dyDescent="0.2">
      <c r="A767" t="s">
        <v>2438</v>
      </c>
      <c r="B767" t="s">
        <v>2418</v>
      </c>
      <c r="C767" t="s">
        <v>2419</v>
      </c>
      <c r="D767" t="s">
        <v>2420</v>
      </c>
      <c r="E767" s="10" t="s">
        <v>2439</v>
      </c>
      <c r="F767" s="10"/>
      <c r="G767" s="10"/>
      <c r="H767" s="10" t="s">
        <v>2439</v>
      </c>
      <c r="I767" s="14">
        <v>198201.51194892358</v>
      </c>
      <c r="J767" s="19">
        <v>0.29009501175247898</v>
      </c>
      <c r="K767" s="19">
        <v>0.46136687975417356</v>
      </c>
      <c r="L767" s="19">
        <v>0.24853810849334748</v>
      </c>
      <c r="M767" s="20">
        <v>2</v>
      </c>
      <c r="N767" s="19">
        <v>0.2587542033451769</v>
      </c>
      <c r="O767" s="19">
        <v>7.9465274548059295E-2</v>
      </c>
      <c r="P767" s="19">
        <v>0.12314740186093732</v>
      </c>
      <c r="Q767" s="19">
        <v>8.8361300432748466E-2</v>
      </c>
      <c r="R767" s="19">
        <v>0.12818148217295697</v>
      </c>
      <c r="S767" s="19">
        <v>3.1995325887642069E-2</v>
      </c>
      <c r="T767" s="20">
        <v>23</v>
      </c>
      <c r="U767" s="17">
        <v>3</v>
      </c>
      <c r="V767" s="17">
        <v>51</v>
      </c>
    </row>
    <row r="768" spans="1:22" x14ac:dyDescent="0.2">
      <c r="A768" t="s">
        <v>2440</v>
      </c>
      <c r="B768" t="s">
        <v>2418</v>
      </c>
      <c r="C768" t="s">
        <v>2419</v>
      </c>
      <c r="D768" t="s">
        <v>2441</v>
      </c>
      <c r="E768" s="10" t="s">
        <v>2442</v>
      </c>
      <c r="F768" s="10"/>
      <c r="G768" s="10"/>
      <c r="H768" s="10" t="s">
        <v>2442</v>
      </c>
      <c r="I768" s="14">
        <v>140453.31317339465</v>
      </c>
      <c r="J768" s="19">
        <v>0</v>
      </c>
      <c r="K768" s="19">
        <v>0.52539121194196037</v>
      </c>
      <c r="L768" s="19">
        <v>0.47460878805803963</v>
      </c>
      <c r="M768" s="20">
        <v>2</v>
      </c>
      <c r="N768" s="19">
        <v>8.6825085013129993E-2</v>
      </c>
      <c r="O768" s="19">
        <v>0.40263129832722655</v>
      </c>
      <c r="P768" s="19">
        <v>3.5934828601603817E-2</v>
      </c>
      <c r="Q768" s="19">
        <v>0.11636790501159122</v>
      </c>
      <c r="R768" s="19">
        <v>0.3274565790518747</v>
      </c>
      <c r="S768" s="19">
        <v>3.0784303994573686E-2</v>
      </c>
      <c r="T768" s="20">
        <v>22</v>
      </c>
      <c r="U768" s="17">
        <v>3</v>
      </c>
      <c r="V768" s="17">
        <v>51</v>
      </c>
    </row>
    <row r="769" spans="1:22" x14ac:dyDescent="0.2">
      <c r="A769" t="s">
        <v>2443</v>
      </c>
      <c r="B769" t="s">
        <v>2418</v>
      </c>
      <c r="C769" t="s">
        <v>2419</v>
      </c>
      <c r="D769" t="s">
        <v>2441</v>
      </c>
      <c r="E769" s="10" t="s">
        <v>2444</v>
      </c>
      <c r="F769" s="10"/>
      <c r="G769" s="10"/>
      <c r="H769" s="10" t="s">
        <v>2444</v>
      </c>
      <c r="I769" s="14">
        <v>44142.451506357873</v>
      </c>
      <c r="J769" s="19">
        <v>0</v>
      </c>
      <c r="K769" s="19">
        <v>0.47548161694549301</v>
      </c>
      <c r="L769" s="19">
        <v>0.52451838305450704</v>
      </c>
      <c r="M769" s="20">
        <v>1</v>
      </c>
      <c r="N769" s="19">
        <v>4.4293213273010848E-2</v>
      </c>
      <c r="O769" s="19">
        <v>0.16011917416910459</v>
      </c>
      <c r="P769" s="19">
        <v>0.27106922950337758</v>
      </c>
      <c r="Q769" s="19">
        <v>0.16720488127656863</v>
      </c>
      <c r="R769" s="19">
        <v>0.32736558286345185</v>
      </c>
      <c r="S769" s="19">
        <v>2.9947918914486518E-2</v>
      </c>
      <c r="T769" s="20">
        <v>12</v>
      </c>
      <c r="U769" s="17">
        <v>3</v>
      </c>
      <c r="V769" s="17">
        <v>51</v>
      </c>
    </row>
    <row r="770" spans="1:22" x14ac:dyDescent="0.2">
      <c r="A770" t="s">
        <v>2445</v>
      </c>
      <c r="B770" t="s">
        <v>2418</v>
      </c>
      <c r="C770" t="s">
        <v>2419</v>
      </c>
      <c r="D770" t="s">
        <v>2441</v>
      </c>
      <c r="E770" s="10" t="s">
        <v>2446</v>
      </c>
      <c r="F770" s="10"/>
      <c r="G770" s="10"/>
      <c r="H770" s="10" t="s">
        <v>2446</v>
      </c>
      <c r="I770" s="14">
        <v>381567.47725195158</v>
      </c>
      <c r="J770" s="19">
        <v>0.63612875616351516</v>
      </c>
      <c r="K770" s="19">
        <v>0.27872043910155275</v>
      </c>
      <c r="L770" s="19">
        <v>8.5150804734932167E-2</v>
      </c>
      <c r="M770" s="20">
        <v>3</v>
      </c>
      <c r="N770" s="19">
        <v>8.7748735947726392E-2</v>
      </c>
      <c r="O770" s="19">
        <v>0</v>
      </c>
      <c r="P770" s="19">
        <v>0.19097170315382636</v>
      </c>
      <c r="Q770" s="19">
        <v>1.4330573314985351E-2</v>
      </c>
      <c r="R770" s="19">
        <v>6.9201865525272133E-2</v>
      </c>
      <c r="S770" s="19">
        <v>1.6183658946746888E-3</v>
      </c>
      <c r="T770" s="20">
        <v>30</v>
      </c>
      <c r="U770" s="17">
        <v>3</v>
      </c>
      <c r="V770" s="17">
        <v>51</v>
      </c>
    </row>
    <row r="771" spans="1:22" x14ac:dyDescent="0.2">
      <c r="A771" t="s">
        <v>2447</v>
      </c>
      <c r="B771" t="s">
        <v>2418</v>
      </c>
      <c r="C771" t="s">
        <v>2419</v>
      </c>
      <c r="D771" t="s">
        <v>2441</v>
      </c>
      <c r="E771" s="10" t="s">
        <v>2448</v>
      </c>
      <c r="F771" s="10"/>
      <c r="G771" s="10"/>
      <c r="H771" s="10" t="s">
        <v>2448</v>
      </c>
      <c r="I771" s="14">
        <v>496354.44645708567</v>
      </c>
      <c r="J771" s="19">
        <v>0.5912499272724302</v>
      </c>
      <c r="K771" s="19">
        <v>0.29507291593575524</v>
      </c>
      <c r="L771" s="19">
        <v>0.1136771567918146</v>
      </c>
      <c r="M771" s="20">
        <v>3</v>
      </c>
      <c r="N771" s="19">
        <v>8.2451192393552919E-2</v>
      </c>
      <c r="O771" s="19">
        <v>1.3076106741632962E-2</v>
      </c>
      <c r="P771" s="19">
        <v>0.19954561680056937</v>
      </c>
      <c r="Q771" s="19">
        <v>2.7194292923860847E-2</v>
      </c>
      <c r="R771" s="19">
        <v>7.9971242057904776E-2</v>
      </c>
      <c r="S771" s="19">
        <v>6.5116218100489589E-3</v>
      </c>
      <c r="T771" s="20">
        <v>30</v>
      </c>
      <c r="U771" s="17">
        <v>3</v>
      </c>
      <c r="V771" s="17">
        <v>51</v>
      </c>
    </row>
    <row r="772" spans="1:22" x14ac:dyDescent="0.2">
      <c r="A772" t="s">
        <v>2449</v>
      </c>
      <c r="B772" t="s">
        <v>2418</v>
      </c>
      <c r="C772" t="s">
        <v>2419</v>
      </c>
      <c r="D772" t="s">
        <v>2441</v>
      </c>
      <c r="E772" s="10" t="s">
        <v>2450</v>
      </c>
      <c r="F772" s="10"/>
      <c r="G772" s="10"/>
      <c r="H772" s="10" t="s">
        <v>2450</v>
      </c>
      <c r="I772" s="14">
        <v>231484.01365386322</v>
      </c>
      <c r="J772" s="19">
        <v>0</v>
      </c>
      <c r="K772" s="19">
        <v>0.69149302232419685</v>
      </c>
      <c r="L772" s="19">
        <v>0.30850697767580315</v>
      </c>
      <c r="M772" s="20">
        <v>2</v>
      </c>
      <c r="N772" s="19">
        <v>0.31026823655196056</v>
      </c>
      <c r="O772" s="19">
        <v>0</v>
      </c>
      <c r="P772" s="19">
        <v>0.38122478577223634</v>
      </c>
      <c r="Q772" s="19">
        <v>7.1868875592276477E-2</v>
      </c>
      <c r="R772" s="19">
        <v>0.22367091745460832</v>
      </c>
      <c r="S772" s="19">
        <v>1.2967184628918344E-2</v>
      </c>
      <c r="T772" s="20">
        <v>23</v>
      </c>
      <c r="U772" s="17">
        <v>3</v>
      </c>
      <c r="V772" s="17">
        <v>51</v>
      </c>
    </row>
    <row r="773" spans="1:22" x14ac:dyDescent="0.2">
      <c r="A773" t="s">
        <v>2451</v>
      </c>
      <c r="B773" t="s">
        <v>2418</v>
      </c>
      <c r="C773" t="s">
        <v>2419</v>
      </c>
      <c r="D773" t="s">
        <v>2441</v>
      </c>
      <c r="E773" s="10" t="s">
        <v>2452</v>
      </c>
      <c r="F773" s="10"/>
      <c r="G773" s="10"/>
      <c r="H773" s="10" t="s">
        <v>2452</v>
      </c>
      <c r="I773" s="14">
        <v>333784.95213972032</v>
      </c>
      <c r="J773" s="19">
        <v>0.59593328205912932</v>
      </c>
      <c r="K773" s="19">
        <v>0.2766246135269968</v>
      </c>
      <c r="L773" s="19">
        <v>0.12744210441387396</v>
      </c>
      <c r="M773" s="20">
        <v>3</v>
      </c>
      <c r="N773" s="19">
        <v>0.13328045044469689</v>
      </c>
      <c r="O773" s="19">
        <v>2.9524653276916807E-2</v>
      </c>
      <c r="P773" s="19">
        <v>0.11381950980538308</v>
      </c>
      <c r="Q773" s="19">
        <v>4.2488144215957181E-2</v>
      </c>
      <c r="R773" s="19">
        <v>7.7021107551629511E-2</v>
      </c>
      <c r="S773" s="19">
        <v>7.9328526462872639E-3</v>
      </c>
      <c r="T773" s="20">
        <v>30</v>
      </c>
      <c r="U773" s="17">
        <v>3</v>
      </c>
      <c r="V773" s="17">
        <v>51</v>
      </c>
    </row>
    <row r="774" spans="1:22" x14ac:dyDescent="0.2">
      <c r="A774" t="s">
        <v>2453</v>
      </c>
      <c r="B774" t="s">
        <v>2418</v>
      </c>
      <c r="C774" t="s">
        <v>2419</v>
      </c>
      <c r="D774" t="s">
        <v>2441</v>
      </c>
      <c r="E774" s="10" t="s">
        <v>2454</v>
      </c>
      <c r="F774" s="10"/>
      <c r="G774" s="10"/>
      <c r="H774" s="10" t="s">
        <v>2454</v>
      </c>
      <c r="I774" s="14">
        <v>104579.3617158283</v>
      </c>
      <c r="J774" s="19">
        <v>0</v>
      </c>
      <c r="K774" s="19">
        <v>0.80312581213452527</v>
      </c>
      <c r="L774" s="19">
        <v>0.19687418786547467</v>
      </c>
      <c r="M774" s="20">
        <v>2</v>
      </c>
      <c r="N774" s="19">
        <v>0.31356177670471092</v>
      </c>
      <c r="O774" s="19">
        <v>0</v>
      </c>
      <c r="P774" s="19">
        <v>0.48956403542981441</v>
      </c>
      <c r="Q774" s="19">
        <v>5.4040372033147453E-2</v>
      </c>
      <c r="R774" s="19">
        <v>0.13016179694758365</v>
      </c>
      <c r="S774" s="19">
        <v>1.2672018884743607E-2</v>
      </c>
      <c r="T774" s="20">
        <v>23</v>
      </c>
      <c r="U774" s="17">
        <v>3</v>
      </c>
      <c r="V774" s="17">
        <v>51</v>
      </c>
    </row>
    <row r="775" spans="1:22" x14ac:dyDescent="0.2">
      <c r="A775" t="s">
        <v>2455</v>
      </c>
      <c r="B775" t="s">
        <v>2418</v>
      </c>
      <c r="C775" t="s">
        <v>2419</v>
      </c>
      <c r="D775" t="s">
        <v>2441</v>
      </c>
      <c r="E775" s="10" t="s">
        <v>2456</v>
      </c>
      <c r="F775" s="10"/>
      <c r="G775" s="10"/>
      <c r="H775" s="10" t="s">
        <v>2456</v>
      </c>
      <c r="I775" s="14">
        <v>66868.564144196222</v>
      </c>
      <c r="J775" s="19">
        <v>0</v>
      </c>
      <c r="K775" s="19">
        <v>0.24378483135348578</v>
      </c>
      <c r="L775" s="19">
        <v>0.75621516864651428</v>
      </c>
      <c r="M775" s="20">
        <v>1</v>
      </c>
      <c r="N775" s="19">
        <v>0.21143439781312492</v>
      </c>
      <c r="O775" s="19">
        <v>6.2016008900241731E-3</v>
      </c>
      <c r="P775" s="19">
        <v>2.614883265033667E-2</v>
      </c>
      <c r="Q775" s="19">
        <v>0.20772957870013439</v>
      </c>
      <c r="R775" s="19">
        <v>0.49161278359171451</v>
      </c>
      <c r="S775" s="19">
        <v>5.6872806354665323E-2</v>
      </c>
      <c r="T775" s="20">
        <v>12</v>
      </c>
      <c r="U775" s="17">
        <v>3</v>
      </c>
      <c r="V775" s="17">
        <v>51</v>
      </c>
    </row>
    <row r="776" spans="1:22" x14ac:dyDescent="0.2">
      <c r="A776" t="s">
        <v>2457</v>
      </c>
      <c r="B776" t="s">
        <v>2418</v>
      </c>
      <c r="C776" t="s">
        <v>2419</v>
      </c>
      <c r="D776" t="s">
        <v>2441</v>
      </c>
      <c r="E776" s="10" t="s">
        <v>2458</v>
      </c>
      <c r="F776" s="10"/>
      <c r="G776" s="10"/>
      <c r="H776" s="10" t="s">
        <v>2458</v>
      </c>
      <c r="I776" s="14">
        <v>104252.38031342183</v>
      </c>
      <c r="J776" s="19">
        <v>0</v>
      </c>
      <c r="K776" s="19">
        <v>0.49954688641518408</v>
      </c>
      <c r="L776" s="19">
        <v>0.50045311358481592</v>
      </c>
      <c r="M776" s="20">
        <v>1</v>
      </c>
      <c r="N776" s="19">
        <v>0.11449982294642976</v>
      </c>
      <c r="O776" s="19">
        <v>4.9513505050090612E-2</v>
      </c>
      <c r="P776" s="19">
        <v>0.33553355841866372</v>
      </c>
      <c r="Q776" s="19">
        <v>7.8457579360247914E-2</v>
      </c>
      <c r="R776" s="19">
        <v>0.39380822896247258</v>
      </c>
      <c r="S776" s="19">
        <v>2.8187305262095414E-2</v>
      </c>
      <c r="T776" s="20">
        <v>12</v>
      </c>
      <c r="U776" s="17">
        <v>3</v>
      </c>
      <c r="V776" s="17">
        <v>51</v>
      </c>
    </row>
    <row r="777" spans="1:22" x14ac:dyDescent="0.2">
      <c r="A777" t="s">
        <v>2459</v>
      </c>
      <c r="B777" t="s">
        <v>2418</v>
      </c>
      <c r="C777" t="s">
        <v>2419</v>
      </c>
      <c r="D777" t="s">
        <v>2441</v>
      </c>
      <c r="E777" s="10" t="s">
        <v>2460</v>
      </c>
      <c r="F777" s="10"/>
      <c r="G777" s="10"/>
      <c r="H777" s="10" t="s">
        <v>2460</v>
      </c>
      <c r="I777" s="14">
        <v>80252.932856997009</v>
      </c>
      <c r="J777" s="19">
        <v>7.1493115443144864E-2</v>
      </c>
      <c r="K777" s="19">
        <v>0.5117023531861854</v>
      </c>
      <c r="L777" s="19">
        <v>0.4168045313706697</v>
      </c>
      <c r="M777" s="20">
        <v>2</v>
      </c>
      <c r="N777" s="19">
        <v>3.0243948802985171E-2</v>
      </c>
      <c r="O777" s="19">
        <v>0.25062696530606221</v>
      </c>
      <c r="P777" s="19">
        <v>0.2308314390771381</v>
      </c>
      <c r="Q777" s="19">
        <v>0.11080584027128285</v>
      </c>
      <c r="R777" s="19">
        <v>0.29307059374261185</v>
      </c>
      <c r="S777" s="19">
        <v>1.2928097356774972E-2</v>
      </c>
      <c r="T777" s="20">
        <v>22</v>
      </c>
      <c r="U777" s="17">
        <v>3</v>
      </c>
      <c r="V777" s="17">
        <v>51</v>
      </c>
    </row>
    <row r="778" spans="1:22" x14ac:dyDescent="0.2">
      <c r="A778" t="s">
        <v>2461</v>
      </c>
      <c r="B778" t="s">
        <v>2418</v>
      </c>
      <c r="C778" t="s">
        <v>2419</v>
      </c>
      <c r="D778" t="s">
        <v>2441</v>
      </c>
      <c r="E778" s="10" t="s">
        <v>2462</v>
      </c>
      <c r="F778" s="10"/>
      <c r="G778" s="10"/>
      <c r="H778" s="10" t="s">
        <v>2462</v>
      </c>
      <c r="I778" s="14">
        <v>69592.48062818218</v>
      </c>
      <c r="J778" s="19">
        <v>0</v>
      </c>
      <c r="K778" s="19">
        <v>0.37202950942912422</v>
      </c>
      <c r="L778" s="19">
        <v>0.62797049057087595</v>
      </c>
      <c r="M778" s="20">
        <v>1</v>
      </c>
      <c r="N778" s="19">
        <v>0</v>
      </c>
      <c r="O778" s="19">
        <v>0.36205889518522177</v>
      </c>
      <c r="P778" s="19">
        <v>9.9706142439024079E-3</v>
      </c>
      <c r="Q778" s="19">
        <v>0.22303274264706519</v>
      </c>
      <c r="R778" s="19">
        <v>0.36422267584142165</v>
      </c>
      <c r="S778" s="19">
        <v>4.0715072082388948E-2</v>
      </c>
      <c r="T778" s="20">
        <v>12</v>
      </c>
      <c r="U778" s="17">
        <v>3</v>
      </c>
      <c r="V778" s="17">
        <v>51</v>
      </c>
    </row>
    <row r="779" spans="1:22" x14ac:dyDescent="0.2">
      <c r="A779" t="s">
        <v>2463</v>
      </c>
      <c r="B779" t="s">
        <v>2418</v>
      </c>
      <c r="C779" t="s">
        <v>2419</v>
      </c>
      <c r="D779" t="s">
        <v>2441</v>
      </c>
      <c r="E779" s="10" t="s">
        <v>2464</v>
      </c>
      <c r="F779" s="10"/>
      <c r="G779" s="10"/>
      <c r="H779" s="10" t="s">
        <v>2464</v>
      </c>
      <c r="I779" s="14">
        <v>70865.32649293053</v>
      </c>
      <c r="J779" s="19">
        <v>0</v>
      </c>
      <c r="K779" s="19">
        <v>0.71172130768018294</v>
      </c>
      <c r="L779" s="19">
        <v>0.28827869231981706</v>
      </c>
      <c r="M779" s="20">
        <v>2</v>
      </c>
      <c r="N779" s="19">
        <v>0.13811687535372033</v>
      </c>
      <c r="O779" s="19">
        <v>0.23005526436062959</v>
      </c>
      <c r="P779" s="19">
        <v>0.34354916796583301</v>
      </c>
      <c r="Q779" s="19">
        <v>5.226489602454485E-2</v>
      </c>
      <c r="R779" s="19">
        <v>0.22425224411130598</v>
      </c>
      <c r="S779" s="19">
        <v>1.1761552183966231E-2</v>
      </c>
      <c r="T779" s="20">
        <v>22</v>
      </c>
      <c r="U779" s="17">
        <v>3</v>
      </c>
      <c r="V779" s="17">
        <v>51</v>
      </c>
    </row>
    <row r="780" spans="1:22" x14ac:dyDescent="0.2">
      <c r="A780" t="s">
        <v>2465</v>
      </c>
      <c r="B780" t="s">
        <v>2418</v>
      </c>
      <c r="C780" t="s">
        <v>2419</v>
      </c>
      <c r="D780" t="s">
        <v>2466</v>
      </c>
      <c r="E780" s="10" t="s">
        <v>2467</v>
      </c>
      <c r="F780" s="10"/>
      <c r="G780" s="10"/>
      <c r="H780" s="10" t="s">
        <v>2467</v>
      </c>
      <c r="I780" s="14">
        <v>124602.93536321867</v>
      </c>
      <c r="J780" s="19">
        <v>6.2913049607803938E-3</v>
      </c>
      <c r="K780" s="19">
        <v>0.84629476958870564</v>
      </c>
      <c r="L780" s="19">
        <v>0.14741392545051379</v>
      </c>
      <c r="M780" s="20">
        <v>2</v>
      </c>
      <c r="N780" s="19">
        <v>4.7942371772297376E-2</v>
      </c>
      <c r="O780" s="19">
        <v>0</v>
      </c>
      <c r="P780" s="19">
        <v>0.79835239781640832</v>
      </c>
      <c r="Q780" s="19">
        <v>1.4266407123978414E-2</v>
      </c>
      <c r="R780" s="19">
        <v>0.1295127543430267</v>
      </c>
      <c r="S780" s="19">
        <v>3.6347639835086795E-3</v>
      </c>
      <c r="T780" s="20">
        <v>21</v>
      </c>
      <c r="U780" s="17">
        <v>3</v>
      </c>
      <c r="V780" s="17">
        <v>51</v>
      </c>
    </row>
    <row r="781" spans="1:22" x14ac:dyDescent="0.2">
      <c r="A781" t="s">
        <v>2468</v>
      </c>
      <c r="B781" t="s">
        <v>2418</v>
      </c>
      <c r="C781" t="s">
        <v>2419</v>
      </c>
      <c r="D781" t="s">
        <v>2466</v>
      </c>
      <c r="E781" s="10" t="s">
        <v>2469</v>
      </c>
      <c r="F781" s="10"/>
      <c r="G781" s="10"/>
      <c r="H781" s="10" t="s">
        <v>2469</v>
      </c>
      <c r="I781" s="14">
        <v>90094.528853009222</v>
      </c>
      <c r="J781" s="19">
        <v>0</v>
      </c>
      <c r="K781" s="19">
        <v>0.43481666011085141</v>
      </c>
      <c r="L781" s="19">
        <v>0.56518333988914859</v>
      </c>
      <c r="M781" s="20">
        <v>1</v>
      </c>
      <c r="N781" s="19">
        <v>8.4727173236947742E-2</v>
      </c>
      <c r="O781" s="19">
        <v>0.13701611471758671</v>
      </c>
      <c r="P781" s="19">
        <v>0.213073372156317</v>
      </c>
      <c r="Q781" s="19">
        <v>0.15370963312987584</v>
      </c>
      <c r="R781" s="19">
        <v>0.32216483419992181</v>
      </c>
      <c r="S781" s="19">
        <v>8.9308872559350952E-2</v>
      </c>
      <c r="T781" s="20">
        <v>12</v>
      </c>
      <c r="U781" s="17">
        <v>3</v>
      </c>
      <c r="V781" s="17">
        <v>51</v>
      </c>
    </row>
    <row r="782" spans="1:22" x14ac:dyDescent="0.2">
      <c r="A782" t="s">
        <v>2470</v>
      </c>
      <c r="B782" t="s">
        <v>2418</v>
      </c>
      <c r="C782" t="s">
        <v>2419</v>
      </c>
      <c r="D782" t="s">
        <v>2466</v>
      </c>
      <c r="E782" s="10" t="s">
        <v>2471</v>
      </c>
      <c r="F782" s="10"/>
      <c r="G782" s="10"/>
      <c r="H782" s="10" t="s">
        <v>2471</v>
      </c>
      <c r="I782" s="14">
        <v>40992.357972419355</v>
      </c>
      <c r="J782" s="19">
        <v>0</v>
      </c>
      <c r="K782" s="19">
        <v>0.16718918734977023</v>
      </c>
      <c r="L782" s="19">
        <v>0.83281081265022971</v>
      </c>
      <c r="M782" s="20">
        <v>1</v>
      </c>
      <c r="N782" s="19">
        <v>0</v>
      </c>
      <c r="O782" s="19">
        <v>0.16718918734977023</v>
      </c>
      <c r="P782" s="19">
        <v>0</v>
      </c>
      <c r="Q782" s="19">
        <v>0.46890282353441576</v>
      </c>
      <c r="R782" s="19">
        <v>0.30893291402140038</v>
      </c>
      <c r="S782" s="19">
        <v>5.4975075094413621E-2</v>
      </c>
      <c r="T782" s="20">
        <v>13</v>
      </c>
      <c r="U782" s="17">
        <v>3</v>
      </c>
      <c r="V782" s="17">
        <v>51</v>
      </c>
    </row>
    <row r="783" spans="1:22" x14ac:dyDescent="0.2">
      <c r="A783" t="s">
        <v>2472</v>
      </c>
      <c r="B783" t="s">
        <v>2418</v>
      </c>
      <c r="C783" t="s">
        <v>2419</v>
      </c>
      <c r="D783" t="s">
        <v>2466</v>
      </c>
      <c r="E783" s="10" t="s">
        <v>2473</v>
      </c>
      <c r="F783" s="10"/>
      <c r="G783" s="10"/>
      <c r="H783" s="10" t="s">
        <v>2473</v>
      </c>
      <c r="I783" s="14">
        <v>560900.05874994653</v>
      </c>
      <c r="J783" s="19">
        <v>0.62035995943371181</v>
      </c>
      <c r="K783" s="19">
        <v>0.35565465905123428</v>
      </c>
      <c r="L783" s="19">
        <v>2.3985381515053857E-2</v>
      </c>
      <c r="M783" s="20">
        <v>3</v>
      </c>
      <c r="N783" s="19">
        <v>8.7202492971639706E-2</v>
      </c>
      <c r="O783" s="19">
        <v>0</v>
      </c>
      <c r="P783" s="19">
        <v>0.2684521660795946</v>
      </c>
      <c r="Q783" s="19">
        <v>0</v>
      </c>
      <c r="R783" s="19">
        <v>2.3712387177102227E-2</v>
      </c>
      <c r="S783" s="19">
        <v>2.7299433795163091E-4</v>
      </c>
      <c r="T783" s="20">
        <v>30</v>
      </c>
      <c r="U783" s="17">
        <v>3</v>
      </c>
      <c r="V783" s="17">
        <v>51</v>
      </c>
    </row>
    <row r="784" spans="1:22" x14ac:dyDescent="0.2">
      <c r="A784" t="s">
        <v>2474</v>
      </c>
      <c r="B784" t="s">
        <v>2418</v>
      </c>
      <c r="C784" t="s">
        <v>2419</v>
      </c>
      <c r="D784" t="s">
        <v>2466</v>
      </c>
      <c r="E784" s="10" t="s">
        <v>2475</v>
      </c>
      <c r="F784" s="10"/>
      <c r="G784" s="10"/>
      <c r="H784" s="10" t="s">
        <v>2475</v>
      </c>
      <c r="I784" s="14">
        <v>109188.87514199782</v>
      </c>
      <c r="J784" s="19">
        <v>0</v>
      </c>
      <c r="K784" s="19">
        <v>0.54296101983279699</v>
      </c>
      <c r="L784" s="19">
        <v>0.45703898016720296</v>
      </c>
      <c r="M784" s="20">
        <v>2</v>
      </c>
      <c r="N784" s="19">
        <v>0.24970470767566633</v>
      </c>
      <c r="O784" s="19">
        <v>0.19368011811952426</v>
      </c>
      <c r="P784" s="19">
        <v>9.9576194037606425E-2</v>
      </c>
      <c r="Q784" s="19">
        <v>0.17720875294882646</v>
      </c>
      <c r="R784" s="19">
        <v>0.2379559507423458</v>
      </c>
      <c r="S784" s="19">
        <v>4.1874276476030717E-2</v>
      </c>
      <c r="T784" s="20">
        <v>23</v>
      </c>
      <c r="U784" s="17">
        <v>3</v>
      </c>
      <c r="V784" s="17">
        <v>51</v>
      </c>
    </row>
    <row r="785" spans="1:22" x14ac:dyDescent="0.2">
      <c r="A785" t="s">
        <v>2476</v>
      </c>
      <c r="B785" t="s">
        <v>2418</v>
      </c>
      <c r="C785" t="s">
        <v>2419</v>
      </c>
      <c r="D785" t="s">
        <v>2466</v>
      </c>
      <c r="E785" s="10" t="s">
        <v>2477</v>
      </c>
      <c r="F785" s="10"/>
      <c r="G785" s="10"/>
      <c r="H785" s="10" t="s">
        <v>2477</v>
      </c>
      <c r="I785" s="14">
        <v>90684.744031528477</v>
      </c>
      <c r="J785" s="19">
        <v>0</v>
      </c>
      <c r="K785" s="19">
        <v>0.62750474140237733</v>
      </c>
      <c r="L785" s="19">
        <v>0.37249525859762272</v>
      </c>
      <c r="M785" s="20">
        <v>2</v>
      </c>
      <c r="N785" s="19">
        <v>0.18387745069342332</v>
      </c>
      <c r="O785" s="19">
        <v>0.19136321049413305</v>
      </c>
      <c r="P785" s="19">
        <v>0.25226408021482094</v>
      </c>
      <c r="Q785" s="19">
        <v>0.13592505956805029</v>
      </c>
      <c r="R785" s="19">
        <v>0.22107324852296345</v>
      </c>
      <c r="S785" s="19">
        <v>1.5496950506608959E-2</v>
      </c>
      <c r="T785" s="20">
        <v>22</v>
      </c>
      <c r="U785" s="17">
        <v>3</v>
      </c>
      <c r="V785" s="17">
        <v>51</v>
      </c>
    </row>
    <row r="786" spans="1:22" x14ac:dyDescent="0.2">
      <c r="A786" t="s">
        <v>2478</v>
      </c>
      <c r="B786" t="s">
        <v>2418</v>
      </c>
      <c r="C786" t="s">
        <v>2419</v>
      </c>
      <c r="D786" t="s">
        <v>2466</v>
      </c>
      <c r="E786" s="10" t="s">
        <v>2479</v>
      </c>
      <c r="F786" s="10"/>
      <c r="G786" s="10"/>
      <c r="H786" s="10" t="s">
        <v>2479</v>
      </c>
      <c r="I786" s="14">
        <v>188910.07369149942</v>
      </c>
      <c r="J786" s="19">
        <v>4.6128435640746694E-2</v>
      </c>
      <c r="K786" s="19">
        <v>0.74155317374761154</v>
      </c>
      <c r="L786" s="19">
        <v>0.21231839061164176</v>
      </c>
      <c r="M786" s="20">
        <v>2</v>
      </c>
      <c r="N786" s="19">
        <v>0.20023447045123133</v>
      </c>
      <c r="O786" s="19">
        <v>3.79997548533534E-4</v>
      </c>
      <c r="P786" s="19">
        <v>0.54093870574784664</v>
      </c>
      <c r="Q786" s="19">
        <v>9.9193003947084489E-3</v>
      </c>
      <c r="R786" s="19">
        <v>0.18981197467751953</v>
      </c>
      <c r="S786" s="19">
        <v>1.2587115539413779E-2</v>
      </c>
      <c r="T786" s="20">
        <v>21</v>
      </c>
      <c r="U786" s="17">
        <v>3</v>
      </c>
      <c r="V786" s="17">
        <v>51</v>
      </c>
    </row>
    <row r="787" spans="1:22" x14ac:dyDescent="0.2">
      <c r="A787" t="s">
        <v>2480</v>
      </c>
      <c r="B787" t="s">
        <v>2418</v>
      </c>
      <c r="C787" t="s">
        <v>2419</v>
      </c>
      <c r="D787" t="s">
        <v>2466</v>
      </c>
      <c r="E787" s="10" t="s">
        <v>2481</v>
      </c>
      <c r="F787" s="10"/>
      <c r="G787" s="10"/>
      <c r="H787" s="10" t="s">
        <v>2481</v>
      </c>
      <c r="I787" s="14">
        <v>112956.27183280792</v>
      </c>
      <c r="J787" s="19">
        <v>0</v>
      </c>
      <c r="K787" s="19">
        <v>0.78465869560801393</v>
      </c>
      <c r="L787" s="19">
        <v>0.21534130439198601</v>
      </c>
      <c r="M787" s="20">
        <v>2</v>
      </c>
      <c r="N787" s="19">
        <v>0.13444402743215383</v>
      </c>
      <c r="O787" s="19">
        <v>0</v>
      </c>
      <c r="P787" s="19">
        <v>0.65021466817586016</v>
      </c>
      <c r="Q787" s="19">
        <v>1.8427304276059108E-2</v>
      </c>
      <c r="R787" s="19">
        <v>0.18518939722619548</v>
      </c>
      <c r="S787" s="19">
        <v>1.1724602889731442E-2</v>
      </c>
      <c r="T787" s="20">
        <v>21</v>
      </c>
      <c r="U787" s="17">
        <v>3</v>
      </c>
      <c r="V787" s="17">
        <v>51</v>
      </c>
    </row>
    <row r="788" spans="1:22" x14ac:dyDescent="0.2">
      <c r="A788" t="s">
        <v>2482</v>
      </c>
      <c r="B788" t="s">
        <v>2418</v>
      </c>
      <c r="C788" t="s">
        <v>2419</v>
      </c>
      <c r="D788" t="s">
        <v>2466</v>
      </c>
      <c r="E788" s="10" t="s">
        <v>2483</v>
      </c>
      <c r="F788" s="10"/>
      <c r="G788" s="10"/>
      <c r="H788" s="10" t="s">
        <v>2483</v>
      </c>
      <c r="I788" s="14">
        <v>121485.54714531124</v>
      </c>
      <c r="J788" s="19">
        <v>0</v>
      </c>
      <c r="K788" s="19">
        <v>0.57766747665161333</v>
      </c>
      <c r="L788" s="19">
        <v>0.42233252334838672</v>
      </c>
      <c r="M788" s="20">
        <v>2</v>
      </c>
      <c r="N788" s="19">
        <v>0.36403746260677861</v>
      </c>
      <c r="O788" s="19">
        <v>5.5458325211894061E-2</v>
      </c>
      <c r="P788" s="19">
        <v>0.15817168883294072</v>
      </c>
      <c r="Q788" s="19">
        <v>0.17192805837326069</v>
      </c>
      <c r="R788" s="19">
        <v>0.22986459693359834</v>
      </c>
      <c r="S788" s="19">
        <v>2.0539868041527697E-2</v>
      </c>
      <c r="T788" s="20">
        <v>23</v>
      </c>
      <c r="U788" s="17">
        <v>3</v>
      </c>
      <c r="V788" s="17">
        <v>51</v>
      </c>
    </row>
    <row r="789" spans="1:22" x14ac:dyDescent="0.2">
      <c r="A789" t="s">
        <v>2484</v>
      </c>
      <c r="B789" t="s">
        <v>2418</v>
      </c>
      <c r="C789" t="s">
        <v>2419</v>
      </c>
      <c r="D789" t="s">
        <v>2466</v>
      </c>
      <c r="E789" s="10" t="s">
        <v>2485</v>
      </c>
      <c r="F789" s="10"/>
      <c r="G789" s="10"/>
      <c r="H789" s="10" t="s">
        <v>2485</v>
      </c>
      <c r="I789" s="14">
        <v>156847.52858659206</v>
      </c>
      <c r="J789" s="19">
        <v>0.31004939164566259</v>
      </c>
      <c r="K789" s="19">
        <v>0.63016271745455821</v>
      </c>
      <c r="L789" s="19">
        <v>5.9787890899779213E-2</v>
      </c>
      <c r="M789" s="20">
        <v>2</v>
      </c>
      <c r="N789" s="19">
        <v>0.25306066560007556</v>
      </c>
      <c r="O789" s="19">
        <v>6.1253351425370837E-3</v>
      </c>
      <c r="P789" s="19">
        <v>0.3709767167119456</v>
      </c>
      <c r="Q789" s="19">
        <v>0</v>
      </c>
      <c r="R789" s="19">
        <v>5.7593639173976335E-2</v>
      </c>
      <c r="S789" s="19">
        <v>2.19425172580288E-3</v>
      </c>
      <c r="T789" s="20">
        <v>23</v>
      </c>
      <c r="U789" s="17">
        <v>3</v>
      </c>
      <c r="V789" s="17">
        <v>51</v>
      </c>
    </row>
    <row r="790" spans="1:22" x14ac:dyDescent="0.2">
      <c r="A790" t="s">
        <v>2486</v>
      </c>
      <c r="B790" t="s">
        <v>2418</v>
      </c>
      <c r="C790" t="s">
        <v>2419</v>
      </c>
      <c r="D790" t="s">
        <v>2487</v>
      </c>
      <c r="E790" s="10" t="s">
        <v>2487</v>
      </c>
      <c r="F790" s="10"/>
      <c r="G790" s="10"/>
      <c r="H790" s="10" t="s">
        <v>2487</v>
      </c>
      <c r="I790" s="14">
        <v>2327988.3968655234</v>
      </c>
      <c r="J790" s="19">
        <v>1</v>
      </c>
      <c r="K790" s="19">
        <v>0</v>
      </c>
      <c r="L790" s="19">
        <v>0</v>
      </c>
      <c r="M790" s="20">
        <v>3</v>
      </c>
      <c r="N790" s="19">
        <v>0</v>
      </c>
      <c r="O790" s="19">
        <v>0</v>
      </c>
      <c r="P790" s="19">
        <v>0</v>
      </c>
      <c r="Q790" s="19">
        <v>0</v>
      </c>
      <c r="R790" s="19">
        <v>0</v>
      </c>
      <c r="S790" s="19">
        <v>0</v>
      </c>
      <c r="T790" s="20">
        <v>30</v>
      </c>
      <c r="U790" s="17">
        <v>3</v>
      </c>
      <c r="V790" s="17">
        <v>51</v>
      </c>
    </row>
    <row r="791" spans="1:22" x14ac:dyDescent="0.2">
      <c r="A791" t="s">
        <v>2488</v>
      </c>
      <c r="B791" t="s">
        <v>2418</v>
      </c>
      <c r="C791" t="s">
        <v>2419</v>
      </c>
      <c r="D791" t="s">
        <v>2489</v>
      </c>
      <c r="E791" s="10" t="s">
        <v>2489</v>
      </c>
      <c r="F791" s="10"/>
      <c r="G791" s="10"/>
      <c r="H791" s="10" t="s">
        <v>2489</v>
      </c>
      <c r="I791" s="14">
        <v>88717.398222386837</v>
      </c>
      <c r="J791" s="19">
        <v>0</v>
      </c>
      <c r="K791" s="19">
        <v>0.96110760790647476</v>
      </c>
      <c r="L791" s="19">
        <v>3.8892392093525283E-2</v>
      </c>
      <c r="M791" s="20">
        <v>2</v>
      </c>
      <c r="N791" s="19">
        <v>0.56652120168559628</v>
      </c>
      <c r="O791" s="19">
        <v>0</v>
      </c>
      <c r="P791" s="19">
        <v>0.39458640622087843</v>
      </c>
      <c r="Q791" s="19">
        <v>7.4910790366912441E-3</v>
      </c>
      <c r="R791" s="19">
        <v>2.948176847654304E-2</v>
      </c>
      <c r="S791" s="19">
        <v>1.9195445802910015E-3</v>
      </c>
      <c r="T791" s="20">
        <v>23</v>
      </c>
      <c r="U791" s="17">
        <v>3</v>
      </c>
      <c r="V791" s="17">
        <v>51</v>
      </c>
    </row>
    <row r="792" spans="1:22" x14ac:dyDescent="0.2">
      <c r="A792" t="s">
        <v>2490</v>
      </c>
      <c r="B792" t="s">
        <v>2418</v>
      </c>
      <c r="C792" t="s">
        <v>2419</v>
      </c>
      <c r="D792" t="s">
        <v>2491</v>
      </c>
      <c r="E792" s="10" t="s">
        <v>2492</v>
      </c>
      <c r="F792" s="10"/>
      <c r="G792" s="10"/>
      <c r="H792" s="10" t="s">
        <v>2492</v>
      </c>
      <c r="I792" s="14">
        <v>209885.23889364838</v>
      </c>
      <c r="J792" s="19">
        <v>5.3297926452192015E-2</v>
      </c>
      <c r="K792" s="19">
        <v>0.69628890074107463</v>
      </c>
      <c r="L792" s="19">
        <v>0.25041317280673331</v>
      </c>
      <c r="M792" s="20">
        <v>2</v>
      </c>
      <c r="N792" s="19">
        <v>0.22418502880352889</v>
      </c>
      <c r="O792" s="19">
        <v>3.9105582629618593E-2</v>
      </c>
      <c r="P792" s="19">
        <v>0.43299828930792728</v>
      </c>
      <c r="Q792" s="19">
        <v>6.9015785592110607E-2</v>
      </c>
      <c r="R792" s="19">
        <v>0.16517006080309624</v>
      </c>
      <c r="S792" s="19">
        <v>1.6227326411526483E-2</v>
      </c>
      <c r="T792" s="20">
        <v>23</v>
      </c>
      <c r="U792" s="17">
        <v>3</v>
      </c>
      <c r="V792" s="17">
        <v>51</v>
      </c>
    </row>
    <row r="793" spans="1:22" x14ac:dyDescent="0.2">
      <c r="A793" t="s">
        <v>2493</v>
      </c>
      <c r="B793" t="s">
        <v>2418</v>
      </c>
      <c r="C793" t="s">
        <v>2419</v>
      </c>
      <c r="D793" t="s">
        <v>2491</v>
      </c>
      <c r="E793" s="10" t="s">
        <v>2494</v>
      </c>
      <c r="F793" s="10"/>
      <c r="G793" s="10"/>
      <c r="H793" s="10" t="s">
        <v>2494</v>
      </c>
      <c r="I793" s="14">
        <v>159575.84316742234</v>
      </c>
      <c r="J793" s="19">
        <v>3.6949372298701708E-4</v>
      </c>
      <c r="K793" s="19">
        <v>0.62788583386527186</v>
      </c>
      <c r="L793" s="19">
        <v>0.37174467241174114</v>
      </c>
      <c r="M793" s="20">
        <v>2</v>
      </c>
      <c r="N793" s="19">
        <v>0.2276550225695281</v>
      </c>
      <c r="O793" s="19">
        <v>0</v>
      </c>
      <c r="P793" s="19">
        <v>0.40023081129574373</v>
      </c>
      <c r="Q793" s="19">
        <v>0.16051039996265407</v>
      </c>
      <c r="R793" s="19">
        <v>0.19215196032850623</v>
      </c>
      <c r="S793" s="19">
        <v>1.9082312120580869E-2</v>
      </c>
      <c r="T793" s="20">
        <v>23</v>
      </c>
      <c r="U793" s="17">
        <v>3</v>
      </c>
      <c r="V793" s="17">
        <v>51</v>
      </c>
    </row>
    <row r="794" spans="1:22" x14ac:dyDescent="0.2">
      <c r="A794" t="s">
        <v>2495</v>
      </c>
      <c r="B794" t="s">
        <v>2418</v>
      </c>
      <c r="C794" t="s">
        <v>2419</v>
      </c>
      <c r="D794" t="s">
        <v>2491</v>
      </c>
      <c r="E794" s="10" t="s">
        <v>2496</v>
      </c>
      <c r="F794" s="10"/>
      <c r="G794" s="10"/>
      <c r="H794" s="10" t="s">
        <v>2496</v>
      </c>
      <c r="I794" s="14">
        <v>565119.16875823296</v>
      </c>
      <c r="J794" s="19">
        <v>0.88685138748088466</v>
      </c>
      <c r="K794" s="19">
        <v>0.10197463115913184</v>
      </c>
      <c r="L794" s="19">
        <v>1.1173981359983445E-2</v>
      </c>
      <c r="M794" s="20">
        <v>3</v>
      </c>
      <c r="N794" s="19">
        <v>2.9670040261560424E-2</v>
      </c>
      <c r="O794" s="19">
        <v>0</v>
      </c>
      <c r="P794" s="19">
        <v>7.2304590897571422E-2</v>
      </c>
      <c r="Q794" s="19">
        <v>0</v>
      </c>
      <c r="R794" s="19">
        <v>1.0657458282644061E-2</v>
      </c>
      <c r="S794" s="19">
        <v>5.1652307733938442E-4</v>
      </c>
      <c r="T794" s="20">
        <v>30</v>
      </c>
      <c r="U794" s="17">
        <v>3</v>
      </c>
      <c r="V794" s="17">
        <v>51</v>
      </c>
    </row>
    <row r="795" spans="1:22" x14ac:dyDescent="0.2">
      <c r="A795" t="s">
        <v>2497</v>
      </c>
      <c r="B795" t="s">
        <v>2418</v>
      </c>
      <c r="C795" t="s">
        <v>2419</v>
      </c>
      <c r="D795" t="s">
        <v>2498</v>
      </c>
      <c r="E795" s="10" t="s">
        <v>2499</v>
      </c>
      <c r="F795" s="10"/>
      <c r="G795" s="10"/>
      <c r="H795" s="10" t="s">
        <v>2499</v>
      </c>
      <c r="I795" s="14">
        <v>39916.721039363183</v>
      </c>
      <c r="J795" s="19">
        <v>0</v>
      </c>
      <c r="K795" s="19">
        <v>0.32058693519918996</v>
      </c>
      <c r="L795" s="19">
        <v>0.67941306480080998</v>
      </c>
      <c r="M795" s="20">
        <v>1</v>
      </c>
      <c r="N795" s="19">
        <v>0</v>
      </c>
      <c r="O795" s="19">
        <v>0.32058693519918996</v>
      </c>
      <c r="P795" s="19">
        <v>0</v>
      </c>
      <c r="Q795" s="19">
        <v>0.24199847645322514</v>
      </c>
      <c r="R795" s="19">
        <v>0.36493323952882689</v>
      </c>
      <c r="S795" s="19">
        <v>7.2481348818757993E-2</v>
      </c>
      <c r="T795" s="20">
        <v>12</v>
      </c>
      <c r="U795" s="17">
        <v>3</v>
      </c>
      <c r="V795" s="17">
        <v>51</v>
      </c>
    </row>
    <row r="796" spans="1:22" x14ac:dyDescent="0.2">
      <c r="A796" t="s">
        <v>2500</v>
      </c>
      <c r="B796" t="s">
        <v>2418</v>
      </c>
      <c r="C796" t="s">
        <v>2419</v>
      </c>
      <c r="D796" t="s">
        <v>2498</v>
      </c>
      <c r="E796" s="10" t="s">
        <v>2501</v>
      </c>
      <c r="F796" s="10"/>
      <c r="G796" s="10"/>
      <c r="H796" s="10" t="s">
        <v>2501</v>
      </c>
      <c r="I796" s="14">
        <v>111319.70460135025</v>
      </c>
      <c r="J796" s="19">
        <v>0</v>
      </c>
      <c r="K796" s="19">
        <v>0.56828769489846442</v>
      </c>
      <c r="L796" s="19">
        <v>0.43171230510153541</v>
      </c>
      <c r="M796" s="20">
        <v>2</v>
      </c>
      <c r="N796" s="19">
        <v>0.41235082908792231</v>
      </c>
      <c r="O796" s="19">
        <v>6.4624540698698121E-2</v>
      </c>
      <c r="P796" s="19">
        <v>9.1312325111843992E-2</v>
      </c>
      <c r="Q796" s="19">
        <v>0.20739783027098779</v>
      </c>
      <c r="R796" s="19">
        <v>0.18682798421512681</v>
      </c>
      <c r="S796" s="19">
        <v>3.7486490615420809E-2</v>
      </c>
      <c r="T796" s="20">
        <v>23</v>
      </c>
      <c r="U796" s="17">
        <v>3</v>
      </c>
      <c r="V796" s="17">
        <v>51</v>
      </c>
    </row>
    <row r="797" spans="1:22" x14ac:dyDescent="0.2">
      <c r="A797" t="s">
        <v>2502</v>
      </c>
      <c r="B797" t="s">
        <v>2418</v>
      </c>
      <c r="C797" t="s">
        <v>2419</v>
      </c>
      <c r="D797" t="s">
        <v>2498</v>
      </c>
      <c r="E797" s="10" t="s">
        <v>2503</v>
      </c>
      <c r="F797" s="10"/>
      <c r="G797" s="10"/>
      <c r="H797" s="10" t="s">
        <v>2503</v>
      </c>
      <c r="I797" s="14">
        <v>65941.00298931147</v>
      </c>
      <c r="J797" s="19">
        <v>0</v>
      </c>
      <c r="K797" s="19">
        <v>0.42500398853091403</v>
      </c>
      <c r="L797" s="19">
        <v>0.57499601146908597</v>
      </c>
      <c r="M797" s="20">
        <v>1</v>
      </c>
      <c r="N797" s="19">
        <v>0.2057664114091754</v>
      </c>
      <c r="O797" s="19">
        <v>0</v>
      </c>
      <c r="P797" s="19">
        <v>0.21923757712173861</v>
      </c>
      <c r="Q797" s="19">
        <v>0.12817118769231128</v>
      </c>
      <c r="R797" s="19">
        <v>0.39295608903519436</v>
      </c>
      <c r="S797" s="19">
        <v>5.3868734741580333E-2</v>
      </c>
      <c r="T797" s="20">
        <v>12</v>
      </c>
      <c r="U797" s="17">
        <v>3</v>
      </c>
      <c r="V797" s="17">
        <v>51</v>
      </c>
    </row>
    <row r="798" spans="1:22" x14ac:dyDescent="0.2">
      <c r="A798" t="s">
        <v>2504</v>
      </c>
      <c r="B798" t="s">
        <v>2418</v>
      </c>
      <c r="C798" t="s">
        <v>2419</v>
      </c>
      <c r="D798" t="s">
        <v>2498</v>
      </c>
      <c r="E798" s="10" t="s">
        <v>2505</v>
      </c>
      <c r="F798" s="10"/>
      <c r="G798" s="10"/>
      <c r="H798" s="10" t="s">
        <v>2505</v>
      </c>
      <c r="I798" s="14">
        <v>113390.74792303215</v>
      </c>
      <c r="J798" s="19">
        <v>0</v>
      </c>
      <c r="K798" s="19">
        <v>0.71086533288538167</v>
      </c>
      <c r="L798" s="19">
        <v>0.28913466711461833</v>
      </c>
      <c r="M798" s="20">
        <v>2</v>
      </c>
      <c r="N798" s="19">
        <v>0.43985287463688122</v>
      </c>
      <c r="O798" s="19">
        <v>2.0441180262760605E-2</v>
      </c>
      <c r="P798" s="19">
        <v>0.2505712779857398</v>
      </c>
      <c r="Q798" s="19">
        <v>9.7488203988981059E-2</v>
      </c>
      <c r="R798" s="19">
        <v>0.16102080095759713</v>
      </c>
      <c r="S798" s="19">
        <v>3.0625662168040156E-2</v>
      </c>
      <c r="T798" s="20">
        <v>23</v>
      </c>
      <c r="U798" s="17">
        <v>3</v>
      </c>
      <c r="V798" s="17">
        <v>51</v>
      </c>
    </row>
    <row r="799" spans="1:22" x14ac:dyDescent="0.2">
      <c r="A799" t="s">
        <v>2506</v>
      </c>
      <c r="B799" t="s">
        <v>2418</v>
      </c>
      <c r="C799" t="s">
        <v>2419</v>
      </c>
      <c r="D799" t="s">
        <v>2498</v>
      </c>
      <c r="E799" s="10" t="s">
        <v>2507</v>
      </c>
      <c r="F799" s="10"/>
      <c r="G799" s="10"/>
      <c r="H799" s="10" t="s">
        <v>2507</v>
      </c>
      <c r="I799" s="14">
        <v>44887.0389054271</v>
      </c>
      <c r="J799" s="19">
        <v>0</v>
      </c>
      <c r="K799" s="19">
        <v>0.49173763681972976</v>
      </c>
      <c r="L799" s="19">
        <v>0.50826236318027007</v>
      </c>
      <c r="M799" s="20">
        <v>1</v>
      </c>
      <c r="N799" s="19">
        <v>0.12329020156121678</v>
      </c>
      <c r="O799" s="19">
        <v>0</v>
      </c>
      <c r="P799" s="19">
        <v>0.36844743525851298</v>
      </c>
      <c r="Q799" s="19">
        <v>0.13145349122691374</v>
      </c>
      <c r="R799" s="19">
        <v>0.33631650776541833</v>
      </c>
      <c r="S799" s="19">
        <v>4.0492364187938008E-2</v>
      </c>
      <c r="T799" s="20">
        <v>12</v>
      </c>
      <c r="U799" s="17">
        <v>3</v>
      </c>
      <c r="V799" s="17">
        <v>51</v>
      </c>
    </row>
    <row r="800" spans="1:22" x14ac:dyDescent="0.2">
      <c r="A800" t="s">
        <v>2508</v>
      </c>
      <c r="B800" t="s">
        <v>2418</v>
      </c>
      <c r="C800" t="s">
        <v>2419</v>
      </c>
      <c r="D800" t="s">
        <v>2498</v>
      </c>
      <c r="E800" s="10" t="s">
        <v>2509</v>
      </c>
      <c r="F800" s="10"/>
      <c r="G800" s="10"/>
      <c r="H800" s="10" t="s">
        <v>2509</v>
      </c>
      <c r="I800" s="14">
        <v>613567.38529966539</v>
      </c>
      <c r="J800" s="19">
        <v>0.64050908706479515</v>
      </c>
      <c r="K800" s="19">
        <v>0.27251698974279903</v>
      </c>
      <c r="L800" s="19">
        <v>8.6973923192405808E-2</v>
      </c>
      <c r="M800" s="20">
        <v>3</v>
      </c>
      <c r="N800" s="19">
        <v>0.12534733069817644</v>
      </c>
      <c r="O800" s="19">
        <v>1.3400520101949462E-2</v>
      </c>
      <c r="P800" s="19">
        <v>0.13376913894267309</v>
      </c>
      <c r="Q800" s="19">
        <v>3.1644661216202408E-2</v>
      </c>
      <c r="R800" s="19">
        <v>4.9190187503587023E-2</v>
      </c>
      <c r="S800" s="19">
        <v>6.1390744726163883E-3</v>
      </c>
      <c r="T800" s="20">
        <v>30</v>
      </c>
      <c r="U800" s="17">
        <v>3</v>
      </c>
      <c r="V800" s="17">
        <v>51</v>
      </c>
    </row>
    <row r="801" spans="1:22" x14ac:dyDescent="0.2">
      <c r="A801" t="s">
        <v>2510</v>
      </c>
      <c r="B801" t="s">
        <v>2418</v>
      </c>
      <c r="C801" t="s">
        <v>2419</v>
      </c>
      <c r="D801" t="s">
        <v>2498</v>
      </c>
      <c r="E801" s="10" t="s">
        <v>2511</v>
      </c>
      <c r="F801" s="10"/>
      <c r="G801" s="10"/>
      <c r="H801" s="10" t="s">
        <v>2511</v>
      </c>
      <c r="I801" s="14">
        <v>86031.457694725599</v>
      </c>
      <c r="J801" s="19">
        <v>0</v>
      </c>
      <c r="K801" s="19">
        <v>0.69385871008090227</v>
      </c>
      <c r="L801" s="19">
        <v>0.30614128991909767</v>
      </c>
      <c r="M801" s="20">
        <v>2</v>
      </c>
      <c r="N801" s="19">
        <v>0.41643682119851827</v>
      </c>
      <c r="O801" s="19">
        <v>0.10104427491031953</v>
      </c>
      <c r="P801" s="19">
        <v>0.17637761397206453</v>
      </c>
      <c r="Q801" s="19">
        <v>9.2405149078668494E-2</v>
      </c>
      <c r="R801" s="19">
        <v>0.17543428019573687</v>
      </c>
      <c r="S801" s="19">
        <v>3.8301860644692313E-2</v>
      </c>
      <c r="T801" s="20">
        <v>23</v>
      </c>
      <c r="U801" s="17">
        <v>3</v>
      </c>
      <c r="V801" s="17">
        <v>51</v>
      </c>
    </row>
    <row r="802" spans="1:22" x14ac:dyDescent="0.2">
      <c r="A802" t="s">
        <v>2512</v>
      </c>
      <c r="B802" t="s">
        <v>2418</v>
      </c>
      <c r="C802" t="s">
        <v>2419</v>
      </c>
      <c r="D802" t="s">
        <v>2513</v>
      </c>
      <c r="E802" s="10" t="s">
        <v>2514</v>
      </c>
      <c r="F802" s="10"/>
      <c r="G802" s="10"/>
      <c r="H802" s="10" t="s">
        <v>2514</v>
      </c>
      <c r="I802" s="14">
        <v>122053.46960057643</v>
      </c>
      <c r="J802" s="19">
        <v>0</v>
      </c>
      <c r="K802" s="19">
        <v>0.62082797200877549</v>
      </c>
      <c r="L802" s="19">
        <v>0.37917202799122474</v>
      </c>
      <c r="M802" s="20">
        <v>2</v>
      </c>
      <c r="N802" s="19">
        <v>0.43168321346505012</v>
      </c>
      <c r="O802" s="19">
        <v>8.7655955872481067E-2</v>
      </c>
      <c r="P802" s="19">
        <v>0.10148880267124419</v>
      </c>
      <c r="Q802" s="19">
        <v>0.19249020676253981</v>
      </c>
      <c r="R802" s="19">
        <v>0.15152537895193524</v>
      </c>
      <c r="S802" s="19">
        <v>3.5156442276749619E-2</v>
      </c>
      <c r="T802" s="20">
        <v>23</v>
      </c>
      <c r="U802" s="17">
        <v>3</v>
      </c>
      <c r="V802" s="17">
        <v>51</v>
      </c>
    </row>
    <row r="803" spans="1:22" x14ac:dyDescent="0.2">
      <c r="A803" t="s">
        <v>2515</v>
      </c>
      <c r="B803" t="s">
        <v>2418</v>
      </c>
      <c r="C803" t="s">
        <v>2419</v>
      </c>
      <c r="D803" t="s">
        <v>2513</v>
      </c>
      <c r="E803" s="10" t="s">
        <v>2516</v>
      </c>
      <c r="F803" s="10"/>
      <c r="G803" s="10"/>
      <c r="H803" s="10" t="s">
        <v>2516</v>
      </c>
      <c r="I803" s="14">
        <v>102055.30537473201</v>
      </c>
      <c r="J803" s="19">
        <v>0</v>
      </c>
      <c r="K803" s="19">
        <v>0.58469353923247669</v>
      </c>
      <c r="L803" s="19">
        <v>0.41530646076752331</v>
      </c>
      <c r="M803" s="20">
        <v>2</v>
      </c>
      <c r="N803" s="19">
        <v>0.35556970454562808</v>
      </c>
      <c r="O803" s="19">
        <v>6.0072888143892618E-2</v>
      </c>
      <c r="P803" s="19">
        <v>0.16905094654295602</v>
      </c>
      <c r="Q803" s="19">
        <v>0.23082248592958041</v>
      </c>
      <c r="R803" s="19">
        <v>0.15016827961537524</v>
      </c>
      <c r="S803" s="19">
        <v>3.4315695222567666E-2</v>
      </c>
      <c r="T803" s="20">
        <v>23</v>
      </c>
      <c r="U803" s="17">
        <v>3</v>
      </c>
      <c r="V803" s="17">
        <v>51</v>
      </c>
    </row>
    <row r="804" spans="1:22" x14ac:dyDescent="0.2">
      <c r="A804" t="s">
        <v>2517</v>
      </c>
      <c r="B804" t="s">
        <v>2418</v>
      </c>
      <c r="C804" t="s">
        <v>2419</v>
      </c>
      <c r="D804" t="s">
        <v>2513</v>
      </c>
      <c r="E804" s="10" t="s">
        <v>2518</v>
      </c>
      <c r="F804" s="10"/>
      <c r="G804" s="10"/>
      <c r="H804" s="10" t="s">
        <v>2518</v>
      </c>
      <c r="I804" s="14">
        <v>41069.630930378335</v>
      </c>
      <c r="J804" s="19">
        <v>0</v>
      </c>
      <c r="K804" s="19">
        <v>0.61245552100945699</v>
      </c>
      <c r="L804" s="19">
        <v>0.38754447899054301</v>
      </c>
      <c r="M804" s="20">
        <v>2</v>
      </c>
      <c r="N804" s="19">
        <v>0.16649571013072387</v>
      </c>
      <c r="O804" s="19">
        <v>0.32534504456301344</v>
      </c>
      <c r="P804" s="19">
        <v>0.12061476631571966</v>
      </c>
      <c r="Q804" s="19">
        <v>2.5039182500548086E-2</v>
      </c>
      <c r="R804" s="19">
        <v>0.31179139380422244</v>
      </c>
      <c r="S804" s="19">
        <v>5.0713902685772486E-2</v>
      </c>
      <c r="T804" s="20">
        <v>22</v>
      </c>
      <c r="U804" s="17">
        <v>3</v>
      </c>
      <c r="V804" s="17">
        <v>51</v>
      </c>
    </row>
    <row r="805" spans="1:22" x14ac:dyDescent="0.2">
      <c r="A805" t="s">
        <v>2519</v>
      </c>
      <c r="B805" t="s">
        <v>2418</v>
      </c>
      <c r="C805" t="s">
        <v>2419</v>
      </c>
      <c r="D805" t="s">
        <v>2513</v>
      </c>
      <c r="E805" s="10" t="s">
        <v>2520</v>
      </c>
      <c r="F805" s="10"/>
      <c r="G805" s="10"/>
      <c r="H805" s="10" t="s">
        <v>2520</v>
      </c>
      <c r="I805" s="14">
        <v>92391.081027453052</v>
      </c>
      <c r="J805" s="19">
        <v>0</v>
      </c>
      <c r="K805" s="19">
        <v>0.38962313134466742</v>
      </c>
      <c r="L805" s="19">
        <v>0.6103768686553328</v>
      </c>
      <c r="M805" s="20">
        <v>1</v>
      </c>
      <c r="N805" s="19">
        <v>0.29088759815818582</v>
      </c>
      <c r="O805" s="19">
        <v>0</v>
      </c>
      <c r="P805" s="19">
        <v>9.8735533186481567E-2</v>
      </c>
      <c r="Q805" s="19">
        <v>0.29918831265307205</v>
      </c>
      <c r="R805" s="19">
        <v>0.25861174208724325</v>
      </c>
      <c r="S805" s="19">
        <v>5.2576813915017472E-2</v>
      </c>
      <c r="T805" s="20">
        <v>13</v>
      </c>
      <c r="U805" s="17">
        <v>3</v>
      </c>
      <c r="V805" s="17">
        <v>51</v>
      </c>
    </row>
    <row r="806" spans="1:22" x14ac:dyDescent="0.2">
      <c r="A806" t="s">
        <v>2521</v>
      </c>
      <c r="B806" t="s">
        <v>2418</v>
      </c>
      <c r="C806" t="s">
        <v>2419</v>
      </c>
      <c r="D806" t="s">
        <v>2513</v>
      </c>
      <c r="E806" s="10" t="s">
        <v>2522</v>
      </c>
      <c r="F806" s="10"/>
      <c r="G806" s="10"/>
      <c r="H806" s="10" t="s">
        <v>2522</v>
      </c>
      <c r="I806" s="14">
        <v>594182.87272522785</v>
      </c>
      <c r="J806" s="19">
        <v>0.54850866481022631</v>
      </c>
      <c r="K806" s="19">
        <v>0.30828440001179647</v>
      </c>
      <c r="L806" s="19">
        <v>0.1432069351779772</v>
      </c>
      <c r="M806" s="20">
        <v>3</v>
      </c>
      <c r="N806" s="19">
        <v>0.11719326232039964</v>
      </c>
      <c r="O806" s="19">
        <v>3.2618239236838202E-2</v>
      </c>
      <c r="P806" s="19">
        <v>0.15847289845455864</v>
      </c>
      <c r="Q806" s="19">
        <v>6.8632022208535634E-2</v>
      </c>
      <c r="R806" s="19">
        <v>6.32493068683153E-2</v>
      </c>
      <c r="S806" s="19">
        <v>1.1325606101126259E-2</v>
      </c>
      <c r="T806" s="20">
        <v>30</v>
      </c>
      <c r="U806" s="17">
        <v>3</v>
      </c>
      <c r="V806" s="17">
        <v>51</v>
      </c>
    </row>
    <row r="807" spans="1:22" x14ac:dyDescent="0.2">
      <c r="A807" t="s">
        <v>2523</v>
      </c>
      <c r="B807" t="s">
        <v>2418</v>
      </c>
      <c r="C807" t="s">
        <v>2419</v>
      </c>
      <c r="D807" t="s">
        <v>2513</v>
      </c>
      <c r="E807" s="10" t="s">
        <v>2524</v>
      </c>
      <c r="F807" s="10"/>
      <c r="G807" s="10"/>
      <c r="H807" s="10" t="s">
        <v>2524</v>
      </c>
      <c r="I807" s="14">
        <v>96563.78820668628</v>
      </c>
      <c r="J807" s="19">
        <v>0</v>
      </c>
      <c r="K807" s="19">
        <v>0.42578860852910139</v>
      </c>
      <c r="L807" s="19">
        <v>0.5742113914708985</v>
      </c>
      <c r="M807" s="20">
        <v>1</v>
      </c>
      <c r="N807" s="19">
        <v>0.33351591447149259</v>
      </c>
      <c r="O807" s="19">
        <v>0</v>
      </c>
      <c r="P807" s="19">
        <v>9.2272694057608823E-2</v>
      </c>
      <c r="Q807" s="19">
        <v>0.24560980208869726</v>
      </c>
      <c r="R807" s="19">
        <v>0.26280111259467892</v>
      </c>
      <c r="S807" s="19">
        <v>6.5800476787522225E-2</v>
      </c>
      <c r="T807" s="20">
        <v>12</v>
      </c>
      <c r="U807" s="17">
        <v>3</v>
      </c>
      <c r="V807" s="17">
        <v>51</v>
      </c>
    </row>
    <row r="808" spans="1:22" x14ac:dyDescent="0.2">
      <c r="A808" t="s">
        <v>2525</v>
      </c>
      <c r="B808" t="s">
        <v>2418</v>
      </c>
      <c r="C808" t="s">
        <v>2419</v>
      </c>
      <c r="D808" t="s">
        <v>2513</v>
      </c>
      <c r="E808" s="10" t="s">
        <v>2526</v>
      </c>
      <c r="F808" s="10"/>
      <c r="G808" s="10"/>
      <c r="H808" s="10" t="s">
        <v>2526</v>
      </c>
      <c r="I808" s="14">
        <v>113707.69903282984</v>
      </c>
      <c r="J808" s="19">
        <v>0</v>
      </c>
      <c r="K808" s="19">
        <v>0.3505515258708779</v>
      </c>
      <c r="L808" s="19">
        <v>0.6494484741291221</v>
      </c>
      <c r="M808" s="20">
        <v>1</v>
      </c>
      <c r="N808" s="19">
        <v>0.26256490502624436</v>
      </c>
      <c r="O808" s="19">
        <v>0</v>
      </c>
      <c r="P808" s="19">
        <v>8.7986620844633559E-2</v>
      </c>
      <c r="Q808" s="19">
        <v>0.41358841876778951</v>
      </c>
      <c r="R808" s="19">
        <v>0.19748940072886459</v>
      </c>
      <c r="S808" s="19">
        <v>3.8370654632467992E-2</v>
      </c>
      <c r="T808" s="20">
        <v>13</v>
      </c>
      <c r="U808" s="17">
        <v>3</v>
      </c>
      <c r="V808" s="17">
        <v>51</v>
      </c>
    </row>
    <row r="809" spans="1:22" x14ac:dyDescent="0.2">
      <c r="A809" t="s">
        <v>2527</v>
      </c>
      <c r="B809" t="s">
        <v>2418</v>
      </c>
      <c r="C809" t="s">
        <v>2419</v>
      </c>
      <c r="D809" t="s">
        <v>2513</v>
      </c>
      <c r="E809" s="10" t="s">
        <v>2528</v>
      </c>
      <c r="F809" s="10"/>
      <c r="G809" s="10"/>
      <c r="H809" s="10" t="s">
        <v>2528</v>
      </c>
      <c r="I809" s="14">
        <v>108720.14656170213</v>
      </c>
      <c r="J809" s="19">
        <v>0</v>
      </c>
      <c r="K809" s="19">
        <v>0.55839919000821614</v>
      </c>
      <c r="L809" s="19">
        <v>0.44160080999178392</v>
      </c>
      <c r="M809" s="20">
        <v>2</v>
      </c>
      <c r="N809" s="19">
        <v>0.37474042489520759</v>
      </c>
      <c r="O809" s="19">
        <v>4.6457828408050184E-2</v>
      </c>
      <c r="P809" s="19">
        <v>0.13720093670495834</v>
      </c>
      <c r="Q809" s="19">
        <v>0.12476500793274165</v>
      </c>
      <c r="R809" s="19">
        <v>0.2600141194534672</v>
      </c>
      <c r="S809" s="19">
        <v>5.6821682605575061E-2</v>
      </c>
      <c r="T809" s="20">
        <v>23</v>
      </c>
      <c r="U809" s="17">
        <v>3</v>
      </c>
      <c r="V809" s="17">
        <v>51</v>
      </c>
    </row>
    <row r="810" spans="1:22" x14ac:dyDescent="0.2">
      <c r="A810" t="s">
        <v>2529</v>
      </c>
      <c r="B810" t="s">
        <v>2418</v>
      </c>
      <c r="C810" t="s">
        <v>2419</v>
      </c>
      <c r="D810" t="s">
        <v>2513</v>
      </c>
      <c r="E810" s="10" t="s">
        <v>2530</v>
      </c>
      <c r="F810" s="10"/>
      <c r="G810" s="10"/>
      <c r="H810" s="10" t="s">
        <v>2530</v>
      </c>
      <c r="I810" s="14">
        <v>94664.022000852507</v>
      </c>
      <c r="J810" s="19">
        <v>0</v>
      </c>
      <c r="K810" s="19">
        <v>0.59241496908430813</v>
      </c>
      <c r="L810" s="19">
        <v>0.40758503091569187</v>
      </c>
      <c r="M810" s="20">
        <v>2</v>
      </c>
      <c r="N810" s="19">
        <v>0.50606690707402624</v>
      </c>
      <c r="O810" s="19">
        <v>0</v>
      </c>
      <c r="P810" s="19">
        <v>8.6348062010281931E-2</v>
      </c>
      <c r="Q810" s="19">
        <v>0.11535405428981028</v>
      </c>
      <c r="R810" s="19">
        <v>0.2402405906363258</v>
      </c>
      <c r="S810" s="19">
        <v>5.1990385989555785E-2</v>
      </c>
      <c r="T810" s="20">
        <v>23</v>
      </c>
      <c r="U810" s="17">
        <v>3</v>
      </c>
      <c r="V810" s="17">
        <v>51</v>
      </c>
    </row>
    <row r="811" spans="1:22" x14ac:dyDescent="0.2">
      <c r="A811" t="s">
        <v>2531</v>
      </c>
      <c r="B811" t="s">
        <v>2418</v>
      </c>
      <c r="C811" t="s">
        <v>2419</v>
      </c>
      <c r="D811" t="s">
        <v>2513</v>
      </c>
      <c r="E811" s="10" t="s">
        <v>2532</v>
      </c>
      <c r="F811" s="10"/>
      <c r="G811" s="10"/>
      <c r="H811" s="10" t="s">
        <v>2532</v>
      </c>
      <c r="I811" s="14">
        <v>110985.83352800121</v>
      </c>
      <c r="J811" s="19">
        <v>0</v>
      </c>
      <c r="K811" s="19">
        <v>0.5151237619748843</v>
      </c>
      <c r="L811" s="19">
        <v>0.48487623802511565</v>
      </c>
      <c r="M811" s="20">
        <v>2</v>
      </c>
      <c r="N811" s="19">
        <v>0.32923749831163329</v>
      </c>
      <c r="O811" s="19">
        <v>6.6477929757302878E-2</v>
      </c>
      <c r="P811" s="19">
        <v>0.11940833390594821</v>
      </c>
      <c r="Q811" s="19">
        <v>0.15962614668779668</v>
      </c>
      <c r="R811" s="19">
        <v>0.25782691795403401</v>
      </c>
      <c r="S811" s="19">
        <v>6.7423173383285004E-2</v>
      </c>
      <c r="T811" s="20">
        <v>23</v>
      </c>
      <c r="U811" s="17">
        <v>3</v>
      </c>
      <c r="V811" s="17">
        <v>51</v>
      </c>
    </row>
    <row r="812" spans="1:22" x14ac:dyDescent="0.2">
      <c r="A812" t="s">
        <v>2533</v>
      </c>
      <c r="B812" t="s">
        <v>2418</v>
      </c>
      <c r="C812" t="s">
        <v>2419</v>
      </c>
      <c r="D812" t="s">
        <v>2513</v>
      </c>
      <c r="E812" s="10" t="s">
        <v>2534</v>
      </c>
      <c r="F812" s="10"/>
      <c r="G812" s="10"/>
      <c r="H812" s="10" t="s">
        <v>2534</v>
      </c>
      <c r="I812" s="14">
        <v>167727.20754115097</v>
      </c>
      <c r="J812" s="19">
        <v>0</v>
      </c>
      <c r="K812" s="19">
        <v>0.59388319894222419</v>
      </c>
      <c r="L812" s="19">
        <v>0.40611680105777587</v>
      </c>
      <c r="M812" s="20">
        <v>2</v>
      </c>
      <c r="N812" s="19">
        <v>0.45971076729422278</v>
      </c>
      <c r="O812" s="19">
        <v>0</v>
      </c>
      <c r="P812" s="19">
        <v>0.13417243164800138</v>
      </c>
      <c r="Q812" s="19">
        <v>0.15660070844910429</v>
      </c>
      <c r="R812" s="19">
        <v>0.21626950038574363</v>
      </c>
      <c r="S812" s="19">
        <v>3.3246592222927918E-2</v>
      </c>
      <c r="T812" s="20">
        <v>23</v>
      </c>
      <c r="U812" s="17">
        <v>3</v>
      </c>
      <c r="V812" s="17">
        <v>51</v>
      </c>
    </row>
    <row r="813" spans="1:22" x14ac:dyDescent="0.2">
      <c r="A813" t="s">
        <v>2535</v>
      </c>
      <c r="B813" t="s">
        <v>2418</v>
      </c>
      <c r="C813" t="s">
        <v>2419</v>
      </c>
      <c r="D813" t="s">
        <v>2536</v>
      </c>
      <c r="E813" s="10" t="s">
        <v>2537</v>
      </c>
      <c r="F813" s="10"/>
      <c r="G813" s="10"/>
      <c r="H813" s="10" t="s">
        <v>2537</v>
      </c>
      <c r="I813" s="14">
        <v>194946.44274188671</v>
      </c>
      <c r="J813" s="19">
        <v>0</v>
      </c>
      <c r="K813" s="19">
        <v>0.58711529301981524</v>
      </c>
      <c r="L813" s="19">
        <v>0.41288470698018481</v>
      </c>
      <c r="M813" s="20">
        <v>2</v>
      </c>
      <c r="N813" s="19">
        <v>0.32320381660802844</v>
      </c>
      <c r="O813" s="19">
        <v>0.11028402578571007</v>
      </c>
      <c r="P813" s="19">
        <v>0.15362745062607672</v>
      </c>
      <c r="Q813" s="19">
        <v>0.17406685429470156</v>
      </c>
      <c r="R813" s="19">
        <v>0.20143672846036603</v>
      </c>
      <c r="S813" s="19">
        <v>3.7381124225117177E-2</v>
      </c>
      <c r="T813" s="20">
        <v>23</v>
      </c>
      <c r="U813" s="17">
        <v>3</v>
      </c>
      <c r="V813" s="17">
        <v>51</v>
      </c>
    </row>
    <row r="814" spans="1:22" x14ac:dyDescent="0.2">
      <c r="A814" t="s">
        <v>2538</v>
      </c>
      <c r="B814" t="s">
        <v>2418</v>
      </c>
      <c r="C814" t="s">
        <v>2419</v>
      </c>
      <c r="D814" t="s">
        <v>2536</v>
      </c>
      <c r="E814" s="10" t="s">
        <v>2539</v>
      </c>
      <c r="F814" s="10"/>
      <c r="G814" s="10"/>
      <c r="H814" s="10" t="s">
        <v>2539</v>
      </c>
      <c r="I814" s="14">
        <v>211653.08537593065</v>
      </c>
      <c r="J814" s="19">
        <v>0.37100087599642845</v>
      </c>
      <c r="K814" s="19">
        <v>0.21338703902602316</v>
      </c>
      <c r="L814" s="19">
        <v>0.41561208497754842</v>
      </c>
      <c r="M814" s="20">
        <v>2</v>
      </c>
      <c r="N814" s="19">
        <v>0.10222958070379991</v>
      </c>
      <c r="O814" s="19">
        <v>0</v>
      </c>
      <c r="P814" s="19">
        <v>0.11115745832222321</v>
      </c>
      <c r="Q814" s="19">
        <v>0.11379804349862446</v>
      </c>
      <c r="R814" s="19">
        <v>0.26307428568900471</v>
      </c>
      <c r="S814" s="19">
        <v>3.8739755789919214E-2</v>
      </c>
      <c r="T814" s="20">
        <v>23</v>
      </c>
      <c r="U814" s="17">
        <v>3</v>
      </c>
      <c r="V814" s="17">
        <v>51</v>
      </c>
    </row>
    <row r="815" spans="1:22" x14ac:dyDescent="0.2">
      <c r="A815" t="s">
        <v>2540</v>
      </c>
      <c r="B815" t="s">
        <v>2418</v>
      </c>
      <c r="C815" t="s">
        <v>2419</v>
      </c>
      <c r="D815" t="s">
        <v>2536</v>
      </c>
      <c r="E815" s="10" t="s">
        <v>2541</v>
      </c>
      <c r="F815" s="10"/>
      <c r="G815" s="10"/>
      <c r="H815" s="10" t="s">
        <v>2541</v>
      </c>
      <c r="I815" s="14">
        <v>92240.105905703254</v>
      </c>
      <c r="J815" s="19">
        <v>0</v>
      </c>
      <c r="K815" s="19">
        <v>0.42094514416872719</v>
      </c>
      <c r="L815" s="19">
        <v>0.57905485583127292</v>
      </c>
      <c r="M815" s="20">
        <v>1</v>
      </c>
      <c r="N815" s="19">
        <v>0.25369388181403274</v>
      </c>
      <c r="O815" s="19">
        <v>6.6363961022673501E-2</v>
      </c>
      <c r="P815" s="19">
        <v>0.10088730133202096</v>
      </c>
      <c r="Q815" s="19">
        <v>0.19107384956299475</v>
      </c>
      <c r="R815" s="19">
        <v>0.3388813692631642</v>
      </c>
      <c r="S815" s="19">
        <v>4.9099637005113987E-2</v>
      </c>
      <c r="T815" s="20">
        <v>12</v>
      </c>
      <c r="U815" s="17">
        <v>3</v>
      </c>
      <c r="V815" s="17">
        <v>51</v>
      </c>
    </row>
    <row r="816" spans="1:22" x14ac:dyDescent="0.2">
      <c r="A816" t="s">
        <v>2542</v>
      </c>
      <c r="B816" t="s">
        <v>2418</v>
      </c>
      <c r="C816" t="s">
        <v>2419</v>
      </c>
      <c r="D816" t="s">
        <v>2536</v>
      </c>
      <c r="E816" s="10" t="s">
        <v>1566</v>
      </c>
      <c r="F816" s="10"/>
      <c r="G816" s="10"/>
      <c r="H816" s="10" t="s">
        <v>1566</v>
      </c>
      <c r="I816" s="14">
        <v>38664.365835564211</v>
      </c>
      <c r="J816" s="19">
        <v>0</v>
      </c>
      <c r="K816" s="19">
        <v>0.43834380062708966</v>
      </c>
      <c r="L816" s="19">
        <v>0.56165619937291034</v>
      </c>
      <c r="M816" s="20">
        <v>1</v>
      </c>
      <c r="N816" s="19">
        <v>0.17570602096665672</v>
      </c>
      <c r="O816" s="19">
        <v>0.18596167479713324</v>
      </c>
      <c r="P816" s="19">
        <v>7.6676104863299732E-2</v>
      </c>
      <c r="Q816" s="19">
        <v>0.22342866187628438</v>
      </c>
      <c r="R816" s="19">
        <v>0.29467942870465813</v>
      </c>
      <c r="S816" s="19">
        <v>4.3548108791967841E-2</v>
      </c>
      <c r="T816" s="20">
        <v>12</v>
      </c>
      <c r="U816" s="17">
        <v>3</v>
      </c>
      <c r="V816" s="17">
        <v>51</v>
      </c>
    </row>
    <row r="817" spans="1:22" x14ac:dyDescent="0.2">
      <c r="A817" t="s">
        <v>2543</v>
      </c>
      <c r="B817" t="s">
        <v>2418</v>
      </c>
      <c r="C817" t="s">
        <v>2419</v>
      </c>
      <c r="D817" t="s">
        <v>2536</v>
      </c>
      <c r="E817" s="10" t="s">
        <v>2544</v>
      </c>
      <c r="F817" s="10"/>
      <c r="G817" s="10"/>
      <c r="H817" s="10" t="s">
        <v>2544</v>
      </c>
      <c r="I817" s="14">
        <v>199428.97588294648</v>
      </c>
      <c r="J817" s="19">
        <v>0</v>
      </c>
      <c r="K817" s="19">
        <v>0.67537614410984592</v>
      </c>
      <c r="L817" s="19">
        <v>0.32462385589015419</v>
      </c>
      <c r="M817" s="20">
        <v>2</v>
      </c>
      <c r="N817" s="19">
        <v>0.40793486770206594</v>
      </c>
      <c r="O817" s="19">
        <v>7.8766309599939771E-2</v>
      </c>
      <c r="P817" s="19">
        <v>0.18867496680784024</v>
      </c>
      <c r="Q817" s="19">
        <v>5.5491792030838087E-2</v>
      </c>
      <c r="R817" s="19">
        <v>0.25745126326719997</v>
      </c>
      <c r="S817" s="19">
        <v>1.1680800592116108E-2</v>
      </c>
      <c r="T817" s="20">
        <v>23</v>
      </c>
      <c r="U817" s="17">
        <v>3</v>
      </c>
      <c r="V817" s="17">
        <v>51</v>
      </c>
    </row>
    <row r="818" spans="1:22" x14ac:dyDescent="0.2">
      <c r="A818" t="s">
        <v>2545</v>
      </c>
      <c r="B818" t="s">
        <v>2418</v>
      </c>
      <c r="C818" t="s">
        <v>2419</v>
      </c>
      <c r="D818" t="s">
        <v>2536</v>
      </c>
      <c r="E818" s="10" t="s">
        <v>2546</v>
      </c>
      <c r="F818" s="10"/>
      <c r="G818" s="10"/>
      <c r="H818" s="10" t="s">
        <v>2546</v>
      </c>
      <c r="I818" s="14">
        <v>1063520.9830231699</v>
      </c>
      <c r="J818" s="19">
        <v>0.74883665226371665</v>
      </c>
      <c r="K818" s="19">
        <v>0.19994680285807445</v>
      </c>
      <c r="L818" s="19">
        <v>5.1216544878208946E-2</v>
      </c>
      <c r="M818" s="20">
        <v>3</v>
      </c>
      <c r="N818" s="19">
        <v>0.10423752559308214</v>
      </c>
      <c r="O818" s="19">
        <v>5.4427512653681337E-3</v>
      </c>
      <c r="P818" s="19">
        <v>9.0266525999624189E-2</v>
      </c>
      <c r="Q818" s="19">
        <v>1.512725671591292E-2</v>
      </c>
      <c r="R818" s="19">
        <v>3.0189844463330333E-2</v>
      </c>
      <c r="S818" s="19">
        <v>5.8994436989656899E-3</v>
      </c>
      <c r="T818" s="20">
        <v>30</v>
      </c>
      <c r="U818" s="17">
        <v>3</v>
      </c>
      <c r="V818" s="17">
        <v>51</v>
      </c>
    </row>
    <row r="819" spans="1:22" x14ac:dyDescent="0.2">
      <c r="A819" t="s">
        <v>2547</v>
      </c>
      <c r="B819" t="s">
        <v>2418</v>
      </c>
      <c r="C819" t="s">
        <v>2419</v>
      </c>
      <c r="D819" t="s">
        <v>2536</v>
      </c>
      <c r="E819" s="10" t="s">
        <v>2548</v>
      </c>
      <c r="F819" s="10"/>
      <c r="G819" s="10"/>
      <c r="H819" s="10" t="s">
        <v>2548</v>
      </c>
      <c r="I819" s="14">
        <v>161524.06792437937</v>
      </c>
      <c r="J819" s="19">
        <v>0</v>
      </c>
      <c r="K819" s="19">
        <v>0.62631119990038808</v>
      </c>
      <c r="L819" s="19">
        <v>0.37368880009961186</v>
      </c>
      <c r="M819" s="20">
        <v>2</v>
      </c>
      <c r="N819" s="19">
        <v>0.41859596275430166</v>
      </c>
      <c r="O819" s="19">
        <v>4.4612217923379452E-2</v>
      </c>
      <c r="P819" s="19">
        <v>0.16310301922270695</v>
      </c>
      <c r="Q819" s="19">
        <v>0.13586559261648359</v>
      </c>
      <c r="R819" s="19">
        <v>0.20612660713088121</v>
      </c>
      <c r="S819" s="19">
        <v>3.1696600352247147E-2</v>
      </c>
      <c r="T819" s="20">
        <v>23</v>
      </c>
      <c r="U819" s="17">
        <v>3</v>
      </c>
      <c r="V819" s="17">
        <v>51</v>
      </c>
    </row>
    <row r="820" spans="1:22" x14ac:dyDescent="0.2">
      <c r="A820" t="s">
        <v>2549</v>
      </c>
      <c r="B820" t="s">
        <v>2418</v>
      </c>
      <c r="C820" t="s">
        <v>2419</v>
      </c>
      <c r="D820" t="s">
        <v>2536</v>
      </c>
      <c r="E820" s="10" t="s">
        <v>2550</v>
      </c>
      <c r="F820" s="10"/>
      <c r="G820" s="10"/>
      <c r="H820" s="10" t="s">
        <v>2550</v>
      </c>
      <c r="I820" s="14">
        <v>310596.49437900074</v>
      </c>
      <c r="J820" s="19">
        <v>0.67896208199864982</v>
      </c>
      <c r="K820" s="19">
        <v>0.17323402280905759</v>
      </c>
      <c r="L820" s="19">
        <v>0.14780389519229267</v>
      </c>
      <c r="M820" s="20">
        <v>3</v>
      </c>
      <c r="N820" s="19">
        <v>0</v>
      </c>
      <c r="O820" s="19">
        <v>6.918179259645385E-2</v>
      </c>
      <c r="P820" s="19">
        <v>0.10405223021260375</v>
      </c>
      <c r="Q820" s="19">
        <v>4.0470971256345391E-2</v>
      </c>
      <c r="R820" s="19">
        <v>9.8043641015898561E-2</v>
      </c>
      <c r="S820" s="19">
        <v>9.2892829200487293E-3</v>
      </c>
      <c r="T820" s="20">
        <v>30</v>
      </c>
      <c r="U820" s="17">
        <v>3</v>
      </c>
      <c r="V820" s="17">
        <v>51</v>
      </c>
    </row>
    <row r="821" spans="1:22" x14ac:dyDescent="0.2">
      <c r="A821" t="s">
        <v>2551</v>
      </c>
      <c r="B821" t="s">
        <v>2418</v>
      </c>
      <c r="C821" t="s">
        <v>2419</v>
      </c>
      <c r="D821" t="s">
        <v>2536</v>
      </c>
      <c r="E821" s="10" t="s">
        <v>2552</v>
      </c>
      <c r="F821" s="10"/>
      <c r="G821" s="10"/>
      <c r="H821" s="10" t="s">
        <v>2552</v>
      </c>
      <c r="I821" s="14">
        <v>241628.51852124053</v>
      </c>
      <c r="J821" s="19">
        <v>0.37349487504163653</v>
      </c>
      <c r="K821" s="19">
        <v>0.34157916424808832</v>
      </c>
      <c r="L821" s="19">
        <v>0.28492596071027526</v>
      </c>
      <c r="M821" s="20">
        <v>2</v>
      </c>
      <c r="N821" s="19">
        <v>0.13998340437156837</v>
      </c>
      <c r="O821" s="19">
        <v>2.1339216763198915E-2</v>
      </c>
      <c r="P821" s="19">
        <v>0.18025654311332101</v>
      </c>
      <c r="Q821" s="19">
        <v>0.11555715974123494</v>
      </c>
      <c r="R821" s="19">
        <v>0.14403568564664551</v>
      </c>
      <c r="S821" s="19">
        <v>2.5333115322394809E-2</v>
      </c>
      <c r="T821" s="20">
        <v>23</v>
      </c>
      <c r="U821" s="17">
        <v>3</v>
      </c>
      <c r="V821" s="17">
        <v>51</v>
      </c>
    </row>
    <row r="822" spans="1:22" x14ac:dyDescent="0.2">
      <c r="A822" t="s">
        <v>2553</v>
      </c>
      <c r="B822" t="s">
        <v>2418</v>
      </c>
      <c r="C822" t="s">
        <v>2419</v>
      </c>
      <c r="D822" t="s">
        <v>2536</v>
      </c>
      <c r="E822" s="10" t="s">
        <v>2554</v>
      </c>
      <c r="F822" s="10"/>
      <c r="G822" s="10"/>
      <c r="H822" s="10" t="s">
        <v>2554</v>
      </c>
      <c r="I822" s="14">
        <v>101261.30763615435</v>
      </c>
      <c r="J822" s="19">
        <v>0</v>
      </c>
      <c r="K822" s="19">
        <v>0.45696296266609182</v>
      </c>
      <c r="L822" s="19">
        <v>0.54303703733390807</v>
      </c>
      <c r="M822" s="20">
        <v>1</v>
      </c>
      <c r="N822" s="19">
        <v>9.5641276576273179E-2</v>
      </c>
      <c r="O822" s="19">
        <v>0.2111069983077502</v>
      </c>
      <c r="P822" s="19">
        <v>0.15021468778206853</v>
      </c>
      <c r="Q822" s="19">
        <v>0.15750325362228645</v>
      </c>
      <c r="R822" s="19">
        <v>0.34489748473978887</v>
      </c>
      <c r="S822" s="19">
        <v>4.063629897183281E-2</v>
      </c>
      <c r="T822" s="20">
        <v>12</v>
      </c>
      <c r="U822" s="17">
        <v>3</v>
      </c>
      <c r="V822" s="17">
        <v>51</v>
      </c>
    </row>
    <row r="823" spans="1:22" x14ac:dyDescent="0.2">
      <c r="A823" t="s">
        <v>2555</v>
      </c>
      <c r="B823" t="s">
        <v>2418</v>
      </c>
      <c r="C823" t="s">
        <v>2419</v>
      </c>
      <c r="D823" t="s">
        <v>2556</v>
      </c>
      <c r="E823" s="10" t="s">
        <v>2556</v>
      </c>
      <c r="F823" s="10"/>
      <c r="G823" s="10"/>
      <c r="H823" s="10" t="s">
        <v>2556</v>
      </c>
      <c r="I823" s="14">
        <v>234680.6863042214</v>
      </c>
      <c r="J823" s="19">
        <v>0</v>
      </c>
      <c r="K823" s="19">
        <v>0.75540195384545017</v>
      </c>
      <c r="L823" s="19">
        <v>0.2445980461545498</v>
      </c>
      <c r="M823" s="20">
        <v>2</v>
      </c>
      <c r="N823" s="19">
        <v>0.28467707934248837</v>
      </c>
      <c r="O823" s="19">
        <v>0</v>
      </c>
      <c r="P823" s="19">
        <v>0.47072487450296185</v>
      </c>
      <c r="Q823" s="19">
        <v>2.7156054786982037E-2</v>
      </c>
      <c r="R823" s="19">
        <v>0.20589939367518773</v>
      </c>
      <c r="S823" s="19">
        <v>1.1542597692380051E-2</v>
      </c>
      <c r="T823" s="20">
        <v>23</v>
      </c>
      <c r="U823" s="17">
        <v>3</v>
      </c>
      <c r="V823" s="17">
        <v>51</v>
      </c>
    </row>
    <row r="824" spans="1:22" x14ac:dyDescent="0.2">
      <c r="A824" t="s">
        <v>2557</v>
      </c>
      <c r="B824" t="s">
        <v>2418</v>
      </c>
      <c r="C824" t="s">
        <v>2419</v>
      </c>
      <c r="D824" t="s">
        <v>2558</v>
      </c>
      <c r="E824" s="10" t="s">
        <v>2559</v>
      </c>
      <c r="F824" s="10"/>
      <c r="G824" s="10"/>
      <c r="H824" s="10" t="s">
        <v>2559</v>
      </c>
      <c r="I824" s="14">
        <v>201352.68413311618</v>
      </c>
      <c r="J824" s="19">
        <v>0.76070941235322076</v>
      </c>
      <c r="K824" s="19">
        <v>0.21399471288864852</v>
      </c>
      <c r="L824" s="19">
        <v>2.5295874758130575E-2</v>
      </c>
      <c r="M824" s="20">
        <v>3</v>
      </c>
      <c r="N824" s="19">
        <v>0.11066471696266718</v>
      </c>
      <c r="O824" s="19">
        <v>0</v>
      </c>
      <c r="P824" s="19">
        <v>0.10332999592598134</v>
      </c>
      <c r="Q824" s="19">
        <v>7.6559846642187982E-3</v>
      </c>
      <c r="R824" s="19">
        <v>1.3386974191126149E-2</v>
      </c>
      <c r="S824" s="19">
        <v>4.2529159027856287E-3</v>
      </c>
      <c r="T824" s="20">
        <v>30</v>
      </c>
      <c r="U824" s="17">
        <v>3</v>
      </c>
      <c r="V824" s="17">
        <v>51</v>
      </c>
    </row>
    <row r="825" spans="1:22" x14ac:dyDescent="0.2">
      <c r="A825" t="s">
        <v>2560</v>
      </c>
      <c r="B825" t="s">
        <v>2418</v>
      </c>
      <c r="C825" t="s">
        <v>2419</v>
      </c>
      <c r="D825" t="s">
        <v>2558</v>
      </c>
      <c r="E825" s="10" t="s">
        <v>2561</v>
      </c>
      <c r="F825" s="10"/>
      <c r="G825" s="10"/>
      <c r="H825" s="10" t="s">
        <v>2561</v>
      </c>
      <c r="I825" s="14">
        <v>185787.9101367034</v>
      </c>
      <c r="J825" s="19">
        <v>0</v>
      </c>
      <c r="K825" s="19">
        <v>0.92338528763229977</v>
      </c>
      <c r="L825" s="19">
        <v>7.6614712367700177E-2</v>
      </c>
      <c r="M825" s="20">
        <v>2</v>
      </c>
      <c r="N825" s="19">
        <v>0.63445028429954953</v>
      </c>
      <c r="O825" s="19">
        <v>0</v>
      </c>
      <c r="P825" s="19">
        <v>0.28893500333275035</v>
      </c>
      <c r="Q825" s="19">
        <v>7.8544828403522629E-3</v>
      </c>
      <c r="R825" s="19">
        <v>6.5249759677007135E-2</v>
      </c>
      <c r="S825" s="19">
        <v>3.5104698503407908E-3</v>
      </c>
      <c r="T825" s="20">
        <v>23</v>
      </c>
      <c r="U825" s="17">
        <v>3</v>
      </c>
      <c r="V825" s="17">
        <v>51</v>
      </c>
    </row>
    <row r="826" spans="1:22" x14ac:dyDescent="0.2">
      <c r="A826" t="s">
        <v>2562</v>
      </c>
      <c r="B826" t="s">
        <v>2418</v>
      </c>
      <c r="C826" t="s">
        <v>2419</v>
      </c>
      <c r="D826" t="s">
        <v>2558</v>
      </c>
      <c r="E826" s="10" t="s">
        <v>2563</v>
      </c>
      <c r="F826" s="10"/>
      <c r="G826" s="10"/>
      <c r="H826" s="10" t="s">
        <v>2563</v>
      </c>
      <c r="I826" s="14">
        <v>411200.45748233353</v>
      </c>
      <c r="J826" s="19">
        <v>0.88434025197900656</v>
      </c>
      <c r="K826" s="19">
        <v>9.8976138125081534E-2</v>
      </c>
      <c r="L826" s="19">
        <v>1.6683609895911927E-2</v>
      </c>
      <c r="M826" s="20">
        <v>3</v>
      </c>
      <c r="N826" s="19">
        <v>2.8339430036749515E-2</v>
      </c>
      <c r="O826" s="19">
        <v>0</v>
      </c>
      <c r="P826" s="19">
        <v>7.0636708088332043E-2</v>
      </c>
      <c r="Q826" s="19">
        <v>0</v>
      </c>
      <c r="R826" s="19">
        <v>1.5695772362188332E-2</v>
      </c>
      <c r="S826" s="19">
        <v>9.8783753372359666E-4</v>
      </c>
      <c r="T826" s="20">
        <v>30</v>
      </c>
      <c r="U826" s="17">
        <v>3</v>
      </c>
      <c r="V826" s="17">
        <v>51</v>
      </c>
    </row>
    <row r="827" spans="1:22" x14ac:dyDescent="0.2">
      <c r="A827" t="s">
        <v>2564</v>
      </c>
      <c r="B827" t="s">
        <v>2418</v>
      </c>
      <c r="C827" t="s">
        <v>2419</v>
      </c>
      <c r="D827" t="s">
        <v>2558</v>
      </c>
      <c r="E827" s="10" t="s">
        <v>2565</v>
      </c>
      <c r="F827" s="10"/>
      <c r="G827" s="10"/>
      <c r="H827" s="10" t="s">
        <v>2565</v>
      </c>
      <c r="I827" s="14">
        <v>322776.58226673177</v>
      </c>
      <c r="J827" s="19">
        <v>0.36849257495658894</v>
      </c>
      <c r="K827" s="19">
        <v>0.58971432752115871</v>
      </c>
      <c r="L827" s="19">
        <v>4.1793097522252382E-2</v>
      </c>
      <c r="M827" s="20">
        <v>2</v>
      </c>
      <c r="N827" s="19">
        <v>0.31184246445980762</v>
      </c>
      <c r="O827" s="19">
        <v>0</v>
      </c>
      <c r="P827" s="19">
        <v>0.27787186306135109</v>
      </c>
      <c r="Q827" s="19">
        <v>0</v>
      </c>
      <c r="R827" s="19">
        <v>4.0456678734662049E-2</v>
      </c>
      <c r="S827" s="19">
        <v>1.3364187875903274E-3</v>
      </c>
      <c r="T827" s="20">
        <v>23</v>
      </c>
      <c r="U827" s="17">
        <v>3</v>
      </c>
      <c r="V827" s="17">
        <v>51</v>
      </c>
    </row>
    <row r="828" spans="1:22" x14ac:dyDescent="0.2">
      <c r="A828" t="s">
        <v>2566</v>
      </c>
      <c r="B828" t="s">
        <v>2418</v>
      </c>
      <c r="C828" t="s">
        <v>2419</v>
      </c>
      <c r="D828" t="s">
        <v>2558</v>
      </c>
      <c r="E828" s="10" t="s">
        <v>2567</v>
      </c>
      <c r="F828" s="10"/>
      <c r="G828" s="10"/>
      <c r="H828" s="10" t="s">
        <v>2567</v>
      </c>
      <c r="I828" s="14">
        <v>594040.9931315037</v>
      </c>
      <c r="J828" s="19">
        <v>0.9673201275156188</v>
      </c>
      <c r="K828" s="19">
        <v>2.9852479588271814E-2</v>
      </c>
      <c r="L828" s="19">
        <v>2.8273928961093774E-3</v>
      </c>
      <c r="M828" s="20">
        <v>3</v>
      </c>
      <c r="N828" s="19">
        <v>2.5440986403305055E-2</v>
      </c>
      <c r="O828" s="19">
        <v>0</v>
      </c>
      <c r="P828" s="19">
        <v>4.4114931849667588E-3</v>
      </c>
      <c r="Q828" s="19">
        <v>0</v>
      </c>
      <c r="R828" s="19">
        <v>2.3926585166776557E-3</v>
      </c>
      <c r="S828" s="19">
        <v>4.3473437943172182E-4</v>
      </c>
      <c r="T828" s="20">
        <v>30</v>
      </c>
      <c r="U828" s="17">
        <v>3</v>
      </c>
      <c r="V828" s="17">
        <v>51</v>
      </c>
    </row>
    <row r="829" spans="1:22" x14ac:dyDescent="0.2">
      <c r="A829" t="s">
        <v>2568</v>
      </c>
      <c r="B829" t="s">
        <v>2418</v>
      </c>
      <c r="C829" t="s">
        <v>2419</v>
      </c>
      <c r="D829" t="s">
        <v>2569</v>
      </c>
      <c r="E829" s="10" t="s">
        <v>2569</v>
      </c>
      <c r="F829" s="10"/>
      <c r="G829" s="10"/>
      <c r="H829" s="10" t="s">
        <v>2569</v>
      </c>
      <c r="I829" s="14">
        <v>72020.267353353905</v>
      </c>
      <c r="J829" s="19">
        <v>0.57190763497445085</v>
      </c>
      <c r="K829" s="19">
        <v>0.37815549464157167</v>
      </c>
      <c r="L829" s="19">
        <v>4.9936870383977455E-2</v>
      </c>
      <c r="M829" s="20">
        <v>3</v>
      </c>
      <c r="N829" s="19">
        <v>0.12653185851317564</v>
      </c>
      <c r="O829" s="19">
        <v>0</v>
      </c>
      <c r="P829" s="19">
        <v>0.251623636128396</v>
      </c>
      <c r="Q829" s="19">
        <v>0</v>
      </c>
      <c r="R829" s="19">
        <v>4.9275927974504016E-2</v>
      </c>
      <c r="S829" s="19">
        <v>6.6094240947345078E-4</v>
      </c>
      <c r="T829" s="20">
        <v>30</v>
      </c>
      <c r="U829" s="17">
        <v>3</v>
      </c>
      <c r="V829" s="17">
        <v>51</v>
      </c>
    </row>
    <row r="830" spans="1:22" x14ac:dyDescent="0.2">
      <c r="A830" t="s">
        <v>2570</v>
      </c>
      <c r="B830" t="s">
        <v>2418</v>
      </c>
      <c r="C830" t="s">
        <v>2419</v>
      </c>
      <c r="D830" t="s">
        <v>2571</v>
      </c>
      <c r="E830" s="10" t="s">
        <v>2572</v>
      </c>
      <c r="F830" s="10"/>
      <c r="G830" s="10"/>
      <c r="H830" s="10" t="s">
        <v>2572</v>
      </c>
      <c r="I830" s="14">
        <v>79112.655356709845</v>
      </c>
      <c r="J830" s="19">
        <v>0</v>
      </c>
      <c r="K830" s="19">
        <v>0.35991133615305537</v>
      </c>
      <c r="L830" s="19">
        <v>0.64008866384694452</v>
      </c>
      <c r="M830" s="20">
        <v>1</v>
      </c>
      <c r="N830" s="19">
        <v>0.21707276088014402</v>
      </c>
      <c r="O830" s="19">
        <v>0</v>
      </c>
      <c r="P830" s="19">
        <v>0.14283857527291136</v>
      </c>
      <c r="Q830" s="19">
        <v>0.19748838890876563</v>
      </c>
      <c r="R830" s="19">
        <v>0.37207540781856385</v>
      </c>
      <c r="S830" s="19">
        <v>7.0524867119615198E-2</v>
      </c>
      <c r="T830" s="20">
        <v>12</v>
      </c>
      <c r="U830" s="17">
        <v>3</v>
      </c>
      <c r="V830" s="17">
        <v>51</v>
      </c>
    </row>
    <row r="831" spans="1:22" x14ac:dyDescent="0.2">
      <c r="A831" t="s">
        <v>2573</v>
      </c>
      <c r="B831" t="s">
        <v>2418</v>
      </c>
      <c r="C831" t="s">
        <v>2419</v>
      </c>
      <c r="D831" t="s">
        <v>2571</v>
      </c>
      <c r="E831" s="10" t="s">
        <v>2574</v>
      </c>
      <c r="F831" s="10"/>
      <c r="G831" s="10"/>
      <c r="H831" s="10" t="s">
        <v>2574</v>
      </c>
      <c r="I831" s="14">
        <v>132436.63830746384</v>
      </c>
      <c r="J831" s="19">
        <v>0</v>
      </c>
      <c r="K831" s="19">
        <v>9.0283400801039526E-2</v>
      </c>
      <c r="L831" s="19">
        <v>0.90971659919896053</v>
      </c>
      <c r="M831" s="20">
        <v>1</v>
      </c>
      <c r="N831" s="19">
        <v>0</v>
      </c>
      <c r="O831" s="19">
        <v>9.0283400801039526E-2</v>
      </c>
      <c r="P831" s="19">
        <v>0</v>
      </c>
      <c r="Q831" s="19">
        <v>0.17169293500681265</v>
      </c>
      <c r="R831" s="19">
        <v>0.60572217331916089</v>
      </c>
      <c r="S831" s="19">
        <v>0.1323014908729869</v>
      </c>
      <c r="T831" s="20">
        <v>12</v>
      </c>
      <c r="U831" s="17">
        <v>3</v>
      </c>
      <c r="V831" s="17">
        <v>51</v>
      </c>
    </row>
    <row r="832" spans="1:22" x14ac:dyDescent="0.2">
      <c r="A832" t="s">
        <v>2575</v>
      </c>
      <c r="B832" t="s">
        <v>2418</v>
      </c>
      <c r="C832" t="s">
        <v>2419</v>
      </c>
      <c r="D832" t="s">
        <v>2571</v>
      </c>
      <c r="E832" s="10" t="s">
        <v>2576</v>
      </c>
      <c r="F832" s="10"/>
      <c r="G832" s="10"/>
      <c r="H832" s="10" t="s">
        <v>2576</v>
      </c>
      <c r="I832" s="14">
        <v>206785.17296663582</v>
      </c>
      <c r="J832" s="19">
        <v>0.38446444683385844</v>
      </c>
      <c r="K832" s="19">
        <v>0.26155450541573744</v>
      </c>
      <c r="L832" s="19">
        <v>0.35398104775040395</v>
      </c>
      <c r="M832" s="20">
        <v>2</v>
      </c>
      <c r="N832" s="19">
        <v>5.6638715285601195E-2</v>
      </c>
      <c r="O832" s="19">
        <v>0</v>
      </c>
      <c r="P832" s="19">
        <v>0.20491579013013628</v>
      </c>
      <c r="Q832" s="19">
        <v>7.7207263308868013E-2</v>
      </c>
      <c r="R832" s="19">
        <v>0.21986498446105862</v>
      </c>
      <c r="S832" s="19">
        <v>5.6908799980477348E-2</v>
      </c>
      <c r="T832" s="20">
        <v>23</v>
      </c>
      <c r="U832" s="17">
        <v>3</v>
      </c>
      <c r="V832" s="17">
        <v>51</v>
      </c>
    </row>
    <row r="833" spans="1:22" x14ac:dyDescent="0.2">
      <c r="A833" t="s">
        <v>2577</v>
      </c>
      <c r="B833" t="s">
        <v>2418</v>
      </c>
      <c r="C833" t="s">
        <v>2419</v>
      </c>
      <c r="D833" t="s">
        <v>2571</v>
      </c>
      <c r="E833" s="10" t="s">
        <v>2578</v>
      </c>
      <c r="F833" s="10"/>
      <c r="G833" s="10"/>
      <c r="H833" s="10" t="s">
        <v>2578</v>
      </c>
      <c r="I833" s="14">
        <v>179157.49504152127</v>
      </c>
      <c r="J833" s="19">
        <v>0</v>
      </c>
      <c r="K833" s="19">
        <v>0.10393454918246169</v>
      </c>
      <c r="L833" s="19">
        <v>0.89606545081753841</v>
      </c>
      <c r="M833" s="20">
        <v>1</v>
      </c>
      <c r="N833" s="19">
        <v>0</v>
      </c>
      <c r="O833" s="19">
        <v>0.10393454918246169</v>
      </c>
      <c r="P833" s="19">
        <v>0</v>
      </c>
      <c r="Q833" s="19">
        <v>0.35409056780620574</v>
      </c>
      <c r="R833" s="19">
        <v>0.46772143201210759</v>
      </c>
      <c r="S833" s="19">
        <v>7.4253450999224993E-2</v>
      </c>
      <c r="T833" s="20">
        <v>12</v>
      </c>
      <c r="U833" s="17">
        <v>3</v>
      </c>
      <c r="V833" s="17">
        <v>51</v>
      </c>
    </row>
    <row r="834" spans="1:22" x14ac:dyDescent="0.2">
      <c r="A834" t="s">
        <v>2579</v>
      </c>
      <c r="B834" t="s">
        <v>2418</v>
      </c>
      <c r="C834" t="s">
        <v>2419</v>
      </c>
      <c r="D834" t="s">
        <v>2571</v>
      </c>
      <c r="E834" s="10" t="s">
        <v>2580</v>
      </c>
      <c r="F834" s="10"/>
      <c r="G834" s="10"/>
      <c r="H834" s="10" t="s">
        <v>2580</v>
      </c>
      <c r="I834" s="14">
        <v>108066.78555519274</v>
      </c>
      <c r="J834" s="19">
        <v>0</v>
      </c>
      <c r="K834" s="19">
        <v>0.50216503924512568</v>
      </c>
      <c r="L834" s="19">
        <v>0.49783496075487427</v>
      </c>
      <c r="M834" s="20">
        <v>2</v>
      </c>
      <c r="N834" s="19">
        <v>0.17655468015664447</v>
      </c>
      <c r="O834" s="19">
        <v>0</v>
      </c>
      <c r="P834" s="19">
        <v>0.32561035908848124</v>
      </c>
      <c r="Q834" s="19">
        <v>0.13453192352767759</v>
      </c>
      <c r="R834" s="19">
        <v>0.3303605174407947</v>
      </c>
      <c r="S834" s="19">
        <v>3.2942519786401996E-2</v>
      </c>
      <c r="T834" s="20">
        <v>23</v>
      </c>
      <c r="U834" s="17">
        <v>3</v>
      </c>
      <c r="V834" s="17">
        <v>51</v>
      </c>
    </row>
    <row r="835" spans="1:22" x14ac:dyDescent="0.2">
      <c r="A835" t="s">
        <v>2581</v>
      </c>
      <c r="B835" t="s">
        <v>2418</v>
      </c>
      <c r="C835" t="s">
        <v>2419</v>
      </c>
      <c r="D835" t="s">
        <v>2571</v>
      </c>
      <c r="E835" s="10" t="s">
        <v>2582</v>
      </c>
      <c r="F835" s="10"/>
      <c r="G835" s="10"/>
      <c r="H835" s="10" t="s">
        <v>2582</v>
      </c>
      <c r="I835" s="14">
        <v>601137.83780863648</v>
      </c>
      <c r="J835" s="19">
        <v>0.85446203994411729</v>
      </c>
      <c r="K835" s="19">
        <v>0.13189886274232115</v>
      </c>
      <c r="L835" s="19">
        <v>1.3639097313561603E-2</v>
      </c>
      <c r="M835" s="20">
        <v>3</v>
      </c>
      <c r="N835" s="19">
        <v>8.2572090374599796E-2</v>
      </c>
      <c r="O835" s="19">
        <v>0</v>
      </c>
      <c r="P835" s="19">
        <v>4.9326772367721358E-2</v>
      </c>
      <c r="Q835" s="19">
        <v>3.3781687103495866E-5</v>
      </c>
      <c r="R835" s="19">
        <v>1.0850030452130554E-2</v>
      </c>
      <c r="S835" s="19">
        <v>2.7552851743275521E-3</v>
      </c>
      <c r="T835" s="20">
        <v>30</v>
      </c>
      <c r="U835" s="17">
        <v>3</v>
      </c>
      <c r="V835" s="17">
        <v>51</v>
      </c>
    </row>
    <row r="836" spans="1:22" x14ac:dyDescent="0.2">
      <c r="A836" t="s">
        <v>2583</v>
      </c>
      <c r="B836" t="s">
        <v>2418</v>
      </c>
      <c r="C836" t="s">
        <v>2419</v>
      </c>
      <c r="D836" t="s">
        <v>2571</v>
      </c>
      <c r="E836" s="10" t="s">
        <v>2584</v>
      </c>
      <c r="F836" s="10"/>
      <c r="G836" s="10"/>
      <c r="H836" s="10" t="s">
        <v>2584</v>
      </c>
      <c r="I836" s="14">
        <v>80848.735805072822</v>
      </c>
      <c r="J836" s="19">
        <v>0</v>
      </c>
      <c r="K836" s="19">
        <v>0.35318687702667678</v>
      </c>
      <c r="L836" s="19">
        <v>0.64681312297332316</v>
      </c>
      <c r="M836" s="20">
        <v>1</v>
      </c>
      <c r="N836" s="19">
        <v>9.4714616088772949E-2</v>
      </c>
      <c r="O836" s="19">
        <v>0</v>
      </c>
      <c r="P836" s="19">
        <v>0.25847226093790382</v>
      </c>
      <c r="Q836" s="19">
        <v>0.22579674464620927</v>
      </c>
      <c r="R836" s="19">
        <v>0.37377019805323553</v>
      </c>
      <c r="S836" s="19">
        <v>4.7246180273878398E-2</v>
      </c>
      <c r="T836" s="20">
        <v>12</v>
      </c>
      <c r="U836" s="17">
        <v>3</v>
      </c>
      <c r="V836" s="17">
        <v>51</v>
      </c>
    </row>
    <row r="837" spans="1:22" x14ac:dyDescent="0.2">
      <c r="A837" t="s">
        <v>2585</v>
      </c>
      <c r="B837" t="s">
        <v>2418</v>
      </c>
      <c r="C837" t="s">
        <v>2419</v>
      </c>
      <c r="D837" t="s">
        <v>2571</v>
      </c>
      <c r="E837" s="10" t="s">
        <v>2586</v>
      </c>
      <c r="F837" s="10"/>
      <c r="G837" s="10"/>
      <c r="H837" s="10" t="s">
        <v>2586</v>
      </c>
      <c r="I837" s="14">
        <v>23113.759759296197</v>
      </c>
      <c r="J837" s="19">
        <v>0</v>
      </c>
      <c r="K837" s="19">
        <v>0</v>
      </c>
      <c r="L837" s="19">
        <v>1</v>
      </c>
      <c r="M837" s="20">
        <v>1</v>
      </c>
      <c r="N837" s="19">
        <v>0</v>
      </c>
      <c r="O837" s="19">
        <v>0</v>
      </c>
      <c r="P837" s="19">
        <v>0</v>
      </c>
      <c r="Q837" s="19">
        <v>0.28197376884339886</v>
      </c>
      <c r="R837" s="19">
        <v>0.62208037082739798</v>
      </c>
      <c r="S837" s="19">
        <v>9.5945860329203145E-2</v>
      </c>
      <c r="T837" s="20">
        <v>12</v>
      </c>
      <c r="U837" s="17">
        <v>3</v>
      </c>
      <c r="V837" s="17">
        <v>51</v>
      </c>
    </row>
    <row r="838" spans="1:22" x14ac:dyDescent="0.2">
      <c r="A838" t="s">
        <v>2587</v>
      </c>
      <c r="B838" t="s">
        <v>2418</v>
      </c>
      <c r="C838" t="s">
        <v>2419</v>
      </c>
      <c r="D838" t="s">
        <v>2571</v>
      </c>
      <c r="E838" s="10" t="s">
        <v>2588</v>
      </c>
      <c r="F838" s="10"/>
      <c r="G838" s="10"/>
      <c r="H838" s="10" t="s">
        <v>2588</v>
      </c>
      <c r="I838" s="14">
        <v>100261.01674734661</v>
      </c>
      <c r="J838" s="19">
        <v>0</v>
      </c>
      <c r="K838" s="19">
        <v>0.44702473771727691</v>
      </c>
      <c r="L838" s="19">
        <v>0.55297526228272309</v>
      </c>
      <c r="M838" s="20">
        <v>1</v>
      </c>
      <c r="N838" s="19">
        <v>0.41179057151170706</v>
      </c>
      <c r="O838" s="19">
        <v>0</v>
      </c>
      <c r="P838" s="19">
        <v>3.5234166205569836E-2</v>
      </c>
      <c r="Q838" s="19">
        <v>0.11916236756010452</v>
      </c>
      <c r="R838" s="19">
        <v>0.37293380799290843</v>
      </c>
      <c r="S838" s="19">
        <v>6.0879086729710152E-2</v>
      </c>
      <c r="T838" s="20">
        <v>12</v>
      </c>
      <c r="U838" s="17">
        <v>3</v>
      </c>
      <c r="V838" s="17">
        <v>51</v>
      </c>
    </row>
    <row r="839" spans="1:22" x14ac:dyDescent="0.2">
      <c r="A839" t="s">
        <v>2589</v>
      </c>
      <c r="B839" t="s">
        <v>2418</v>
      </c>
      <c r="C839" t="s">
        <v>2419</v>
      </c>
      <c r="D839" t="s">
        <v>2571</v>
      </c>
      <c r="E839" s="10" t="s">
        <v>2590</v>
      </c>
      <c r="F839" s="10"/>
      <c r="G839" s="10"/>
      <c r="H839" s="10" t="s">
        <v>2590</v>
      </c>
      <c r="I839" s="14">
        <v>72430.768003975041</v>
      </c>
      <c r="J839" s="19">
        <v>0</v>
      </c>
      <c r="K839" s="19">
        <v>0.50441670180138831</v>
      </c>
      <c r="L839" s="19">
        <v>0.49558329819861169</v>
      </c>
      <c r="M839" s="20">
        <v>2</v>
      </c>
      <c r="N839" s="19">
        <v>0.4485508039544201</v>
      </c>
      <c r="O839" s="19">
        <v>0</v>
      </c>
      <c r="P839" s="19">
        <v>5.5865897846968236E-2</v>
      </c>
      <c r="Q839" s="19">
        <v>0.25037869754353664</v>
      </c>
      <c r="R839" s="19">
        <v>0.18338359094914641</v>
      </c>
      <c r="S839" s="19">
        <v>6.1821009705928631E-2</v>
      </c>
      <c r="T839" s="20">
        <v>23</v>
      </c>
      <c r="U839" s="17">
        <v>3</v>
      </c>
      <c r="V839" s="17">
        <v>51</v>
      </c>
    </row>
    <row r="840" spans="1:22" x14ac:dyDescent="0.2">
      <c r="A840" t="s">
        <v>2591</v>
      </c>
      <c r="B840" t="s">
        <v>2418</v>
      </c>
      <c r="C840" t="s">
        <v>2419</v>
      </c>
      <c r="D840" t="s">
        <v>2571</v>
      </c>
      <c r="E840" s="10" t="s">
        <v>2592</v>
      </c>
      <c r="F840" s="10"/>
      <c r="G840" s="10"/>
      <c r="H840" s="10" t="s">
        <v>2592</v>
      </c>
      <c r="I840" s="14">
        <v>232224.48736007372</v>
      </c>
      <c r="J840" s="19">
        <v>0.48272008351085066</v>
      </c>
      <c r="K840" s="19">
        <v>0.14241914852978535</v>
      </c>
      <c r="L840" s="19">
        <v>0.37486076795936396</v>
      </c>
      <c r="M840" s="20">
        <v>2</v>
      </c>
      <c r="N840" s="19">
        <v>5.3581526400004485E-2</v>
      </c>
      <c r="O840" s="19">
        <v>0</v>
      </c>
      <c r="P840" s="19">
        <v>8.8837622129780844E-2</v>
      </c>
      <c r="Q840" s="19">
        <v>0.11610759316404171</v>
      </c>
      <c r="R840" s="19">
        <v>0.20132403898055495</v>
      </c>
      <c r="S840" s="19">
        <v>5.7429135814767336E-2</v>
      </c>
      <c r="T840" s="20">
        <v>23</v>
      </c>
      <c r="U840" s="17">
        <v>3</v>
      </c>
      <c r="V840" s="17">
        <v>51</v>
      </c>
    </row>
    <row r="841" spans="1:22" x14ac:dyDescent="0.2">
      <c r="A841" t="s">
        <v>2593</v>
      </c>
      <c r="B841" t="s">
        <v>2418</v>
      </c>
      <c r="C841" t="s">
        <v>2419</v>
      </c>
      <c r="D841" t="s">
        <v>2571</v>
      </c>
      <c r="E841" s="10" t="s">
        <v>2594</v>
      </c>
      <c r="F841" s="10"/>
      <c r="G841" s="10"/>
      <c r="H841" s="10" t="s">
        <v>2594</v>
      </c>
      <c r="I841" s="14">
        <v>39334.987698030651</v>
      </c>
      <c r="J841" s="19">
        <v>0</v>
      </c>
      <c r="K841" s="19">
        <v>0.32849277046540148</v>
      </c>
      <c r="L841" s="19">
        <v>0.67150722953459874</v>
      </c>
      <c r="M841" s="20">
        <v>1</v>
      </c>
      <c r="N841" s="19">
        <v>0.21399771892361158</v>
      </c>
      <c r="O841" s="19">
        <v>0</v>
      </c>
      <c r="P841" s="19">
        <v>0.11449505154178989</v>
      </c>
      <c r="Q841" s="19">
        <v>0.12080754081324524</v>
      </c>
      <c r="R841" s="19">
        <v>0.45407429222684842</v>
      </c>
      <c r="S841" s="19">
        <v>9.6625396494505023E-2</v>
      </c>
      <c r="T841" s="20">
        <v>12</v>
      </c>
      <c r="U841" s="17">
        <v>3</v>
      </c>
      <c r="V841" s="17">
        <v>51</v>
      </c>
    </row>
    <row r="842" spans="1:22" x14ac:dyDescent="0.2">
      <c r="A842" t="s">
        <v>2595</v>
      </c>
      <c r="B842" t="s">
        <v>2418</v>
      </c>
      <c r="C842" t="s">
        <v>2419</v>
      </c>
      <c r="D842" t="s">
        <v>2571</v>
      </c>
      <c r="E842" s="10" t="s">
        <v>2596</v>
      </c>
      <c r="F842" s="10"/>
      <c r="G842" s="10"/>
      <c r="H842" s="10" t="s">
        <v>2596</v>
      </c>
      <c r="I842" s="14">
        <v>154440.79455462983</v>
      </c>
      <c r="J842" s="19">
        <v>0</v>
      </c>
      <c r="K842" s="19">
        <v>0.80163649781736024</v>
      </c>
      <c r="L842" s="19">
        <v>0.19836350218263982</v>
      </c>
      <c r="M842" s="20">
        <v>2</v>
      </c>
      <c r="N842" s="19">
        <v>0.39984334656932641</v>
      </c>
      <c r="O842" s="19">
        <v>0.11437406856784013</v>
      </c>
      <c r="P842" s="19">
        <v>0.28741908268019367</v>
      </c>
      <c r="Q842" s="19">
        <v>2.0859557983375354E-2</v>
      </c>
      <c r="R842" s="19">
        <v>0.1556351345985956</v>
      </c>
      <c r="S842" s="19">
        <v>2.1868809600668841E-2</v>
      </c>
      <c r="T842" s="20">
        <v>23</v>
      </c>
      <c r="U842" s="17">
        <v>3</v>
      </c>
      <c r="V842" s="17">
        <v>51</v>
      </c>
    </row>
    <row r="843" spans="1:22" x14ac:dyDescent="0.2">
      <c r="A843" t="s">
        <v>2597</v>
      </c>
      <c r="B843" t="s">
        <v>2418</v>
      </c>
      <c r="C843" t="s">
        <v>2419</v>
      </c>
      <c r="D843" t="s">
        <v>2571</v>
      </c>
      <c r="E843" s="10" t="s">
        <v>2598</v>
      </c>
      <c r="F843" s="10"/>
      <c r="G843" s="10"/>
      <c r="H843" s="10" t="s">
        <v>2598</v>
      </c>
      <c r="I843" s="14">
        <v>192879.27480605032</v>
      </c>
      <c r="J843" s="19">
        <v>0.86428015549610859</v>
      </c>
      <c r="K843" s="19">
        <v>9.9326525559477366E-2</v>
      </c>
      <c r="L843" s="19">
        <v>3.639331894441418E-2</v>
      </c>
      <c r="M843" s="20">
        <v>3</v>
      </c>
      <c r="N843" s="19">
        <v>3.011249252641798E-2</v>
      </c>
      <c r="O843" s="19">
        <v>0</v>
      </c>
      <c r="P843" s="19">
        <v>6.9214033033059397E-2</v>
      </c>
      <c r="Q843" s="19">
        <v>0</v>
      </c>
      <c r="R843" s="19">
        <v>2.9459399322992085E-2</v>
      </c>
      <c r="S843" s="19">
        <v>6.9339196214220945E-3</v>
      </c>
      <c r="T843" s="20">
        <v>30</v>
      </c>
      <c r="U843" s="17">
        <v>3</v>
      </c>
      <c r="V843" s="17">
        <v>51</v>
      </c>
    </row>
    <row r="844" spans="1:22" x14ac:dyDescent="0.2">
      <c r="A844" t="s">
        <v>2599</v>
      </c>
      <c r="B844" t="s">
        <v>2418</v>
      </c>
      <c r="C844" t="s">
        <v>2419</v>
      </c>
      <c r="D844" t="s">
        <v>2571</v>
      </c>
      <c r="E844" s="10" t="s">
        <v>2600</v>
      </c>
      <c r="F844" s="10"/>
      <c r="G844" s="10"/>
      <c r="H844" s="10" t="s">
        <v>2600</v>
      </c>
      <c r="I844" s="14">
        <v>45487.88231248036</v>
      </c>
      <c r="J844" s="19">
        <v>0</v>
      </c>
      <c r="K844" s="19">
        <v>0.17961320956133187</v>
      </c>
      <c r="L844" s="19">
        <v>0.82038679043866802</v>
      </c>
      <c r="M844" s="20">
        <v>1</v>
      </c>
      <c r="N844" s="19">
        <v>0</v>
      </c>
      <c r="O844" s="19">
        <v>0.17961320956133187</v>
      </c>
      <c r="P844" s="19">
        <v>0</v>
      </c>
      <c r="Q844" s="19">
        <v>0.20293108198406792</v>
      </c>
      <c r="R844" s="19">
        <v>0.48845815972638207</v>
      </c>
      <c r="S844" s="19">
        <v>0.12899754872821817</v>
      </c>
      <c r="T844" s="20">
        <v>12</v>
      </c>
      <c r="U844" s="17">
        <v>3</v>
      </c>
      <c r="V844" s="17">
        <v>51</v>
      </c>
    </row>
    <row r="845" spans="1:22" x14ac:dyDescent="0.2">
      <c r="A845" t="s">
        <v>2601</v>
      </c>
      <c r="B845" t="s">
        <v>2418</v>
      </c>
      <c r="C845" t="s">
        <v>2419</v>
      </c>
      <c r="D845" t="s">
        <v>2571</v>
      </c>
      <c r="E845" s="10" t="s">
        <v>2602</v>
      </c>
      <c r="F845" s="10"/>
      <c r="G845" s="10"/>
      <c r="H845" s="10" t="s">
        <v>2602</v>
      </c>
      <c r="I845" s="14">
        <v>59129.837580604246</v>
      </c>
      <c r="J845" s="19">
        <v>0.89830957964566682</v>
      </c>
      <c r="K845" s="19">
        <v>9.1410013659249514E-2</v>
      </c>
      <c r="L845" s="19">
        <v>1.0280406695083682E-2</v>
      </c>
      <c r="M845" s="20">
        <v>3</v>
      </c>
      <c r="N845" s="19">
        <v>2.7298618873497476E-2</v>
      </c>
      <c r="O845" s="19">
        <v>0</v>
      </c>
      <c r="P845" s="19">
        <v>6.4111394785752035E-2</v>
      </c>
      <c r="Q845" s="19">
        <v>0</v>
      </c>
      <c r="R845" s="19">
        <v>1.0238647154217058E-2</v>
      </c>
      <c r="S845" s="19">
        <v>4.1759540866624069E-5</v>
      </c>
      <c r="T845" s="20">
        <v>30</v>
      </c>
      <c r="U845" s="17">
        <v>3</v>
      </c>
      <c r="V845" s="17">
        <v>51</v>
      </c>
    </row>
    <row r="846" spans="1:22" x14ac:dyDescent="0.2">
      <c r="A846" t="s">
        <v>2603</v>
      </c>
      <c r="B846" t="s">
        <v>2418</v>
      </c>
      <c r="C846" t="s">
        <v>2419</v>
      </c>
      <c r="D846" t="s">
        <v>2571</v>
      </c>
      <c r="E846" s="10" t="s">
        <v>2604</v>
      </c>
      <c r="F846" s="10"/>
      <c r="G846" s="10"/>
      <c r="H846" s="10" t="s">
        <v>2604</v>
      </c>
      <c r="I846" s="14">
        <v>114285.51027357159</v>
      </c>
      <c r="J846" s="19">
        <v>0</v>
      </c>
      <c r="K846" s="19">
        <v>0.54444720405718783</v>
      </c>
      <c r="L846" s="19">
        <v>0.45555279594281217</v>
      </c>
      <c r="M846" s="20">
        <v>2</v>
      </c>
      <c r="N846" s="19">
        <v>0.35532491766636837</v>
      </c>
      <c r="O846" s="19">
        <v>4.7816523830125836E-2</v>
      </c>
      <c r="P846" s="19">
        <v>0.1413057625606936</v>
      </c>
      <c r="Q846" s="19">
        <v>5.7324619202931699E-2</v>
      </c>
      <c r="R846" s="19">
        <v>0.33397849238708838</v>
      </c>
      <c r="S846" s="19">
        <v>6.4249684352792089E-2</v>
      </c>
      <c r="T846" s="20">
        <v>23</v>
      </c>
      <c r="U846" s="17">
        <v>3</v>
      </c>
      <c r="V846" s="17">
        <v>51</v>
      </c>
    </row>
    <row r="847" spans="1:22" x14ac:dyDescent="0.2">
      <c r="A847" t="s">
        <v>2605</v>
      </c>
      <c r="B847" t="s">
        <v>2418</v>
      </c>
      <c r="C847" t="s">
        <v>2419</v>
      </c>
      <c r="D847" t="s">
        <v>2571</v>
      </c>
      <c r="E847" s="10" t="s">
        <v>2606</v>
      </c>
      <c r="F847" s="10"/>
      <c r="G847" s="10"/>
      <c r="H847" s="10" t="s">
        <v>2606</v>
      </c>
      <c r="I847" s="14">
        <v>476125.57611771347</v>
      </c>
      <c r="J847" s="19">
        <v>0.76031405865721247</v>
      </c>
      <c r="K847" s="19">
        <v>6.9954934322845733E-2</v>
      </c>
      <c r="L847" s="19">
        <v>0.16973100701994176</v>
      </c>
      <c r="M847" s="20">
        <v>3</v>
      </c>
      <c r="N847" s="19">
        <v>0</v>
      </c>
      <c r="O847" s="19">
        <v>0</v>
      </c>
      <c r="P847" s="19">
        <v>6.9954934322845733E-2</v>
      </c>
      <c r="Q847" s="19">
        <v>4.7990716519418448E-2</v>
      </c>
      <c r="R847" s="19">
        <v>0.10569292069922702</v>
      </c>
      <c r="S847" s="19">
        <v>1.6047369801296327E-2</v>
      </c>
      <c r="T847" s="20">
        <v>30</v>
      </c>
      <c r="U847" s="17">
        <v>3</v>
      </c>
      <c r="V847" s="17">
        <v>51</v>
      </c>
    </row>
    <row r="848" spans="1:22" x14ac:dyDescent="0.2">
      <c r="A848" t="s">
        <v>2607</v>
      </c>
      <c r="B848" t="s">
        <v>2418</v>
      </c>
      <c r="C848" t="s">
        <v>2419</v>
      </c>
      <c r="D848" t="s">
        <v>2571</v>
      </c>
      <c r="E848" s="10" t="s">
        <v>2608</v>
      </c>
      <c r="F848" s="10"/>
      <c r="G848" s="10"/>
      <c r="H848" s="10" t="s">
        <v>2608</v>
      </c>
      <c r="I848" s="14">
        <v>156577.73008959554</v>
      </c>
      <c r="J848" s="19">
        <v>0.48019408728421764</v>
      </c>
      <c r="K848" s="19">
        <v>0.23712581334167682</v>
      </c>
      <c r="L848" s="19">
        <v>0.28268009937410554</v>
      </c>
      <c r="M848" s="20">
        <v>2</v>
      </c>
      <c r="N848" s="19">
        <v>0</v>
      </c>
      <c r="O848" s="19">
        <v>0</v>
      </c>
      <c r="P848" s="19">
        <v>0.23712581334167682</v>
      </c>
      <c r="Q848" s="19">
        <v>7.4995407916254753E-2</v>
      </c>
      <c r="R848" s="19">
        <v>0.17713483079614126</v>
      </c>
      <c r="S848" s="19">
        <v>3.0549860661709526E-2</v>
      </c>
      <c r="T848" s="20">
        <v>23</v>
      </c>
      <c r="U848" s="17">
        <v>3</v>
      </c>
      <c r="V848" s="17">
        <v>51</v>
      </c>
    </row>
    <row r="849" spans="1:22" x14ac:dyDescent="0.2">
      <c r="A849" t="s">
        <v>2609</v>
      </c>
      <c r="B849" t="s">
        <v>2418</v>
      </c>
      <c r="C849" t="s">
        <v>2419</v>
      </c>
      <c r="D849" t="s">
        <v>2571</v>
      </c>
      <c r="E849" s="10" t="s">
        <v>2610</v>
      </c>
      <c r="F849" s="10"/>
      <c r="G849" s="10"/>
      <c r="H849" s="10" t="s">
        <v>2610</v>
      </c>
      <c r="I849" s="14">
        <v>39158.860376554541</v>
      </c>
      <c r="J849" s="19">
        <v>0</v>
      </c>
      <c r="K849" s="19">
        <v>0.55393125907610152</v>
      </c>
      <c r="L849" s="19">
        <v>0.44606874092389837</v>
      </c>
      <c r="M849" s="20">
        <v>2</v>
      </c>
      <c r="N849" s="19">
        <v>0</v>
      </c>
      <c r="O849" s="19">
        <v>0.55393125907610152</v>
      </c>
      <c r="P849" s="19">
        <v>0</v>
      </c>
      <c r="Q849" s="19">
        <v>7.138324518679158E-2</v>
      </c>
      <c r="R849" s="19">
        <v>0.31108975739374983</v>
      </c>
      <c r="S849" s="19">
        <v>6.3595738343357008E-2</v>
      </c>
      <c r="T849" s="20">
        <v>22</v>
      </c>
      <c r="U849" s="17">
        <v>3</v>
      </c>
      <c r="V849" s="17">
        <v>51</v>
      </c>
    </row>
    <row r="850" spans="1:22" x14ac:dyDescent="0.2">
      <c r="A850" t="s">
        <v>2611</v>
      </c>
      <c r="B850" t="s">
        <v>2418</v>
      </c>
      <c r="C850" t="s">
        <v>2419</v>
      </c>
      <c r="D850" t="s">
        <v>2571</v>
      </c>
      <c r="E850" s="10" t="s">
        <v>2612</v>
      </c>
      <c r="F850" s="10"/>
      <c r="G850" s="10"/>
      <c r="H850" s="10" t="s">
        <v>2612</v>
      </c>
      <c r="I850" s="14">
        <v>43449.18284181878</v>
      </c>
      <c r="J850" s="19">
        <v>0</v>
      </c>
      <c r="K850" s="19">
        <v>0.60853724304083057</v>
      </c>
      <c r="L850" s="19">
        <v>0.39146275695916932</v>
      </c>
      <c r="M850" s="20">
        <v>2</v>
      </c>
      <c r="N850" s="19">
        <v>0.13094004950153709</v>
      </c>
      <c r="O850" s="19">
        <v>0</v>
      </c>
      <c r="P850" s="19">
        <v>0.47759719353929364</v>
      </c>
      <c r="Q850" s="19">
        <v>0</v>
      </c>
      <c r="R850" s="19">
        <v>0.32614895292999185</v>
      </c>
      <c r="S850" s="19">
        <v>6.5313804029177427E-2</v>
      </c>
      <c r="T850" s="20">
        <v>23</v>
      </c>
      <c r="U850" s="17">
        <v>3</v>
      </c>
      <c r="V850" s="17">
        <v>51</v>
      </c>
    </row>
    <row r="851" spans="1:22" x14ac:dyDescent="0.2">
      <c r="A851" t="s">
        <v>2613</v>
      </c>
      <c r="B851" t="s">
        <v>2418</v>
      </c>
      <c r="C851" t="s">
        <v>2419</v>
      </c>
      <c r="D851" t="s">
        <v>2571</v>
      </c>
      <c r="E851" s="10" t="s">
        <v>2614</v>
      </c>
      <c r="F851" s="10"/>
      <c r="G851" s="10"/>
      <c r="H851" s="10" t="s">
        <v>2614</v>
      </c>
      <c r="I851" s="14">
        <v>479837.17538095597</v>
      </c>
      <c r="J851" s="19">
        <v>0.71871837862633547</v>
      </c>
      <c r="K851" s="19">
        <v>0.12230529844745823</v>
      </c>
      <c r="L851" s="19">
        <v>0.15897632292620623</v>
      </c>
      <c r="M851" s="20">
        <v>3</v>
      </c>
      <c r="N851" s="19">
        <v>1.3899825705664932E-2</v>
      </c>
      <c r="O851" s="19">
        <v>3.8201309706355366E-2</v>
      </c>
      <c r="P851" s="19">
        <v>7.020416303543793E-2</v>
      </c>
      <c r="Q851" s="19">
        <v>3.9124148866244525E-2</v>
      </c>
      <c r="R851" s="19">
        <v>9.5857323135724121E-2</v>
      </c>
      <c r="S851" s="19">
        <v>2.3994850924237584E-2</v>
      </c>
      <c r="T851" s="20">
        <v>30</v>
      </c>
      <c r="U851" s="17">
        <v>3</v>
      </c>
      <c r="V851" s="17">
        <v>51</v>
      </c>
    </row>
    <row r="852" spans="1:22" x14ac:dyDescent="0.2">
      <c r="A852" t="s">
        <v>2615</v>
      </c>
      <c r="B852" t="s">
        <v>2418</v>
      </c>
      <c r="C852" t="s">
        <v>2419</v>
      </c>
      <c r="D852" t="s">
        <v>2571</v>
      </c>
      <c r="E852" s="10" t="s">
        <v>2616</v>
      </c>
      <c r="F852" s="10"/>
      <c r="G852" s="10"/>
      <c r="H852" s="10" t="s">
        <v>2616</v>
      </c>
      <c r="I852" s="14">
        <v>67200.403647227213</v>
      </c>
      <c r="J852" s="19">
        <v>0</v>
      </c>
      <c r="K852" s="19">
        <v>0.37520705957055017</v>
      </c>
      <c r="L852" s="19">
        <v>0.62479294042944977</v>
      </c>
      <c r="M852" s="20">
        <v>1</v>
      </c>
      <c r="N852" s="19">
        <v>0.14989708473074809</v>
      </c>
      <c r="O852" s="19">
        <v>0</v>
      </c>
      <c r="P852" s="19">
        <v>0.22530997483980211</v>
      </c>
      <c r="Q852" s="19">
        <v>0.18329238020726416</v>
      </c>
      <c r="R852" s="19">
        <v>0.39357656652405804</v>
      </c>
      <c r="S852" s="19">
        <v>4.7923993698127706E-2</v>
      </c>
      <c r="T852" s="20">
        <v>12</v>
      </c>
      <c r="U852" s="17">
        <v>3</v>
      </c>
      <c r="V852" s="17">
        <v>51</v>
      </c>
    </row>
    <row r="853" spans="1:22" x14ac:dyDescent="0.2">
      <c r="A853" t="s">
        <v>2617</v>
      </c>
      <c r="B853" t="s">
        <v>2418</v>
      </c>
      <c r="C853" t="s">
        <v>2419</v>
      </c>
      <c r="D853" t="s">
        <v>2571</v>
      </c>
      <c r="E853" s="10" t="s">
        <v>2618</v>
      </c>
      <c r="F853" s="10"/>
      <c r="G853" s="10"/>
      <c r="H853" s="10" t="s">
        <v>2618</v>
      </c>
      <c r="I853" s="14">
        <v>42279.11246544309</v>
      </c>
      <c r="J853" s="19">
        <v>0</v>
      </c>
      <c r="K853" s="19">
        <v>0</v>
      </c>
      <c r="L853" s="19">
        <v>1</v>
      </c>
      <c r="M853" s="20">
        <v>1</v>
      </c>
      <c r="N853" s="19">
        <v>0</v>
      </c>
      <c r="O853" s="19">
        <v>0</v>
      </c>
      <c r="P853" s="19">
        <v>0</v>
      </c>
      <c r="Q853" s="19">
        <v>0.21570156019260156</v>
      </c>
      <c r="R853" s="19">
        <v>0.5864439562472249</v>
      </c>
      <c r="S853" s="19">
        <v>0.19785448356017357</v>
      </c>
      <c r="T853" s="20">
        <v>12</v>
      </c>
      <c r="U853" s="17">
        <v>3</v>
      </c>
      <c r="V853" s="17">
        <v>51</v>
      </c>
    </row>
    <row r="854" spans="1:22" x14ac:dyDescent="0.2">
      <c r="A854" t="s">
        <v>2619</v>
      </c>
      <c r="B854" t="s">
        <v>2418</v>
      </c>
      <c r="C854" t="s">
        <v>2419</v>
      </c>
      <c r="D854" t="s">
        <v>2571</v>
      </c>
      <c r="E854" s="10" t="s">
        <v>2620</v>
      </c>
      <c r="F854" s="10"/>
      <c r="G854" s="10"/>
      <c r="H854" s="10" t="s">
        <v>2620</v>
      </c>
      <c r="I854" s="14">
        <v>117513.91740572779</v>
      </c>
      <c r="J854" s="19">
        <v>0</v>
      </c>
      <c r="K854" s="19">
        <v>0.67575154413794614</v>
      </c>
      <c r="L854" s="19">
        <v>0.32424845586205381</v>
      </c>
      <c r="M854" s="20">
        <v>2</v>
      </c>
      <c r="N854" s="19">
        <v>0.30089793375695495</v>
      </c>
      <c r="O854" s="19">
        <v>0</v>
      </c>
      <c r="P854" s="19">
        <v>0.37485361038099124</v>
      </c>
      <c r="Q854" s="19">
        <v>3.5047970127166733E-2</v>
      </c>
      <c r="R854" s="19">
        <v>0.24376255850642828</v>
      </c>
      <c r="S854" s="19">
        <v>4.543792722845879E-2</v>
      </c>
      <c r="T854" s="20">
        <v>23</v>
      </c>
      <c r="U854" s="17">
        <v>3</v>
      </c>
      <c r="V854" s="17">
        <v>51</v>
      </c>
    </row>
    <row r="855" spans="1:22" x14ac:dyDescent="0.2">
      <c r="A855" t="s">
        <v>2621</v>
      </c>
      <c r="B855" t="s">
        <v>2418</v>
      </c>
      <c r="C855" t="s">
        <v>2419</v>
      </c>
      <c r="D855" t="s">
        <v>2622</v>
      </c>
      <c r="E855" s="10" t="s">
        <v>2623</v>
      </c>
      <c r="F855" s="10"/>
      <c r="G855" s="10"/>
      <c r="H855" s="10" t="s">
        <v>2623</v>
      </c>
      <c r="I855" s="14">
        <v>19345.879305927083</v>
      </c>
      <c r="J855" s="19">
        <v>0</v>
      </c>
      <c r="K855" s="19">
        <v>0</v>
      </c>
      <c r="L855" s="19">
        <v>1</v>
      </c>
      <c r="M855" s="20">
        <v>1</v>
      </c>
      <c r="N855" s="19">
        <v>0</v>
      </c>
      <c r="O855" s="19">
        <v>0</v>
      </c>
      <c r="P855" s="19">
        <v>0</v>
      </c>
      <c r="Q855" s="19">
        <v>0.66504155849783708</v>
      </c>
      <c r="R855" s="19">
        <v>0.27652643149068223</v>
      </c>
      <c r="S855" s="19">
        <v>5.843201001148058E-2</v>
      </c>
      <c r="T855" s="20">
        <v>13</v>
      </c>
      <c r="U855" s="17">
        <v>3</v>
      </c>
      <c r="V855" s="17">
        <v>51</v>
      </c>
    </row>
    <row r="856" spans="1:22" x14ac:dyDescent="0.2">
      <c r="A856" t="s">
        <v>2624</v>
      </c>
      <c r="B856" t="s">
        <v>2418</v>
      </c>
      <c r="C856" t="s">
        <v>2419</v>
      </c>
      <c r="D856" t="s">
        <v>2622</v>
      </c>
      <c r="E856" s="10" t="s">
        <v>2625</v>
      </c>
      <c r="F856" s="10"/>
      <c r="G856" s="10"/>
      <c r="H856" s="10" t="s">
        <v>2625</v>
      </c>
      <c r="I856" s="14">
        <v>60639.632175041363</v>
      </c>
      <c r="J856" s="19">
        <v>0</v>
      </c>
      <c r="K856" s="19">
        <v>0.28583958323314451</v>
      </c>
      <c r="L856" s="19">
        <v>0.71416041676685549</v>
      </c>
      <c r="M856" s="20">
        <v>1</v>
      </c>
      <c r="N856" s="19">
        <v>0</v>
      </c>
      <c r="O856" s="19">
        <v>0.27861762111912164</v>
      </c>
      <c r="P856" s="19">
        <v>7.2219621140228833E-3</v>
      </c>
      <c r="Q856" s="19">
        <v>0.14057817585615007</v>
      </c>
      <c r="R856" s="19">
        <v>0.52182975720571034</v>
      </c>
      <c r="S856" s="19">
        <v>5.175248370499512E-2</v>
      </c>
      <c r="T856" s="20">
        <v>12</v>
      </c>
      <c r="U856" s="17">
        <v>3</v>
      </c>
      <c r="V856" s="17">
        <v>51</v>
      </c>
    </row>
    <row r="857" spans="1:22" x14ac:dyDescent="0.2">
      <c r="A857" t="s">
        <v>2626</v>
      </c>
      <c r="B857" t="s">
        <v>2418</v>
      </c>
      <c r="C857" t="s">
        <v>2419</v>
      </c>
      <c r="D857" t="s">
        <v>2622</v>
      </c>
      <c r="E857" s="10" t="s">
        <v>2627</v>
      </c>
      <c r="F857" s="10"/>
      <c r="G857" s="10"/>
      <c r="H857" s="10" t="s">
        <v>2627</v>
      </c>
      <c r="I857" s="14">
        <v>41900.208642354235</v>
      </c>
      <c r="J857" s="19">
        <v>0</v>
      </c>
      <c r="K857" s="19">
        <v>0</v>
      </c>
      <c r="L857" s="19">
        <v>1</v>
      </c>
      <c r="M857" s="20">
        <v>1</v>
      </c>
      <c r="N857" s="19">
        <v>0</v>
      </c>
      <c r="O857" s="19">
        <v>0</v>
      </c>
      <c r="P857" s="19">
        <v>0</v>
      </c>
      <c r="Q857" s="19">
        <v>0.20615392382757283</v>
      </c>
      <c r="R857" s="19">
        <v>0.60580137640566589</v>
      </c>
      <c r="S857" s="19">
        <v>0.18804469976676128</v>
      </c>
      <c r="T857" s="20">
        <v>12</v>
      </c>
      <c r="U857" s="17">
        <v>3</v>
      </c>
      <c r="V857" s="17">
        <v>51</v>
      </c>
    </row>
    <row r="858" spans="1:22" x14ac:dyDescent="0.2">
      <c r="A858" t="s">
        <v>2628</v>
      </c>
      <c r="B858" t="s">
        <v>2418</v>
      </c>
      <c r="C858" t="s">
        <v>2419</v>
      </c>
      <c r="D858" t="s">
        <v>2622</v>
      </c>
      <c r="E858" s="10" t="s">
        <v>2629</v>
      </c>
      <c r="F858" s="10"/>
      <c r="G858" s="10"/>
      <c r="H858" s="10" t="s">
        <v>2629</v>
      </c>
      <c r="I858" s="14">
        <v>62594.413083193132</v>
      </c>
      <c r="J858" s="19">
        <v>0</v>
      </c>
      <c r="K858" s="19">
        <v>0.34317588249666081</v>
      </c>
      <c r="L858" s="19">
        <v>0.65682411750333913</v>
      </c>
      <c r="M858" s="20">
        <v>1</v>
      </c>
      <c r="N858" s="19">
        <v>0</v>
      </c>
      <c r="O858" s="19">
        <v>0.34317588249666081</v>
      </c>
      <c r="P858" s="19">
        <v>0</v>
      </c>
      <c r="Q858" s="19">
        <v>0.25979665874482333</v>
      </c>
      <c r="R858" s="19">
        <v>0.30434691185231305</v>
      </c>
      <c r="S858" s="19">
        <v>9.2680546906202699E-2</v>
      </c>
      <c r="T858" s="20">
        <v>12</v>
      </c>
      <c r="U858" s="17">
        <v>3</v>
      </c>
      <c r="V858" s="17">
        <v>51</v>
      </c>
    </row>
    <row r="859" spans="1:22" x14ac:dyDescent="0.2">
      <c r="A859" t="s">
        <v>2630</v>
      </c>
      <c r="B859" t="s">
        <v>2418</v>
      </c>
      <c r="C859" t="s">
        <v>2419</v>
      </c>
      <c r="D859" t="s">
        <v>2622</v>
      </c>
      <c r="E859" s="10" t="s">
        <v>2631</v>
      </c>
      <c r="F859" s="10"/>
      <c r="G859" s="10"/>
      <c r="H859" s="10" t="s">
        <v>2631</v>
      </c>
      <c r="I859" s="14">
        <v>205164.61811650265</v>
      </c>
      <c r="J859" s="19">
        <v>0.47831827790492842</v>
      </c>
      <c r="K859" s="19">
        <v>0.27785577808376621</v>
      </c>
      <c r="L859" s="19">
        <v>0.24382594401130539</v>
      </c>
      <c r="M859" s="20">
        <v>2</v>
      </c>
      <c r="N859" s="19">
        <v>0.10573803093874526</v>
      </c>
      <c r="O859" s="19">
        <v>0</v>
      </c>
      <c r="P859" s="19">
        <v>0.17211774714502096</v>
      </c>
      <c r="Q859" s="19">
        <v>5.9241466153127312E-3</v>
      </c>
      <c r="R859" s="19">
        <v>0.18193573881464056</v>
      </c>
      <c r="S859" s="19">
        <v>5.5966058581352097E-2</v>
      </c>
      <c r="T859" s="20">
        <v>23</v>
      </c>
      <c r="U859" s="17">
        <v>3</v>
      </c>
      <c r="V859" s="17">
        <v>51</v>
      </c>
    </row>
    <row r="860" spans="1:22" x14ac:dyDescent="0.2">
      <c r="A860" t="s">
        <v>2632</v>
      </c>
      <c r="B860" t="s">
        <v>2418</v>
      </c>
      <c r="C860" t="s">
        <v>2419</v>
      </c>
      <c r="D860" t="s">
        <v>2622</v>
      </c>
      <c r="E860" s="10" t="s">
        <v>2633</v>
      </c>
      <c r="F860" s="10"/>
      <c r="G860" s="10"/>
      <c r="H860" s="10" t="s">
        <v>2633</v>
      </c>
      <c r="I860" s="14">
        <v>17767.633313064463</v>
      </c>
      <c r="J860" s="19">
        <v>0</v>
      </c>
      <c r="K860" s="19">
        <v>0</v>
      </c>
      <c r="L860" s="19">
        <v>1</v>
      </c>
      <c r="M860" s="20">
        <v>1</v>
      </c>
      <c r="N860" s="19">
        <v>0</v>
      </c>
      <c r="O860" s="19">
        <v>0</v>
      </c>
      <c r="P860" s="19">
        <v>0</v>
      </c>
      <c r="Q860" s="19">
        <v>0.54386225410710498</v>
      </c>
      <c r="R860" s="19">
        <v>0.3098753304436116</v>
      </c>
      <c r="S860" s="19">
        <v>0.14626241544928342</v>
      </c>
      <c r="T860" s="20">
        <v>13</v>
      </c>
      <c r="U860" s="17">
        <v>3</v>
      </c>
      <c r="V860" s="17">
        <v>51</v>
      </c>
    </row>
    <row r="861" spans="1:22" x14ac:dyDescent="0.2">
      <c r="A861" t="s">
        <v>2634</v>
      </c>
      <c r="B861" t="s">
        <v>2418</v>
      </c>
      <c r="C861" t="s">
        <v>2419</v>
      </c>
      <c r="D861" t="s">
        <v>2622</v>
      </c>
      <c r="E861" s="10" t="s">
        <v>2635</v>
      </c>
      <c r="F861" s="10"/>
      <c r="G861" s="10"/>
      <c r="H861" s="10" t="s">
        <v>2635</v>
      </c>
      <c r="I861" s="14">
        <v>45425.242902711616</v>
      </c>
      <c r="J861" s="19">
        <v>0</v>
      </c>
      <c r="K861" s="19">
        <v>0.11853621101435381</v>
      </c>
      <c r="L861" s="19">
        <v>0.88146378898564626</v>
      </c>
      <c r="M861" s="20">
        <v>1</v>
      </c>
      <c r="N861" s="19">
        <v>0</v>
      </c>
      <c r="O861" s="19">
        <v>0.11772623911404471</v>
      </c>
      <c r="P861" s="19">
        <v>8.0997190030910454E-4</v>
      </c>
      <c r="Q861" s="19">
        <v>0.44527272039456139</v>
      </c>
      <c r="R861" s="19">
        <v>0.34475404662989523</v>
      </c>
      <c r="S861" s="19">
        <v>9.1437021961189593E-2</v>
      </c>
      <c r="T861" s="20">
        <v>13</v>
      </c>
      <c r="U861" s="17">
        <v>3</v>
      </c>
      <c r="V861" s="17">
        <v>51</v>
      </c>
    </row>
    <row r="862" spans="1:22" x14ac:dyDescent="0.2">
      <c r="A862" t="s">
        <v>2636</v>
      </c>
      <c r="B862" t="s">
        <v>2418</v>
      </c>
      <c r="C862" t="s">
        <v>2419</v>
      </c>
      <c r="D862" t="s">
        <v>2622</v>
      </c>
      <c r="E862" s="10" t="s">
        <v>2637</v>
      </c>
      <c r="F862" s="10"/>
      <c r="G862" s="10"/>
      <c r="H862" s="10" t="s">
        <v>2637</v>
      </c>
      <c r="I862" s="14">
        <v>15768.763191164471</v>
      </c>
      <c r="J862" s="19">
        <v>0</v>
      </c>
      <c r="K862" s="19">
        <v>0</v>
      </c>
      <c r="L862" s="19">
        <v>1</v>
      </c>
      <c r="M862" s="20">
        <v>1</v>
      </c>
      <c r="N862" s="19">
        <v>0</v>
      </c>
      <c r="O862" s="19">
        <v>0</v>
      </c>
      <c r="P862" s="19">
        <v>0</v>
      </c>
      <c r="Q862" s="19">
        <v>0.12477473312260408</v>
      </c>
      <c r="R862" s="19">
        <v>0.75984133993919267</v>
      </c>
      <c r="S862" s="19">
        <v>0.11538392693820311</v>
      </c>
      <c r="T862" s="20">
        <v>12</v>
      </c>
      <c r="U862" s="17">
        <v>3</v>
      </c>
      <c r="V862" s="17">
        <v>51</v>
      </c>
    </row>
    <row r="863" spans="1:22" x14ac:dyDescent="0.2">
      <c r="A863" t="s">
        <v>2638</v>
      </c>
      <c r="B863" t="s">
        <v>2418</v>
      </c>
      <c r="C863" t="s">
        <v>2419</v>
      </c>
      <c r="D863" t="s">
        <v>2622</v>
      </c>
      <c r="E863" s="10" t="s">
        <v>2639</v>
      </c>
      <c r="F863" s="10"/>
      <c r="G863" s="10"/>
      <c r="H863" s="10" t="s">
        <v>2639</v>
      </c>
      <c r="I863" s="14">
        <v>30125.972035221752</v>
      </c>
      <c r="J863" s="19">
        <v>0</v>
      </c>
      <c r="K863" s="19">
        <v>0.17977692625496725</v>
      </c>
      <c r="L863" s="19">
        <v>0.82022307374503289</v>
      </c>
      <c r="M863" s="20">
        <v>1</v>
      </c>
      <c r="N863" s="19">
        <v>0</v>
      </c>
      <c r="O863" s="19">
        <v>0.17977692625496725</v>
      </c>
      <c r="P863" s="19">
        <v>0</v>
      </c>
      <c r="Q863" s="19">
        <v>9.688116946694672E-2</v>
      </c>
      <c r="R863" s="19">
        <v>0.61341598929314123</v>
      </c>
      <c r="S863" s="19">
        <v>0.10992591498494496</v>
      </c>
      <c r="T863" s="20">
        <v>12</v>
      </c>
      <c r="U863" s="17">
        <v>3</v>
      </c>
      <c r="V863" s="17">
        <v>51</v>
      </c>
    </row>
    <row r="864" spans="1:22" x14ac:dyDescent="0.2">
      <c r="A864" t="s">
        <v>2640</v>
      </c>
      <c r="B864" t="s">
        <v>2418</v>
      </c>
      <c r="C864" t="s">
        <v>2419</v>
      </c>
      <c r="D864" t="s">
        <v>2622</v>
      </c>
      <c r="E864" s="10" t="s">
        <v>2641</v>
      </c>
      <c r="F864" s="10"/>
      <c r="G864" s="10"/>
      <c r="H864" s="10" t="s">
        <v>2641</v>
      </c>
      <c r="I864" s="14">
        <v>55496.110377961777</v>
      </c>
      <c r="J864" s="19">
        <v>0</v>
      </c>
      <c r="K864" s="19">
        <v>0.41180681513220047</v>
      </c>
      <c r="L864" s="19">
        <v>0.58819318486779937</v>
      </c>
      <c r="M864" s="20">
        <v>1</v>
      </c>
      <c r="N864" s="19">
        <v>0.19621906495528502</v>
      </c>
      <c r="O864" s="19">
        <v>0</v>
      </c>
      <c r="P864" s="19">
        <v>0.2155877501769155</v>
      </c>
      <c r="Q864" s="19">
        <v>5.4835818409151645E-2</v>
      </c>
      <c r="R864" s="19">
        <v>0.44678754800140574</v>
      </c>
      <c r="S864" s="19">
        <v>8.6569818457242015E-2</v>
      </c>
      <c r="T864" s="20">
        <v>12</v>
      </c>
      <c r="U864" s="17">
        <v>3</v>
      </c>
      <c r="V864" s="17">
        <v>51</v>
      </c>
    </row>
    <row r="865" spans="1:22" x14ac:dyDescent="0.2">
      <c r="A865" t="s">
        <v>2642</v>
      </c>
      <c r="B865" t="s">
        <v>2418</v>
      </c>
      <c r="C865" t="s">
        <v>2419</v>
      </c>
      <c r="D865" t="s">
        <v>2622</v>
      </c>
      <c r="E865" s="10" t="s">
        <v>2643</v>
      </c>
      <c r="F865" s="10"/>
      <c r="G865" s="10"/>
      <c r="H865" s="10" t="s">
        <v>2643</v>
      </c>
      <c r="I865" s="14">
        <v>770461.12540483288</v>
      </c>
      <c r="J865" s="19">
        <v>0.70974975790719708</v>
      </c>
      <c r="K865" s="19">
        <v>0.19643610538199696</v>
      </c>
      <c r="L865" s="19">
        <v>9.3814136710806018E-2</v>
      </c>
      <c r="M865" s="20">
        <v>3</v>
      </c>
      <c r="N865" s="19">
        <v>5.4362894260185472E-2</v>
      </c>
      <c r="O865" s="19">
        <v>0</v>
      </c>
      <c r="P865" s="19">
        <v>0.14207321112181148</v>
      </c>
      <c r="Q865" s="19">
        <v>2.3791792379972657E-2</v>
      </c>
      <c r="R865" s="19">
        <v>6.2054038518973446E-2</v>
      </c>
      <c r="S865" s="19">
        <v>7.968305811859918E-3</v>
      </c>
      <c r="T865" s="20">
        <v>30</v>
      </c>
      <c r="U865" s="17">
        <v>3</v>
      </c>
      <c r="V865" s="17">
        <v>51</v>
      </c>
    </row>
    <row r="866" spans="1:22" x14ac:dyDescent="0.2">
      <c r="A866" t="s">
        <v>2644</v>
      </c>
      <c r="B866" t="s">
        <v>2418</v>
      </c>
      <c r="C866" t="s">
        <v>2419</v>
      </c>
      <c r="D866" t="s">
        <v>2622</v>
      </c>
      <c r="E866" s="10" t="s">
        <v>2645</v>
      </c>
      <c r="F866" s="10"/>
      <c r="G866" s="10"/>
      <c r="H866" s="10" t="s">
        <v>2645</v>
      </c>
      <c r="I866" s="14">
        <v>43200.695399465039</v>
      </c>
      <c r="J866" s="19">
        <v>0</v>
      </c>
      <c r="K866" s="19">
        <v>0.26210533457899715</v>
      </c>
      <c r="L866" s="19">
        <v>0.7378946654210029</v>
      </c>
      <c r="M866" s="20">
        <v>1</v>
      </c>
      <c r="N866" s="19">
        <v>0.19109965339225979</v>
      </c>
      <c r="O866" s="19">
        <v>2.0940861243211499E-3</v>
      </c>
      <c r="P866" s="19">
        <v>6.8911595062416175E-2</v>
      </c>
      <c r="Q866" s="19">
        <v>0.13212426718293299</v>
      </c>
      <c r="R866" s="19">
        <v>0.49462437859118202</v>
      </c>
      <c r="S866" s="19">
        <v>0.11114601964688788</v>
      </c>
      <c r="T866" s="20">
        <v>12</v>
      </c>
      <c r="U866" s="17">
        <v>3</v>
      </c>
      <c r="V866" s="17">
        <v>51</v>
      </c>
    </row>
    <row r="867" spans="1:22" x14ac:dyDescent="0.2">
      <c r="A867" t="s">
        <v>2646</v>
      </c>
      <c r="B867" t="s">
        <v>2418</v>
      </c>
      <c r="C867" t="s">
        <v>2419</v>
      </c>
      <c r="D867" t="s">
        <v>2622</v>
      </c>
      <c r="E867" s="10" t="s">
        <v>2647</v>
      </c>
      <c r="F867" s="10"/>
      <c r="G867" s="10"/>
      <c r="H867" s="10" t="s">
        <v>2647</v>
      </c>
      <c r="I867" s="14">
        <v>50524.557658352889</v>
      </c>
      <c r="J867" s="19">
        <v>0</v>
      </c>
      <c r="K867" s="19">
        <v>0.45846926524364273</v>
      </c>
      <c r="L867" s="19">
        <v>0.54153073475635738</v>
      </c>
      <c r="M867" s="20">
        <v>1</v>
      </c>
      <c r="N867" s="19">
        <v>0.22498301597253714</v>
      </c>
      <c r="O867" s="19">
        <v>0</v>
      </c>
      <c r="P867" s="19">
        <v>0.23348624927110559</v>
      </c>
      <c r="Q867" s="19">
        <v>6.1549186973453129E-2</v>
      </c>
      <c r="R867" s="19">
        <v>0.37929298387536003</v>
      </c>
      <c r="S867" s="19">
        <v>0.10068856390754413</v>
      </c>
      <c r="T867" s="20">
        <v>12</v>
      </c>
      <c r="U867" s="17">
        <v>3</v>
      </c>
      <c r="V867" s="17">
        <v>51</v>
      </c>
    </row>
    <row r="868" spans="1:22" x14ac:dyDescent="0.2">
      <c r="A868" t="s">
        <v>2648</v>
      </c>
      <c r="B868" t="s">
        <v>2418</v>
      </c>
      <c r="C868" t="s">
        <v>2419</v>
      </c>
      <c r="D868" t="s">
        <v>2622</v>
      </c>
      <c r="E868" s="10" t="s">
        <v>2649</v>
      </c>
      <c r="F868" s="10"/>
      <c r="G868" s="10"/>
      <c r="H868" s="10" t="s">
        <v>2649</v>
      </c>
      <c r="I868" s="14">
        <v>10955.729747785255</v>
      </c>
      <c r="J868" s="19">
        <v>0</v>
      </c>
      <c r="K868" s="19">
        <v>0</v>
      </c>
      <c r="L868" s="19">
        <v>1</v>
      </c>
      <c r="M868" s="20">
        <v>1</v>
      </c>
      <c r="N868" s="19">
        <v>0</v>
      </c>
      <c r="O868" s="19">
        <v>0</v>
      </c>
      <c r="P868" s="19">
        <v>0</v>
      </c>
      <c r="Q868" s="19">
        <v>0.24921618460352854</v>
      </c>
      <c r="R868" s="19">
        <v>0.66827938596393766</v>
      </c>
      <c r="S868" s="19">
        <v>8.2504429432533791E-2</v>
      </c>
      <c r="T868" s="20">
        <v>12</v>
      </c>
      <c r="U868" s="17">
        <v>3</v>
      </c>
      <c r="V868" s="17">
        <v>51</v>
      </c>
    </row>
    <row r="869" spans="1:22" x14ac:dyDescent="0.2">
      <c r="A869" t="s">
        <v>2650</v>
      </c>
      <c r="B869" t="s">
        <v>2418</v>
      </c>
      <c r="C869" t="s">
        <v>2419</v>
      </c>
      <c r="D869" t="s">
        <v>2622</v>
      </c>
      <c r="E869" s="10" t="s">
        <v>2651</v>
      </c>
      <c r="F869" s="10"/>
      <c r="G869" s="10"/>
      <c r="H869" s="10" t="s">
        <v>2651</v>
      </c>
      <c r="I869" s="14">
        <v>35342.028692014515</v>
      </c>
      <c r="J869" s="19">
        <v>0</v>
      </c>
      <c r="K869" s="19">
        <v>0.17945095793442969</v>
      </c>
      <c r="L869" s="19">
        <v>0.82054904206557044</v>
      </c>
      <c r="M869" s="20">
        <v>1</v>
      </c>
      <c r="N869" s="19">
        <v>0</v>
      </c>
      <c r="O869" s="19">
        <v>0.17945095793442969</v>
      </c>
      <c r="P869" s="19">
        <v>0</v>
      </c>
      <c r="Q869" s="19">
        <v>5.6752152873454878E-2</v>
      </c>
      <c r="R869" s="19">
        <v>0.64057159813956999</v>
      </c>
      <c r="S869" s="19">
        <v>0.12322529105254545</v>
      </c>
      <c r="T869" s="20">
        <v>12</v>
      </c>
      <c r="U869" s="17">
        <v>3</v>
      </c>
      <c r="V869" s="17">
        <v>51</v>
      </c>
    </row>
    <row r="870" spans="1:22" x14ac:dyDescent="0.2">
      <c r="A870" t="s">
        <v>2652</v>
      </c>
      <c r="B870" t="s">
        <v>2418</v>
      </c>
      <c r="C870" t="s">
        <v>2419</v>
      </c>
      <c r="D870" t="s">
        <v>2622</v>
      </c>
      <c r="E870" s="10" t="s">
        <v>2653</v>
      </c>
      <c r="F870" s="10"/>
      <c r="G870" s="10"/>
      <c r="H870" s="10" t="s">
        <v>2653</v>
      </c>
      <c r="I870" s="14">
        <v>57685.985349279828</v>
      </c>
      <c r="J870" s="19">
        <v>0</v>
      </c>
      <c r="K870" s="19">
        <v>0.13568022423926338</v>
      </c>
      <c r="L870" s="19">
        <v>0.8643197757607366</v>
      </c>
      <c r="M870" s="20">
        <v>1</v>
      </c>
      <c r="N870" s="19">
        <v>0</v>
      </c>
      <c r="O870" s="19">
        <v>0.13568022423926338</v>
      </c>
      <c r="P870" s="19">
        <v>0</v>
      </c>
      <c r="Q870" s="19">
        <v>5.4438445018372437E-2</v>
      </c>
      <c r="R870" s="19">
        <v>0.56242482251596038</v>
      </c>
      <c r="S870" s="19">
        <v>0.24745650822640378</v>
      </c>
      <c r="T870" s="20">
        <v>12</v>
      </c>
      <c r="U870" s="17">
        <v>3</v>
      </c>
      <c r="V870" s="17">
        <v>51</v>
      </c>
    </row>
    <row r="871" spans="1:22" x14ac:dyDescent="0.2">
      <c r="A871" t="s">
        <v>2654</v>
      </c>
      <c r="B871" t="s">
        <v>2418</v>
      </c>
      <c r="C871" t="s">
        <v>2419</v>
      </c>
      <c r="D871" t="s">
        <v>2622</v>
      </c>
      <c r="E871" s="10" t="s">
        <v>2655</v>
      </c>
      <c r="F871" s="10"/>
      <c r="G871" s="10"/>
      <c r="H871" s="10" t="s">
        <v>2655</v>
      </c>
      <c r="I871" s="14">
        <v>23569.200684304815</v>
      </c>
      <c r="J871" s="19">
        <v>0</v>
      </c>
      <c r="K871" s="19">
        <v>0</v>
      </c>
      <c r="L871" s="19">
        <v>1</v>
      </c>
      <c r="M871" s="20">
        <v>1</v>
      </c>
      <c r="N871" s="19">
        <v>0</v>
      </c>
      <c r="O871" s="19">
        <v>0</v>
      </c>
      <c r="P871" s="19">
        <v>0</v>
      </c>
      <c r="Q871" s="19">
        <v>0.58701273731193115</v>
      </c>
      <c r="R871" s="19">
        <v>0.31088548888167483</v>
      </c>
      <c r="S871" s="19">
        <v>0.10210177380639399</v>
      </c>
      <c r="T871" s="20">
        <v>13</v>
      </c>
      <c r="U871" s="17">
        <v>3</v>
      </c>
      <c r="V871" s="17">
        <v>51</v>
      </c>
    </row>
    <row r="872" spans="1:22" x14ac:dyDescent="0.2">
      <c r="A872" t="s">
        <v>2656</v>
      </c>
      <c r="B872" t="s">
        <v>2418</v>
      </c>
      <c r="C872" t="s">
        <v>2419</v>
      </c>
      <c r="D872" t="s">
        <v>2622</v>
      </c>
      <c r="E872" s="10" t="s">
        <v>2657</v>
      </c>
      <c r="F872" s="10"/>
      <c r="G872" s="10"/>
      <c r="H872" s="10" t="s">
        <v>2657</v>
      </c>
      <c r="I872" s="14">
        <v>22943.2944996031</v>
      </c>
      <c r="J872" s="19">
        <v>0</v>
      </c>
      <c r="K872" s="19">
        <v>0.40795459979159782</v>
      </c>
      <c r="L872" s="19">
        <v>0.59204540020840224</v>
      </c>
      <c r="M872" s="20">
        <v>1</v>
      </c>
      <c r="N872" s="19">
        <v>0.25492334152532048</v>
      </c>
      <c r="O872" s="19">
        <v>0</v>
      </c>
      <c r="P872" s="19">
        <v>0.15303125826627734</v>
      </c>
      <c r="Q872" s="19">
        <v>3.5654559909702239E-2</v>
      </c>
      <c r="R872" s="19">
        <v>0.45215847007749266</v>
      </c>
      <c r="S872" s="19">
        <v>0.10423237022120727</v>
      </c>
      <c r="T872" s="20">
        <v>12</v>
      </c>
      <c r="U872" s="17">
        <v>3</v>
      </c>
      <c r="V872" s="17">
        <v>51</v>
      </c>
    </row>
    <row r="873" spans="1:22" x14ac:dyDescent="0.2">
      <c r="A873" t="s">
        <v>2658</v>
      </c>
      <c r="B873" t="s">
        <v>2418</v>
      </c>
      <c r="C873" t="s">
        <v>2419</v>
      </c>
      <c r="D873" t="s">
        <v>2622</v>
      </c>
      <c r="E873" s="10" t="s">
        <v>2659</v>
      </c>
      <c r="F873" s="10"/>
      <c r="G873" s="10"/>
      <c r="H873" s="10" t="s">
        <v>2659</v>
      </c>
      <c r="I873" s="14">
        <v>327721.2571743771</v>
      </c>
      <c r="J873" s="19">
        <v>0.60202755343426217</v>
      </c>
      <c r="K873" s="19">
        <v>0.14651753670360787</v>
      </c>
      <c r="L873" s="19">
        <v>0.25145490986212998</v>
      </c>
      <c r="M873" s="20">
        <v>3</v>
      </c>
      <c r="N873" s="19">
        <v>4.1771503429208719E-2</v>
      </c>
      <c r="O873" s="19">
        <v>0</v>
      </c>
      <c r="P873" s="19">
        <v>0.10474603327439914</v>
      </c>
      <c r="Q873" s="19">
        <v>5.4439712011462513E-2</v>
      </c>
      <c r="R873" s="19">
        <v>0.15767608222241572</v>
      </c>
      <c r="S873" s="19">
        <v>3.9339115628251715E-2</v>
      </c>
      <c r="T873" s="20">
        <v>30</v>
      </c>
      <c r="U873" s="17">
        <v>3</v>
      </c>
      <c r="V873" s="17">
        <v>51</v>
      </c>
    </row>
    <row r="874" spans="1:22" x14ac:dyDescent="0.2">
      <c r="A874" t="s">
        <v>2660</v>
      </c>
      <c r="B874" t="s">
        <v>2418</v>
      </c>
      <c r="C874" t="s">
        <v>2419</v>
      </c>
      <c r="D874" t="s">
        <v>2622</v>
      </c>
      <c r="E874" s="10" t="s">
        <v>2661</v>
      </c>
      <c r="F874" s="10"/>
      <c r="G874" s="10"/>
      <c r="H874" s="10" t="s">
        <v>2661</v>
      </c>
      <c r="I874" s="14">
        <v>41274.731012362754</v>
      </c>
      <c r="J874" s="19">
        <v>0</v>
      </c>
      <c r="K874" s="19">
        <v>0.34272303120287206</v>
      </c>
      <c r="L874" s="19">
        <v>0.65727696879712805</v>
      </c>
      <c r="M874" s="20">
        <v>1</v>
      </c>
      <c r="N874" s="19">
        <v>0.19686252064251952</v>
      </c>
      <c r="O874" s="19">
        <v>0</v>
      </c>
      <c r="P874" s="19">
        <v>0.14586051056035246</v>
      </c>
      <c r="Q874" s="19">
        <v>0.11513017473784702</v>
      </c>
      <c r="R874" s="19">
        <v>0.36465732128475004</v>
      </c>
      <c r="S874" s="19">
        <v>0.17748947277453098</v>
      </c>
      <c r="T874" s="20">
        <v>12</v>
      </c>
      <c r="U874" s="17">
        <v>3</v>
      </c>
      <c r="V874" s="17">
        <v>51</v>
      </c>
    </row>
    <row r="875" spans="1:22" x14ac:dyDescent="0.2">
      <c r="A875" t="s">
        <v>2662</v>
      </c>
      <c r="B875" t="s">
        <v>2418</v>
      </c>
      <c r="C875" t="s">
        <v>2419</v>
      </c>
      <c r="D875" t="s">
        <v>2622</v>
      </c>
      <c r="E875" s="10" t="s">
        <v>2663</v>
      </c>
      <c r="F875" s="10"/>
      <c r="G875" s="10"/>
      <c r="H875" s="10" t="s">
        <v>2663</v>
      </c>
      <c r="I875" s="14">
        <v>19778.771703291452</v>
      </c>
      <c r="J875" s="19">
        <v>0</v>
      </c>
      <c r="K875" s="19">
        <v>0</v>
      </c>
      <c r="L875" s="19">
        <v>1</v>
      </c>
      <c r="M875" s="20">
        <v>1</v>
      </c>
      <c r="N875" s="19">
        <v>0</v>
      </c>
      <c r="O875" s="19">
        <v>0</v>
      </c>
      <c r="P875" s="19">
        <v>0</v>
      </c>
      <c r="Q875" s="19">
        <v>6.1479221920191722E-2</v>
      </c>
      <c r="R875" s="19">
        <v>0.77659650326473018</v>
      </c>
      <c r="S875" s="19">
        <v>0.16192427481507804</v>
      </c>
      <c r="T875" s="20">
        <v>12</v>
      </c>
      <c r="U875" s="17">
        <v>3</v>
      </c>
      <c r="V875" s="17">
        <v>51</v>
      </c>
    </row>
    <row r="876" spans="1:22" x14ac:dyDescent="0.2">
      <c r="A876" t="s">
        <v>2664</v>
      </c>
      <c r="B876" t="s">
        <v>2418</v>
      </c>
      <c r="C876" t="s">
        <v>2419</v>
      </c>
      <c r="D876" t="s">
        <v>2622</v>
      </c>
      <c r="E876" s="10" t="s">
        <v>2665</v>
      </c>
      <c r="F876" s="10"/>
      <c r="G876" s="10"/>
      <c r="H876" s="10" t="s">
        <v>2665</v>
      </c>
      <c r="I876" s="14">
        <v>98110.112411229289</v>
      </c>
      <c r="J876" s="19">
        <v>8.025003213609213E-3</v>
      </c>
      <c r="K876" s="19">
        <v>0.87398655160591965</v>
      </c>
      <c r="L876" s="19">
        <v>0.11798844518047118</v>
      </c>
      <c r="M876" s="20">
        <v>2</v>
      </c>
      <c r="N876" s="19">
        <v>0.43263636529695804</v>
      </c>
      <c r="O876" s="19">
        <v>0</v>
      </c>
      <c r="P876" s="19">
        <v>0.44135018630896161</v>
      </c>
      <c r="Q876" s="19">
        <v>1.3662034774517143E-2</v>
      </c>
      <c r="R876" s="19">
        <v>8.913343818820163E-2</v>
      </c>
      <c r="S876" s="19">
        <v>1.5192972217752397E-2</v>
      </c>
      <c r="T876" s="20">
        <v>23</v>
      </c>
      <c r="U876" s="17">
        <v>3</v>
      </c>
      <c r="V876" s="17">
        <v>51</v>
      </c>
    </row>
    <row r="877" spans="1:22" x14ac:dyDescent="0.2">
      <c r="A877" t="s">
        <v>2666</v>
      </c>
      <c r="B877" t="s">
        <v>2418</v>
      </c>
      <c r="C877" t="s">
        <v>2419</v>
      </c>
      <c r="D877" t="s">
        <v>2622</v>
      </c>
      <c r="E877" s="10" t="s">
        <v>2667</v>
      </c>
      <c r="F877" s="10"/>
      <c r="G877" s="10"/>
      <c r="H877" s="10" t="s">
        <v>2667</v>
      </c>
      <c r="I877" s="14">
        <v>43587.37992864137</v>
      </c>
      <c r="J877" s="19">
        <v>0</v>
      </c>
      <c r="K877" s="19">
        <v>0.43155414313197443</v>
      </c>
      <c r="L877" s="19">
        <v>0.56844585686802551</v>
      </c>
      <c r="M877" s="20">
        <v>1</v>
      </c>
      <c r="N877" s="19">
        <v>0.20431138009728972</v>
      </c>
      <c r="O877" s="19">
        <v>0.12271213964301067</v>
      </c>
      <c r="P877" s="19">
        <v>0.10453062339167407</v>
      </c>
      <c r="Q877" s="19">
        <v>7.6999987772831777E-2</v>
      </c>
      <c r="R877" s="19">
        <v>0.38727742047284719</v>
      </c>
      <c r="S877" s="19">
        <v>0.10416844862234659</v>
      </c>
      <c r="T877" s="20">
        <v>12</v>
      </c>
      <c r="U877" s="17">
        <v>3</v>
      </c>
      <c r="V877" s="17">
        <v>51</v>
      </c>
    </row>
    <row r="878" spans="1:22" x14ac:dyDescent="0.2">
      <c r="A878" t="s">
        <v>2668</v>
      </c>
      <c r="B878" t="s">
        <v>2418</v>
      </c>
      <c r="C878" t="s">
        <v>2419</v>
      </c>
      <c r="D878" t="s">
        <v>2622</v>
      </c>
      <c r="E878" s="10" t="s">
        <v>2669</v>
      </c>
      <c r="F878" s="10"/>
      <c r="G878" s="10"/>
      <c r="H878" s="10" t="s">
        <v>2669</v>
      </c>
      <c r="I878" s="14">
        <v>55759.897834623931</v>
      </c>
      <c r="J878" s="19">
        <v>0</v>
      </c>
      <c r="K878" s="19">
        <v>0.71982340667954259</v>
      </c>
      <c r="L878" s="19">
        <v>0.28017659332045747</v>
      </c>
      <c r="M878" s="20">
        <v>2</v>
      </c>
      <c r="N878" s="19">
        <v>0.65468692010310947</v>
      </c>
      <c r="O878" s="19">
        <v>0</v>
      </c>
      <c r="P878" s="19">
        <v>6.5136486576433061E-2</v>
      </c>
      <c r="Q878" s="19">
        <v>1.0061225813424803E-2</v>
      </c>
      <c r="R878" s="19">
        <v>0.1984467628309253</v>
      </c>
      <c r="S878" s="19">
        <v>7.1668604676107348E-2</v>
      </c>
      <c r="T878" s="20">
        <v>23</v>
      </c>
      <c r="U878" s="17">
        <v>3</v>
      </c>
      <c r="V878" s="17">
        <v>51</v>
      </c>
    </row>
    <row r="879" spans="1:22" x14ac:dyDescent="0.2">
      <c r="A879" t="s">
        <v>2670</v>
      </c>
      <c r="B879" t="s">
        <v>2418</v>
      </c>
      <c r="C879" t="s">
        <v>2419</v>
      </c>
      <c r="D879" t="s">
        <v>2622</v>
      </c>
      <c r="E879" s="10" t="s">
        <v>2671</v>
      </c>
      <c r="F879" s="10"/>
      <c r="G879" s="10"/>
      <c r="H879" s="10" t="s">
        <v>2671</v>
      </c>
      <c r="I879" s="14">
        <v>24045.051514750347</v>
      </c>
      <c r="J879" s="19">
        <v>0</v>
      </c>
      <c r="K879" s="19">
        <v>0</v>
      </c>
      <c r="L879" s="19">
        <v>1</v>
      </c>
      <c r="M879" s="20">
        <v>1</v>
      </c>
      <c r="N879" s="19">
        <v>0</v>
      </c>
      <c r="O879" s="19">
        <v>0</v>
      </c>
      <c r="P879" s="19">
        <v>0</v>
      </c>
      <c r="Q879" s="19">
        <v>6.3531052628129317E-2</v>
      </c>
      <c r="R879" s="19">
        <v>0.72603850873015807</v>
      </c>
      <c r="S879" s="19">
        <v>0.2104304386417126</v>
      </c>
      <c r="T879" s="20">
        <v>12</v>
      </c>
      <c r="U879" s="17">
        <v>3</v>
      </c>
      <c r="V879" s="17">
        <v>51</v>
      </c>
    </row>
    <row r="880" spans="1:22" x14ac:dyDescent="0.2">
      <c r="A880" t="s">
        <v>2672</v>
      </c>
      <c r="B880" t="s">
        <v>2418</v>
      </c>
      <c r="C880" t="s">
        <v>2419</v>
      </c>
      <c r="D880" t="s">
        <v>2622</v>
      </c>
      <c r="E880" s="10" t="s">
        <v>2673</v>
      </c>
      <c r="F880" s="10"/>
      <c r="G880" s="10"/>
      <c r="H880" s="10" t="s">
        <v>2673</v>
      </c>
      <c r="I880" s="14">
        <v>96247.983067409601</v>
      </c>
      <c r="J880" s="19">
        <v>0</v>
      </c>
      <c r="K880" s="19">
        <v>0.26505630057377649</v>
      </c>
      <c r="L880" s="19">
        <v>0.73494369942622351</v>
      </c>
      <c r="M880" s="20">
        <v>1</v>
      </c>
      <c r="N880" s="19">
        <v>8.8523165394948575E-2</v>
      </c>
      <c r="O880" s="19">
        <v>0</v>
      </c>
      <c r="P880" s="19">
        <v>0.1765331351788279</v>
      </c>
      <c r="Q880" s="19">
        <v>0.16880077237697971</v>
      </c>
      <c r="R880" s="19">
        <v>0.50659073067543281</v>
      </c>
      <c r="S880" s="19">
        <v>5.955219637381106E-2</v>
      </c>
      <c r="T880" s="20">
        <v>12</v>
      </c>
      <c r="U880" s="17">
        <v>3</v>
      </c>
      <c r="V880" s="17">
        <v>51</v>
      </c>
    </row>
    <row r="881" spans="1:22" x14ac:dyDescent="0.2">
      <c r="A881" t="s">
        <v>2674</v>
      </c>
      <c r="B881" t="s">
        <v>2418</v>
      </c>
      <c r="C881" t="s">
        <v>2419</v>
      </c>
      <c r="D881" t="s">
        <v>2622</v>
      </c>
      <c r="E881" s="10" t="s">
        <v>2675</v>
      </c>
      <c r="F881" s="10"/>
      <c r="G881" s="10"/>
      <c r="H881" s="10" t="s">
        <v>2675</v>
      </c>
      <c r="I881" s="14">
        <v>250689.89945752546</v>
      </c>
      <c r="J881" s="19">
        <v>0.6217783000548579</v>
      </c>
      <c r="K881" s="19">
        <v>0.24342233033615832</v>
      </c>
      <c r="L881" s="19">
        <v>0.13479936960898375</v>
      </c>
      <c r="M881" s="20">
        <v>3</v>
      </c>
      <c r="N881" s="19">
        <v>0.11573249142357539</v>
      </c>
      <c r="O881" s="19">
        <v>0</v>
      </c>
      <c r="P881" s="19">
        <v>0.12768983891258293</v>
      </c>
      <c r="Q881" s="19">
        <v>1.9963413244618259E-2</v>
      </c>
      <c r="R881" s="19">
        <v>8.5748539860774228E-2</v>
      </c>
      <c r="S881" s="19">
        <v>2.9087416503591257E-2</v>
      </c>
      <c r="T881" s="20">
        <v>30</v>
      </c>
      <c r="U881" s="17">
        <v>3</v>
      </c>
      <c r="V881" s="17">
        <v>51</v>
      </c>
    </row>
    <row r="882" spans="1:22" x14ac:dyDescent="0.2">
      <c r="A882" t="s">
        <v>2676</v>
      </c>
      <c r="B882" t="s">
        <v>2418</v>
      </c>
      <c r="C882" t="s">
        <v>2419</v>
      </c>
      <c r="D882" t="s">
        <v>2622</v>
      </c>
      <c r="E882" s="10" t="s">
        <v>2677</v>
      </c>
      <c r="F882" s="10"/>
      <c r="G882" s="10"/>
      <c r="H882" s="10" t="s">
        <v>2677</v>
      </c>
      <c r="I882" s="14">
        <v>50964.198737912811</v>
      </c>
      <c r="J882" s="19">
        <v>0</v>
      </c>
      <c r="K882" s="19">
        <v>0</v>
      </c>
      <c r="L882" s="19">
        <v>1</v>
      </c>
      <c r="M882" s="20">
        <v>1</v>
      </c>
      <c r="N882" s="19">
        <v>0</v>
      </c>
      <c r="O882" s="19">
        <v>0</v>
      </c>
      <c r="P882" s="19">
        <v>0</v>
      </c>
      <c r="Q882" s="19">
        <v>0.39104846179307884</v>
      </c>
      <c r="R882" s="19">
        <v>0.49502035724301119</v>
      </c>
      <c r="S882" s="19">
        <v>0.11393118096390996</v>
      </c>
      <c r="T882" s="20">
        <v>12</v>
      </c>
      <c r="U882" s="17">
        <v>3</v>
      </c>
      <c r="V882" s="17">
        <v>51</v>
      </c>
    </row>
    <row r="883" spans="1:22" x14ac:dyDescent="0.2">
      <c r="A883" t="s">
        <v>2678</v>
      </c>
      <c r="B883" t="s">
        <v>2418</v>
      </c>
      <c r="C883" t="s">
        <v>2419</v>
      </c>
      <c r="D883" t="s">
        <v>2622</v>
      </c>
      <c r="E883" s="10" t="s">
        <v>2679</v>
      </c>
      <c r="F883" s="10"/>
      <c r="G883" s="10"/>
      <c r="H883" s="10" t="s">
        <v>2679</v>
      </c>
      <c r="I883" s="14">
        <v>20699.794330719858</v>
      </c>
      <c r="J883" s="19">
        <v>0</v>
      </c>
      <c r="K883" s="19">
        <v>0.29243481745979233</v>
      </c>
      <c r="L883" s="19">
        <v>0.70756518254020773</v>
      </c>
      <c r="M883" s="20">
        <v>1</v>
      </c>
      <c r="N883" s="19">
        <v>0</v>
      </c>
      <c r="O883" s="19">
        <v>0.29243481745979233</v>
      </c>
      <c r="P883" s="19">
        <v>0</v>
      </c>
      <c r="Q883" s="19">
        <v>3.5634423507887911E-2</v>
      </c>
      <c r="R883" s="19">
        <v>0.57713747340216481</v>
      </c>
      <c r="S883" s="19">
        <v>9.4793285630155016E-2</v>
      </c>
      <c r="T883" s="20">
        <v>12</v>
      </c>
      <c r="U883" s="17">
        <v>3</v>
      </c>
      <c r="V883" s="17">
        <v>51</v>
      </c>
    </row>
    <row r="884" spans="1:22" x14ac:dyDescent="0.2">
      <c r="A884" t="s">
        <v>2680</v>
      </c>
      <c r="B884" t="s">
        <v>2418</v>
      </c>
      <c r="C884" t="s">
        <v>2419</v>
      </c>
      <c r="D884" t="s">
        <v>2622</v>
      </c>
      <c r="E884" s="10" t="s">
        <v>2681</v>
      </c>
      <c r="F884" s="10"/>
      <c r="G884" s="10"/>
      <c r="H884" s="10" t="s">
        <v>2681</v>
      </c>
      <c r="I884" s="14">
        <v>88480.605254370952</v>
      </c>
      <c r="J884" s="19">
        <v>0</v>
      </c>
      <c r="K884" s="19">
        <v>0.38781798601986678</v>
      </c>
      <c r="L884" s="19">
        <v>0.61218201398013328</v>
      </c>
      <c r="M884" s="20">
        <v>1</v>
      </c>
      <c r="N884" s="19">
        <v>0.24595929042878145</v>
      </c>
      <c r="O884" s="19">
        <v>0</v>
      </c>
      <c r="P884" s="19">
        <v>0.1418586955910853</v>
      </c>
      <c r="Q884" s="19">
        <v>0.11579818246573399</v>
      </c>
      <c r="R884" s="19">
        <v>0.41374446458854852</v>
      </c>
      <c r="S884" s="19">
        <v>8.2639366925850735E-2</v>
      </c>
      <c r="T884" s="20">
        <v>12</v>
      </c>
      <c r="U884" s="17">
        <v>3</v>
      </c>
      <c r="V884" s="17">
        <v>51</v>
      </c>
    </row>
    <row r="885" spans="1:22" x14ac:dyDescent="0.2">
      <c r="A885" t="s">
        <v>2682</v>
      </c>
      <c r="B885" t="s">
        <v>2418</v>
      </c>
      <c r="C885" t="s">
        <v>2419</v>
      </c>
      <c r="D885" t="s">
        <v>2622</v>
      </c>
      <c r="E885" s="10" t="s">
        <v>2683</v>
      </c>
      <c r="F885" s="10"/>
      <c r="G885" s="10"/>
      <c r="H885" s="10" t="s">
        <v>2683</v>
      </c>
      <c r="I885" s="14">
        <v>31846.865215521309</v>
      </c>
      <c r="J885" s="19">
        <v>0</v>
      </c>
      <c r="K885" s="19">
        <v>0.26687776704585064</v>
      </c>
      <c r="L885" s="19">
        <v>0.73312223295414924</v>
      </c>
      <c r="M885" s="20">
        <v>1</v>
      </c>
      <c r="N885" s="19">
        <v>0</v>
      </c>
      <c r="O885" s="19">
        <v>0.26687776704585064</v>
      </c>
      <c r="P885" s="19">
        <v>0</v>
      </c>
      <c r="Q885" s="19">
        <v>4.7174330776710169E-2</v>
      </c>
      <c r="R885" s="19">
        <v>0.52978064877169762</v>
      </c>
      <c r="S885" s="19">
        <v>0.15616725340574147</v>
      </c>
      <c r="T885" s="20">
        <v>12</v>
      </c>
      <c r="U885" s="17">
        <v>3</v>
      </c>
      <c r="V885" s="17">
        <v>51</v>
      </c>
    </row>
    <row r="886" spans="1:22" x14ac:dyDescent="0.2">
      <c r="A886" t="s">
        <v>2684</v>
      </c>
      <c r="B886" t="s">
        <v>2418</v>
      </c>
      <c r="C886" t="s">
        <v>2419</v>
      </c>
      <c r="D886" t="s">
        <v>2685</v>
      </c>
      <c r="E886" s="10" t="s">
        <v>2686</v>
      </c>
      <c r="F886" s="10"/>
      <c r="G886" s="10"/>
      <c r="H886" s="10" t="s">
        <v>2686</v>
      </c>
      <c r="I886" s="14">
        <v>1029046.9487488538</v>
      </c>
      <c r="J886" s="19">
        <v>0.89100015865139925</v>
      </c>
      <c r="K886" s="19">
        <v>9.8282691561590571E-2</v>
      </c>
      <c r="L886" s="19">
        <v>1.0717149787010192E-2</v>
      </c>
      <c r="M886" s="20">
        <v>3</v>
      </c>
      <c r="N886" s="19">
        <v>4.9381714927096393E-2</v>
      </c>
      <c r="O886" s="19">
        <v>0</v>
      </c>
      <c r="P886" s="19">
        <v>4.8900976634494178E-2</v>
      </c>
      <c r="Q886" s="19">
        <v>2.7048728170545873E-3</v>
      </c>
      <c r="R886" s="19">
        <v>6.7088563846520342E-3</v>
      </c>
      <c r="S886" s="19">
        <v>1.3034205853035706E-3</v>
      </c>
      <c r="T886" s="20">
        <v>30</v>
      </c>
      <c r="U886" s="17">
        <v>3</v>
      </c>
      <c r="V886" s="17">
        <v>51</v>
      </c>
    </row>
    <row r="887" spans="1:22" x14ac:dyDescent="0.2">
      <c r="A887" t="s">
        <v>2687</v>
      </c>
      <c r="B887" t="s">
        <v>2418</v>
      </c>
      <c r="C887" t="s">
        <v>2419</v>
      </c>
      <c r="D887" t="s">
        <v>2685</v>
      </c>
      <c r="E887" s="10" t="s">
        <v>2688</v>
      </c>
      <c r="F887" s="10"/>
      <c r="G887" s="10"/>
      <c r="H887" s="10" t="s">
        <v>2688</v>
      </c>
      <c r="I887" s="14">
        <v>1572924.3395356627</v>
      </c>
      <c r="J887" s="19">
        <v>0.88565507172591107</v>
      </c>
      <c r="K887" s="19">
        <v>0.10226787231893104</v>
      </c>
      <c r="L887" s="19">
        <v>1.2077055955157638E-2</v>
      </c>
      <c r="M887" s="20">
        <v>3</v>
      </c>
      <c r="N887" s="19">
        <v>6.3686617700819417E-2</v>
      </c>
      <c r="O887" s="19">
        <v>0</v>
      </c>
      <c r="P887" s="19">
        <v>3.858125461811162E-2</v>
      </c>
      <c r="Q887" s="19">
        <v>2.3300725853431944E-3</v>
      </c>
      <c r="R887" s="19">
        <v>8.6618348894193075E-3</v>
      </c>
      <c r="S887" s="19">
        <v>1.0851484803951358E-3</v>
      </c>
      <c r="T887" s="20">
        <v>30</v>
      </c>
      <c r="U887" s="17">
        <v>3</v>
      </c>
      <c r="V887" s="17">
        <v>51</v>
      </c>
    </row>
    <row r="888" spans="1:22" x14ac:dyDescent="0.2">
      <c r="A888" t="s">
        <v>2689</v>
      </c>
      <c r="B888" t="s">
        <v>2418</v>
      </c>
      <c r="C888" t="s">
        <v>2419</v>
      </c>
      <c r="D888" t="s">
        <v>2685</v>
      </c>
      <c r="E888" s="10" t="s">
        <v>2690</v>
      </c>
      <c r="F888" s="10"/>
      <c r="G888" s="10"/>
      <c r="H888" s="10" t="s">
        <v>2690</v>
      </c>
      <c r="I888" s="14">
        <v>274812.85389536561</v>
      </c>
      <c r="J888" s="19">
        <v>0.22530120223017758</v>
      </c>
      <c r="K888" s="19">
        <v>0.64307046215183272</v>
      </c>
      <c r="L888" s="19">
        <v>0.13162833561798973</v>
      </c>
      <c r="M888" s="20">
        <v>2</v>
      </c>
      <c r="N888" s="19">
        <v>0.31886280215531637</v>
      </c>
      <c r="O888" s="19">
        <v>3.9694705403334259E-2</v>
      </c>
      <c r="P888" s="19">
        <v>0.28451295459318204</v>
      </c>
      <c r="Q888" s="19">
        <v>4.4031749340152575E-2</v>
      </c>
      <c r="R888" s="19">
        <v>7.0065767426619061E-2</v>
      </c>
      <c r="S888" s="19">
        <v>1.7530818851218103E-2</v>
      </c>
      <c r="T888" s="20">
        <v>23</v>
      </c>
      <c r="U888" s="17">
        <v>3</v>
      </c>
      <c r="V888" s="17">
        <v>51</v>
      </c>
    </row>
    <row r="889" spans="1:22" x14ac:dyDescent="0.2">
      <c r="A889" t="s">
        <v>2691</v>
      </c>
      <c r="B889" t="s">
        <v>2418</v>
      </c>
      <c r="C889" t="s">
        <v>2419</v>
      </c>
      <c r="D889" t="s">
        <v>2685</v>
      </c>
      <c r="E889" s="10" t="s">
        <v>2692</v>
      </c>
      <c r="F889" s="10"/>
      <c r="G889" s="10"/>
      <c r="H889" s="10" t="s">
        <v>2692</v>
      </c>
      <c r="I889" s="14">
        <v>1066997.2602291941</v>
      </c>
      <c r="J889" s="19">
        <v>0.9149537897771729</v>
      </c>
      <c r="K889" s="19">
        <v>7.0256719028133269E-2</v>
      </c>
      <c r="L889" s="19">
        <v>1.4789491194693886E-2</v>
      </c>
      <c r="M889" s="20">
        <v>3</v>
      </c>
      <c r="N889" s="19">
        <v>1.852628897065145E-2</v>
      </c>
      <c r="O889" s="19">
        <v>0</v>
      </c>
      <c r="P889" s="19">
        <v>5.1730430057481812E-2</v>
      </c>
      <c r="Q889" s="19">
        <v>4.8993928467463256E-3</v>
      </c>
      <c r="R889" s="19">
        <v>8.8886030953208017E-3</v>
      </c>
      <c r="S889" s="19">
        <v>1.0014952526267607E-3</v>
      </c>
      <c r="T889" s="20">
        <v>30</v>
      </c>
      <c r="U889" s="17">
        <v>3</v>
      </c>
      <c r="V889" s="17">
        <v>51</v>
      </c>
    </row>
    <row r="890" spans="1:22" x14ac:dyDescent="0.2">
      <c r="A890" t="s">
        <v>2693</v>
      </c>
      <c r="B890" t="s">
        <v>2418</v>
      </c>
      <c r="C890" t="s">
        <v>2419</v>
      </c>
      <c r="D890" t="s">
        <v>2685</v>
      </c>
      <c r="E890" s="10" t="s">
        <v>2694</v>
      </c>
      <c r="F890" s="10"/>
      <c r="G890" s="10"/>
      <c r="H890" s="10" t="s">
        <v>2694</v>
      </c>
      <c r="I890" s="14">
        <v>244558.23792482502</v>
      </c>
      <c r="J890" s="19">
        <v>3.1919643865717446E-6</v>
      </c>
      <c r="K890" s="19">
        <v>0.83692355605645463</v>
      </c>
      <c r="L890" s="19">
        <v>0.16307325197915895</v>
      </c>
      <c r="M890" s="20">
        <v>2</v>
      </c>
      <c r="N890" s="19">
        <v>0.43127205599351476</v>
      </c>
      <c r="O890" s="19">
        <v>0.10909707795234729</v>
      </c>
      <c r="P890" s="19">
        <v>0.29655442211059252</v>
      </c>
      <c r="Q890" s="19">
        <v>2.7538675946214657E-2</v>
      </c>
      <c r="R890" s="19">
        <v>0.12003338897297235</v>
      </c>
      <c r="S890" s="19">
        <v>1.5501187059971938E-2</v>
      </c>
      <c r="T890" s="20">
        <v>23</v>
      </c>
      <c r="U890" s="17">
        <v>3</v>
      </c>
      <c r="V890" s="17">
        <v>51</v>
      </c>
    </row>
    <row r="891" spans="1:22" x14ac:dyDescent="0.2">
      <c r="A891" t="s">
        <v>2695</v>
      </c>
      <c r="B891" t="s">
        <v>2418</v>
      </c>
      <c r="C891" t="s">
        <v>2419</v>
      </c>
      <c r="D891" t="s">
        <v>2685</v>
      </c>
      <c r="E891" s="10" t="s">
        <v>2696</v>
      </c>
      <c r="F891" s="10"/>
      <c r="G891" s="10"/>
      <c r="H891" s="10" t="s">
        <v>2696</v>
      </c>
      <c r="I891" s="14">
        <v>290845.98368927487</v>
      </c>
      <c r="J891" s="19">
        <v>0</v>
      </c>
      <c r="K891" s="19">
        <v>0.81079628862816977</v>
      </c>
      <c r="L891" s="19">
        <v>0.18920371137183026</v>
      </c>
      <c r="M891" s="20">
        <v>2</v>
      </c>
      <c r="N891" s="19">
        <v>0.39044771247742383</v>
      </c>
      <c r="O891" s="19">
        <v>0</v>
      </c>
      <c r="P891" s="19">
        <v>0.42034857615074595</v>
      </c>
      <c r="Q891" s="19">
        <v>2.0787989884585249E-2</v>
      </c>
      <c r="R891" s="19">
        <v>0.15673876844707119</v>
      </c>
      <c r="S891" s="19">
        <v>1.1676953040173795E-2</v>
      </c>
      <c r="T891" s="20">
        <v>23</v>
      </c>
      <c r="U891" s="17">
        <v>3</v>
      </c>
      <c r="V891" s="17">
        <v>51</v>
      </c>
    </row>
    <row r="892" spans="1:22" x14ac:dyDescent="0.2">
      <c r="A892" t="s">
        <v>2697</v>
      </c>
      <c r="B892" t="s">
        <v>2418</v>
      </c>
      <c r="C892" t="s">
        <v>2419</v>
      </c>
      <c r="D892" t="s">
        <v>2685</v>
      </c>
      <c r="E892" s="10" t="s">
        <v>2698</v>
      </c>
      <c r="F892" s="10"/>
      <c r="G892" s="10"/>
      <c r="H892" s="10" t="s">
        <v>2698</v>
      </c>
      <c r="I892" s="14">
        <v>2329009.304852359</v>
      </c>
      <c r="J892" s="19">
        <v>0.98612267135944198</v>
      </c>
      <c r="K892" s="19">
        <v>1.3350508539394139E-2</v>
      </c>
      <c r="L892" s="19">
        <v>5.2682010116403191E-4</v>
      </c>
      <c r="M892" s="20">
        <v>3</v>
      </c>
      <c r="N892" s="19">
        <v>7.4473989060151917E-3</v>
      </c>
      <c r="O892" s="19">
        <v>0</v>
      </c>
      <c r="P892" s="19">
        <v>5.9031096333789484E-3</v>
      </c>
      <c r="Q892" s="19">
        <v>0</v>
      </c>
      <c r="R892" s="19">
        <v>4.602359385718019E-4</v>
      </c>
      <c r="S892" s="19">
        <v>6.6584162592229947E-5</v>
      </c>
      <c r="T892" s="20">
        <v>30</v>
      </c>
      <c r="U892" s="17">
        <v>3</v>
      </c>
      <c r="V892" s="17">
        <v>51</v>
      </c>
    </row>
    <row r="893" spans="1:22" x14ac:dyDescent="0.2">
      <c r="A893" t="s">
        <v>2699</v>
      </c>
      <c r="B893" t="s">
        <v>2418</v>
      </c>
      <c r="C893" t="s">
        <v>2419</v>
      </c>
      <c r="D893" t="s">
        <v>2685</v>
      </c>
      <c r="E893" s="10" t="s">
        <v>2700</v>
      </c>
      <c r="F893" s="10"/>
      <c r="G893" s="10"/>
      <c r="H893" s="10" t="s">
        <v>2700</v>
      </c>
      <c r="I893" s="14">
        <v>131163.22616601596</v>
      </c>
      <c r="J893" s="19">
        <v>0</v>
      </c>
      <c r="K893" s="19">
        <v>0.57183873935229457</v>
      </c>
      <c r="L893" s="19">
        <v>0.4281612606477056</v>
      </c>
      <c r="M893" s="20">
        <v>2</v>
      </c>
      <c r="N893" s="19">
        <v>0.39257106296943434</v>
      </c>
      <c r="O893" s="19">
        <v>0</v>
      </c>
      <c r="P893" s="19">
        <v>0.1792676763828602</v>
      </c>
      <c r="Q893" s="19">
        <v>7.7559431327749701E-2</v>
      </c>
      <c r="R893" s="19">
        <v>0.32459189159735186</v>
      </c>
      <c r="S893" s="19">
        <v>2.6009937722603904E-2</v>
      </c>
      <c r="T893" s="20">
        <v>23</v>
      </c>
      <c r="U893" s="17">
        <v>3</v>
      </c>
      <c r="V893" s="17">
        <v>51</v>
      </c>
    </row>
    <row r="894" spans="1:22" x14ac:dyDescent="0.2">
      <c r="A894" t="s">
        <v>2701</v>
      </c>
      <c r="B894" t="s">
        <v>2418</v>
      </c>
      <c r="C894" t="s">
        <v>2419</v>
      </c>
      <c r="D894" t="s">
        <v>2685</v>
      </c>
      <c r="E894" s="10" t="s">
        <v>2702</v>
      </c>
      <c r="F894" s="10"/>
      <c r="G894" s="10"/>
      <c r="H894" s="10" t="s">
        <v>2702</v>
      </c>
      <c r="I894" s="14">
        <v>279881.08185526216</v>
      </c>
      <c r="J894" s="19">
        <v>0.38550519330845889</v>
      </c>
      <c r="K894" s="19">
        <v>0.48904674060289022</v>
      </c>
      <c r="L894" s="19">
        <v>0.12544806608865083</v>
      </c>
      <c r="M894" s="20">
        <v>2</v>
      </c>
      <c r="N894" s="19">
        <v>0.20601162120945243</v>
      </c>
      <c r="O894" s="19">
        <v>3.3943540853452726E-2</v>
      </c>
      <c r="P894" s="19">
        <v>0.24909157853998506</v>
      </c>
      <c r="Q894" s="19">
        <v>4.5485474772128123E-2</v>
      </c>
      <c r="R894" s="19">
        <v>7.2196964601699914E-2</v>
      </c>
      <c r="S894" s="19">
        <v>7.7656267148228115E-3</v>
      </c>
      <c r="T894" s="20">
        <v>23</v>
      </c>
      <c r="U894" s="17">
        <v>3</v>
      </c>
      <c r="V894" s="17">
        <v>51</v>
      </c>
    </row>
    <row r="895" spans="1:22" x14ac:dyDescent="0.2">
      <c r="A895" t="s">
        <v>2703</v>
      </c>
      <c r="B895" t="s">
        <v>2418</v>
      </c>
      <c r="C895" t="s">
        <v>2419</v>
      </c>
      <c r="D895" t="s">
        <v>2704</v>
      </c>
      <c r="E895" s="10" t="s">
        <v>2705</v>
      </c>
      <c r="F895" s="10"/>
      <c r="G895" s="10"/>
      <c r="H895" s="10" t="s">
        <v>2705</v>
      </c>
      <c r="I895" s="14">
        <v>140161.21670472808</v>
      </c>
      <c r="J895" s="19">
        <v>0</v>
      </c>
      <c r="K895" s="19">
        <v>0.59590227782146721</v>
      </c>
      <c r="L895" s="19">
        <v>0.40409772217853279</v>
      </c>
      <c r="M895" s="20">
        <v>2</v>
      </c>
      <c r="N895" s="19">
        <v>0.12949335849194399</v>
      </c>
      <c r="O895" s="19">
        <v>0</v>
      </c>
      <c r="P895" s="19">
        <v>0.46640891932952327</v>
      </c>
      <c r="Q895" s="19">
        <v>0.17425994004283035</v>
      </c>
      <c r="R895" s="19">
        <v>0.21183418354869382</v>
      </c>
      <c r="S895" s="19">
        <v>1.8003598587008573E-2</v>
      </c>
      <c r="T895" s="20">
        <v>23</v>
      </c>
      <c r="U895" s="17">
        <v>3</v>
      </c>
      <c r="V895" s="17">
        <v>51</v>
      </c>
    </row>
    <row r="896" spans="1:22" x14ac:dyDescent="0.2">
      <c r="A896" t="s">
        <v>2706</v>
      </c>
      <c r="B896" t="s">
        <v>2418</v>
      </c>
      <c r="C896" t="s">
        <v>2419</v>
      </c>
      <c r="D896" t="s">
        <v>2704</v>
      </c>
      <c r="E896" s="10" t="s">
        <v>2707</v>
      </c>
      <c r="F896" s="10"/>
      <c r="G896" s="10"/>
      <c r="H896" s="10" t="s">
        <v>2707</v>
      </c>
      <c r="I896" s="14">
        <v>158815.3643898787</v>
      </c>
      <c r="J896" s="19">
        <v>0.39785356602399818</v>
      </c>
      <c r="K896" s="19">
        <v>0.34404086307024201</v>
      </c>
      <c r="L896" s="19">
        <v>0.25810557090575981</v>
      </c>
      <c r="M896" s="20">
        <v>2</v>
      </c>
      <c r="N896" s="19">
        <v>0.16846959439202569</v>
      </c>
      <c r="O896" s="19">
        <v>3.4977793579036062E-2</v>
      </c>
      <c r="P896" s="19">
        <v>0.14059347509918027</v>
      </c>
      <c r="Q896" s="19">
        <v>0.1094295014085914</v>
      </c>
      <c r="R896" s="19">
        <v>0.12278403730297108</v>
      </c>
      <c r="S896" s="19">
        <v>2.589203219419732E-2</v>
      </c>
      <c r="T896" s="20">
        <v>23</v>
      </c>
      <c r="U896" s="17">
        <v>3</v>
      </c>
      <c r="V896" s="17">
        <v>51</v>
      </c>
    </row>
    <row r="897" spans="1:22" x14ac:dyDescent="0.2">
      <c r="A897" t="s">
        <v>2708</v>
      </c>
      <c r="B897" t="s">
        <v>2418</v>
      </c>
      <c r="C897" t="s">
        <v>2419</v>
      </c>
      <c r="D897" t="s">
        <v>2704</v>
      </c>
      <c r="E897" s="10" t="s">
        <v>2709</v>
      </c>
      <c r="F897" s="10"/>
      <c r="G897" s="10"/>
      <c r="H897" s="10" t="s">
        <v>2709</v>
      </c>
      <c r="I897" s="14">
        <v>74808.507584339503</v>
      </c>
      <c r="J897" s="19">
        <v>0</v>
      </c>
      <c r="K897" s="19">
        <v>0.33642640956505426</v>
      </c>
      <c r="L897" s="19">
        <v>0.66357359043494557</v>
      </c>
      <c r="M897" s="20">
        <v>1</v>
      </c>
      <c r="N897" s="19">
        <v>0.13162051289700527</v>
      </c>
      <c r="O897" s="19">
        <v>0</v>
      </c>
      <c r="P897" s="19">
        <v>0.20480589666804902</v>
      </c>
      <c r="Q897" s="19">
        <v>0.21771484087500867</v>
      </c>
      <c r="R897" s="19">
        <v>0.39793501301959189</v>
      </c>
      <c r="S897" s="19">
        <v>4.7923736540345187E-2</v>
      </c>
      <c r="T897" s="20">
        <v>12</v>
      </c>
      <c r="U897" s="17">
        <v>3</v>
      </c>
      <c r="V897" s="17">
        <v>51</v>
      </c>
    </row>
    <row r="898" spans="1:22" x14ac:dyDescent="0.2">
      <c r="A898" t="s">
        <v>2710</v>
      </c>
      <c r="B898" t="s">
        <v>2418</v>
      </c>
      <c r="C898" t="s">
        <v>2419</v>
      </c>
      <c r="D898" t="s">
        <v>2704</v>
      </c>
      <c r="E898" s="10" t="s">
        <v>2711</v>
      </c>
      <c r="F898" s="10"/>
      <c r="G898" s="10"/>
      <c r="H898" s="10" t="s">
        <v>2711</v>
      </c>
      <c r="I898" s="14">
        <v>178684.98474415718</v>
      </c>
      <c r="J898" s="19">
        <v>0.33848820495258564</v>
      </c>
      <c r="K898" s="19">
        <v>0.4343656653220393</v>
      </c>
      <c r="L898" s="19">
        <v>0.2271461297253751</v>
      </c>
      <c r="M898" s="20">
        <v>2</v>
      </c>
      <c r="N898" s="19">
        <v>0.10756070934414561</v>
      </c>
      <c r="O898" s="19">
        <v>0.17942680760288443</v>
      </c>
      <c r="P898" s="19">
        <v>0.14737814837500926</v>
      </c>
      <c r="Q898" s="19">
        <v>5.917223930612938E-2</v>
      </c>
      <c r="R898" s="19">
        <v>0.13578929967633538</v>
      </c>
      <c r="S898" s="19">
        <v>3.2184590742910309E-2</v>
      </c>
      <c r="T898" s="20">
        <v>22</v>
      </c>
      <c r="U898" s="17">
        <v>3</v>
      </c>
      <c r="V898" s="17">
        <v>51</v>
      </c>
    </row>
    <row r="899" spans="1:22" x14ac:dyDescent="0.2">
      <c r="A899" t="s">
        <v>2712</v>
      </c>
      <c r="B899" t="s">
        <v>2418</v>
      </c>
      <c r="C899" t="s">
        <v>2419</v>
      </c>
      <c r="D899" t="s">
        <v>2704</v>
      </c>
      <c r="E899" s="10" t="s">
        <v>2713</v>
      </c>
      <c r="F899" s="10"/>
      <c r="G899" s="10"/>
      <c r="H899" s="10" t="s">
        <v>2713</v>
      </c>
      <c r="I899" s="14">
        <v>395609.03493183851</v>
      </c>
      <c r="J899" s="19">
        <v>0.61645481095391375</v>
      </c>
      <c r="K899" s="19">
        <v>0.35009798793667707</v>
      </c>
      <c r="L899" s="19">
        <v>3.34472011094092E-2</v>
      </c>
      <c r="M899" s="20">
        <v>3</v>
      </c>
      <c r="N899" s="19">
        <v>0.11778494012261878</v>
      </c>
      <c r="O899" s="19">
        <v>0</v>
      </c>
      <c r="P899" s="19">
        <v>0.23231304781405829</v>
      </c>
      <c r="Q899" s="19">
        <v>2.4726390471583154E-3</v>
      </c>
      <c r="R899" s="19">
        <v>2.8584854936319865E-2</v>
      </c>
      <c r="S899" s="19">
        <v>2.3897071259310178E-3</v>
      </c>
      <c r="T899" s="20">
        <v>30</v>
      </c>
      <c r="U899" s="17">
        <v>3</v>
      </c>
      <c r="V899" s="17">
        <v>51</v>
      </c>
    </row>
    <row r="900" spans="1:22" x14ac:dyDescent="0.2">
      <c r="A900" t="s">
        <v>2714</v>
      </c>
      <c r="B900" t="s">
        <v>2418</v>
      </c>
      <c r="C900" t="s">
        <v>2419</v>
      </c>
      <c r="D900" t="s">
        <v>2704</v>
      </c>
      <c r="E900" s="10" t="s">
        <v>2715</v>
      </c>
      <c r="F900" s="10"/>
      <c r="G900" s="10"/>
      <c r="H900" s="10" t="s">
        <v>2715</v>
      </c>
      <c r="I900" s="14">
        <v>103986.58908126947</v>
      </c>
      <c r="J900" s="19">
        <v>0</v>
      </c>
      <c r="K900" s="19">
        <v>0.71369971091930628</v>
      </c>
      <c r="L900" s="19">
        <v>0.28630028908069355</v>
      </c>
      <c r="M900" s="20">
        <v>2</v>
      </c>
      <c r="N900" s="19">
        <v>0.28357939609064137</v>
      </c>
      <c r="O900" s="19">
        <v>5.3313281731907664E-2</v>
      </c>
      <c r="P900" s="19">
        <v>0.37680703309675728</v>
      </c>
      <c r="Q900" s="19">
        <v>9.5812497481580522E-2</v>
      </c>
      <c r="R900" s="19">
        <v>0.16744105039931484</v>
      </c>
      <c r="S900" s="19">
        <v>2.3046741199798226E-2</v>
      </c>
      <c r="T900" s="20">
        <v>23</v>
      </c>
      <c r="U900" s="17">
        <v>3</v>
      </c>
      <c r="V900" s="17">
        <v>51</v>
      </c>
    </row>
    <row r="901" spans="1:22" x14ac:dyDescent="0.2">
      <c r="A901" t="s">
        <v>2716</v>
      </c>
      <c r="B901" t="s">
        <v>2418</v>
      </c>
      <c r="C901" t="s">
        <v>2419</v>
      </c>
      <c r="D901" t="s">
        <v>2704</v>
      </c>
      <c r="E901" s="10" t="s">
        <v>2717</v>
      </c>
      <c r="F901" s="10"/>
      <c r="G901" s="10"/>
      <c r="H901" s="10" t="s">
        <v>2717</v>
      </c>
      <c r="I901" s="14">
        <v>58960.756350140786</v>
      </c>
      <c r="J901" s="19">
        <v>0</v>
      </c>
      <c r="K901" s="19">
        <v>0</v>
      </c>
      <c r="L901" s="19">
        <v>1</v>
      </c>
      <c r="M901" s="20">
        <v>1</v>
      </c>
      <c r="N901" s="19">
        <v>0</v>
      </c>
      <c r="O901" s="19">
        <v>0</v>
      </c>
      <c r="P901" s="19">
        <v>0</v>
      </c>
      <c r="Q901" s="19">
        <v>0.41946915964199044</v>
      </c>
      <c r="R901" s="19">
        <v>0.50645149668464362</v>
      </c>
      <c r="S901" s="19">
        <v>7.4079343673365813E-2</v>
      </c>
      <c r="T901" s="20">
        <v>12</v>
      </c>
      <c r="U901" s="17">
        <v>3</v>
      </c>
      <c r="V901" s="17">
        <v>51</v>
      </c>
    </row>
    <row r="902" spans="1:22" x14ac:dyDescent="0.2">
      <c r="A902" t="s">
        <v>2718</v>
      </c>
      <c r="B902" t="s">
        <v>2719</v>
      </c>
      <c r="C902" t="s">
        <v>2720</v>
      </c>
      <c r="D902" t="s">
        <v>2721</v>
      </c>
      <c r="E902" s="10" t="s">
        <v>2722</v>
      </c>
      <c r="F902" s="10"/>
      <c r="G902" s="10"/>
      <c r="H902" s="10" t="s">
        <v>2722</v>
      </c>
      <c r="I902" s="14">
        <v>45009.657592534553</v>
      </c>
      <c r="J902" s="19">
        <v>0</v>
      </c>
      <c r="K902" s="19">
        <v>0.82866431615217173</v>
      </c>
      <c r="L902" s="19">
        <v>0.17133568384782824</v>
      </c>
      <c r="M902" s="20">
        <v>2</v>
      </c>
      <c r="N902" s="19">
        <v>0.51191610919093011</v>
      </c>
      <c r="O902" s="19">
        <v>0</v>
      </c>
      <c r="P902" s="19">
        <v>0.31674820696124167</v>
      </c>
      <c r="Q902" s="19">
        <v>5.2675431960216061E-2</v>
      </c>
      <c r="R902" s="19">
        <v>0.11263416244152001</v>
      </c>
      <c r="S902" s="19">
        <v>6.0260894460921859E-3</v>
      </c>
      <c r="T902" s="20">
        <v>23</v>
      </c>
      <c r="U902" s="17">
        <v>2</v>
      </c>
      <c r="V902" s="17">
        <v>34</v>
      </c>
    </row>
    <row r="903" spans="1:22" x14ac:dyDescent="0.2">
      <c r="A903" t="s">
        <v>2723</v>
      </c>
      <c r="B903" t="s">
        <v>2719</v>
      </c>
      <c r="C903" t="s">
        <v>2720</v>
      </c>
      <c r="D903" t="s">
        <v>2721</v>
      </c>
      <c r="E903" s="10" t="s">
        <v>2724</v>
      </c>
      <c r="F903" s="10"/>
      <c r="G903" s="10"/>
      <c r="H903" s="10" t="s">
        <v>2724</v>
      </c>
      <c r="I903" s="14">
        <v>5407.4347520172596</v>
      </c>
      <c r="J903" s="19">
        <v>0</v>
      </c>
      <c r="K903" s="19">
        <v>0</v>
      </c>
      <c r="L903" s="19">
        <v>1</v>
      </c>
      <c r="M903" s="20">
        <v>1</v>
      </c>
      <c r="N903" s="19">
        <v>0</v>
      </c>
      <c r="O903" s="19">
        <v>0</v>
      </c>
      <c r="P903" s="19">
        <v>0</v>
      </c>
      <c r="Q903" s="19">
        <v>0.87639334705634253</v>
      </c>
      <c r="R903" s="19">
        <v>0.10887385028324567</v>
      </c>
      <c r="S903" s="19">
        <v>1.4732802660411781E-2</v>
      </c>
      <c r="T903" s="20">
        <v>13</v>
      </c>
      <c r="U903" s="17">
        <v>2</v>
      </c>
      <c r="V903" s="17">
        <v>34</v>
      </c>
    </row>
    <row r="904" spans="1:22" x14ac:dyDescent="0.2">
      <c r="A904" t="s">
        <v>2725</v>
      </c>
      <c r="B904" t="s">
        <v>2719</v>
      </c>
      <c r="C904" t="s">
        <v>2720</v>
      </c>
      <c r="D904" t="s">
        <v>2721</v>
      </c>
      <c r="E904" s="10" t="s">
        <v>2726</v>
      </c>
      <c r="F904" s="10"/>
      <c r="G904" s="10"/>
      <c r="H904" s="10" t="s">
        <v>2726</v>
      </c>
      <c r="I904" s="14">
        <v>19561.506223751232</v>
      </c>
      <c r="J904" s="19">
        <v>0</v>
      </c>
      <c r="K904" s="19">
        <v>0.53392179444047549</v>
      </c>
      <c r="L904" s="19">
        <v>0.46607820555952445</v>
      </c>
      <c r="M904" s="20">
        <v>2</v>
      </c>
      <c r="N904" s="19">
        <v>0</v>
      </c>
      <c r="O904" s="19">
        <v>0.53392179444047549</v>
      </c>
      <c r="P904" s="19">
        <v>0</v>
      </c>
      <c r="Q904" s="19">
        <v>0.23259610001015671</v>
      </c>
      <c r="R904" s="19">
        <v>0.21796265355731989</v>
      </c>
      <c r="S904" s="19">
        <v>1.5519451992047888E-2</v>
      </c>
      <c r="T904" s="20">
        <v>22</v>
      </c>
      <c r="U904" s="17">
        <v>2</v>
      </c>
      <c r="V904" s="17">
        <v>34</v>
      </c>
    </row>
    <row r="905" spans="1:22" x14ac:dyDescent="0.2">
      <c r="A905" t="s">
        <v>2727</v>
      </c>
      <c r="B905" t="s">
        <v>2719</v>
      </c>
      <c r="C905" t="s">
        <v>2720</v>
      </c>
      <c r="D905" t="s">
        <v>2721</v>
      </c>
      <c r="E905" s="10" t="s">
        <v>2728</v>
      </c>
      <c r="F905" s="10"/>
      <c r="G905" s="10"/>
      <c r="H905" s="10" t="s">
        <v>2728</v>
      </c>
      <c r="I905" s="14">
        <v>2291.5177836194634</v>
      </c>
      <c r="J905" s="19">
        <v>0</v>
      </c>
      <c r="K905" s="19">
        <v>0</v>
      </c>
      <c r="L905" s="19">
        <v>1</v>
      </c>
      <c r="M905" s="20">
        <v>1</v>
      </c>
      <c r="N905" s="19">
        <v>0</v>
      </c>
      <c r="O905" s="19">
        <v>0</v>
      </c>
      <c r="P905" s="19">
        <v>0</v>
      </c>
      <c r="Q905" s="19">
        <v>0.49508697925761375</v>
      </c>
      <c r="R905" s="19">
        <v>0.47074624649141977</v>
      </c>
      <c r="S905" s="19">
        <v>3.4166774250966481E-2</v>
      </c>
      <c r="T905" s="20">
        <v>13</v>
      </c>
      <c r="U905" s="17">
        <v>2</v>
      </c>
      <c r="V905" s="17">
        <v>34</v>
      </c>
    </row>
    <row r="906" spans="1:22" x14ac:dyDescent="0.2">
      <c r="A906" t="s">
        <v>2729</v>
      </c>
      <c r="B906" t="s">
        <v>2719</v>
      </c>
      <c r="C906" t="s">
        <v>2720</v>
      </c>
      <c r="D906" t="s">
        <v>2721</v>
      </c>
      <c r="E906" s="10" t="s">
        <v>2730</v>
      </c>
      <c r="F906" s="10"/>
      <c r="G906" s="10"/>
      <c r="H906" s="10" t="s">
        <v>2730</v>
      </c>
      <c r="I906" s="14">
        <v>1642.608011960052</v>
      </c>
      <c r="J906" s="19">
        <v>0</v>
      </c>
      <c r="K906" s="19">
        <v>0</v>
      </c>
      <c r="L906" s="19">
        <v>1</v>
      </c>
      <c r="M906" s="20">
        <v>1</v>
      </c>
      <c r="N906" s="19">
        <v>0</v>
      </c>
      <c r="O906" s="19">
        <v>0</v>
      </c>
      <c r="P906" s="19">
        <v>0</v>
      </c>
      <c r="Q906" s="19">
        <v>0.65286857718235625</v>
      </c>
      <c r="R906" s="19">
        <v>0.28789458400981449</v>
      </c>
      <c r="S906" s="19">
        <v>5.9236838807829199E-2</v>
      </c>
      <c r="T906" s="20">
        <v>13</v>
      </c>
      <c r="U906" s="17">
        <v>2</v>
      </c>
      <c r="V906" s="17">
        <v>34</v>
      </c>
    </row>
    <row r="907" spans="1:22" x14ac:dyDescent="0.2">
      <c r="A907" t="s">
        <v>2731</v>
      </c>
      <c r="B907" t="s">
        <v>2719</v>
      </c>
      <c r="C907" t="s">
        <v>2720</v>
      </c>
      <c r="D907" t="s">
        <v>2721</v>
      </c>
      <c r="E907" s="10" t="s">
        <v>2732</v>
      </c>
      <c r="F907" s="10"/>
      <c r="G907" s="10"/>
      <c r="H907" s="10" t="s">
        <v>2732</v>
      </c>
      <c r="I907" s="14">
        <v>4338.2338729118928</v>
      </c>
      <c r="J907" s="19">
        <v>0</v>
      </c>
      <c r="K907" s="19">
        <v>0</v>
      </c>
      <c r="L907" s="19">
        <v>1</v>
      </c>
      <c r="M907" s="20">
        <v>1</v>
      </c>
      <c r="N907" s="19">
        <v>0</v>
      </c>
      <c r="O907" s="19">
        <v>0</v>
      </c>
      <c r="P907" s="19">
        <v>0</v>
      </c>
      <c r="Q907" s="19">
        <v>0.55508458178195241</v>
      </c>
      <c r="R907" s="19">
        <v>0.42404010619810995</v>
      </c>
      <c r="S907" s="19">
        <v>2.087531201993768E-2</v>
      </c>
      <c r="T907" s="20">
        <v>13</v>
      </c>
      <c r="U907" s="17">
        <v>2</v>
      </c>
      <c r="V907" s="17">
        <v>34</v>
      </c>
    </row>
    <row r="908" spans="1:22" x14ac:dyDescent="0.2">
      <c r="A908" t="s">
        <v>2733</v>
      </c>
      <c r="B908" t="s">
        <v>2719</v>
      </c>
      <c r="C908" t="s">
        <v>2720</v>
      </c>
      <c r="D908" t="s">
        <v>2721</v>
      </c>
      <c r="E908" s="10" t="s">
        <v>2734</v>
      </c>
      <c r="F908" s="10"/>
      <c r="G908" s="10"/>
      <c r="H908" s="10" t="s">
        <v>2734</v>
      </c>
      <c r="I908" s="14">
        <v>13202.047394583004</v>
      </c>
      <c r="J908" s="19">
        <v>0</v>
      </c>
      <c r="K908" s="19">
        <v>0.83832428191215336</v>
      </c>
      <c r="L908" s="19">
        <v>0.16167571808784653</v>
      </c>
      <c r="M908" s="20">
        <v>2</v>
      </c>
      <c r="N908" s="19">
        <v>0</v>
      </c>
      <c r="O908" s="19">
        <v>0.83832428191215336</v>
      </c>
      <c r="P908" s="19">
        <v>0</v>
      </c>
      <c r="Q908" s="19">
        <v>3.1303300113484006E-2</v>
      </c>
      <c r="R908" s="19">
        <v>0.12126336348753129</v>
      </c>
      <c r="S908" s="19">
        <v>9.1090544868312438E-3</v>
      </c>
      <c r="T908" s="20">
        <v>22</v>
      </c>
      <c r="U908" s="17">
        <v>2</v>
      </c>
      <c r="V908" s="17">
        <v>34</v>
      </c>
    </row>
    <row r="909" spans="1:22" x14ac:dyDescent="0.2">
      <c r="A909" t="s">
        <v>2735</v>
      </c>
      <c r="B909" t="s">
        <v>2719</v>
      </c>
      <c r="C909" t="s">
        <v>2720</v>
      </c>
      <c r="D909" t="s">
        <v>2721</v>
      </c>
      <c r="E909" s="10" t="s">
        <v>2736</v>
      </c>
      <c r="F909" s="10"/>
      <c r="G909" s="10"/>
      <c r="H909" s="10" t="s">
        <v>2736</v>
      </c>
      <c r="I909" s="14">
        <v>16524.262807964347</v>
      </c>
      <c r="J909" s="19">
        <v>0</v>
      </c>
      <c r="K909" s="19">
        <v>0.92716535369343611</v>
      </c>
      <c r="L909" s="19">
        <v>7.2834646306563874E-2</v>
      </c>
      <c r="M909" s="20">
        <v>2</v>
      </c>
      <c r="N909" s="19">
        <v>0</v>
      </c>
      <c r="O909" s="19">
        <v>1.7287852728263869E-2</v>
      </c>
      <c r="P909" s="19">
        <v>0.90987750096517228</v>
      </c>
      <c r="Q909" s="19">
        <v>0</v>
      </c>
      <c r="R909" s="19">
        <v>5.7311216002983625E-2</v>
      </c>
      <c r="S909" s="19">
        <v>1.5523430303580246E-2</v>
      </c>
      <c r="T909" s="20">
        <v>21</v>
      </c>
      <c r="U909" s="17">
        <v>2</v>
      </c>
      <c r="V909" s="17">
        <v>34</v>
      </c>
    </row>
    <row r="910" spans="1:22" x14ac:dyDescent="0.2">
      <c r="A910" t="s">
        <v>2737</v>
      </c>
      <c r="B910" t="s">
        <v>2719</v>
      </c>
      <c r="C910" t="s">
        <v>2720</v>
      </c>
      <c r="D910" t="s">
        <v>2721</v>
      </c>
      <c r="E910" s="10" t="s">
        <v>2738</v>
      </c>
      <c r="F910" s="10"/>
      <c r="G910" s="10"/>
      <c r="H910" s="10" t="s">
        <v>2738</v>
      </c>
      <c r="I910" s="14">
        <v>3131.4502563588321</v>
      </c>
      <c r="J910" s="19">
        <v>0</v>
      </c>
      <c r="K910" s="19">
        <v>0</v>
      </c>
      <c r="L910" s="19">
        <v>1</v>
      </c>
      <c r="M910" s="20">
        <v>1</v>
      </c>
      <c r="N910" s="19">
        <v>0</v>
      </c>
      <c r="O910" s="19">
        <v>0</v>
      </c>
      <c r="P910" s="19">
        <v>0</v>
      </c>
      <c r="Q910" s="19">
        <v>0.44598011065938936</v>
      </c>
      <c r="R910" s="19">
        <v>0.46716390215080206</v>
      </c>
      <c r="S910" s="19">
        <v>8.6855987189808567E-2</v>
      </c>
      <c r="T910" s="20">
        <v>12</v>
      </c>
      <c r="U910" s="17">
        <v>2</v>
      </c>
      <c r="V910" s="17">
        <v>34</v>
      </c>
    </row>
    <row r="911" spans="1:22" x14ac:dyDescent="0.2">
      <c r="A911" t="s">
        <v>2739</v>
      </c>
      <c r="B911" t="s">
        <v>2719</v>
      </c>
      <c r="C911" t="s">
        <v>2720</v>
      </c>
      <c r="D911" t="s">
        <v>2721</v>
      </c>
      <c r="E911" s="10" t="s">
        <v>2740</v>
      </c>
      <c r="F911" s="10"/>
      <c r="G911" s="10"/>
      <c r="H911" s="10" t="s">
        <v>2740</v>
      </c>
      <c r="I911" s="14">
        <v>15285.314012973569</v>
      </c>
      <c r="J911" s="19">
        <v>0</v>
      </c>
      <c r="K911" s="19">
        <v>0.7036761952323648</v>
      </c>
      <c r="L911" s="19">
        <v>0.2963238047676352</v>
      </c>
      <c r="M911" s="20">
        <v>2</v>
      </c>
      <c r="N911" s="19">
        <v>0</v>
      </c>
      <c r="O911" s="19">
        <v>0.7036761952323648</v>
      </c>
      <c r="P911" s="19">
        <v>0</v>
      </c>
      <c r="Q911" s="19">
        <v>9.4601541356287039E-2</v>
      </c>
      <c r="R911" s="19">
        <v>0.18674271681650942</v>
      </c>
      <c r="S911" s="19">
        <v>1.4979546594838758E-2</v>
      </c>
      <c r="T911" s="20">
        <v>22</v>
      </c>
      <c r="U911" s="17">
        <v>2</v>
      </c>
      <c r="V911" s="17">
        <v>34</v>
      </c>
    </row>
    <row r="912" spans="1:22" x14ac:dyDescent="0.2">
      <c r="A912" t="s">
        <v>2741</v>
      </c>
      <c r="B912" t="s">
        <v>2719</v>
      </c>
      <c r="C912" t="s">
        <v>2720</v>
      </c>
      <c r="D912" t="s">
        <v>2721</v>
      </c>
      <c r="E912" s="10" t="s">
        <v>2742</v>
      </c>
      <c r="F912" s="10"/>
      <c r="G912" s="10"/>
      <c r="H912" s="10" t="s">
        <v>2742</v>
      </c>
      <c r="I912" s="14">
        <v>5278.5785793438554</v>
      </c>
      <c r="J912" s="19">
        <v>0</v>
      </c>
      <c r="K912" s="19">
        <v>0.27475841703636061</v>
      </c>
      <c r="L912" s="19">
        <v>0.72524158296363916</v>
      </c>
      <c r="M912" s="20">
        <v>1</v>
      </c>
      <c r="N912" s="19">
        <v>0</v>
      </c>
      <c r="O912" s="19">
        <v>0</v>
      </c>
      <c r="P912" s="19">
        <v>0.27475841703636061</v>
      </c>
      <c r="Q912" s="19">
        <v>0.35198595288554713</v>
      </c>
      <c r="R912" s="19">
        <v>0.34934742603166757</v>
      </c>
      <c r="S912" s="19">
        <v>2.3908204046424665E-2</v>
      </c>
      <c r="T912" s="20">
        <v>13</v>
      </c>
      <c r="U912" s="17">
        <v>2</v>
      </c>
      <c r="V912" s="17">
        <v>34</v>
      </c>
    </row>
    <row r="913" spans="1:22" x14ac:dyDescent="0.2">
      <c r="A913" t="s">
        <v>2743</v>
      </c>
      <c r="B913" t="s">
        <v>2719</v>
      </c>
      <c r="C913" t="s">
        <v>2720</v>
      </c>
      <c r="D913" t="s">
        <v>2721</v>
      </c>
      <c r="E913" s="10" t="s">
        <v>2744</v>
      </c>
      <c r="F913" s="10"/>
      <c r="G913" s="10"/>
      <c r="H913" s="10" t="s">
        <v>2744</v>
      </c>
      <c r="I913" s="14">
        <v>3346.8251016698773</v>
      </c>
      <c r="J913" s="19">
        <v>0</v>
      </c>
      <c r="K913" s="19">
        <v>0.21569935993317726</v>
      </c>
      <c r="L913" s="19">
        <v>0.78430064006682287</v>
      </c>
      <c r="M913" s="20">
        <v>1</v>
      </c>
      <c r="N913" s="19">
        <v>0</v>
      </c>
      <c r="O913" s="19">
        <v>0</v>
      </c>
      <c r="P913" s="19">
        <v>0.21569935993317726</v>
      </c>
      <c r="Q913" s="19">
        <v>0.4247927994299347</v>
      </c>
      <c r="R913" s="19">
        <v>0.31823897139905427</v>
      </c>
      <c r="S913" s="19">
        <v>4.1268869237834009E-2</v>
      </c>
      <c r="T913" s="20">
        <v>13</v>
      </c>
      <c r="U913" s="17">
        <v>2</v>
      </c>
      <c r="V913" s="17">
        <v>34</v>
      </c>
    </row>
    <row r="914" spans="1:22" x14ac:dyDescent="0.2">
      <c r="A914" t="s">
        <v>2745</v>
      </c>
      <c r="B914" t="s">
        <v>2719</v>
      </c>
      <c r="C914" t="s">
        <v>2720</v>
      </c>
      <c r="D914" t="s">
        <v>2721</v>
      </c>
      <c r="E914" s="10" t="s">
        <v>2746</v>
      </c>
      <c r="F914" s="10"/>
      <c r="G914" s="10"/>
      <c r="H914" s="10" t="s">
        <v>2746</v>
      </c>
      <c r="I914" s="14">
        <v>6508.6270585935563</v>
      </c>
      <c r="J914" s="19">
        <v>0</v>
      </c>
      <c r="K914" s="19">
        <v>0</v>
      </c>
      <c r="L914" s="19">
        <v>1</v>
      </c>
      <c r="M914" s="20">
        <v>1</v>
      </c>
      <c r="N914" s="19">
        <v>0</v>
      </c>
      <c r="O914" s="19">
        <v>0</v>
      </c>
      <c r="P914" s="19">
        <v>0</v>
      </c>
      <c r="Q914" s="19">
        <v>0.33614853155066543</v>
      </c>
      <c r="R914" s="19">
        <v>0.54547979597109375</v>
      </c>
      <c r="S914" s="19">
        <v>0.11837167247824087</v>
      </c>
      <c r="T914" s="20">
        <v>12</v>
      </c>
      <c r="U914" s="17">
        <v>2</v>
      </c>
      <c r="V914" s="17">
        <v>34</v>
      </c>
    </row>
    <row r="915" spans="1:22" x14ac:dyDescent="0.2">
      <c r="A915" t="s">
        <v>2747</v>
      </c>
      <c r="B915" t="s">
        <v>2719</v>
      </c>
      <c r="C915" t="s">
        <v>2720</v>
      </c>
      <c r="D915" t="s">
        <v>2721</v>
      </c>
      <c r="E915" s="10" t="s">
        <v>2748</v>
      </c>
      <c r="F915" s="10"/>
      <c r="G915" s="10"/>
      <c r="H915" s="10" t="s">
        <v>2748</v>
      </c>
      <c r="I915" s="14">
        <v>6911.8130918536335</v>
      </c>
      <c r="J915" s="19">
        <v>0</v>
      </c>
      <c r="K915" s="19">
        <v>0</v>
      </c>
      <c r="L915" s="19">
        <v>1</v>
      </c>
      <c r="M915" s="20">
        <v>1</v>
      </c>
      <c r="N915" s="19">
        <v>0</v>
      </c>
      <c r="O915" s="19">
        <v>0</v>
      </c>
      <c r="P915" s="19">
        <v>0</v>
      </c>
      <c r="Q915" s="19">
        <v>0.51443116345883999</v>
      </c>
      <c r="R915" s="19">
        <v>0.43080038039620039</v>
      </c>
      <c r="S915" s="19">
        <v>5.4768456144959621E-2</v>
      </c>
      <c r="T915" s="20">
        <v>13</v>
      </c>
      <c r="U915" s="17">
        <v>2</v>
      </c>
      <c r="V915" s="17">
        <v>34</v>
      </c>
    </row>
    <row r="916" spans="1:22" x14ac:dyDescent="0.2">
      <c r="A916" t="s">
        <v>2749</v>
      </c>
      <c r="B916" t="s">
        <v>2719</v>
      </c>
      <c r="C916" t="s">
        <v>2720</v>
      </c>
      <c r="D916" t="s">
        <v>2721</v>
      </c>
      <c r="E916" s="10" t="s">
        <v>2750</v>
      </c>
      <c r="F916" s="10"/>
      <c r="G916" s="10"/>
      <c r="H916" s="10" t="s">
        <v>2750</v>
      </c>
      <c r="I916" s="14">
        <v>4714.8559922166169</v>
      </c>
      <c r="J916" s="19">
        <v>0</v>
      </c>
      <c r="K916" s="19">
        <v>0</v>
      </c>
      <c r="L916" s="19">
        <v>1</v>
      </c>
      <c r="M916" s="20">
        <v>1</v>
      </c>
      <c r="N916" s="19">
        <v>0</v>
      </c>
      <c r="O916" s="19">
        <v>0</v>
      </c>
      <c r="P916" s="19">
        <v>0</v>
      </c>
      <c r="Q916" s="19">
        <v>0.13714028425732352</v>
      </c>
      <c r="R916" s="19">
        <v>0.7693025349807352</v>
      </c>
      <c r="S916" s="19">
        <v>9.3557180761941333E-2</v>
      </c>
      <c r="T916" s="20">
        <v>12</v>
      </c>
      <c r="U916" s="17">
        <v>2</v>
      </c>
      <c r="V916" s="17">
        <v>34</v>
      </c>
    </row>
    <row r="917" spans="1:22" x14ac:dyDescent="0.2">
      <c r="A917" t="s">
        <v>2751</v>
      </c>
      <c r="B917" t="s">
        <v>2719</v>
      </c>
      <c r="C917" t="s">
        <v>2720</v>
      </c>
      <c r="D917" t="s">
        <v>2721</v>
      </c>
      <c r="E917" s="10" t="s">
        <v>2752</v>
      </c>
      <c r="F917" s="10"/>
      <c r="G917" s="10"/>
      <c r="H917" s="10" t="s">
        <v>2752</v>
      </c>
      <c r="I917" s="14">
        <v>11801.018349341583</v>
      </c>
      <c r="J917" s="19">
        <v>0</v>
      </c>
      <c r="K917" s="19">
        <v>0.80860423355990252</v>
      </c>
      <c r="L917" s="19">
        <v>0.19139576644009748</v>
      </c>
      <c r="M917" s="20">
        <v>2</v>
      </c>
      <c r="N917" s="19">
        <v>0</v>
      </c>
      <c r="O917" s="19">
        <v>0.80860423355990252</v>
      </c>
      <c r="P917" s="19">
        <v>0</v>
      </c>
      <c r="Q917" s="19">
        <v>2.7531343118426549E-5</v>
      </c>
      <c r="R917" s="19">
        <v>0.17346886965263122</v>
      </c>
      <c r="S917" s="19">
        <v>1.7899365444347844E-2</v>
      </c>
      <c r="T917" s="20">
        <v>22</v>
      </c>
      <c r="U917" s="17">
        <v>2</v>
      </c>
      <c r="V917" s="17">
        <v>34</v>
      </c>
    </row>
    <row r="918" spans="1:22" x14ac:dyDescent="0.2">
      <c r="A918" t="s">
        <v>2753</v>
      </c>
      <c r="B918" t="s">
        <v>2719</v>
      </c>
      <c r="C918" t="s">
        <v>2720</v>
      </c>
      <c r="D918" t="s">
        <v>2721</v>
      </c>
      <c r="E918" s="10" t="s">
        <v>2754</v>
      </c>
      <c r="F918" s="10"/>
      <c r="G918" s="10"/>
      <c r="H918" s="10" t="s">
        <v>2754</v>
      </c>
      <c r="I918" s="14">
        <v>7191.5242070890963</v>
      </c>
      <c r="J918" s="19">
        <v>0</v>
      </c>
      <c r="K918" s="19">
        <v>0.63034573510118719</v>
      </c>
      <c r="L918" s="19">
        <v>0.36965426489881281</v>
      </c>
      <c r="M918" s="20">
        <v>2</v>
      </c>
      <c r="N918" s="19">
        <v>0</v>
      </c>
      <c r="O918" s="19">
        <v>0</v>
      </c>
      <c r="P918" s="19">
        <v>0.63034573510118719</v>
      </c>
      <c r="Q918" s="19">
        <v>0.15087610248867114</v>
      </c>
      <c r="R918" s="19">
        <v>0.21082570644634177</v>
      </c>
      <c r="S918" s="19">
        <v>7.9524559637998721E-3</v>
      </c>
      <c r="T918" s="20">
        <v>21</v>
      </c>
      <c r="U918" s="17">
        <v>2</v>
      </c>
      <c r="V918" s="17">
        <v>34</v>
      </c>
    </row>
    <row r="919" spans="1:22" x14ac:dyDescent="0.2">
      <c r="A919" t="s">
        <v>2755</v>
      </c>
      <c r="B919" t="s">
        <v>2719</v>
      </c>
      <c r="C919" t="s">
        <v>2720</v>
      </c>
      <c r="D919" t="s">
        <v>2721</v>
      </c>
      <c r="E919" s="10" t="s">
        <v>2756</v>
      </c>
      <c r="F919" s="10"/>
      <c r="G919" s="10"/>
      <c r="H919" s="10" t="s">
        <v>2756</v>
      </c>
      <c r="I919" s="14">
        <v>12699.166938412003</v>
      </c>
      <c r="J919" s="19">
        <v>0</v>
      </c>
      <c r="K919" s="19">
        <v>0.81585272942602194</v>
      </c>
      <c r="L919" s="19">
        <v>0.18414727057397806</v>
      </c>
      <c r="M919" s="20">
        <v>2</v>
      </c>
      <c r="N919" s="19">
        <v>0</v>
      </c>
      <c r="O919" s="19">
        <v>0</v>
      </c>
      <c r="P919" s="19">
        <v>0.81585272942602194</v>
      </c>
      <c r="Q919" s="19">
        <v>7.212882942366044E-3</v>
      </c>
      <c r="R919" s="19">
        <v>0.1480319232347212</v>
      </c>
      <c r="S919" s="19">
        <v>2.8902464396890818E-2</v>
      </c>
      <c r="T919" s="20">
        <v>21</v>
      </c>
      <c r="U919" s="17">
        <v>2</v>
      </c>
      <c r="V919" s="17">
        <v>34</v>
      </c>
    </row>
    <row r="920" spans="1:22" x14ac:dyDescent="0.2">
      <c r="A920" t="s">
        <v>2757</v>
      </c>
      <c r="B920" t="s">
        <v>2719</v>
      </c>
      <c r="C920" t="s">
        <v>2720</v>
      </c>
      <c r="D920" t="s">
        <v>2721</v>
      </c>
      <c r="E920" s="10" t="s">
        <v>2758</v>
      </c>
      <c r="F920" s="10"/>
      <c r="G920" s="10"/>
      <c r="H920" s="10" t="s">
        <v>2758</v>
      </c>
      <c r="I920" s="14">
        <v>10848.525961641222</v>
      </c>
      <c r="J920" s="19">
        <v>0</v>
      </c>
      <c r="K920" s="19">
        <v>0</v>
      </c>
      <c r="L920" s="19">
        <v>1</v>
      </c>
      <c r="M920" s="20">
        <v>1</v>
      </c>
      <c r="N920" s="19">
        <v>0</v>
      </c>
      <c r="O920" s="19">
        <v>0</v>
      </c>
      <c r="P920" s="19">
        <v>0</v>
      </c>
      <c r="Q920" s="19">
        <v>0.65295135093781242</v>
      </c>
      <c r="R920" s="19">
        <v>0.30391399389693657</v>
      </c>
      <c r="S920" s="19">
        <v>4.3134655165250953E-2</v>
      </c>
      <c r="T920" s="20">
        <v>13</v>
      </c>
      <c r="U920" s="17">
        <v>2</v>
      </c>
      <c r="V920" s="17">
        <v>34</v>
      </c>
    </row>
    <row r="921" spans="1:22" x14ac:dyDescent="0.2">
      <c r="A921" t="s">
        <v>2759</v>
      </c>
      <c r="B921" t="s">
        <v>2719</v>
      </c>
      <c r="C921" t="s">
        <v>2720</v>
      </c>
      <c r="D921" t="s">
        <v>2721</v>
      </c>
      <c r="E921" s="10" t="s">
        <v>2760</v>
      </c>
      <c r="F921" s="10"/>
      <c r="G921" s="10"/>
      <c r="H921" s="10" t="s">
        <v>2760</v>
      </c>
      <c r="I921" s="14">
        <v>6131.3000914617442</v>
      </c>
      <c r="J921" s="19">
        <v>0</v>
      </c>
      <c r="K921" s="19">
        <v>0</v>
      </c>
      <c r="L921" s="19">
        <v>1</v>
      </c>
      <c r="M921" s="20">
        <v>1</v>
      </c>
      <c r="N921" s="19">
        <v>0</v>
      </c>
      <c r="O921" s="19">
        <v>0</v>
      </c>
      <c r="P921" s="19">
        <v>0</v>
      </c>
      <c r="Q921" s="19">
        <v>0.41777997501699599</v>
      </c>
      <c r="R921" s="19">
        <v>0.53650282100346769</v>
      </c>
      <c r="S921" s="19">
        <v>4.5717203979536401E-2</v>
      </c>
      <c r="T921" s="20">
        <v>12</v>
      </c>
      <c r="U921" s="17">
        <v>2</v>
      </c>
      <c r="V921" s="17">
        <v>34</v>
      </c>
    </row>
    <row r="922" spans="1:22" x14ac:dyDescent="0.2">
      <c r="A922" t="s">
        <v>2761</v>
      </c>
      <c r="B922" t="s">
        <v>2719</v>
      </c>
      <c r="C922" t="s">
        <v>2720</v>
      </c>
      <c r="D922" t="s">
        <v>2721</v>
      </c>
      <c r="E922" s="10" t="s">
        <v>2762</v>
      </c>
      <c r="F922" s="10"/>
      <c r="G922" s="10"/>
      <c r="H922" s="10" t="s">
        <v>2762</v>
      </c>
      <c r="I922" s="14">
        <v>5947.6299701053649</v>
      </c>
      <c r="J922" s="19">
        <v>0</v>
      </c>
      <c r="K922" s="19">
        <v>0</v>
      </c>
      <c r="L922" s="19">
        <v>1</v>
      </c>
      <c r="M922" s="20">
        <v>1</v>
      </c>
      <c r="N922" s="19">
        <v>0</v>
      </c>
      <c r="O922" s="19">
        <v>0</v>
      </c>
      <c r="P922" s="19">
        <v>0</v>
      </c>
      <c r="Q922" s="19">
        <v>0.56577688391998193</v>
      </c>
      <c r="R922" s="19">
        <v>0.3780299008543152</v>
      </c>
      <c r="S922" s="19">
        <v>5.6193215225702899E-2</v>
      </c>
      <c r="T922" s="20">
        <v>13</v>
      </c>
      <c r="U922" s="17">
        <v>2</v>
      </c>
      <c r="V922" s="17">
        <v>34</v>
      </c>
    </row>
    <row r="923" spans="1:22" x14ac:dyDescent="0.2">
      <c r="A923" t="s">
        <v>2763</v>
      </c>
      <c r="B923" t="s">
        <v>2719</v>
      </c>
      <c r="C923" t="s">
        <v>2720</v>
      </c>
      <c r="D923" t="s">
        <v>2721</v>
      </c>
      <c r="E923" s="10" t="s">
        <v>2764</v>
      </c>
      <c r="F923" s="10"/>
      <c r="G923" s="10"/>
      <c r="H923" s="10" t="s">
        <v>2764</v>
      </c>
      <c r="I923" s="14">
        <v>12452.479684500024</v>
      </c>
      <c r="J923" s="19">
        <v>0</v>
      </c>
      <c r="K923" s="19">
        <v>0.7795185828340343</v>
      </c>
      <c r="L923" s="19">
        <v>0.22048141716596575</v>
      </c>
      <c r="M923" s="20">
        <v>2</v>
      </c>
      <c r="N923" s="19">
        <v>0</v>
      </c>
      <c r="O923" s="19">
        <v>0.7795185828340343</v>
      </c>
      <c r="P923" s="19">
        <v>0</v>
      </c>
      <c r="Q923" s="19">
        <v>0.11353977722671404</v>
      </c>
      <c r="R923" s="19">
        <v>9.9314780413432294E-2</v>
      </c>
      <c r="S923" s="19">
        <v>7.6268595258194094E-3</v>
      </c>
      <c r="T923" s="20">
        <v>22</v>
      </c>
      <c r="U923" s="17">
        <v>2</v>
      </c>
      <c r="V923" s="17">
        <v>34</v>
      </c>
    </row>
    <row r="924" spans="1:22" x14ac:dyDescent="0.2">
      <c r="A924" t="s">
        <v>2765</v>
      </c>
      <c r="B924" t="s">
        <v>2719</v>
      </c>
      <c r="C924" t="s">
        <v>2720</v>
      </c>
      <c r="D924" t="s">
        <v>2721</v>
      </c>
      <c r="E924" s="10" t="s">
        <v>2766</v>
      </c>
      <c r="F924" s="10"/>
      <c r="G924" s="10"/>
      <c r="H924" s="10" t="s">
        <v>2766</v>
      </c>
      <c r="I924" s="14">
        <v>5580.5711467750371</v>
      </c>
      <c r="J924" s="19">
        <v>0</v>
      </c>
      <c r="K924" s="19">
        <v>3.2562969082470285E-2</v>
      </c>
      <c r="L924" s="19">
        <v>0.96743703091752975</v>
      </c>
      <c r="M924" s="20">
        <v>1</v>
      </c>
      <c r="N924" s="19">
        <v>0</v>
      </c>
      <c r="O924" s="19">
        <v>6.5486085452523849E-3</v>
      </c>
      <c r="P924" s="19">
        <v>2.6014360537217902E-2</v>
      </c>
      <c r="Q924" s="19">
        <v>0.69524757596537767</v>
      </c>
      <c r="R924" s="19">
        <v>0.23785681141680426</v>
      </c>
      <c r="S924" s="19">
        <v>3.4332643535347852E-2</v>
      </c>
      <c r="T924" s="20">
        <v>13</v>
      </c>
      <c r="U924" s="17">
        <v>2</v>
      </c>
      <c r="V924" s="17">
        <v>34</v>
      </c>
    </row>
    <row r="925" spans="1:22" x14ac:dyDescent="0.2">
      <c r="A925" t="s">
        <v>2767</v>
      </c>
      <c r="B925" t="s">
        <v>2719</v>
      </c>
      <c r="C925" t="s">
        <v>2720</v>
      </c>
      <c r="D925" t="s">
        <v>2721</v>
      </c>
      <c r="E925" s="10" t="s">
        <v>2768</v>
      </c>
      <c r="F925" s="10"/>
      <c r="G925" s="10"/>
      <c r="H925" s="10" t="s">
        <v>2768</v>
      </c>
      <c r="I925" s="14">
        <v>15742.56242491398</v>
      </c>
      <c r="J925" s="19">
        <v>0</v>
      </c>
      <c r="K925" s="19">
        <v>0.81416981238162489</v>
      </c>
      <c r="L925" s="19">
        <v>0.18583018761837508</v>
      </c>
      <c r="M925" s="20">
        <v>2</v>
      </c>
      <c r="N925" s="19">
        <v>0</v>
      </c>
      <c r="O925" s="19">
        <v>4.2149274889616069E-2</v>
      </c>
      <c r="P925" s="19">
        <v>0.77202053749200883</v>
      </c>
      <c r="Q925" s="19">
        <v>0</v>
      </c>
      <c r="R925" s="19">
        <v>0.17865167760982809</v>
      </c>
      <c r="S925" s="19">
        <v>7.1785100085470102E-3</v>
      </c>
      <c r="T925" s="20">
        <v>21</v>
      </c>
      <c r="U925" s="17">
        <v>2</v>
      </c>
      <c r="V925" s="17">
        <v>34</v>
      </c>
    </row>
    <row r="926" spans="1:22" x14ac:dyDescent="0.2">
      <c r="A926" t="s">
        <v>2769</v>
      </c>
      <c r="B926" t="s">
        <v>2719</v>
      </c>
      <c r="C926" t="s">
        <v>2720</v>
      </c>
      <c r="D926" t="s">
        <v>2721</v>
      </c>
      <c r="E926" s="10" t="s">
        <v>2770</v>
      </c>
      <c r="F926" s="10"/>
      <c r="G926" s="10"/>
      <c r="H926" s="10" t="s">
        <v>2770</v>
      </c>
      <c r="I926" s="14">
        <v>5485.5101572647691</v>
      </c>
      <c r="J926" s="19">
        <v>0</v>
      </c>
      <c r="K926" s="19">
        <v>0</v>
      </c>
      <c r="L926" s="19">
        <v>1</v>
      </c>
      <c r="M926" s="20">
        <v>1</v>
      </c>
      <c r="N926" s="19">
        <v>0</v>
      </c>
      <c r="O926" s="19">
        <v>0</v>
      </c>
      <c r="P926" s="19">
        <v>0</v>
      </c>
      <c r="Q926" s="19">
        <v>0.2574867558355548</v>
      </c>
      <c r="R926" s="19">
        <v>0.64030873529194787</v>
      </c>
      <c r="S926" s="19">
        <v>0.10220450887249728</v>
      </c>
      <c r="T926" s="20">
        <v>12</v>
      </c>
      <c r="U926" s="17">
        <v>2</v>
      </c>
      <c r="V926" s="17">
        <v>34</v>
      </c>
    </row>
    <row r="927" spans="1:22" x14ac:dyDescent="0.2">
      <c r="A927" t="s">
        <v>2771</v>
      </c>
      <c r="B927" t="s">
        <v>2719</v>
      </c>
      <c r="C927" t="s">
        <v>2720</v>
      </c>
      <c r="D927" t="s">
        <v>2721</v>
      </c>
      <c r="E927" s="10" t="s">
        <v>2772</v>
      </c>
      <c r="F927" s="10"/>
      <c r="G927" s="10"/>
      <c r="H927" s="10" t="s">
        <v>2772</v>
      </c>
      <c r="I927" s="14">
        <v>6349.6561226435006</v>
      </c>
      <c r="J927" s="19">
        <v>0</v>
      </c>
      <c r="K927" s="19">
        <v>0</v>
      </c>
      <c r="L927" s="19">
        <v>1</v>
      </c>
      <c r="M927" s="20">
        <v>1</v>
      </c>
      <c r="N927" s="19">
        <v>0</v>
      </c>
      <c r="O927" s="19">
        <v>0</v>
      </c>
      <c r="P927" s="19">
        <v>0</v>
      </c>
      <c r="Q927" s="19">
        <v>0.45481380901412027</v>
      </c>
      <c r="R927" s="19">
        <v>0.47337819694346883</v>
      </c>
      <c r="S927" s="19">
        <v>7.1807994042410894E-2</v>
      </c>
      <c r="T927" s="20">
        <v>12</v>
      </c>
      <c r="U927" s="17">
        <v>2</v>
      </c>
      <c r="V927" s="17">
        <v>34</v>
      </c>
    </row>
    <row r="928" spans="1:22" x14ac:dyDescent="0.2">
      <c r="A928" t="s">
        <v>2773</v>
      </c>
      <c r="B928" t="s">
        <v>2719</v>
      </c>
      <c r="C928" t="s">
        <v>2720</v>
      </c>
      <c r="D928" t="s">
        <v>2721</v>
      </c>
      <c r="E928" s="10" t="s">
        <v>2774</v>
      </c>
      <c r="F928" s="10"/>
      <c r="G928" s="10"/>
      <c r="H928" s="10" t="s">
        <v>2774</v>
      </c>
      <c r="I928" s="14">
        <v>5664.3321367017925</v>
      </c>
      <c r="J928" s="19">
        <v>0</v>
      </c>
      <c r="K928" s="19">
        <v>0</v>
      </c>
      <c r="L928" s="19">
        <v>1</v>
      </c>
      <c r="M928" s="20">
        <v>1</v>
      </c>
      <c r="N928" s="19">
        <v>0</v>
      </c>
      <c r="O928" s="19">
        <v>0</v>
      </c>
      <c r="P928" s="19">
        <v>0</v>
      </c>
      <c r="Q928" s="19">
        <v>0.63748433590675579</v>
      </c>
      <c r="R928" s="19">
        <v>0.29700585100000138</v>
      </c>
      <c r="S928" s="19">
        <v>6.5509813093242844E-2</v>
      </c>
      <c r="T928" s="20">
        <v>13</v>
      </c>
      <c r="U928" s="17">
        <v>2</v>
      </c>
      <c r="V928" s="17">
        <v>34</v>
      </c>
    </row>
    <row r="929" spans="1:22" x14ac:dyDescent="0.2">
      <c r="A929" t="s">
        <v>2775</v>
      </c>
      <c r="B929" t="s">
        <v>2719</v>
      </c>
      <c r="C929" t="s">
        <v>2720</v>
      </c>
      <c r="D929" t="s">
        <v>2776</v>
      </c>
      <c r="E929" s="10" t="s">
        <v>2777</v>
      </c>
      <c r="F929" s="10"/>
      <c r="G929" s="10"/>
      <c r="H929" s="10" t="s">
        <v>2777</v>
      </c>
      <c r="I929" s="14">
        <v>69429.385669384152</v>
      </c>
      <c r="J929" s="19">
        <v>0</v>
      </c>
      <c r="K929" s="19">
        <v>0.74687580570553591</v>
      </c>
      <c r="L929" s="19">
        <v>0.25312419429446398</v>
      </c>
      <c r="M929" s="20">
        <v>2</v>
      </c>
      <c r="N929" s="19">
        <v>0.43910076832929995</v>
      </c>
      <c r="O929" s="19">
        <v>0</v>
      </c>
      <c r="P929" s="19">
        <v>0.30777503737623607</v>
      </c>
      <c r="Q929" s="19">
        <v>0.14605783415369394</v>
      </c>
      <c r="R929" s="19">
        <v>9.7345970468418946E-2</v>
      </c>
      <c r="S929" s="19">
        <v>9.720389672351103E-3</v>
      </c>
      <c r="T929" s="20">
        <v>23</v>
      </c>
      <c r="U929" s="17">
        <v>2</v>
      </c>
      <c r="V929" s="17">
        <v>34</v>
      </c>
    </row>
    <row r="930" spans="1:22" x14ac:dyDescent="0.2">
      <c r="A930" t="s">
        <v>2778</v>
      </c>
      <c r="B930" t="s">
        <v>2719</v>
      </c>
      <c r="C930" t="s">
        <v>2720</v>
      </c>
      <c r="D930" t="s">
        <v>2776</v>
      </c>
      <c r="E930" s="10" t="s">
        <v>2779</v>
      </c>
      <c r="F930" s="10"/>
      <c r="G930" s="10"/>
      <c r="H930" s="10" t="s">
        <v>2779</v>
      </c>
      <c r="I930" s="14">
        <v>386133.54826682899</v>
      </c>
      <c r="J930" s="19">
        <v>0.54040383856002006</v>
      </c>
      <c r="K930" s="19">
        <v>0.32165208612491347</v>
      </c>
      <c r="L930" s="19">
        <v>0.13794407531506658</v>
      </c>
      <c r="M930" s="20">
        <v>3</v>
      </c>
      <c r="N930" s="19">
        <v>0.10511371348000231</v>
      </c>
      <c r="O930" s="19">
        <v>1.5376363078620557E-2</v>
      </c>
      <c r="P930" s="19">
        <v>0.20116200956629054</v>
      </c>
      <c r="Q930" s="19">
        <v>7.1285353404396914E-2</v>
      </c>
      <c r="R930" s="19">
        <v>6.0464156466151248E-2</v>
      </c>
      <c r="S930" s="19">
        <v>6.1945654445184186E-3</v>
      </c>
      <c r="T930" s="20">
        <v>30</v>
      </c>
      <c r="U930" s="17">
        <v>2</v>
      </c>
      <c r="V930" s="17">
        <v>34</v>
      </c>
    </row>
    <row r="931" spans="1:22" x14ac:dyDescent="0.2">
      <c r="A931" t="s">
        <v>2780</v>
      </c>
      <c r="B931" t="s">
        <v>2719</v>
      </c>
      <c r="C931" t="s">
        <v>2720</v>
      </c>
      <c r="D931" t="s">
        <v>2776</v>
      </c>
      <c r="E931" s="10" t="s">
        <v>2781</v>
      </c>
      <c r="F931" s="10"/>
      <c r="G931" s="10"/>
      <c r="H931" s="10" t="s">
        <v>2781</v>
      </c>
      <c r="I931" s="14">
        <v>92521.505541847204</v>
      </c>
      <c r="J931" s="19">
        <v>0</v>
      </c>
      <c r="K931" s="19">
        <v>0.88077985094706202</v>
      </c>
      <c r="L931" s="19">
        <v>0.11922014905293804</v>
      </c>
      <c r="M931" s="20">
        <v>2</v>
      </c>
      <c r="N931" s="19">
        <v>0.47127990558852972</v>
      </c>
      <c r="O931" s="19">
        <v>0</v>
      </c>
      <c r="P931" s="19">
        <v>0.40949994535853229</v>
      </c>
      <c r="Q931" s="19">
        <v>5.286800751599071E-2</v>
      </c>
      <c r="R931" s="19">
        <v>6.2373510141256083E-2</v>
      </c>
      <c r="S931" s="19">
        <v>3.9786313956912227E-3</v>
      </c>
      <c r="T931" s="20">
        <v>23</v>
      </c>
      <c r="U931" s="17">
        <v>2</v>
      </c>
      <c r="V931" s="17">
        <v>34</v>
      </c>
    </row>
    <row r="932" spans="1:22" x14ac:dyDescent="0.2">
      <c r="A932" t="s">
        <v>2782</v>
      </c>
      <c r="B932" t="s">
        <v>2719</v>
      </c>
      <c r="C932" t="s">
        <v>2720</v>
      </c>
      <c r="D932" t="s">
        <v>2776</v>
      </c>
      <c r="E932" s="10" t="s">
        <v>2783</v>
      </c>
      <c r="F932" s="10"/>
      <c r="G932" s="10"/>
      <c r="H932" s="10" t="s">
        <v>2783</v>
      </c>
      <c r="I932" s="14">
        <v>24030.905925592408</v>
      </c>
      <c r="J932" s="19">
        <v>0</v>
      </c>
      <c r="K932" s="19">
        <v>0.66368121145671277</v>
      </c>
      <c r="L932" s="19">
        <v>0.33631878854328734</v>
      </c>
      <c r="M932" s="20">
        <v>2</v>
      </c>
      <c r="N932" s="19">
        <v>0.27940106857665853</v>
      </c>
      <c r="O932" s="19">
        <v>0.32927456814168399</v>
      </c>
      <c r="P932" s="19">
        <v>5.5005574738370151E-2</v>
      </c>
      <c r="Q932" s="19">
        <v>0.20646281115686024</v>
      </c>
      <c r="R932" s="19">
        <v>0.11226276491161571</v>
      </c>
      <c r="S932" s="19">
        <v>1.7593212474811364E-2</v>
      </c>
      <c r="T932" s="20">
        <v>22</v>
      </c>
      <c r="U932" s="17">
        <v>2</v>
      </c>
      <c r="V932" s="17">
        <v>34</v>
      </c>
    </row>
    <row r="933" spans="1:22" x14ac:dyDescent="0.2">
      <c r="A933" t="s">
        <v>2784</v>
      </c>
      <c r="B933" t="s">
        <v>2719</v>
      </c>
      <c r="C933" t="s">
        <v>2720</v>
      </c>
      <c r="D933" t="s">
        <v>2776</v>
      </c>
      <c r="E933" s="10" t="s">
        <v>2785</v>
      </c>
      <c r="F933" s="10"/>
      <c r="G933" s="10"/>
      <c r="H933" s="10" t="s">
        <v>2785</v>
      </c>
      <c r="I933" s="14">
        <v>28777.46447173506</v>
      </c>
      <c r="J933" s="19">
        <v>0</v>
      </c>
      <c r="K933" s="19">
        <v>0.40260867681015716</v>
      </c>
      <c r="L933" s="19">
        <v>0.59739132318984289</v>
      </c>
      <c r="M933" s="20">
        <v>1</v>
      </c>
      <c r="N933" s="19">
        <v>0</v>
      </c>
      <c r="O933" s="19">
        <v>0</v>
      </c>
      <c r="P933" s="19">
        <v>0.40260867681015716</v>
      </c>
      <c r="Q933" s="19">
        <v>0.44043292795395639</v>
      </c>
      <c r="R933" s="19">
        <v>0.15257522451227937</v>
      </c>
      <c r="S933" s="19">
        <v>4.3831707236071105E-3</v>
      </c>
      <c r="T933" s="20">
        <v>13</v>
      </c>
      <c r="U933" s="17">
        <v>2</v>
      </c>
      <c r="V933" s="17">
        <v>34</v>
      </c>
    </row>
    <row r="934" spans="1:22" x14ac:dyDescent="0.2">
      <c r="A934" t="s">
        <v>2786</v>
      </c>
      <c r="B934" t="s">
        <v>2719</v>
      </c>
      <c r="C934" t="s">
        <v>2720</v>
      </c>
      <c r="D934" t="s">
        <v>2776</v>
      </c>
      <c r="E934" s="10" t="s">
        <v>2787</v>
      </c>
      <c r="F934" s="10"/>
      <c r="G934" s="10"/>
      <c r="H934" s="10" t="s">
        <v>2787</v>
      </c>
      <c r="I934" s="14">
        <v>15066.148842718452</v>
      </c>
      <c r="J934" s="19">
        <v>0</v>
      </c>
      <c r="K934" s="19">
        <v>0.5417873626945785</v>
      </c>
      <c r="L934" s="19">
        <v>0.45821263730542144</v>
      </c>
      <c r="M934" s="20">
        <v>2</v>
      </c>
      <c r="N934" s="19">
        <v>0.2783051421668834</v>
      </c>
      <c r="O934" s="19">
        <v>0</v>
      </c>
      <c r="P934" s="19">
        <v>0.26348222052769515</v>
      </c>
      <c r="Q934" s="19">
        <v>0.2993729783990669</v>
      </c>
      <c r="R934" s="19">
        <v>0.14627737015090414</v>
      </c>
      <c r="S934" s="19">
        <v>1.256228875545041E-2</v>
      </c>
      <c r="T934" s="20">
        <v>23</v>
      </c>
      <c r="U934" s="17">
        <v>2</v>
      </c>
      <c r="V934" s="17">
        <v>34</v>
      </c>
    </row>
    <row r="935" spans="1:22" x14ac:dyDescent="0.2">
      <c r="A935" t="s">
        <v>2788</v>
      </c>
      <c r="B935" t="s">
        <v>2719</v>
      </c>
      <c r="C935" t="s">
        <v>2720</v>
      </c>
      <c r="D935" t="s">
        <v>2776</v>
      </c>
      <c r="E935" s="10" t="s">
        <v>2789</v>
      </c>
      <c r="F935" s="10"/>
      <c r="G935" s="10"/>
      <c r="H935" s="10" t="s">
        <v>2789</v>
      </c>
      <c r="I935" s="14">
        <v>33721.369347315282</v>
      </c>
      <c r="J935" s="19">
        <v>0</v>
      </c>
      <c r="K935" s="19">
        <v>0.26556148960074655</v>
      </c>
      <c r="L935" s="19">
        <v>0.73443851039925345</v>
      </c>
      <c r="M935" s="20">
        <v>1</v>
      </c>
      <c r="N935" s="19">
        <v>0</v>
      </c>
      <c r="O935" s="19">
        <v>0.22731995863346702</v>
      </c>
      <c r="P935" s="19">
        <v>3.8241530967279509E-2</v>
      </c>
      <c r="Q935" s="19">
        <v>0.49602542967797475</v>
      </c>
      <c r="R935" s="19">
        <v>0.21409060263253532</v>
      </c>
      <c r="S935" s="19">
        <v>2.4322478088743386E-2</v>
      </c>
      <c r="T935" s="20">
        <v>13</v>
      </c>
      <c r="U935" s="17">
        <v>2</v>
      </c>
      <c r="V935" s="17">
        <v>34</v>
      </c>
    </row>
    <row r="936" spans="1:22" x14ac:dyDescent="0.2">
      <c r="A936" t="s">
        <v>2790</v>
      </c>
      <c r="B936" t="s">
        <v>2719</v>
      </c>
      <c r="C936" t="s">
        <v>2720</v>
      </c>
      <c r="D936" t="s">
        <v>2776</v>
      </c>
      <c r="E936" s="10" t="s">
        <v>2791</v>
      </c>
      <c r="F936" s="10"/>
      <c r="G936" s="10"/>
      <c r="H936" s="10" t="s">
        <v>2791</v>
      </c>
      <c r="I936" s="14">
        <v>25659.456674617715</v>
      </c>
      <c r="J936" s="19">
        <v>0</v>
      </c>
      <c r="K936" s="19">
        <v>0.86142535935176023</v>
      </c>
      <c r="L936" s="19">
        <v>0.13857464064823977</v>
      </c>
      <c r="M936" s="20">
        <v>2</v>
      </c>
      <c r="N936" s="19">
        <v>0.69373974571742469</v>
      </c>
      <c r="O936" s="19">
        <v>0</v>
      </c>
      <c r="P936" s="19">
        <v>0.1676856136343356</v>
      </c>
      <c r="Q936" s="19">
        <v>9.1341135971346007E-2</v>
      </c>
      <c r="R936" s="19">
        <v>4.2440733050954804E-2</v>
      </c>
      <c r="S936" s="19">
        <v>4.7927716259389417E-3</v>
      </c>
      <c r="T936" s="20">
        <v>23</v>
      </c>
      <c r="U936" s="17">
        <v>2</v>
      </c>
      <c r="V936" s="17">
        <v>34</v>
      </c>
    </row>
    <row r="937" spans="1:22" x14ac:dyDescent="0.2">
      <c r="A937" t="s">
        <v>2792</v>
      </c>
      <c r="B937" t="s">
        <v>2719</v>
      </c>
      <c r="C937" t="s">
        <v>2720</v>
      </c>
      <c r="D937" t="s">
        <v>2776</v>
      </c>
      <c r="E937" s="10" t="s">
        <v>2793</v>
      </c>
      <c r="F937" s="10"/>
      <c r="G937" s="10"/>
      <c r="H937" s="10" t="s">
        <v>2793</v>
      </c>
      <c r="I937" s="14">
        <v>1241.0131920129061</v>
      </c>
      <c r="J937" s="19">
        <v>0</v>
      </c>
      <c r="K937" s="19">
        <v>0</v>
      </c>
      <c r="L937" s="19">
        <v>1</v>
      </c>
      <c r="M937" s="20">
        <v>1</v>
      </c>
      <c r="N937" s="19">
        <v>0</v>
      </c>
      <c r="O937" s="19">
        <v>0</v>
      </c>
      <c r="P937" s="19">
        <v>0</v>
      </c>
      <c r="Q937" s="19">
        <v>0.904563042656365</v>
      </c>
      <c r="R937" s="19">
        <v>6.6483265328401542E-2</v>
      </c>
      <c r="S937" s="19">
        <v>2.8953692015233505E-2</v>
      </c>
      <c r="T937" s="20">
        <v>13</v>
      </c>
      <c r="U937" s="17">
        <v>2</v>
      </c>
      <c r="V937" s="17">
        <v>34</v>
      </c>
    </row>
    <row r="938" spans="1:22" x14ac:dyDescent="0.2">
      <c r="A938" t="s">
        <v>2794</v>
      </c>
      <c r="B938" t="s">
        <v>2719</v>
      </c>
      <c r="C938" t="s">
        <v>2720</v>
      </c>
      <c r="D938" t="s">
        <v>2776</v>
      </c>
      <c r="E938" s="10" t="s">
        <v>2795</v>
      </c>
      <c r="F938" s="10"/>
      <c r="G938" s="10"/>
      <c r="H938" s="10" t="s">
        <v>2795</v>
      </c>
      <c r="I938" s="14">
        <v>50338.114727647975</v>
      </c>
      <c r="J938" s="19">
        <v>0</v>
      </c>
      <c r="K938" s="19">
        <v>0.81668398504629092</v>
      </c>
      <c r="L938" s="19">
        <v>0.18331601495370908</v>
      </c>
      <c r="M938" s="20">
        <v>2</v>
      </c>
      <c r="N938" s="19">
        <v>0.54391386303866363</v>
      </c>
      <c r="O938" s="19">
        <v>0</v>
      </c>
      <c r="P938" s="19">
        <v>0.27277012200762729</v>
      </c>
      <c r="Q938" s="19">
        <v>0.1180254088888706</v>
      </c>
      <c r="R938" s="19">
        <v>5.7409368065511883E-2</v>
      </c>
      <c r="S938" s="19">
        <v>7.8812379993265947E-3</v>
      </c>
      <c r="T938" s="20">
        <v>23</v>
      </c>
      <c r="U938" s="17">
        <v>2</v>
      </c>
      <c r="V938" s="17">
        <v>34</v>
      </c>
    </row>
    <row r="939" spans="1:22" x14ac:dyDescent="0.2">
      <c r="A939" t="s">
        <v>2796</v>
      </c>
      <c r="B939" t="s">
        <v>2719</v>
      </c>
      <c r="C939" t="s">
        <v>2720</v>
      </c>
      <c r="D939" t="s">
        <v>2776</v>
      </c>
      <c r="E939" s="10" t="s">
        <v>2797</v>
      </c>
      <c r="F939" s="10"/>
      <c r="G939" s="10"/>
      <c r="H939" s="10" t="s">
        <v>2797</v>
      </c>
      <c r="I939" s="14">
        <v>19580.975881833583</v>
      </c>
      <c r="J939" s="19">
        <v>0</v>
      </c>
      <c r="K939" s="19">
        <v>0.96081868405047166</v>
      </c>
      <c r="L939" s="19">
        <v>3.9181315949528367E-2</v>
      </c>
      <c r="M939" s="20">
        <v>2</v>
      </c>
      <c r="N939" s="19">
        <v>0.26411467362560737</v>
      </c>
      <c r="O939" s="19">
        <v>0</v>
      </c>
      <c r="P939" s="19">
        <v>0.6967040104248643</v>
      </c>
      <c r="Q939" s="19">
        <v>0</v>
      </c>
      <c r="R939" s="19">
        <v>3.6865599807732741E-2</v>
      </c>
      <c r="S939" s="19">
        <v>2.3157161417956236E-3</v>
      </c>
      <c r="T939" s="20">
        <v>21</v>
      </c>
      <c r="U939" s="17">
        <v>2</v>
      </c>
      <c r="V939" s="17">
        <v>34</v>
      </c>
    </row>
    <row r="940" spans="1:22" x14ac:dyDescent="0.2">
      <c r="A940" t="s">
        <v>2798</v>
      </c>
      <c r="B940" t="s">
        <v>2719</v>
      </c>
      <c r="C940" t="s">
        <v>2720</v>
      </c>
      <c r="D940" t="s">
        <v>2776</v>
      </c>
      <c r="E940" s="10" t="s">
        <v>2799</v>
      </c>
      <c r="F940" s="10"/>
      <c r="G940" s="10"/>
      <c r="H940" s="10" t="s">
        <v>2799</v>
      </c>
      <c r="I940" s="14">
        <v>27477.577269926667</v>
      </c>
      <c r="J940" s="19">
        <v>0</v>
      </c>
      <c r="K940" s="19">
        <v>0.89280535859071364</v>
      </c>
      <c r="L940" s="19">
        <v>0.10719464140928632</v>
      </c>
      <c r="M940" s="20">
        <v>2</v>
      </c>
      <c r="N940" s="19">
        <v>0.374877079424628</v>
      </c>
      <c r="O940" s="19">
        <v>0</v>
      </c>
      <c r="P940" s="19">
        <v>0.51792827916608575</v>
      </c>
      <c r="Q940" s="19">
        <v>4.5895490637940857E-2</v>
      </c>
      <c r="R940" s="19">
        <v>5.3210569837894517E-2</v>
      </c>
      <c r="S940" s="19">
        <v>8.0885809334509447E-3</v>
      </c>
      <c r="T940" s="20">
        <v>21</v>
      </c>
      <c r="U940" s="17">
        <v>2</v>
      </c>
      <c r="V940" s="17">
        <v>34</v>
      </c>
    </row>
    <row r="941" spans="1:22" x14ac:dyDescent="0.2">
      <c r="A941" t="s">
        <v>2800</v>
      </c>
      <c r="B941" t="s">
        <v>2719</v>
      </c>
      <c r="C941" t="s">
        <v>2720</v>
      </c>
      <c r="D941" t="s">
        <v>2776</v>
      </c>
      <c r="E941" s="10" t="s">
        <v>2801</v>
      </c>
      <c r="F941" s="10"/>
      <c r="G941" s="10"/>
      <c r="H941" s="10" t="s">
        <v>2801</v>
      </c>
      <c r="I941" s="14">
        <v>26284.872889530845</v>
      </c>
      <c r="J941" s="19">
        <v>0</v>
      </c>
      <c r="K941" s="19">
        <v>0.80778627128764258</v>
      </c>
      <c r="L941" s="19">
        <v>0.19221372871235742</v>
      </c>
      <c r="M941" s="20">
        <v>2</v>
      </c>
      <c r="N941" s="19">
        <v>0</v>
      </c>
      <c r="O941" s="19">
        <v>0</v>
      </c>
      <c r="P941" s="19">
        <v>0.80778627128764258</v>
      </c>
      <c r="Q941" s="19">
        <v>6.3153572937576161E-2</v>
      </c>
      <c r="R941" s="19">
        <v>0.11719320372451196</v>
      </c>
      <c r="S941" s="19">
        <v>1.1866952050269304E-2</v>
      </c>
      <c r="T941" s="20">
        <v>21</v>
      </c>
      <c r="U941" s="17">
        <v>2</v>
      </c>
      <c r="V941" s="17">
        <v>34</v>
      </c>
    </row>
    <row r="942" spans="1:22" x14ac:dyDescent="0.2">
      <c r="A942" t="s">
        <v>2802</v>
      </c>
      <c r="B942" t="s">
        <v>2719</v>
      </c>
      <c r="C942" t="s">
        <v>2720</v>
      </c>
      <c r="D942" t="s">
        <v>2803</v>
      </c>
      <c r="E942" s="10" t="s">
        <v>2804</v>
      </c>
      <c r="F942" s="10"/>
      <c r="G942" s="10"/>
      <c r="H942" s="10" t="s">
        <v>2804</v>
      </c>
      <c r="I942" s="14">
        <v>127100.09969902784</v>
      </c>
      <c r="J942" s="19">
        <v>0.40222863543569026</v>
      </c>
      <c r="K942" s="19">
        <v>0.39256069001696492</v>
      </c>
      <c r="L942" s="19">
        <v>0.20521067454734482</v>
      </c>
      <c r="M942" s="20">
        <v>2</v>
      </c>
      <c r="N942" s="19">
        <v>4.0665720576747937E-2</v>
      </c>
      <c r="O942" s="19">
        <v>4.7896027605432413E-2</v>
      </c>
      <c r="P942" s="19">
        <v>0.30399894183478454</v>
      </c>
      <c r="Q942" s="19">
        <v>0.12262141192499908</v>
      </c>
      <c r="R942" s="19">
        <v>7.6367771557039596E-2</v>
      </c>
      <c r="S942" s="19">
        <v>6.2214910653061511E-3</v>
      </c>
      <c r="T942" s="20">
        <v>22</v>
      </c>
      <c r="U942" s="17">
        <v>2</v>
      </c>
      <c r="V942" s="17">
        <v>34</v>
      </c>
    </row>
    <row r="943" spans="1:22" x14ac:dyDescent="0.2">
      <c r="A943" t="s">
        <v>2805</v>
      </c>
      <c r="B943" t="s">
        <v>2719</v>
      </c>
      <c r="C943" t="s">
        <v>2720</v>
      </c>
      <c r="D943" t="s">
        <v>2803</v>
      </c>
      <c r="E943" s="10" t="s">
        <v>2806</v>
      </c>
      <c r="F943" s="10"/>
      <c r="G943" s="10"/>
      <c r="H943" s="10" t="s">
        <v>2806</v>
      </c>
      <c r="I943" s="14">
        <v>47552.959441201761</v>
      </c>
      <c r="J943" s="19">
        <v>0</v>
      </c>
      <c r="K943" s="19">
        <v>0.52639790730204117</v>
      </c>
      <c r="L943" s="19">
        <v>0.47360209269795883</v>
      </c>
      <c r="M943" s="20">
        <v>2</v>
      </c>
      <c r="N943" s="19">
        <v>0</v>
      </c>
      <c r="O943" s="19">
        <v>0.51970491131603669</v>
      </c>
      <c r="P943" s="19">
        <v>6.6929959860044892E-3</v>
      </c>
      <c r="Q943" s="19">
        <v>0.22902363517115526</v>
      </c>
      <c r="R943" s="19">
        <v>0.21545971940691794</v>
      </c>
      <c r="S943" s="19">
        <v>2.9118738119885589E-2</v>
      </c>
      <c r="T943" s="20">
        <v>22</v>
      </c>
      <c r="U943" s="17">
        <v>2</v>
      </c>
      <c r="V943" s="17">
        <v>34</v>
      </c>
    </row>
    <row r="944" spans="1:22" x14ac:dyDescent="0.2">
      <c r="A944" t="s">
        <v>2807</v>
      </c>
      <c r="B944" t="s">
        <v>2719</v>
      </c>
      <c r="C944" t="s">
        <v>2720</v>
      </c>
      <c r="D944" t="s">
        <v>2803</v>
      </c>
      <c r="E944" s="10" t="s">
        <v>2808</v>
      </c>
      <c r="F944" s="10"/>
      <c r="G944" s="10"/>
      <c r="H944" s="10" t="s">
        <v>2808</v>
      </c>
      <c r="I944" s="14">
        <v>69649.218022633344</v>
      </c>
      <c r="J944" s="19">
        <v>0</v>
      </c>
      <c r="K944" s="19">
        <v>0.44741029089071721</v>
      </c>
      <c r="L944" s="19">
        <v>0.55258970910928273</v>
      </c>
      <c r="M944" s="20">
        <v>1</v>
      </c>
      <c r="N944" s="19">
        <v>0.13277520450542424</v>
      </c>
      <c r="O944" s="19">
        <v>9.1507755173519112E-2</v>
      </c>
      <c r="P944" s="19">
        <v>0.22312733121177389</v>
      </c>
      <c r="Q944" s="19">
        <v>0.28732967745243582</v>
      </c>
      <c r="R944" s="19">
        <v>0.23032953046947524</v>
      </c>
      <c r="S944" s="19">
        <v>3.4930501187371739E-2</v>
      </c>
      <c r="T944" s="20">
        <v>13</v>
      </c>
      <c r="U944" s="17">
        <v>2</v>
      </c>
      <c r="V944" s="17">
        <v>34</v>
      </c>
    </row>
    <row r="945" spans="1:22" x14ac:dyDescent="0.2">
      <c r="A945" t="s">
        <v>2809</v>
      </c>
      <c r="B945" t="s">
        <v>2719</v>
      </c>
      <c r="C945" t="s">
        <v>2720</v>
      </c>
      <c r="D945" t="s">
        <v>2803</v>
      </c>
      <c r="E945" s="10" t="s">
        <v>2736</v>
      </c>
      <c r="F945" s="10"/>
      <c r="G945" s="10"/>
      <c r="H945" s="10" t="s">
        <v>2736</v>
      </c>
      <c r="I945" s="14">
        <v>39836.194560466334</v>
      </c>
      <c r="J945" s="19">
        <v>0</v>
      </c>
      <c r="K945" s="19">
        <v>0.50382413903887546</v>
      </c>
      <c r="L945" s="19">
        <v>0.49617586096112448</v>
      </c>
      <c r="M945" s="20">
        <v>2</v>
      </c>
      <c r="N945" s="19">
        <v>0.377131261643047</v>
      </c>
      <c r="O945" s="19">
        <v>0</v>
      </c>
      <c r="P945" s="19">
        <v>0.12669287739582849</v>
      </c>
      <c r="Q945" s="19">
        <v>0.27337421847205223</v>
      </c>
      <c r="R945" s="19">
        <v>0.20316280686376248</v>
      </c>
      <c r="S945" s="19">
        <v>1.9638835625309815E-2</v>
      </c>
      <c r="T945" s="20">
        <v>23</v>
      </c>
      <c r="U945" s="17">
        <v>2</v>
      </c>
      <c r="V945" s="17">
        <v>34</v>
      </c>
    </row>
    <row r="946" spans="1:22" x14ac:dyDescent="0.2">
      <c r="A946" t="s">
        <v>2810</v>
      </c>
      <c r="B946" t="s">
        <v>2719</v>
      </c>
      <c r="C946" t="s">
        <v>2720</v>
      </c>
      <c r="D946" t="s">
        <v>2803</v>
      </c>
      <c r="E946" s="10" t="s">
        <v>2811</v>
      </c>
      <c r="F946" s="10"/>
      <c r="G946" s="10"/>
      <c r="H946" s="10" t="s">
        <v>2811</v>
      </c>
      <c r="I946" s="14">
        <v>55742.165187245235</v>
      </c>
      <c r="J946" s="19">
        <v>0</v>
      </c>
      <c r="K946" s="19">
        <v>0.40132365531065145</v>
      </c>
      <c r="L946" s="19">
        <v>0.59867634468934849</v>
      </c>
      <c r="M946" s="20">
        <v>1</v>
      </c>
      <c r="N946" s="19">
        <v>0.13079885934779459</v>
      </c>
      <c r="O946" s="19">
        <v>0.23646896486402799</v>
      </c>
      <c r="P946" s="19">
        <v>3.405583109882887E-2</v>
      </c>
      <c r="Q946" s="19">
        <v>0.40986297375261466</v>
      </c>
      <c r="R946" s="19">
        <v>0.17326417879341707</v>
      </c>
      <c r="S946" s="19">
        <v>1.5549192143316796E-2</v>
      </c>
      <c r="T946" s="20">
        <v>13</v>
      </c>
      <c r="U946" s="17">
        <v>2</v>
      </c>
      <c r="V946" s="17">
        <v>34</v>
      </c>
    </row>
    <row r="947" spans="1:22" x14ac:dyDescent="0.2">
      <c r="A947" t="s">
        <v>2812</v>
      </c>
      <c r="B947" t="s">
        <v>2719</v>
      </c>
      <c r="C947" t="s">
        <v>2720</v>
      </c>
      <c r="D947" t="s">
        <v>2803</v>
      </c>
      <c r="E947" s="10" t="s">
        <v>2813</v>
      </c>
      <c r="F947" s="10"/>
      <c r="G947" s="10"/>
      <c r="H947" s="10" t="s">
        <v>2813</v>
      </c>
      <c r="I947" s="14">
        <v>94698.593023747206</v>
      </c>
      <c r="J947" s="19">
        <v>0</v>
      </c>
      <c r="K947" s="19">
        <v>0.726916637636986</v>
      </c>
      <c r="L947" s="19">
        <v>0.27308336236301395</v>
      </c>
      <c r="M947" s="20">
        <v>2</v>
      </c>
      <c r="N947" s="19">
        <v>0.27088859186566455</v>
      </c>
      <c r="O947" s="19">
        <v>5.270224687803448E-2</v>
      </c>
      <c r="P947" s="19">
        <v>0.40332579889328701</v>
      </c>
      <c r="Q947" s="19">
        <v>0.11637326457788964</v>
      </c>
      <c r="R947" s="19">
        <v>0.13541938755283137</v>
      </c>
      <c r="S947" s="19">
        <v>2.1290710232292957E-2</v>
      </c>
      <c r="T947" s="20">
        <v>23</v>
      </c>
      <c r="U947" s="17">
        <v>2</v>
      </c>
      <c r="V947" s="17">
        <v>34</v>
      </c>
    </row>
    <row r="948" spans="1:22" x14ac:dyDescent="0.2">
      <c r="A948" t="s">
        <v>2814</v>
      </c>
      <c r="B948" t="s">
        <v>2719</v>
      </c>
      <c r="C948" t="s">
        <v>2720</v>
      </c>
      <c r="D948" t="s">
        <v>2803</v>
      </c>
      <c r="E948" s="10" t="s">
        <v>2815</v>
      </c>
      <c r="F948" s="10"/>
      <c r="G948" s="10"/>
      <c r="H948" s="10" t="s">
        <v>2815</v>
      </c>
      <c r="I948" s="14">
        <v>58029.560497187078</v>
      </c>
      <c r="J948" s="19">
        <v>0</v>
      </c>
      <c r="K948" s="19">
        <v>0.85044945768877689</v>
      </c>
      <c r="L948" s="19">
        <v>0.14955054231122317</v>
      </c>
      <c r="M948" s="20">
        <v>2</v>
      </c>
      <c r="N948" s="19">
        <v>0.31155334499995574</v>
      </c>
      <c r="O948" s="19">
        <v>0</v>
      </c>
      <c r="P948" s="19">
        <v>0.53889611268882109</v>
      </c>
      <c r="Q948" s="19">
        <v>4.2668579673865503E-2</v>
      </c>
      <c r="R948" s="19">
        <v>8.5986399461985441E-2</v>
      </c>
      <c r="S948" s="19">
        <v>2.0895563175372212E-2</v>
      </c>
      <c r="T948" s="20">
        <v>21</v>
      </c>
      <c r="U948" s="17">
        <v>2</v>
      </c>
      <c r="V948" s="17">
        <v>34</v>
      </c>
    </row>
    <row r="949" spans="1:22" x14ac:dyDescent="0.2">
      <c r="A949" t="s">
        <v>2816</v>
      </c>
      <c r="B949" t="s">
        <v>2719</v>
      </c>
      <c r="C949" t="s">
        <v>2720</v>
      </c>
      <c r="D949" t="s">
        <v>2803</v>
      </c>
      <c r="E949" s="10" t="s">
        <v>2817</v>
      </c>
      <c r="F949" s="10"/>
      <c r="G949" s="10"/>
      <c r="H949" s="10" t="s">
        <v>2817</v>
      </c>
      <c r="I949" s="14">
        <v>99408.977850526571</v>
      </c>
      <c r="J949" s="19">
        <v>0</v>
      </c>
      <c r="K949" s="19">
        <v>0.77527162838317121</v>
      </c>
      <c r="L949" s="19">
        <v>0.22472837161682876</v>
      </c>
      <c r="M949" s="20">
        <v>2</v>
      </c>
      <c r="N949" s="19">
        <v>0.3625711573150775</v>
      </c>
      <c r="O949" s="19">
        <v>0</v>
      </c>
      <c r="P949" s="19">
        <v>0.41270047106809377</v>
      </c>
      <c r="Q949" s="19">
        <v>0.1055444215813367</v>
      </c>
      <c r="R949" s="19">
        <v>0.10114961261752047</v>
      </c>
      <c r="S949" s="19">
        <v>1.8034337417971592E-2</v>
      </c>
      <c r="T949" s="20">
        <v>23</v>
      </c>
      <c r="U949" s="17">
        <v>2</v>
      </c>
      <c r="V949" s="17">
        <v>34</v>
      </c>
    </row>
    <row r="950" spans="1:22" x14ac:dyDescent="0.2">
      <c r="A950" t="s">
        <v>2818</v>
      </c>
      <c r="B950" t="s">
        <v>2719</v>
      </c>
      <c r="C950" t="s">
        <v>2720</v>
      </c>
      <c r="D950" t="s">
        <v>2803</v>
      </c>
      <c r="E950" s="10" t="s">
        <v>2819</v>
      </c>
      <c r="F950" s="10"/>
      <c r="G950" s="10"/>
      <c r="H950" s="10" t="s">
        <v>2819</v>
      </c>
      <c r="I950" s="14">
        <v>43445.992237989791</v>
      </c>
      <c r="J950" s="19">
        <v>0</v>
      </c>
      <c r="K950" s="19">
        <v>2.8789012774862743E-2</v>
      </c>
      <c r="L950" s="19">
        <v>0.97121098722513721</v>
      </c>
      <c r="M950" s="20">
        <v>1</v>
      </c>
      <c r="N950" s="19">
        <v>8.6731371600289545E-3</v>
      </c>
      <c r="O950" s="19">
        <v>0</v>
      </c>
      <c r="P950" s="19">
        <v>2.0115875614833786E-2</v>
      </c>
      <c r="Q950" s="19">
        <v>0.56088349778441937</v>
      </c>
      <c r="R950" s="19">
        <v>0.39165846142880062</v>
      </c>
      <c r="S950" s="19">
        <v>1.8669028011917218E-2</v>
      </c>
      <c r="T950" s="20">
        <v>13</v>
      </c>
      <c r="U950" s="17">
        <v>2</v>
      </c>
      <c r="V950" s="17">
        <v>34</v>
      </c>
    </row>
    <row r="951" spans="1:22" x14ac:dyDescent="0.2">
      <c r="A951" t="s">
        <v>2820</v>
      </c>
      <c r="B951" t="s">
        <v>2719</v>
      </c>
      <c r="C951" t="s">
        <v>2720</v>
      </c>
      <c r="D951" t="s">
        <v>2803</v>
      </c>
      <c r="E951" s="10" t="s">
        <v>2821</v>
      </c>
      <c r="F951" s="10"/>
      <c r="G951" s="10"/>
      <c r="H951" s="10" t="s">
        <v>2821</v>
      </c>
      <c r="I951" s="14">
        <v>31925.201240365393</v>
      </c>
      <c r="J951" s="19">
        <v>0</v>
      </c>
      <c r="K951" s="19">
        <v>0.7757165471351114</v>
      </c>
      <c r="L951" s="19">
        <v>0.22428345286488863</v>
      </c>
      <c r="M951" s="20">
        <v>2</v>
      </c>
      <c r="N951" s="19">
        <v>7.2771457261735645E-2</v>
      </c>
      <c r="O951" s="19">
        <v>0.68037804123725476</v>
      </c>
      <c r="P951" s="19">
        <v>2.2567048636120988E-2</v>
      </c>
      <c r="Q951" s="19">
        <v>3.9664380274324947E-3</v>
      </c>
      <c r="R951" s="19">
        <v>0.18920207807374709</v>
      </c>
      <c r="S951" s="19">
        <v>3.111493676370905E-2</v>
      </c>
      <c r="T951" s="20">
        <v>22</v>
      </c>
      <c r="U951" s="17">
        <v>2</v>
      </c>
      <c r="V951" s="17">
        <v>34</v>
      </c>
    </row>
    <row r="952" spans="1:22" x14ac:dyDescent="0.2">
      <c r="A952" t="s">
        <v>2822</v>
      </c>
      <c r="B952" t="s">
        <v>2719</v>
      </c>
      <c r="C952" t="s">
        <v>2720</v>
      </c>
      <c r="D952" t="s">
        <v>2803</v>
      </c>
      <c r="E952" s="10" t="s">
        <v>2823</v>
      </c>
      <c r="F952" s="10"/>
      <c r="G952" s="10"/>
      <c r="H952" s="10" t="s">
        <v>2823</v>
      </c>
      <c r="I952" s="14">
        <v>38549.420242962427</v>
      </c>
      <c r="J952" s="19">
        <v>0</v>
      </c>
      <c r="K952" s="19">
        <v>0.4427167662360002</v>
      </c>
      <c r="L952" s="19">
        <v>0.5572832337639998</v>
      </c>
      <c r="M952" s="20">
        <v>1</v>
      </c>
      <c r="N952" s="19">
        <v>0.14862633711040721</v>
      </c>
      <c r="O952" s="19">
        <v>0.19396448658617624</v>
      </c>
      <c r="P952" s="19">
        <v>0.10012594253941674</v>
      </c>
      <c r="Q952" s="19">
        <v>0.31326389918597486</v>
      </c>
      <c r="R952" s="19">
        <v>0.21999573752496526</v>
      </c>
      <c r="S952" s="19">
        <v>2.4023597053059686E-2</v>
      </c>
      <c r="T952" s="20">
        <v>13</v>
      </c>
      <c r="U952" s="17">
        <v>2</v>
      </c>
      <c r="V952" s="17">
        <v>34</v>
      </c>
    </row>
    <row r="953" spans="1:22" x14ac:dyDescent="0.2">
      <c r="A953" t="s">
        <v>2824</v>
      </c>
      <c r="B953" t="s">
        <v>2719</v>
      </c>
      <c r="C953" t="s">
        <v>2720</v>
      </c>
      <c r="D953" t="s">
        <v>2803</v>
      </c>
      <c r="E953" s="10" t="s">
        <v>2825</v>
      </c>
      <c r="F953" s="10"/>
      <c r="G953" s="10"/>
      <c r="H953" s="10" t="s">
        <v>2825</v>
      </c>
      <c r="I953" s="14">
        <v>51182.032582342625</v>
      </c>
      <c r="J953" s="19">
        <v>0</v>
      </c>
      <c r="K953" s="19">
        <v>0.87791329920655381</v>
      </c>
      <c r="L953" s="19">
        <v>0.12208670079344616</v>
      </c>
      <c r="M953" s="20">
        <v>2</v>
      </c>
      <c r="N953" s="19">
        <v>0.595421314270418</v>
      </c>
      <c r="O953" s="19">
        <v>0</v>
      </c>
      <c r="P953" s="19">
        <v>0.28249198493613586</v>
      </c>
      <c r="Q953" s="19">
        <v>5.6595005951656556E-2</v>
      </c>
      <c r="R953" s="19">
        <v>6.1395210706588856E-2</v>
      </c>
      <c r="S953" s="19">
        <v>4.0964841352007335E-3</v>
      </c>
      <c r="T953" s="20">
        <v>23</v>
      </c>
      <c r="U953" s="17">
        <v>2</v>
      </c>
      <c r="V953" s="17">
        <v>34</v>
      </c>
    </row>
    <row r="954" spans="1:22" x14ac:dyDescent="0.2">
      <c r="A954" t="s">
        <v>2826</v>
      </c>
      <c r="B954" t="s">
        <v>2719</v>
      </c>
      <c r="C954" t="s">
        <v>2720</v>
      </c>
      <c r="D954" t="s">
        <v>2803</v>
      </c>
      <c r="E954" s="10" t="s">
        <v>2827</v>
      </c>
      <c r="F954" s="10"/>
      <c r="G954" s="10"/>
      <c r="H954" s="10" t="s">
        <v>2827</v>
      </c>
      <c r="I954" s="14">
        <v>58297.65842908714</v>
      </c>
      <c r="J954" s="19">
        <v>0</v>
      </c>
      <c r="K954" s="19">
        <v>0.61596951712334103</v>
      </c>
      <c r="L954" s="19">
        <v>0.38403048287665897</v>
      </c>
      <c r="M954" s="20">
        <v>2</v>
      </c>
      <c r="N954" s="19">
        <v>0.28134444992803603</v>
      </c>
      <c r="O954" s="19">
        <v>0.15592742162201562</v>
      </c>
      <c r="P954" s="19">
        <v>0.1786976455732894</v>
      </c>
      <c r="Q954" s="19">
        <v>0.21889797519867427</v>
      </c>
      <c r="R954" s="19">
        <v>0.13957315370137063</v>
      </c>
      <c r="S954" s="19">
        <v>2.555935397661405E-2</v>
      </c>
      <c r="T954" s="20">
        <v>23</v>
      </c>
      <c r="U954" s="17">
        <v>2</v>
      </c>
      <c r="V954" s="17">
        <v>34</v>
      </c>
    </row>
    <row r="955" spans="1:22" x14ac:dyDescent="0.2">
      <c r="A955" t="s">
        <v>2828</v>
      </c>
      <c r="B955" t="s">
        <v>2719</v>
      </c>
      <c r="C955" t="s">
        <v>2720</v>
      </c>
      <c r="D955" t="s">
        <v>2803</v>
      </c>
      <c r="E955" s="10" t="s">
        <v>2829</v>
      </c>
      <c r="F955" s="10"/>
      <c r="G955" s="10"/>
      <c r="H955" s="10" t="s">
        <v>2829</v>
      </c>
      <c r="I955" s="14">
        <v>54606.449172666296</v>
      </c>
      <c r="J955" s="19">
        <v>0</v>
      </c>
      <c r="K955" s="19">
        <v>0.7405199159242708</v>
      </c>
      <c r="L955" s="19">
        <v>0.2594800840757292</v>
      </c>
      <c r="M955" s="20">
        <v>2</v>
      </c>
      <c r="N955" s="19">
        <v>0.28485009529654792</v>
      </c>
      <c r="O955" s="19">
        <v>3.9125187016648244E-2</v>
      </c>
      <c r="P955" s="19">
        <v>0.41654463361107463</v>
      </c>
      <c r="Q955" s="19">
        <v>9.9863358901198879E-2</v>
      </c>
      <c r="R955" s="19">
        <v>0.14175724924793565</v>
      </c>
      <c r="S955" s="19">
        <v>1.7859475926594655E-2</v>
      </c>
      <c r="T955" s="20">
        <v>23</v>
      </c>
      <c r="U955" s="17">
        <v>2</v>
      </c>
      <c r="V955" s="17">
        <v>34</v>
      </c>
    </row>
    <row r="956" spans="1:22" x14ac:dyDescent="0.2">
      <c r="A956" t="s">
        <v>2830</v>
      </c>
      <c r="B956" t="s">
        <v>2719</v>
      </c>
      <c r="C956" t="s">
        <v>2720</v>
      </c>
      <c r="D956" t="s">
        <v>2831</v>
      </c>
      <c r="E956" s="10" t="s">
        <v>2832</v>
      </c>
      <c r="F956" s="10"/>
      <c r="G956" s="10"/>
      <c r="H956" s="10" t="s">
        <v>2832</v>
      </c>
      <c r="I956" s="14">
        <v>28620.462654622272</v>
      </c>
      <c r="J956" s="19">
        <v>0</v>
      </c>
      <c r="K956" s="19">
        <v>0.78847395587260172</v>
      </c>
      <c r="L956" s="19">
        <v>0.21152604412739826</v>
      </c>
      <c r="M956" s="20">
        <v>2</v>
      </c>
      <c r="N956" s="19">
        <v>0</v>
      </c>
      <c r="O956" s="19">
        <v>0</v>
      </c>
      <c r="P956" s="19">
        <v>0.78847395587260172</v>
      </c>
      <c r="Q956" s="19">
        <v>0</v>
      </c>
      <c r="R956" s="19">
        <v>0.18698851524748519</v>
      </c>
      <c r="S956" s="19">
        <v>2.4537528879913065E-2</v>
      </c>
      <c r="T956" s="20">
        <v>21</v>
      </c>
      <c r="U956" s="17">
        <v>2</v>
      </c>
      <c r="V956" s="17">
        <v>34</v>
      </c>
    </row>
    <row r="957" spans="1:22" x14ac:dyDescent="0.2">
      <c r="A957" t="s">
        <v>2833</v>
      </c>
      <c r="B957" t="s">
        <v>2719</v>
      </c>
      <c r="C957" t="s">
        <v>2720</v>
      </c>
      <c r="D957" t="s">
        <v>2831</v>
      </c>
      <c r="E957" s="10" t="s">
        <v>2834</v>
      </c>
      <c r="F957" s="10"/>
      <c r="G957" s="10"/>
      <c r="H957" s="10" t="s">
        <v>2834</v>
      </c>
      <c r="I957" s="14">
        <v>33061.79546537064</v>
      </c>
      <c r="J957" s="19">
        <v>0</v>
      </c>
      <c r="K957" s="19">
        <v>0.78194214087395919</v>
      </c>
      <c r="L957" s="19">
        <v>0.21805785912604086</v>
      </c>
      <c r="M957" s="20">
        <v>2</v>
      </c>
      <c r="N957" s="19">
        <v>0</v>
      </c>
      <c r="O957" s="19">
        <v>0</v>
      </c>
      <c r="P957" s="19">
        <v>0.78194214087395919</v>
      </c>
      <c r="Q957" s="19">
        <v>3.7357111685494541E-2</v>
      </c>
      <c r="R957" s="19">
        <v>0.16919026042366483</v>
      </c>
      <c r="S957" s="19">
        <v>1.1510487016881473E-2</v>
      </c>
      <c r="T957" s="20">
        <v>21</v>
      </c>
      <c r="U957" s="17">
        <v>2</v>
      </c>
      <c r="V957" s="17">
        <v>34</v>
      </c>
    </row>
    <row r="958" spans="1:22" x14ac:dyDescent="0.2">
      <c r="A958" t="s">
        <v>2835</v>
      </c>
      <c r="B958" t="s">
        <v>2719</v>
      </c>
      <c r="C958" t="s">
        <v>2720</v>
      </c>
      <c r="D958" t="s">
        <v>2831</v>
      </c>
      <c r="E958" s="10" t="s">
        <v>2836</v>
      </c>
      <c r="F958" s="10"/>
      <c r="G958" s="10"/>
      <c r="H958" s="10" t="s">
        <v>2836</v>
      </c>
      <c r="I958" s="14">
        <v>50330.101167396642</v>
      </c>
      <c r="J958" s="19">
        <v>5.8780361703958402E-2</v>
      </c>
      <c r="K958" s="19">
        <v>0.88905807920841717</v>
      </c>
      <c r="L958" s="19">
        <v>5.2161559087624439E-2</v>
      </c>
      <c r="M958" s="20">
        <v>2</v>
      </c>
      <c r="N958" s="19">
        <v>0.19607129668015072</v>
      </c>
      <c r="O958" s="19">
        <v>0</v>
      </c>
      <c r="P958" s="19">
        <v>0.6929867825282664</v>
      </c>
      <c r="Q958" s="19">
        <v>0</v>
      </c>
      <c r="R958" s="19">
        <v>5.0209990099846981E-2</v>
      </c>
      <c r="S958" s="19">
        <v>1.9515689877774645E-3</v>
      </c>
      <c r="T958" s="20">
        <v>21</v>
      </c>
      <c r="U958" s="17">
        <v>2</v>
      </c>
      <c r="V958" s="17">
        <v>34</v>
      </c>
    </row>
    <row r="959" spans="1:22" x14ac:dyDescent="0.2">
      <c r="A959" t="s">
        <v>2837</v>
      </c>
      <c r="B959" t="s">
        <v>2719</v>
      </c>
      <c r="C959" t="s">
        <v>2720</v>
      </c>
      <c r="D959" t="s">
        <v>2831</v>
      </c>
      <c r="E959" s="10" t="s">
        <v>2838</v>
      </c>
      <c r="F959" s="10"/>
      <c r="G959" s="10"/>
      <c r="H959" s="10" t="s">
        <v>2838</v>
      </c>
      <c r="I959" s="14">
        <v>37012.291246794164</v>
      </c>
      <c r="J959" s="19">
        <v>0</v>
      </c>
      <c r="K959" s="19">
        <v>0.92845984003193216</v>
      </c>
      <c r="L959" s="19">
        <v>7.1540159968067854E-2</v>
      </c>
      <c r="M959" s="20">
        <v>2</v>
      </c>
      <c r="N959" s="19">
        <v>0</v>
      </c>
      <c r="O959" s="19">
        <v>0</v>
      </c>
      <c r="P959" s="19">
        <v>0.92845984003193216</v>
      </c>
      <c r="Q959" s="19">
        <v>0</v>
      </c>
      <c r="R959" s="19">
        <v>6.8922577262816351E-2</v>
      </c>
      <c r="S959" s="19">
        <v>2.6175827052514994E-3</v>
      </c>
      <c r="T959" s="20">
        <v>21</v>
      </c>
      <c r="U959" s="17">
        <v>2</v>
      </c>
      <c r="V959" s="17">
        <v>34</v>
      </c>
    </row>
    <row r="960" spans="1:22" x14ac:dyDescent="0.2">
      <c r="A960" t="s">
        <v>2839</v>
      </c>
      <c r="B960" t="s">
        <v>2719</v>
      </c>
      <c r="C960" t="s">
        <v>2720</v>
      </c>
      <c r="D960" t="s">
        <v>2831</v>
      </c>
      <c r="E960" s="10" t="s">
        <v>2840</v>
      </c>
      <c r="F960" s="10"/>
      <c r="G960" s="10"/>
      <c r="H960" s="10" t="s">
        <v>2840</v>
      </c>
      <c r="I960" s="14">
        <v>21066.299838084728</v>
      </c>
      <c r="J960" s="19">
        <v>0</v>
      </c>
      <c r="K960" s="19">
        <v>0.88411060128272978</v>
      </c>
      <c r="L960" s="19">
        <v>0.11588939871727019</v>
      </c>
      <c r="M960" s="20">
        <v>2</v>
      </c>
      <c r="N960" s="19">
        <v>0.3368845222972453</v>
      </c>
      <c r="O960" s="19">
        <v>0</v>
      </c>
      <c r="P960" s="19">
        <v>0.54722607898548459</v>
      </c>
      <c r="Q960" s="19">
        <v>2.8394725449372025E-2</v>
      </c>
      <c r="R960" s="19">
        <v>7.8752290666998334E-2</v>
      </c>
      <c r="S960" s="19">
        <v>8.7423826008998264E-3</v>
      </c>
      <c r="T960" s="20">
        <v>21</v>
      </c>
      <c r="U960" s="17">
        <v>2</v>
      </c>
      <c r="V960" s="17">
        <v>34</v>
      </c>
    </row>
    <row r="961" spans="1:22" x14ac:dyDescent="0.2">
      <c r="A961" t="s">
        <v>2841</v>
      </c>
      <c r="B961" t="s">
        <v>2719</v>
      </c>
      <c r="C961" t="s">
        <v>2720</v>
      </c>
      <c r="D961" t="s">
        <v>2831</v>
      </c>
      <c r="E961" s="10" t="s">
        <v>2842</v>
      </c>
      <c r="F961" s="10"/>
      <c r="G961" s="10"/>
      <c r="H961" s="10" t="s">
        <v>2842</v>
      </c>
      <c r="I961" s="14">
        <v>56813.186826836791</v>
      </c>
      <c r="J961" s="19">
        <v>0</v>
      </c>
      <c r="K961" s="19">
        <v>0.85236440983602557</v>
      </c>
      <c r="L961" s="19">
        <v>0.14763559016397421</v>
      </c>
      <c r="M961" s="20">
        <v>2</v>
      </c>
      <c r="N961" s="19">
        <v>0.17214591468612653</v>
      </c>
      <c r="O961" s="19">
        <v>0</v>
      </c>
      <c r="P961" s="19">
        <v>0.68021849514989918</v>
      </c>
      <c r="Q961" s="19">
        <v>6.9687582398192741E-2</v>
      </c>
      <c r="R961" s="19">
        <v>6.9493185462106186E-2</v>
      </c>
      <c r="S961" s="19">
        <v>8.4548223036752836E-3</v>
      </c>
      <c r="T961" s="20">
        <v>21</v>
      </c>
      <c r="U961" s="17">
        <v>2</v>
      </c>
      <c r="V961" s="17">
        <v>34</v>
      </c>
    </row>
    <row r="962" spans="1:22" x14ac:dyDescent="0.2">
      <c r="A962" t="s">
        <v>2843</v>
      </c>
      <c r="B962" t="s">
        <v>2719</v>
      </c>
      <c r="C962" t="s">
        <v>2720</v>
      </c>
      <c r="D962" t="s">
        <v>2831</v>
      </c>
      <c r="E962" s="10" t="s">
        <v>2844</v>
      </c>
      <c r="F962" s="10"/>
      <c r="G962" s="10"/>
      <c r="H962" s="10" t="s">
        <v>2844</v>
      </c>
      <c r="I962" s="14">
        <v>93649.861070630141</v>
      </c>
      <c r="J962" s="19">
        <v>0.85817906187547299</v>
      </c>
      <c r="K962" s="19">
        <v>0.13972302655270435</v>
      </c>
      <c r="L962" s="19">
        <v>2.09791157182266E-3</v>
      </c>
      <c r="M962" s="20">
        <v>3</v>
      </c>
      <c r="N962" s="19">
        <v>4.7474500742806361E-2</v>
      </c>
      <c r="O962" s="19">
        <v>0</v>
      </c>
      <c r="P962" s="19">
        <v>9.224852580989798E-2</v>
      </c>
      <c r="Q962" s="19">
        <v>0</v>
      </c>
      <c r="R962" s="19">
        <v>2.0908889385571907E-3</v>
      </c>
      <c r="S962" s="19">
        <v>7.0226332654694792E-6</v>
      </c>
      <c r="T962" s="20">
        <v>30</v>
      </c>
      <c r="U962" s="17">
        <v>2</v>
      </c>
      <c r="V962" s="17">
        <v>34</v>
      </c>
    </row>
    <row r="963" spans="1:22" x14ac:dyDescent="0.2">
      <c r="A963" t="s">
        <v>2845</v>
      </c>
      <c r="B963" t="s">
        <v>2719</v>
      </c>
      <c r="C963" t="s">
        <v>2720</v>
      </c>
      <c r="D963" t="s">
        <v>2831</v>
      </c>
      <c r="E963" s="10" t="s">
        <v>2846</v>
      </c>
      <c r="F963" s="10"/>
      <c r="G963" s="10"/>
      <c r="H963" s="10" t="s">
        <v>2846</v>
      </c>
      <c r="I963" s="14">
        <v>19124.064425976947</v>
      </c>
      <c r="J963" s="19">
        <v>0</v>
      </c>
      <c r="K963" s="19">
        <v>0.97312079941997531</v>
      </c>
      <c r="L963" s="19">
        <v>2.6879200580024729E-2</v>
      </c>
      <c r="M963" s="20">
        <v>2</v>
      </c>
      <c r="N963" s="19">
        <v>4.3715566876988569E-2</v>
      </c>
      <c r="O963" s="19">
        <v>0</v>
      </c>
      <c r="P963" s="19">
        <v>0.92940523254298668</v>
      </c>
      <c r="Q963" s="19">
        <v>0</v>
      </c>
      <c r="R963" s="19">
        <v>2.6610029318703984E-2</v>
      </c>
      <c r="S963" s="19">
        <v>2.6917126132074636E-4</v>
      </c>
      <c r="T963" s="20">
        <v>21</v>
      </c>
      <c r="U963" s="17">
        <v>2</v>
      </c>
      <c r="V963" s="17">
        <v>34</v>
      </c>
    </row>
    <row r="964" spans="1:22" x14ac:dyDescent="0.2">
      <c r="A964" t="s">
        <v>2847</v>
      </c>
      <c r="B964" t="s">
        <v>2719</v>
      </c>
      <c r="C964" t="s">
        <v>2720</v>
      </c>
      <c r="D964" t="s">
        <v>2831</v>
      </c>
      <c r="E964" s="10" t="s">
        <v>2848</v>
      </c>
      <c r="F964" s="10"/>
      <c r="G964" s="10"/>
      <c r="H964" s="10" t="s">
        <v>2848</v>
      </c>
      <c r="I964" s="14">
        <v>34912.618016779423</v>
      </c>
      <c r="J964" s="19">
        <v>0</v>
      </c>
      <c r="K964" s="19">
        <v>0.50302174189394999</v>
      </c>
      <c r="L964" s="19">
        <v>0.49697825810605001</v>
      </c>
      <c r="M964" s="20">
        <v>2</v>
      </c>
      <c r="N964" s="19">
        <v>0</v>
      </c>
      <c r="O964" s="19">
        <v>0.14596035873255922</v>
      </c>
      <c r="P964" s="19">
        <v>0.35706138316139074</v>
      </c>
      <c r="Q964" s="19">
        <v>0.25410272268319839</v>
      </c>
      <c r="R964" s="19">
        <v>0.21816777517385577</v>
      </c>
      <c r="S964" s="19">
        <v>2.4707760248995854E-2</v>
      </c>
      <c r="T964" s="20">
        <v>22</v>
      </c>
      <c r="U964" s="17">
        <v>2</v>
      </c>
      <c r="V964" s="17">
        <v>34</v>
      </c>
    </row>
    <row r="965" spans="1:22" x14ac:dyDescent="0.2">
      <c r="A965" t="s">
        <v>2849</v>
      </c>
      <c r="B965" t="s">
        <v>2719</v>
      </c>
      <c r="C965" t="s">
        <v>2720</v>
      </c>
      <c r="D965" t="s">
        <v>2831</v>
      </c>
      <c r="E965" s="10" t="s">
        <v>2850</v>
      </c>
      <c r="F965" s="10"/>
      <c r="G965" s="10"/>
      <c r="H965" s="10" t="s">
        <v>2850</v>
      </c>
      <c r="I965" s="14">
        <v>21836.627670221031</v>
      </c>
      <c r="J965" s="19">
        <v>0</v>
      </c>
      <c r="K965" s="19">
        <v>0.68954460263136264</v>
      </c>
      <c r="L965" s="19">
        <v>0.31045539736863736</v>
      </c>
      <c r="M965" s="20">
        <v>2</v>
      </c>
      <c r="N965" s="19">
        <v>0</v>
      </c>
      <c r="O965" s="19">
        <v>0</v>
      </c>
      <c r="P965" s="19">
        <v>0.68954460263136264</v>
      </c>
      <c r="Q965" s="19">
        <v>6.7877914579448265E-2</v>
      </c>
      <c r="R965" s="19">
        <v>0.22397710358726119</v>
      </c>
      <c r="S965" s="19">
        <v>1.8600379201927923E-2</v>
      </c>
      <c r="T965" s="20">
        <v>21</v>
      </c>
      <c r="U965" s="17">
        <v>2</v>
      </c>
      <c r="V965" s="17">
        <v>34</v>
      </c>
    </row>
    <row r="966" spans="1:22" x14ac:dyDescent="0.2">
      <c r="A966" t="s">
        <v>2851</v>
      </c>
      <c r="B966" t="s">
        <v>2719</v>
      </c>
      <c r="C966" t="s">
        <v>2720</v>
      </c>
      <c r="D966" t="s">
        <v>2831</v>
      </c>
      <c r="E966" s="10" t="s">
        <v>2852</v>
      </c>
      <c r="F966" s="10"/>
      <c r="G966" s="10"/>
      <c r="H966" s="10" t="s">
        <v>2852</v>
      </c>
      <c r="I966" s="14">
        <v>29641.732325803488</v>
      </c>
      <c r="J966" s="19">
        <v>0</v>
      </c>
      <c r="K966" s="19">
        <v>0.9103608500552256</v>
      </c>
      <c r="L966" s="19">
        <v>8.9639149944774413E-2</v>
      </c>
      <c r="M966" s="20">
        <v>2</v>
      </c>
      <c r="N966" s="19">
        <v>6.7943841819116044E-2</v>
      </c>
      <c r="O966" s="19">
        <v>0</v>
      </c>
      <c r="P966" s="19">
        <v>0.84241700823610943</v>
      </c>
      <c r="Q966" s="19">
        <v>0</v>
      </c>
      <c r="R966" s="19">
        <v>8.6923953419731526E-2</v>
      </c>
      <c r="S966" s="19">
        <v>2.715196525042889E-3</v>
      </c>
      <c r="T966" s="20">
        <v>21</v>
      </c>
      <c r="U966" s="17">
        <v>2</v>
      </c>
      <c r="V966" s="17">
        <v>34</v>
      </c>
    </row>
    <row r="967" spans="1:22" x14ac:dyDescent="0.2">
      <c r="A967" t="s">
        <v>2853</v>
      </c>
      <c r="B967" t="s">
        <v>2719</v>
      </c>
      <c r="C967" t="s">
        <v>2720</v>
      </c>
      <c r="D967" t="s">
        <v>2831</v>
      </c>
      <c r="E967" s="10" t="s">
        <v>2854</v>
      </c>
      <c r="F967" s="10"/>
      <c r="G967" s="10"/>
      <c r="H967" s="10" t="s">
        <v>2854</v>
      </c>
      <c r="I967" s="14">
        <v>51665.403289338574</v>
      </c>
      <c r="J967" s="19">
        <v>0</v>
      </c>
      <c r="K967" s="19">
        <v>0.94900017530162661</v>
      </c>
      <c r="L967" s="19">
        <v>5.0999824698373428E-2</v>
      </c>
      <c r="M967" s="20">
        <v>2</v>
      </c>
      <c r="N967" s="19">
        <v>0.69384742999803695</v>
      </c>
      <c r="O967" s="19">
        <v>0</v>
      </c>
      <c r="P967" s="19">
        <v>0.25515274530358967</v>
      </c>
      <c r="Q967" s="19">
        <v>2.1094697017324856E-2</v>
      </c>
      <c r="R967" s="19">
        <v>2.7413348303164844E-2</v>
      </c>
      <c r="S967" s="19">
        <v>2.4917793778837225E-3</v>
      </c>
      <c r="T967" s="20">
        <v>23</v>
      </c>
      <c r="U967" s="17">
        <v>2</v>
      </c>
      <c r="V967" s="17">
        <v>34</v>
      </c>
    </row>
    <row r="968" spans="1:22" x14ac:dyDescent="0.2">
      <c r="A968" t="s">
        <v>2855</v>
      </c>
      <c r="B968" t="s">
        <v>2719</v>
      </c>
      <c r="C968" t="s">
        <v>2720</v>
      </c>
      <c r="D968" t="s">
        <v>2831</v>
      </c>
      <c r="E968" s="10" t="s">
        <v>2856</v>
      </c>
      <c r="F968" s="10"/>
      <c r="G968" s="10"/>
      <c r="H968" s="10" t="s">
        <v>2856</v>
      </c>
      <c r="I968" s="14">
        <v>28561.305471871048</v>
      </c>
      <c r="J968" s="19">
        <v>0</v>
      </c>
      <c r="K968" s="19">
        <v>0.79479630431032122</v>
      </c>
      <c r="L968" s="19">
        <v>0.20520369568967875</v>
      </c>
      <c r="M968" s="20">
        <v>2</v>
      </c>
      <c r="N968" s="19">
        <v>0</v>
      </c>
      <c r="O968" s="19">
        <v>0</v>
      </c>
      <c r="P968" s="19">
        <v>0.79479630431032122</v>
      </c>
      <c r="Q968" s="19">
        <v>0</v>
      </c>
      <c r="R968" s="19">
        <v>0.20043683713427318</v>
      </c>
      <c r="S968" s="19">
        <v>4.766858555405545E-3</v>
      </c>
      <c r="T968" s="20">
        <v>21</v>
      </c>
      <c r="U968" s="17">
        <v>2</v>
      </c>
      <c r="V968" s="17">
        <v>34</v>
      </c>
    </row>
    <row r="969" spans="1:22" x14ac:dyDescent="0.2">
      <c r="A969" t="s">
        <v>2857</v>
      </c>
      <c r="B969" t="s">
        <v>2719</v>
      </c>
      <c r="C969" t="s">
        <v>2720</v>
      </c>
      <c r="D969" t="s">
        <v>2831</v>
      </c>
      <c r="E969" s="10" t="s">
        <v>2858</v>
      </c>
      <c r="F969" s="10"/>
      <c r="G969" s="10"/>
      <c r="H969" s="10" t="s">
        <v>2858</v>
      </c>
      <c r="I969" s="14">
        <v>39762.207623112947</v>
      </c>
      <c r="J969" s="19">
        <v>0</v>
      </c>
      <c r="K969" s="19">
        <v>0.94617022535615991</v>
      </c>
      <c r="L969" s="19">
        <v>5.3829774643840089E-2</v>
      </c>
      <c r="M969" s="20">
        <v>2</v>
      </c>
      <c r="N969" s="19">
        <v>0.17222933125402823</v>
      </c>
      <c r="O969" s="19">
        <v>0</v>
      </c>
      <c r="P969" s="19">
        <v>0.77394089410213163</v>
      </c>
      <c r="Q969" s="19">
        <v>1.631241516443933E-2</v>
      </c>
      <c r="R969" s="19">
        <v>3.4668525231755128E-2</v>
      </c>
      <c r="S969" s="19">
        <v>2.8488342476456303E-3</v>
      </c>
      <c r="T969" s="20">
        <v>21</v>
      </c>
      <c r="U969" s="17">
        <v>2</v>
      </c>
      <c r="V969" s="17">
        <v>34</v>
      </c>
    </row>
    <row r="970" spans="1:22" x14ac:dyDescent="0.2">
      <c r="A970" t="s">
        <v>2859</v>
      </c>
      <c r="B970" t="s">
        <v>2719</v>
      </c>
      <c r="C970" t="s">
        <v>2720</v>
      </c>
      <c r="D970" t="s">
        <v>2831</v>
      </c>
      <c r="E970" s="10" t="s">
        <v>2860</v>
      </c>
      <c r="F970" s="10"/>
      <c r="G970" s="10"/>
      <c r="H970" s="10" t="s">
        <v>2860</v>
      </c>
      <c r="I970" s="14">
        <v>52380.582310073078</v>
      </c>
      <c r="J970" s="19">
        <v>1.0944223645113052E-6</v>
      </c>
      <c r="K970" s="19">
        <v>0.98050633650433738</v>
      </c>
      <c r="L970" s="19">
        <v>1.9492569073298095E-2</v>
      </c>
      <c r="M970" s="20">
        <v>2</v>
      </c>
      <c r="N970" s="19">
        <v>0.59453002177805792</v>
      </c>
      <c r="O970" s="19">
        <v>0</v>
      </c>
      <c r="P970" s="19">
        <v>0.38597631472627947</v>
      </c>
      <c r="Q970" s="19">
        <v>0</v>
      </c>
      <c r="R970" s="19">
        <v>1.9118024300897409E-2</v>
      </c>
      <c r="S970" s="19">
        <v>3.745447724006862E-4</v>
      </c>
      <c r="T970" s="20">
        <v>23</v>
      </c>
      <c r="U970" s="17">
        <v>2</v>
      </c>
      <c r="V970" s="17">
        <v>34</v>
      </c>
    </row>
    <row r="971" spans="1:22" x14ac:dyDescent="0.2">
      <c r="A971" t="s">
        <v>2861</v>
      </c>
      <c r="B971" t="s">
        <v>2719</v>
      </c>
      <c r="C971" t="s">
        <v>2720</v>
      </c>
      <c r="D971" t="s">
        <v>2831</v>
      </c>
      <c r="E971" s="10" t="s">
        <v>2862</v>
      </c>
      <c r="F971" s="10"/>
      <c r="G971" s="10"/>
      <c r="H971" s="10" t="s">
        <v>2862</v>
      </c>
      <c r="I971" s="14">
        <v>36641.713238891214</v>
      </c>
      <c r="J971" s="19">
        <v>0.32844830305364592</v>
      </c>
      <c r="K971" s="19">
        <v>0.66981083744162095</v>
      </c>
      <c r="L971" s="19">
        <v>1.7408595047331186E-3</v>
      </c>
      <c r="M971" s="20">
        <v>2</v>
      </c>
      <c r="N971" s="19">
        <v>0.4074448016795183</v>
      </c>
      <c r="O971" s="19">
        <v>0</v>
      </c>
      <c r="P971" s="19">
        <v>0.26236603576210266</v>
      </c>
      <c r="Q971" s="19">
        <v>0</v>
      </c>
      <c r="R971" s="19">
        <v>1.3883966715271992E-3</v>
      </c>
      <c r="S971" s="19">
        <v>3.5246283320591925E-4</v>
      </c>
      <c r="T971" s="20">
        <v>23</v>
      </c>
      <c r="U971" s="17">
        <v>2</v>
      </c>
      <c r="V971" s="17">
        <v>34</v>
      </c>
    </row>
    <row r="972" spans="1:22" x14ac:dyDescent="0.2">
      <c r="A972" t="s">
        <v>2863</v>
      </c>
      <c r="B972" t="s">
        <v>2719</v>
      </c>
      <c r="C972" t="s">
        <v>2720</v>
      </c>
      <c r="D972" t="s">
        <v>2831</v>
      </c>
      <c r="E972" s="10" t="s">
        <v>2864</v>
      </c>
      <c r="F972" s="10"/>
      <c r="G972" s="10"/>
      <c r="H972" s="10" t="s">
        <v>2864</v>
      </c>
      <c r="I972" s="14">
        <v>25324.846331387758</v>
      </c>
      <c r="J972" s="19">
        <v>0</v>
      </c>
      <c r="K972" s="19">
        <v>0.88674784817117203</v>
      </c>
      <c r="L972" s="19">
        <v>0.11325215182882795</v>
      </c>
      <c r="M972" s="20">
        <v>2</v>
      </c>
      <c r="N972" s="19">
        <v>0.25900978340602793</v>
      </c>
      <c r="O972" s="19">
        <v>0</v>
      </c>
      <c r="P972" s="19">
        <v>0.62773806476514415</v>
      </c>
      <c r="Q972" s="19">
        <v>2.6659061498176449E-2</v>
      </c>
      <c r="R972" s="19">
        <v>8.2992686979092997E-2</v>
      </c>
      <c r="S972" s="19">
        <v>3.6004033515584983E-3</v>
      </c>
      <c r="T972" s="20">
        <v>21</v>
      </c>
      <c r="U972" s="17">
        <v>2</v>
      </c>
      <c r="V972" s="17">
        <v>34</v>
      </c>
    </row>
    <row r="973" spans="1:22" x14ac:dyDescent="0.2">
      <c r="A973" t="s">
        <v>2865</v>
      </c>
      <c r="B973" t="s">
        <v>2719</v>
      </c>
      <c r="C973" t="s">
        <v>2720</v>
      </c>
      <c r="D973" t="s">
        <v>2866</v>
      </c>
      <c r="E973" s="10" t="s">
        <v>2867</v>
      </c>
      <c r="F973" s="10"/>
      <c r="G973" s="10"/>
      <c r="H973" s="10" t="s">
        <v>2867</v>
      </c>
      <c r="I973" s="14">
        <v>78298.572854737286</v>
      </c>
      <c r="J973" s="19">
        <v>0.326247797534436</v>
      </c>
      <c r="K973" s="19">
        <v>0.60456587422746444</v>
      </c>
      <c r="L973" s="19">
        <v>6.9186328238099531E-2</v>
      </c>
      <c r="M973" s="20">
        <v>2</v>
      </c>
      <c r="N973" s="19">
        <v>0.11419743674818879</v>
      </c>
      <c r="O973" s="19">
        <v>0.23719951783136059</v>
      </c>
      <c r="P973" s="19">
        <v>0.25316891964791505</v>
      </c>
      <c r="Q973" s="19">
        <v>2.4088640812071734E-2</v>
      </c>
      <c r="R973" s="19">
        <v>4.2967644455325311E-2</v>
      </c>
      <c r="S973" s="19">
        <v>2.130042970702494E-3</v>
      </c>
      <c r="T973" s="20">
        <v>22</v>
      </c>
      <c r="U973" s="17">
        <v>2</v>
      </c>
      <c r="V973" s="17">
        <v>34</v>
      </c>
    </row>
    <row r="974" spans="1:22" x14ac:dyDescent="0.2">
      <c r="A974" t="s">
        <v>2868</v>
      </c>
      <c r="B974" t="s">
        <v>2719</v>
      </c>
      <c r="C974" t="s">
        <v>2720</v>
      </c>
      <c r="D974" t="s">
        <v>2866</v>
      </c>
      <c r="E974" s="10" t="s">
        <v>2869</v>
      </c>
      <c r="F974" s="10"/>
      <c r="G974" s="10"/>
      <c r="H974" s="10" t="s">
        <v>2869</v>
      </c>
      <c r="I974" s="14">
        <v>0</v>
      </c>
      <c r="J974" s="19">
        <v>0</v>
      </c>
      <c r="K974" s="19">
        <v>0</v>
      </c>
      <c r="L974" s="19">
        <v>0</v>
      </c>
      <c r="M974" s="20">
        <v>1</v>
      </c>
      <c r="N974" s="19">
        <v>0</v>
      </c>
      <c r="O974" s="19">
        <v>0</v>
      </c>
      <c r="P974" s="19">
        <v>0</v>
      </c>
      <c r="Q974" s="19">
        <v>0</v>
      </c>
      <c r="R974" s="19">
        <v>0</v>
      </c>
      <c r="S974" s="19">
        <v>0</v>
      </c>
      <c r="T974" s="20">
        <v>11</v>
      </c>
      <c r="U974" s="17">
        <v>2</v>
      </c>
      <c r="V974" s="17">
        <v>34</v>
      </c>
    </row>
    <row r="975" spans="1:22" x14ac:dyDescent="0.2">
      <c r="A975" t="s">
        <v>2870</v>
      </c>
      <c r="B975" t="s">
        <v>2719</v>
      </c>
      <c r="C975" t="s">
        <v>2720</v>
      </c>
      <c r="D975" t="s">
        <v>2866</v>
      </c>
      <c r="E975" s="10" t="s">
        <v>2871</v>
      </c>
      <c r="F975" s="10"/>
      <c r="G975" s="10"/>
      <c r="H975" s="10" t="s">
        <v>2871</v>
      </c>
      <c r="I975" s="14">
        <v>75959.728025903925</v>
      </c>
      <c r="J975" s="19">
        <v>0</v>
      </c>
      <c r="K975" s="19">
        <v>0.90340264638415158</v>
      </c>
      <c r="L975" s="19">
        <v>9.6597353615848397E-2</v>
      </c>
      <c r="M975" s="20">
        <v>2</v>
      </c>
      <c r="N975" s="19">
        <v>0.30161303406147838</v>
      </c>
      <c r="O975" s="19">
        <v>0</v>
      </c>
      <c r="P975" s="19">
        <v>0.60178961232267325</v>
      </c>
      <c r="Q975" s="19">
        <v>1.2102400389184687E-2</v>
      </c>
      <c r="R975" s="19">
        <v>7.9694049130796377E-2</v>
      </c>
      <c r="S975" s="19">
        <v>4.8009040958673366E-3</v>
      </c>
      <c r="T975" s="20">
        <v>21</v>
      </c>
      <c r="U975" s="17">
        <v>2</v>
      </c>
      <c r="V975" s="17">
        <v>34</v>
      </c>
    </row>
    <row r="976" spans="1:22" x14ac:dyDescent="0.2">
      <c r="A976" t="s">
        <v>2872</v>
      </c>
      <c r="B976" t="s">
        <v>2719</v>
      </c>
      <c r="C976" t="s">
        <v>2720</v>
      </c>
      <c r="D976" t="s">
        <v>2866</v>
      </c>
      <c r="E976" s="10" t="s">
        <v>2873</v>
      </c>
      <c r="F976" s="10"/>
      <c r="G976" s="10"/>
      <c r="H976" s="10" t="s">
        <v>2873</v>
      </c>
      <c r="I976" s="14">
        <v>137729.89477467723</v>
      </c>
      <c r="J976" s="19">
        <v>0.64259515059495764</v>
      </c>
      <c r="K976" s="19">
        <v>0.30345836804062321</v>
      </c>
      <c r="L976" s="19">
        <v>5.3946481364419145E-2</v>
      </c>
      <c r="M976" s="20">
        <v>3</v>
      </c>
      <c r="N976" s="19">
        <v>8.8911997066766738E-2</v>
      </c>
      <c r="O976" s="19">
        <v>0</v>
      </c>
      <c r="P976" s="19">
        <v>0.21454637097385648</v>
      </c>
      <c r="Q976" s="19">
        <v>9.6704478813713964E-3</v>
      </c>
      <c r="R976" s="19">
        <v>4.157832663362758E-2</v>
      </c>
      <c r="S976" s="19">
        <v>2.6977068494201629E-3</v>
      </c>
      <c r="T976" s="20">
        <v>30</v>
      </c>
      <c r="U976" s="17">
        <v>2</v>
      </c>
      <c r="V976" s="17">
        <v>34</v>
      </c>
    </row>
    <row r="977" spans="1:22" x14ac:dyDescent="0.2">
      <c r="A977" t="s">
        <v>2874</v>
      </c>
      <c r="B977" t="s">
        <v>2719</v>
      </c>
      <c r="C977" t="s">
        <v>2720</v>
      </c>
      <c r="D977" t="s">
        <v>2866</v>
      </c>
      <c r="E977" s="10" t="s">
        <v>2875</v>
      </c>
      <c r="F977" s="10"/>
      <c r="G977" s="10"/>
      <c r="H977" s="10" t="s">
        <v>2875</v>
      </c>
      <c r="I977" s="14">
        <v>87916.071134436876</v>
      </c>
      <c r="J977" s="19">
        <v>0</v>
      </c>
      <c r="K977" s="19">
        <v>0.83841619825228253</v>
      </c>
      <c r="L977" s="19">
        <v>0.16158380174771728</v>
      </c>
      <c r="M977" s="20">
        <v>2</v>
      </c>
      <c r="N977" s="19">
        <v>0.36178710708508383</v>
      </c>
      <c r="O977" s="19">
        <v>0</v>
      </c>
      <c r="P977" s="19">
        <v>0.47662909116719887</v>
      </c>
      <c r="Q977" s="19">
        <v>4.739503613881195E-2</v>
      </c>
      <c r="R977" s="19">
        <v>0.10711418035340063</v>
      </c>
      <c r="S977" s="19">
        <v>7.0745852555047228E-3</v>
      </c>
      <c r="T977" s="20">
        <v>23</v>
      </c>
      <c r="U977" s="17">
        <v>2</v>
      </c>
      <c r="V977" s="17">
        <v>34</v>
      </c>
    </row>
    <row r="978" spans="1:22" x14ac:dyDescent="0.2">
      <c r="A978" t="s">
        <v>2876</v>
      </c>
      <c r="B978" t="s">
        <v>2719</v>
      </c>
      <c r="C978" t="s">
        <v>2720</v>
      </c>
      <c r="D978" t="s">
        <v>2866</v>
      </c>
      <c r="E978" s="10" t="s">
        <v>2877</v>
      </c>
      <c r="F978" s="10"/>
      <c r="G978" s="10"/>
      <c r="H978" s="10" t="s">
        <v>2877</v>
      </c>
      <c r="I978" s="14">
        <v>18249.691149441525</v>
      </c>
      <c r="J978" s="19">
        <v>0</v>
      </c>
      <c r="K978" s="19">
        <v>0.38610813978947556</v>
      </c>
      <c r="L978" s="19">
        <v>0.61389186021052444</v>
      </c>
      <c r="M978" s="20">
        <v>1</v>
      </c>
      <c r="N978" s="19">
        <v>0</v>
      </c>
      <c r="O978" s="19">
        <v>0</v>
      </c>
      <c r="P978" s="19">
        <v>0.38610813978947556</v>
      </c>
      <c r="Q978" s="19">
        <v>0.27265940131153793</v>
      </c>
      <c r="R978" s="19">
        <v>0.32267528136442281</v>
      </c>
      <c r="S978" s="19">
        <v>1.8557177534563721E-2</v>
      </c>
      <c r="T978" s="20">
        <v>12</v>
      </c>
      <c r="U978" s="17">
        <v>2</v>
      </c>
      <c r="V978" s="17">
        <v>34</v>
      </c>
    </row>
    <row r="979" spans="1:22" x14ac:dyDescent="0.2">
      <c r="A979" t="s">
        <v>2878</v>
      </c>
      <c r="B979" t="s">
        <v>2719</v>
      </c>
      <c r="C979" t="s">
        <v>2720</v>
      </c>
      <c r="D979" t="s">
        <v>2866</v>
      </c>
      <c r="E979" s="10" t="s">
        <v>2879</v>
      </c>
      <c r="F979" s="10"/>
      <c r="G979" s="10"/>
      <c r="H979" s="10" t="s">
        <v>2879</v>
      </c>
      <c r="I979" s="14">
        <v>212990.66243526433</v>
      </c>
      <c r="J979" s="19">
        <v>0.81020172479773001</v>
      </c>
      <c r="K979" s="19">
        <v>0.15266280915557318</v>
      </c>
      <c r="L979" s="19">
        <v>3.7135466046696812E-2</v>
      </c>
      <c r="M979" s="20">
        <v>3</v>
      </c>
      <c r="N979" s="19">
        <v>0</v>
      </c>
      <c r="O979" s="19">
        <v>6.4371213828848112E-3</v>
      </c>
      <c r="P979" s="19">
        <v>0.14622568777268835</v>
      </c>
      <c r="Q979" s="19">
        <v>1.6538877314195812E-2</v>
      </c>
      <c r="R979" s="19">
        <v>1.7704639926975275E-2</v>
      </c>
      <c r="S979" s="19">
        <v>2.8919488055257282E-3</v>
      </c>
      <c r="T979" s="20">
        <v>30</v>
      </c>
      <c r="U979" s="17">
        <v>2</v>
      </c>
      <c r="V979" s="17">
        <v>34</v>
      </c>
    </row>
    <row r="980" spans="1:22" x14ac:dyDescent="0.2">
      <c r="A980" t="s">
        <v>2880</v>
      </c>
      <c r="B980" t="s">
        <v>2719</v>
      </c>
      <c r="C980" t="s">
        <v>2720</v>
      </c>
      <c r="D980" t="s">
        <v>2866</v>
      </c>
      <c r="E980" s="10" t="s">
        <v>2881</v>
      </c>
      <c r="F980" s="10"/>
      <c r="G980" s="10"/>
      <c r="H980" s="10" t="s">
        <v>2881</v>
      </c>
      <c r="I980" s="14">
        <v>83828.255079104099</v>
      </c>
      <c r="J980" s="19">
        <v>0</v>
      </c>
      <c r="K980" s="19">
        <v>0.73249954288446362</v>
      </c>
      <c r="L980" s="19">
        <v>0.26750045711553638</v>
      </c>
      <c r="M980" s="20">
        <v>2</v>
      </c>
      <c r="N980" s="19">
        <v>0.23537276894893297</v>
      </c>
      <c r="O980" s="19">
        <v>7.094038277378098E-2</v>
      </c>
      <c r="P980" s="19">
        <v>0.42618639116174967</v>
      </c>
      <c r="Q980" s="19">
        <v>0.12334422193485654</v>
      </c>
      <c r="R980" s="19">
        <v>0.13486387584266205</v>
      </c>
      <c r="S980" s="19">
        <v>9.292359338017777E-3</v>
      </c>
      <c r="T980" s="20">
        <v>23</v>
      </c>
      <c r="U980" s="17">
        <v>2</v>
      </c>
      <c r="V980" s="17">
        <v>34</v>
      </c>
    </row>
    <row r="981" spans="1:22" x14ac:dyDescent="0.2">
      <c r="A981" t="s">
        <v>2882</v>
      </c>
      <c r="B981" t="s">
        <v>2719</v>
      </c>
      <c r="C981" t="s">
        <v>2720</v>
      </c>
      <c r="D981" t="s">
        <v>2866</v>
      </c>
      <c r="E981" s="10" t="s">
        <v>2883</v>
      </c>
      <c r="F981" s="10"/>
      <c r="G981" s="10"/>
      <c r="H981" s="10" t="s">
        <v>2883</v>
      </c>
      <c r="I981" s="14">
        <v>122809.87715160334</v>
      </c>
      <c r="J981" s="19">
        <v>0</v>
      </c>
      <c r="K981" s="19">
        <v>0.87101497977118292</v>
      </c>
      <c r="L981" s="19">
        <v>0.12898502022881708</v>
      </c>
      <c r="M981" s="20">
        <v>2</v>
      </c>
      <c r="N981" s="19">
        <v>0.37193318662983194</v>
      </c>
      <c r="O981" s="19">
        <v>4.5340456228135748E-2</v>
      </c>
      <c r="P981" s="19">
        <v>0.45374133691321522</v>
      </c>
      <c r="Q981" s="19">
        <v>3.3957445054251828E-2</v>
      </c>
      <c r="R981" s="19">
        <v>8.7449571199773271E-2</v>
      </c>
      <c r="S981" s="19">
        <v>7.5780039747919518E-3</v>
      </c>
      <c r="T981" s="20">
        <v>23</v>
      </c>
      <c r="U981" s="17">
        <v>2</v>
      </c>
      <c r="V981" s="17">
        <v>34</v>
      </c>
    </row>
    <row r="982" spans="1:22" x14ac:dyDescent="0.2">
      <c r="A982" t="s">
        <v>2884</v>
      </c>
      <c r="B982" t="s">
        <v>2719</v>
      </c>
      <c r="C982" t="s">
        <v>2720</v>
      </c>
      <c r="D982" t="s">
        <v>2866</v>
      </c>
      <c r="E982" s="10" t="s">
        <v>2885</v>
      </c>
      <c r="F982" s="10"/>
      <c r="G982" s="10"/>
      <c r="H982" s="10" t="s">
        <v>2885</v>
      </c>
      <c r="I982" s="14">
        <v>42805.164477478713</v>
      </c>
      <c r="J982" s="19">
        <v>0.76058048994864491</v>
      </c>
      <c r="K982" s="19">
        <v>0.22874606846875858</v>
      </c>
      <c r="L982" s="19">
        <v>1.0673441582596453E-2</v>
      </c>
      <c r="M982" s="20">
        <v>3</v>
      </c>
      <c r="N982" s="19">
        <v>0</v>
      </c>
      <c r="O982" s="19">
        <v>7.1529997450698005E-2</v>
      </c>
      <c r="P982" s="19">
        <v>0.15721607101806059</v>
      </c>
      <c r="Q982" s="19">
        <v>0</v>
      </c>
      <c r="R982" s="19">
        <v>8.6820131946324305E-3</v>
      </c>
      <c r="S982" s="19">
        <v>1.9914283879640228E-3</v>
      </c>
      <c r="T982" s="20">
        <v>30</v>
      </c>
      <c r="U982" s="17">
        <v>2</v>
      </c>
      <c r="V982" s="17">
        <v>34</v>
      </c>
    </row>
    <row r="983" spans="1:22" x14ac:dyDescent="0.2">
      <c r="A983" t="s">
        <v>2886</v>
      </c>
      <c r="B983" t="s">
        <v>2719</v>
      </c>
      <c r="C983" t="s">
        <v>2720</v>
      </c>
      <c r="D983" t="s">
        <v>2866</v>
      </c>
      <c r="E983" s="10" t="s">
        <v>2856</v>
      </c>
      <c r="F983" s="10"/>
      <c r="G983" s="10"/>
      <c r="H983" s="10" t="s">
        <v>2856</v>
      </c>
      <c r="I983" s="14">
        <v>52598.461461372674</v>
      </c>
      <c r="J983" s="19">
        <v>0.13214118428279348</v>
      </c>
      <c r="K983" s="19">
        <v>0.78810008656330333</v>
      </c>
      <c r="L983" s="19">
        <v>7.9758729153903155E-2</v>
      </c>
      <c r="M983" s="20">
        <v>2</v>
      </c>
      <c r="N983" s="19">
        <v>0.47016895666865655</v>
      </c>
      <c r="O983" s="19">
        <v>0</v>
      </c>
      <c r="P983" s="19">
        <v>0.31793112989464684</v>
      </c>
      <c r="Q983" s="19">
        <v>1.1941847862334487E-2</v>
      </c>
      <c r="R983" s="19">
        <v>6.3750092416763798E-2</v>
      </c>
      <c r="S983" s="19">
        <v>4.0667888748048709E-3</v>
      </c>
      <c r="T983" s="20">
        <v>23</v>
      </c>
      <c r="U983" s="17">
        <v>2</v>
      </c>
      <c r="V983" s="17">
        <v>34</v>
      </c>
    </row>
    <row r="984" spans="1:22" x14ac:dyDescent="0.2">
      <c r="A984" t="s">
        <v>2887</v>
      </c>
      <c r="B984" t="s">
        <v>2719</v>
      </c>
      <c r="C984" t="s">
        <v>2720</v>
      </c>
      <c r="D984" t="s">
        <v>2866</v>
      </c>
      <c r="E984" s="10" t="s">
        <v>2888</v>
      </c>
      <c r="F984" s="10"/>
      <c r="G984" s="10"/>
      <c r="H984" s="10" t="s">
        <v>2888</v>
      </c>
      <c r="I984" s="14">
        <v>27311.085051931441</v>
      </c>
      <c r="J984" s="19">
        <v>0</v>
      </c>
      <c r="K984" s="19">
        <v>0.87165506575703167</v>
      </c>
      <c r="L984" s="19">
        <v>0.12834493424296833</v>
      </c>
      <c r="M984" s="20">
        <v>2</v>
      </c>
      <c r="N984" s="19">
        <v>0</v>
      </c>
      <c r="O984" s="19">
        <v>0.87165506575703167</v>
      </c>
      <c r="P984" s="19">
        <v>0</v>
      </c>
      <c r="Q984" s="19">
        <v>3.3224988852998197E-2</v>
      </c>
      <c r="R984" s="19">
        <v>9.2071796956165977E-2</v>
      </c>
      <c r="S984" s="19">
        <v>3.0481484338041706E-3</v>
      </c>
      <c r="T984" s="20">
        <v>22</v>
      </c>
      <c r="U984" s="17">
        <v>2</v>
      </c>
      <c r="V984" s="17">
        <v>34</v>
      </c>
    </row>
    <row r="985" spans="1:22" x14ac:dyDescent="0.2">
      <c r="A985" t="s">
        <v>2889</v>
      </c>
      <c r="B985" t="s">
        <v>2719</v>
      </c>
      <c r="C985" t="s">
        <v>2720</v>
      </c>
      <c r="D985" t="s">
        <v>2866</v>
      </c>
      <c r="E985" s="10" t="s">
        <v>2890</v>
      </c>
      <c r="F985" s="10"/>
      <c r="G985" s="10"/>
      <c r="H985" s="10" t="s">
        <v>2890</v>
      </c>
      <c r="I985" s="14">
        <v>73628.246557116043</v>
      </c>
      <c r="J985" s="19">
        <v>0</v>
      </c>
      <c r="K985" s="19">
        <v>0.77757076444707274</v>
      </c>
      <c r="L985" s="19">
        <v>0.22242923555292726</v>
      </c>
      <c r="M985" s="20">
        <v>2</v>
      </c>
      <c r="N985" s="19">
        <v>0.28718264366851981</v>
      </c>
      <c r="O985" s="19">
        <v>0</v>
      </c>
      <c r="P985" s="19">
        <v>0.49038812077855293</v>
      </c>
      <c r="Q985" s="19">
        <v>0.12535927520590609</v>
      </c>
      <c r="R985" s="19">
        <v>8.5617146492761947E-2</v>
      </c>
      <c r="S985" s="19">
        <v>1.1452813854259256E-2</v>
      </c>
      <c r="T985" s="20">
        <v>23</v>
      </c>
      <c r="U985" s="17">
        <v>2</v>
      </c>
      <c r="V985" s="17">
        <v>34</v>
      </c>
    </row>
    <row r="986" spans="1:22" x14ac:dyDescent="0.2">
      <c r="A986" t="s">
        <v>2891</v>
      </c>
      <c r="B986" t="s">
        <v>2719</v>
      </c>
      <c r="C986" t="s">
        <v>2720</v>
      </c>
      <c r="D986" t="s">
        <v>2866</v>
      </c>
      <c r="E986" s="10" t="s">
        <v>2892</v>
      </c>
      <c r="F986" s="10"/>
      <c r="G986" s="10"/>
      <c r="H986" s="10" t="s">
        <v>2892</v>
      </c>
      <c r="I986" s="14">
        <v>50308.30130257085</v>
      </c>
      <c r="J986" s="19">
        <v>0</v>
      </c>
      <c r="K986" s="19">
        <v>0.72328941684391035</v>
      </c>
      <c r="L986" s="19">
        <v>0.27671058315608971</v>
      </c>
      <c r="M986" s="20">
        <v>2</v>
      </c>
      <c r="N986" s="19">
        <v>0.40827375862164056</v>
      </c>
      <c r="O986" s="19">
        <v>0</v>
      </c>
      <c r="P986" s="19">
        <v>0.31501565822226973</v>
      </c>
      <c r="Q986" s="19">
        <v>0.13481187666603181</v>
      </c>
      <c r="R986" s="19">
        <v>0.12526715103489755</v>
      </c>
      <c r="S986" s="19">
        <v>1.6631555455160318E-2</v>
      </c>
      <c r="T986" s="20">
        <v>23</v>
      </c>
      <c r="U986" s="17">
        <v>2</v>
      </c>
      <c r="V986" s="17">
        <v>34</v>
      </c>
    </row>
    <row r="987" spans="1:22" x14ac:dyDescent="0.2">
      <c r="A987" t="s">
        <v>2893</v>
      </c>
      <c r="B987" t="s">
        <v>2719</v>
      </c>
      <c r="C987" t="s">
        <v>2720</v>
      </c>
      <c r="D987" t="s">
        <v>2866</v>
      </c>
      <c r="E987" s="10" t="s">
        <v>2894</v>
      </c>
      <c r="F987" s="10"/>
      <c r="G987" s="10"/>
      <c r="H987" s="10" t="s">
        <v>2894</v>
      </c>
      <c r="I987" s="14">
        <v>100155.42072330229</v>
      </c>
      <c r="J987" s="19">
        <v>0</v>
      </c>
      <c r="K987" s="19">
        <v>0.90869877732604265</v>
      </c>
      <c r="L987" s="19">
        <v>9.1301222673957322E-2</v>
      </c>
      <c r="M987" s="20">
        <v>2</v>
      </c>
      <c r="N987" s="19">
        <v>0.46336647890639504</v>
      </c>
      <c r="O987" s="19">
        <v>0</v>
      </c>
      <c r="P987" s="19">
        <v>0.44533229841964761</v>
      </c>
      <c r="Q987" s="19">
        <v>0</v>
      </c>
      <c r="R987" s="19">
        <v>8.650591554515516E-2</v>
      </c>
      <c r="S987" s="19">
        <v>4.7953071288021629E-3</v>
      </c>
      <c r="T987" s="20">
        <v>23</v>
      </c>
      <c r="U987" s="17">
        <v>2</v>
      </c>
      <c r="V987" s="17">
        <v>34</v>
      </c>
    </row>
    <row r="988" spans="1:22" x14ac:dyDescent="0.2">
      <c r="A988" t="s">
        <v>2895</v>
      </c>
      <c r="B988" t="s">
        <v>2719</v>
      </c>
      <c r="C988" t="s">
        <v>2720</v>
      </c>
      <c r="D988" t="s">
        <v>2866</v>
      </c>
      <c r="E988" s="10" t="s">
        <v>2896</v>
      </c>
      <c r="F988" s="10"/>
      <c r="G988" s="10"/>
      <c r="H988" s="10" t="s">
        <v>2896</v>
      </c>
      <c r="I988" s="14">
        <v>43023.36530924961</v>
      </c>
      <c r="J988" s="19">
        <v>0</v>
      </c>
      <c r="K988" s="19">
        <v>0.33686678739156367</v>
      </c>
      <c r="L988" s="19">
        <v>0.66313321260843638</v>
      </c>
      <c r="M988" s="20">
        <v>1</v>
      </c>
      <c r="N988" s="19">
        <v>0.1245933848260348</v>
      </c>
      <c r="O988" s="19">
        <v>0.19330611047485682</v>
      </c>
      <c r="P988" s="19">
        <v>1.8967292090671987E-2</v>
      </c>
      <c r="Q988" s="19">
        <v>0.57189838008700133</v>
      </c>
      <c r="R988" s="19">
        <v>8.576147327277614E-2</v>
      </c>
      <c r="S988" s="19">
        <v>5.4733592486588632E-3</v>
      </c>
      <c r="T988" s="20">
        <v>13</v>
      </c>
      <c r="U988" s="17">
        <v>2</v>
      </c>
      <c r="V988" s="17">
        <v>34</v>
      </c>
    </row>
    <row r="989" spans="1:22" x14ac:dyDescent="0.2">
      <c r="A989" t="s">
        <v>2897</v>
      </c>
      <c r="B989" t="s">
        <v>2719</v>
      </c>
      <c r="C989" t="s">
        <v>2720</v>
      </c>
      <c r="D989" t="s">
        <v>2866</v>
      </c>
      <c r="E989" s="10" t="s">
        <v>2898</v>
      </c>
      <c r="F989" s="10"/>
      <c r="G989" s="10"/>
      <c r="H989" s="10" t="s">
        <v>2898</v>
      </c>
      <c r="I989" s="14">
        <v>38798.900569938123</v>
      </c>
      <c r="J989" s="19">
        <v>0</v>
      </c>
      <c r="K989" s="19">
        <v>0.97912315819853912</v>
      </c>
      <c r="L989" s="19">
        <v>2.087684180146086E-2</v>
      </c>
      <c r="M989" s="20">
        <v>2</v>
      </c>
      <c r="N989" s="19">
        <v>0.57541904108538089</v>
      </c>
      <c r="O989" s="19">
        <v>0</v>
      </c>
      <c r="P989" s="19">
        <v>0.40370411711315829</v>
      </c>
      <c r="Q989" s="19">
        <v>0</v>
      </c>
      <c r="R989" s="19">
        <v>1.7357407107344718E-2</v>
      </c>
      <c r="S989" s="19">
        <v>3.519434694116141E-3</v>
      </c>
      <c r="T989" s="20">
        <v>23</v>
      </c>
      <c r="U989" s="17">
        <v>2</v>
      </c>
      <c r="V989" s="17">
        <v>34</v>
      </c>
    </row>
    <row r="990" spans="1:22" x14ac:dyDescent="0.2">
      <c r="A990" t="s">
        <v>2899</v>
      </c>
      <c r="B990" t="s">
        <v>2719</v>
      </c>
      <c r="C990" t="s">
        <v>2720</v>
      </c>
      <c r="D990" t="s">
        <v>2866</v>
      </c>
      <c r="E990" s="10" t="s">
        <v>2900</v>
      </c>
      <c r="F990" s="10"/>
      <c r="G990" s="10"/>
      <c r="H990" s="10" t="s">
        <v>2900</v>
      </c>
      <c r="I990" s="14">
        <v>142214.2808140507</v>
      </c>
      <c r="J990" s="19">
        <v>0.75202024774472664</v>
      </c>
      <c r="K990" s="19">
        <v>0.20859788534210236</v>
      </c>
      <c r="L990" s="19">
        <v>3.9381866913170874E-2</v>
      </c>
      <c r="M990" s="20">
        <v>3</v>
      </c>
      <c r="N990" s="19">
        <v>0</v>
      </c>
      <c r="O990" s="19">
        <v>9.063924895348878E-2</v>
      </c>
      <c r="P990" s="19">
        <v>0.11795863638861358</v>
      </c>
      <c r="Q990" s="19">
        <v>8.917497688551098E-3</v>
      </c>
      <c r="R990" s="19">
        <v>2.9192027329166276E-2</v>
      </c>
      <c r="S990" s="19">
        <v>1.2723418954534986E-3</v>
      </c>
      <c r="T990" s="20">
        <v>30</v>
      </c>
      <c r="U990" s="17">
        <v>2</v>
      </c>
      <c r="V990" s="17">
        <v>34</v>
      </c>
    </row>
    <row r="991" spans="1:22" x14ac:dyDescent="0.2">
      <c r="A991" t="s">
        <v>2901</v>
      </c>
      <c r="B991" t="s">
        <v>2719</v>
      </c>
      <c r="C991" t="s">
        <v>2720</v>
      </c>
      <c r="D991" t="s">
        <v>2866</v>
      </c>
      <c r="E991" s="10" t="s">
        <v>2902</v>
      </c>
      <c r="F991" s="10"/>
      <c r="G991" s="10"/>
      <c r="H991" s="10" t="s">
        <v>2902</v>
      </c>
      <c r="I991" s="14">
        <v>57167.220004158102</v>
      </c>
      <c r="J991" s="19">
        <v>0</v>
      </c>
      <c r="K991" s="19">
        <v>0.96573038705649472</v>
      </c>
      <c r="L991" s="19">
        <v>3.4269612943505147E-2</v>
      </c>
      <c r="M991" s="20">
        <v>2</v>
      </c>
      <c r="N991" s="19">
        <v>0.60256596807748641</v>
      </c>
      <c r="O991" s="19">
        <v>0</v>
      </c>
      <c r="P991" s="19">
        <v>0.36316441897900831</v>
      </c>
      <c r="Q991" s="19">
        <v>0</v>
      </c>
      <c r="R991" s="19">
        <v>3.1664169037519861E-2</v>
      </c>
      <c r="S991" s="19">
        <v>2.6054439059852901E-3</v>
      </c>
      <c r="T991" s="20">
        <v>23</v>
      </c>
      <c r="U991" s="17">
        <v>2</v>
      </c>
      <c r="V991" s="17">
        <v>34</v>
      </c>
    </row>
    <row r="992" spans="1:22" x14ac:dyDescent="0.2">
      <c r="A992" t="s">
        <v>2903</v>
      </c>
      <c r="B992" t="s">
        <v>2719</v>
      </c>
      <c r="C992" t="s">
        <v>2720</v>
      </c>
      <c r="D992" t="s">
        <v>2904</v>
      </c>
      <c r="E992" s="10" t="s">
        <v>2905</v>
      </c>
      <c r="F992" s="10"/>
      <c r="G992" s="10"/>
      <c r="H992" s="10" t="s">
        <v>2905</v>
      </c>
      <c r="I992" s="14">
        <v>24089.829103291038</v>
      </c>
      <c r="J992" s="19">
        <v>0</v>
      </c>
      <c r="K992" s="19">
        <v>0.84723155859792554</v>
      </c>
      <c r="L992" s="19">
        <v>0.15276844140207435</v>
      </c>
      <c r="M992" s="20">
        <v>2</v>
      </c>
      <c r="N992" s="19">
        <v>0</v>
      </c>
      <c r="O992" s="19">
        <v>0</v>
      </c>
      <c r="P992" s="19">
        <v>0.84723155859792554</v>
      </c>
      <c r="Q992" s="19">
        <v>0</v>
      </c>
      <c r="R992" s="19">
        <v>0.14477293411617453</v>
      </c>
      <c r="S992" s="19">
        <v>7.9955072858998166E-3</v>
      </c>
      <c r="T992" s="20">
        <v>21</v>
      </c>
      <c r="U992" s="17">
        <v>2</v>
      </c>
      <c r="V992" s="17">
        <v>34</v>
      </c>
    </row>
    <row r="993" spans="1:22" x14ac:dyDescent="0.2">
      <c r="A993" t="s">
        <v>2906</v>
      </c>
      <c r="B993" t="s">
        <v>2719</v>
      </c>
      <c r="C993" t="s">
        <v>2720</v>
      </c>
      <c r="D993" t="s">
        <v>2904</v>
      </c>
      <c r="E993" s="10" t="s">
        <v>2907</v>
      </c>
      <c r="F993" s="10"/>
      <c r="G993" s="10"/>
      <c r="H993" s="10" t="s">
        <v>2907</v>
      </c>
      <c r="I993" s="14">
        <v>26924.428995480761</v>
      </c>
      <c r="J993" s="19">
        <v>0</v>
      </c>
      <c r="K993" s="19">
        <v>0.66600277918402151</v>
      </c>
      <c r="L993" s="19">
        <v>0.33399722081597849</v>
      </c>
      <c r="M993" s="20">
        <v>2</v>
      </c>
      <c r="N993" s="19">
        <v>0</v>
      </c>
      <c r="O993" s="19">
        <v>0</v>
      </c>
      <c r="P993" s="19">
        <v>0.66600277918402151</v>
      </c>
      <c r="Q993" s="19">
        <v>0.13081668553154979</v>
      </c>
      <c r="R993" s="19">
        <v>0.19242810412580252</v>
      </c>
      <c r="S993" s="19">
        <v>1.0752431158626209E-2</v>
      </c>
      <c r="T993" s="20">
        <v>21</v>
      </c>
      <c r="U993" s="17">
        <v>2</v>
      </c>
      <c r="V993" s="17">
        <v>34</v>
      </c>
    </row>
    <row r="994" spans="1:22" x14ac:dyDescent="0.2">
      <c r="A994" t="s">
        <v>2908</v>
      </c>
      <c r="B994" t="s">
        <v>2719</v>
      </c>
      <c r="C994" t="s">
        <v>2720</v>
      </c>
      <c r="D994" t="s">
        <v>2904</v>
      </c>
      <c r="E994" s="10" t="s">
        <v>2909</v>
      </c>
      <c r="F994" s="10"/>
      <c r="G994" s="10"/>
      <c r="H994" s="10" t="s">
        <v>2909</v>
      </c>
      <c r="I994" s="14">
        <v>15464.057959595695</v>
      </c>
      <c r="J994" s="19">
        <v>0</v>
      </c>
      <c r="K994" s="19">
        <v>0.94560868194192194</v>
      </c>
      <c r="L994" s="19">
        <v>5.4391318058078092E-2</v>
      </c>
      <c r="M994" s="20">
        <v>2</v>
      </c>
      <c r="N994" s="19">
        <v>0.5055498482787697</v>
      </c>
      <c r="O994" s="19">
        <v>0</v>
      </c>
      <c r="P994" s="19">
        <v>0.44005883366315229</v>
      </c>
      <c r="Q994" s="19">
        <v>0</v>
      </c>
      <c r="R994" s="19">
        <v>4.5400191043090433E-2</v>
      </c>
      <c r="S994" s="19">
        <v>8.9911270149876602E-3</v>
      </c>
      <c r="T994" s="20">
        <v>23</v>
      </c>
      <c r="U994" s="17">
        <v>2</v>
      </c>
      <c r="V994" s="17">
        <v>34</v>
      </c>
    </row>
    <row r="995" spans="1:22" x14ac:dyDescent="0.2">
      <c r="A995" t="s">
        <v>2910</v>
      </c>
      <c r="B995" t="s">
        <v>2719</v>
      </c>
      <c r="C995" t="s">
        <v>2720</v>
      </c>
      <c r="D995" t="s">
        <v>2904</v>
      </c>
      <c r="E995" s="10" t="s">
        <v>2911</v>
      </c>
      <c r="F995" s="10"/>
      <c r="G995" s="10"/>
      <c r="H995" s="10" t="s">
        <v>2911</v>
      </c>
      <c r="I995" s="14">
        <v>40650.254916349426</v>
      </c>
      <c r="J995" s="19">
        <v>0</v>
      </c>
      <c r="K995" s="19">
        <v>0.78856755152240132</v>
      </c>
      <c r="L995" s="19">
        <v>0.21143244847759862</v>
      </c>
      <c r="M995" s="20">
        <v>2</v>
      </c>
      <c r="N995" s="19">
        <v>0.18804393299702615</v>
      </c>
      <c r="O995" s="19">
        <v>5.0401338420565843E-2</v>
      </c>
      <c r="P995" s="19">
        <v>0.55012228010480935</v>
      </c>
      <c r="Q995" s="19">
        <v>0.10187772067743274</v>
      </c>
      <c r="R995" s="19">
        <v>9.9798368416233033E-2</v>
      </c>
      <c r="S995" s="19">
        <v>9.7563593839328864E-3</v>
      </c>
      <c r="T995" s="20">
        <v>21</v>
      </c>
      <c r="U995" s="17">
        <v>2</v>
      </c>
      <c r="V995" s="17">
        <v>34</v>
      </c>
    </row>
    <row r="996" spans="1:22" x14ac:dyDescent="0.2">
      <c r="A996" t="s">
        <v>2912</v>
      </c>
      <c r="B996" t="s">
        <v>2719</v>
      </c>
      <c r="C996" t="s">
        <v>2720</v>
      </c>
      <c r="D996" t="s">
        <v>2904</v>
      </c>
      <c r="E996" s="10" t="s">
        <v>2913</v>
      </c>
      <c r="F996" s="10"/>
      <c r="G996" s="10"/>
      <c r="H996" s="10" t="s">
        <v>2913</v>
      </c>
      <c r="I996" s="14">
        <v>20719.894919916638</v>
      </c>
      <c r="J996" s="19">
        <v>0</v>
      </c>
      <c r="K996" s="19">
        <v>0.42476745429234325</v>
      </c>
      <c r="L996" s="19">
        <v>0.5752325457076567</v>
      </c>
      <c r="M996" s="20">
        <v>1</v>
      </c>
      <c r="N996" s="19">
        <v>0</v>
      </c>
      <c r="O996" s="19">
        <v>0.41271183719190185</v>
      </c>
      <c r="P996" s="19">
        <v>1.2055617100441396E-2</v>
      </c>
      <c r="Q996" s="19">
        <v>0.38323297202799089</v>
      </c>
      <c r="R996" s="19">
        <v>0.15966436056008879</v>
      </c>
      <c r="S996" s="19">
        <v>3.2335213119577093E-2</v>
      </c>
      <c r="T996" s="20">
        <v>13</v>
      </c>
      <c r="U996" s="17">
        <v>2</v>
      </c>
      <c r="V996" s="17">
        <v>34</v>
      </c>
    </row>
    <row r="997" spans="1:22" x14ac:dyDescent="0.2">
      <c r="A997" t="s">
        <v>2914</v>
      </c>
      <c r="B997" t="s">
        <v>2719</v>
      </c>
      <c r="C997" t="s">
        <v>2720</v>
      </c>
      <c r="D997" t="s">
        <v>2904</v>
      </c>
      <c r="E997" s="10" t="s">
        <v>2915</v>
      </c>
      <c r="F997" s="10"/>
      <c r="G997" s="10"/>
      <c r="H997" s="10" t="s">
        <v>2915</v>
      </c>
      <c r="I997" s="14">
        <v>47885.132282624014</v>
      </c>
      <c r="J997" s="19">
        <v>0</v>
      </c>
      <c r="K997" s="19">
        <v>0.73792189514015216</v>
      </c>
      <c r="L997" s="19">
        <v>0.26207810485984795</v>
      </c>
      <c r="M997" s="20">
        <v>2</v>
      </c>
      <c r="N997" s="19">
        <v>0.19928016227326972</v>
      </c>
      <c r="O997" s="19">
        <v>0</v>
      </c>
      <c r="P997" s="19">
        <v>0.53864173286688244</v>
      </c>
      <c r="Q997" s="19">
        <v>0.13296977783740385</v>
      </c>
      <c r="R997" s="19">
        <v>0.10227451220183612</v>
      </c>
      <c r="S997" s="19">
        <v>2.6833814820608006E-2</v>
      </c>
      <c r="T997" s="20">
        <v>21</v>
      </c>
      <c r="U997" s="17">
        <v>2</v>
      </c>
      <c r="V997" s="17">
        <v>34</v>
      </c>
    </row>
    <row r="998" spans="1:22" x14ac:dyDescent="0.2">
      <c r="A998" t="s">
        <v>2916</v>
      </c>
      <c r="B998" t="s">
        <v>2719</v>
      </c>
      <c r="C998" t="s">
        <v>2720</v>
      </c>
      <c r="D998" t="s">
        <v>2904</v>
      </c>
      <c r="E998" s="10" t="s">
        <v>2917</v>
      </c>
      <c r="F998" s="10"/>
      <c r="G998" s="10"/>
      <c r="H998" s="10" t="s">
        <v>2917</v>
      </c>
      <c r="I998" s="14">
        <v>59152.870790431742</v>
      </c>
      <c r="J998" s="19">
        <v>3.1514744295906665E-2</v>
      </c>
      <c r="K998" s="19">
        <v>0.77752979998261562</v>
      </c>
      <c r="L998" s="19">
        <v>0.19095545572147773</v>
      </c>
      <c r="M998" s="20">
        <v>2</v>
      </c>
      <c r="N998" s="19">
        <v>0.29084555255606231</v>
      </c>
      <c r="O998" s="19">
        <v>0</v>
      </c>
      <c r="P998" s="19">
        <v>0.4866842474265532</v>
      </c>
      <c r="Q998" s="19">
        <v>6.468522225904938E-2</v>
      </c>
      <c r="R998" s="19">
        <v>0.11444246800293273</v>
      </c>
      <c r="S998" s="19">
        <v>1.1827765459495636E-2</v>
      </c>
      <c r="T998" s="20">
        <v>23</v>
      </c>
      <c r="U998" s="17">
        <v>2</v>
      </c>
      <c r="V998" s="17">
        <v>34</v>
      </c>
    </row>
    <row r="999" spans="1:22" x14ac:dyDescent="0.2">
      <c r="A999" t="s">
        <v>2918</v>
      </c>
      <c r="B999" t="s">
        <v>2719</v>
      </c>
      <c r="C999" t="s">
        <v>2720</v>
      </c>
      <c r="D999" t="s">
        <v>2904</v>
      </c>
      <c r="E999" s="10" t="s">
        <v>2919</v>
      </c>
      <c r="F999" s="10"/>
      <c r="G999" s="10"/>
      <c r="H999" s="10" t="s">
        <v>2919</v>
      </c>
      <c r="I999" s="14">
        <v>31358.689681154676</v>
      </c>
      <c r="J999" s="19">
        <v>0</v>
      </c>
      <c r="K999" s="19">
        <v>0.7778574218300518</v>
      </c>
      <c r="L999" s="19">
        <v>0.22214257816994806</v>
      </c>
      <c r="M999" s="20">
        <v>2</v>
      </c>
      <c r="N999" s="19">
        <v>0</v>
      </c>
      <c r="O999" s="19">
        <v>0.21194712734296206</v>
      </c>
      <c r="P999" s="19">
        <v>0.56591029448708985</v>
      </c>
      <c r="Q999" s="19">
        <v>1.3978084949895515E-2</v>
      </c>
      <c r="R999" s="19">
        <v>0.19895206097683679</v>
      </c>
      <c r="S999" s="19">
        <v>9.2124322432157544E-3</v>
      </c>
      <c r="T999" s="20">
        <v>21</v>
      </c>
      <c r="U999" s="17">
        <v>2</v>
      </c>
      <c r="V999" s="17">
        <v>34</v>
      </c>
    </row>
    <row r="1000" spans="1:22" x14ac:dyDescent="0.2">
      <c r="A1000" t="s">
        <v>2920</v>
      </c>
      <c r="B1000" t="s">
        <v>2719</v>
      </c>
      <c r="C1000" t="s">
        <v>2720</v>
      </c>
      <c r="D1000" t="s">
        <v>2904</v>
      </c>
      <c r="E1000" s="10" t="s">
        <v>2921</v>
      </c>
      <c r="F1000" s="10"/>
      <c r="G1000" s="10"/>
      <c r="H1000" s="10" t="s">
        <v>2921</v>
      </c>
      <c r="I1000" s="14">
        <v>19692.262857001275</v>
      </c>
      <c r="J1000" s="19">
        <v>0</v>
      </c>
      <c r="K1000" s="19">
        <v>0.8658298117614186</v>
      </c>
      <c r="L1000" s="19">
        <v>0.13417018823858137</v>
      </c>
      <c r="M1000" s="20">
        <v>2</v>
      </c>
      <c r="N1000" s="19">
        <v>0</v>
      </c>
      <c r="O1000" s="19">
        <v>0</v>
      </c>
      <c r="P1000" s="19">
        <v>0.8658298117614186</v>
      </c>
      <c r="Q1000" s="19">
        <v>3.365777563653171E-2</v>
      </c>
      <c r="R1000" s="19">
        <v>8.2236851229436303E-2</v>
      </c>
      <c r="S1000" s="19">
        <v>1.8275561372613346E-2</v>
      </c>
      <c r="T1000" s="20">
        <v>21</v>
      </c>
      <c r="U1000" s="17">
        <v>2</v>
      </c>
      <c r="V1000" s="17">
        <v>34</v>
      </c>
    </row>
    <row r="1001" spans="1:22" x14ac:dyDescent="0.2">
      <c r="A1001" t="s">
        <v>2922</v>
      </c>
      <c r="B1001" t="s">
        <v>2719</v>
      </c>
      <c r="C1001" t="s">
        <v>2720</v>
      </c>
      <c r="D1001" t="s">
        <v>2904</v>
      </c>
      <c r="E1001" s="10" t="s">
        <v>2923</v>
      </c>
      <c r="F1001" s="10"/>
      <c r="G1001" s="10"/>
      <c r="H1001" s="10" t="s">
        <v>2923</v>
      </c>
      <c r="I1001" s="14">
        <v>41422.852138439193</v>
      </c>
      <c r="J1001" s="19">
        <v>0</v>
      </c>
      <c r="K1001" s="19">
        <v>0.8829611223055216</v>
      </c>
      <c r="L1001" s="19">
        <v>0.1170388776944784</v>
      </c>
      <c r="M1001" s="20">
        <v>2</v>
      </c>
      <c r="N1001" s="19">
        <v>0.36131968608335879</v>
      </c>
      <c r="O1001" s="19">
        <v>0</v>
      </c>
      <c r="P1001" s="19">
        <v>0.52164143622216286</v>
      </c>
      <c r="Q1001" s="19">
        <v>3.1473286893387714E-2</v>
      </c>
      <c r="R1001" s="19">
        <v>7.8677603553757927E-2</v>
      </c>
      <c r="S1001" s="19">
        <v>6.8879872473327662E-3</v>
      </c>
      <c r="T1001" s="20">
        <v>21</v>
      </c>
      <c r="U1001" s="17">
        <v>2</v>
      </c>
      <c r="V1001" s="17">
        <v>34</v>
      </c>
    </row>
    <row r="1002" spans="1:22" x14ac:dyDescent="0.2">
      <c r="A1002" t="s">
        <v>2924</v>
      </c>
      <c r="B1002" t="s">
        <v>2719</v>
      </c>
      <c r="C1002" t="s">
        <v>2720</v>
      </c>
      <c r="D1002" t="s">
        <v>2904</v>
      </c>
      <c r="E1002" s="10" t="s">
        <v>2925</v>
      </c>
      <c r="F1002" s="10"/>
      <c r="G1002" s="10"/>
      <c r="H1002" s="10" t="s">
        <v>2925</v>
      </c>
      <c r="I1002" s="14">
        <v>43175.874072453007</v>
      </c>
      <c r="J1002" s="19">
        <v>0</v>
      </c>
      <c r="K1002" s="19">
        <v>0.71628508944713942</v>
      </c>
      <c r="L1002" s="19">
        <v>0.28371491055286058</v>
      </c>
      <c r="M1002" s="20">
        <v>2</v>
      </c>
      <c r="N1002" s="19">
        <v>0.28494490641568054</v>
      </c>
      <c r="O1002" s="19">
        <v>0</v>
      </c>
      <c r="P1002" s="19">
        <v>0.43134018303145888</v>
      </c>
      <c r="Q1002" s="19">
        <v>0.1359138267210673</v>
      </c>
      <c r="R1002" s="19">
        <v>0.1324683879929088</v>
      </c>
      <c r="S1002" s="19">
        <v>1.5332695838884507E-2</v>
      </c>
      <c r="T1002" s="20">
        <v>23</v>
      </c>
      <c r="U1002" s="17">
        <v>2</v>
      </c>
      <c r="V1002" s="17">
        <v>34</v>
      </c>
    </row>
    <row r="1003" spans="1:22" x14ac:dyDescent="0.2">
      <c r="A1003" t="s">
        <v>2926</v>
      </c>
      <c r="B1003" t="s">
        <v>2719</v>
      </c>
      <c r="C1003" t="s">
        <v>2720</v>
      </c>
      <c r="D1003" t="s">
        <v>2904</v>
      </c>
      <c r="E1003" s="10" t="s">
        <v>2927</v>
      </c>
      <c r="F1003" s="10"/>
      <c r="G1003" s="10"/>
      <c r="H1003" s="10" t="s">
        <v>2927</v>
      </c>
      <c r="I1003" s="14">
        <v>71600.595463805832</v>
      </c>
      <c r="J1003" s="19">
        <v>0.72163486067685623</v>
      </c>
      <c r="K1003" s="19">
        <v>0.25282515063444538</v>
      </c>
      <c r="L1003" s="19">
        <v>2.5539988688698397E-2</v>
      </c>
      <c r="M1003" s="20">
        <v>3</v>
      </c>
      <c r="N1003" s="19">
        <v>9.0414414643576899E-2</v>
      </c>
      <c r="O1003" s="19">
        <v>0</v>
      </c>
      <c r="P1003" s="19">
        <v>0.1624107359908685</v>
      </c>
      <c r="Q1003" s="19">
        <v>0</v>
      </c>
      <c r="R1003" s="19">
        <v>2.489627591301375E-2</v>
      </c>
      <c r="S1003" s="19">
        <v>6.437127756846483E-4</v>
      </c>
      <c r="T1003" s="20">
        <v>30</v>
      </c>
      <c r="U1003" s="17">
        <v>2</v>
      </c>
      <c r="V1003" s="17">
        <v>34</v>
      </c>
    </row>
    <row r="1004" spans="1:22" x14ac:dyDescent="0.2">
      <c r="A1004" t="s">
        <v>2928</v>
      </c>
      <c r="B1004" t="s">
        <v>2719</v>
      </c>
      <c r="C1004" t="s">
        <v>2720</v>
      </c>
      <c r="D1004" t="s">
        <v>2904</v>
      </c>
      <c r="E1004" s="10" t="s">
        <v>2929</v>
      </c>
      <c r="F1004" s="10"/>
      <c r="G1004" s="10"/>
      <c r="H1004" s="10" t="s">
        <v>2929</v>
      </c>
      <c r="I1004" s="14">
        <v>38719.643909454353</v>
      </c>
      <c r="J1004" s="19">
        <v>0</v>
      </c>
      <c r="K1004" s="19">
        <v>0.38552748910329926</v>
      </c>
      <c r="L1004" s="19">
        <v>0.61447251089670052</v>
      </c>
      <c r="M1004" s="20">
        <v>1</v>
      </c>
      <c r="N1004" s="19">
        <v>0</v>
      </c>
      <c r="O1004" s="19">
        <v>0</v>
      </c>
      <c r="P1004" s="19">
        <v>0.38552748910329926</v>
      </c>
      <c r="Q1004" s="19">
        <v>0.27140435639295812</v>
      </c>
      <c r="R1004" s="19">
        <v>0.31194759659434818</v>
      </c>
      <c r="S1004" s="19">
        <v>3.1120557909394258E-2</v>
      </c>
      <c r="T1004" s="20">
        <v>12</v>
      </c>
      <c r="U1004" s="17">
        <v>2</v>
      </c>
      <c r="V1004" s="17">
        <v>34</v>
      </c>
    </row>
    <row r="1005" spans="1:22" x14ac:dyDescent="0.2">
      <c r="A1005" t="s">
        <v>2930</v>
      </c>
      <c r="B1005" t="s">
        <v>2719</v>
      </c>
      <c r="C1005" t="s">
        <v>2720</v>
      </c>
      <c r="D1005" t="s">
        <v>2904</v>
      </c>
      <c r="E1005" s="10" t="s">
        <v>2931</v>
      </c>
      <c r="F1005" s="10"/>
      <c r="G1005" s="10"/>
      <c r="H1005" s="10" t="s">
        <v>2931</v>
      </c>
      <c r="I1005" s="14">
        <v>21799.673914300278</v>
      </c>
      <c r="J1005" s="19">
        <v>0</v>
      </c>
      <c r="K1005" s="19">
        <v>0.92994319036275541</v>
      </c>
      <c r="L1005" s="19">
        <v>7.005680963724456E-2</v>
      </c>
      <c r="M1005" s="20">
        <v>2</v>
      </c>
      <c r="N1005" s="19">
        <v>0.24992763487511771</v>
      </c>
      <c r="O1005" s="19">
        <v>0.23914196537131327</v>
      </c>
      <c r="P1005" s="19">
        <v>0.44087359011632449</v>
      </c>
      <c r="Q1005" s="19">
        <v>0</v>
      </c>
      <c r="R1005" s="19">
        <v>6.2748818374970039E-2</v>
      </c>
      <c r="S1005" s="19">
        <v>7.3079912622745326E-3</v>
      </c>
      <c r="T1005" s="20">
        <v>23</v>
      </c>
      <c r="U1005" s="17">
        <v>2</v>
      </c>
      <c r="V1005" s="17">
        <v>34</v>
      </c>
    </row>
    <row r="1006" spans="1:22" x14ac:dyDescent="0.2">
      <c r="A1006" t="s">
        <v>2932</v>
      </c>
      <c r="B1006" t="s">
        <v>2719</v>
      </c>
      <c r="C1006" t="s">
        <v>2720</v>
      </c>
      <c r="D1006" t="s">
        <v>2904</v>
      </c>
      <c r="E1006" s="10" t="s">
        <v>2933</v>
      </c>
      <c r="F1006" s="10"/>
      <c r="G1006" s="10"/>
      <c r="H1006" s="10" t="s">
        <v>2933</v>
      </c>
      <c r="I1006" s="14">
        <v>68876.408895017579</v>
      </c>
      <c r="J1006" s="19">
        <v>0</v>
      </c>
      <c r="K1006" s="19">
        <v>0.6929995605906113</v>
      </c>
      <c r="L1006" s="19">
        <v>0.30700043940938859</v>
      </c>
      <c r="M1006" s="20">
        <v>2</v>
      </c>
      <c r="N1006" s="19">
        <v>0.16896699191461906</v>
      </c>
      <c r="O1006" s="19">
        <v>0</v>
      </c>
      <c r="P1006" s="19">
        <v>0.52403256867599224</v>
      </c>
      <c r="Q1006" s="19">
        <v>0.14778334964332446</v>
      </c>
      <c r="R1006" s="19">
        <v>0.14643199047256228</v>
      </c>
      <c r="S1006" s="19">
        <v>1.2785099293501911E-2</v>
      </c>
      <c r="T1006" s="20">
        <v>21</v>
      </c>
      <c r="U1006" s="17">
        <v>2</v>
      </c>
      <c r="V1006" s="17">
        <v>34</v>
      </c>
    </row>
    <row r="1007" spans="1:22" x14ac:dyDescent="0.2">
      <c r="A1007" t="s">
        <v>2934</v>
      </c>
      <c r="B1007" t="s">
        <v>2719</v>
      </c>
      <c r="C1007" t="s">
        <v>2720</v>
      </c>
      <c r="D1007" t="s">
        <v>2904</v>
      </c>
      <c r="E1007" s="10" t="s">
        <v>2935</v>
      </c>
      <c r="F1007" s="10"/>
      <c r="G1007" s="10"/>
      <c r="H1007" s="10" t="s">
        <v>2935</v>
      </c>
      <c r="I1007" s="14">
        <v>30483.387508411892</v>
      </c>
      <c r="J1007" s="19">
        <v>0</v>
      </c>
      <c r="K1007" s="19">
        <v>0.78411770598033104</v>
      </c>
      <c r="L1007" s="19">
        <v>0.21588229401966891</v>
      </c>
      <c r="M1007" s="20">
        <v>2</v>
      </c>
      <c r="N1007" s="19">
        <v>0</v>
      </c>
      <c r="O1007" s="19">
        <v>0</v>
      </c>
      <c r="P1007" s="19">
        <v>0.78411770598033104</v>
      </c>
      <c r="Q1007" s="19">
        <v>0.11246097322127178</v>
      </c>
      <c r="R1007" s="19">
        <v>9.4236384892613156E-2</v>
      </c>
      <c r="S1007" s="19">
        <v>9.1849359057839773E-3</v>
      </c>
      <c r="T1007" s="20">
        <v>21</v>
      </c>
      <c r="U1007" s="17">
        <v>2</v>
      </c>
      <c r="V1007" s="17">
        <v>34</v>
      </c>
    </row>
    <row r="1008" spans="1:22" x14ac:dyDescent="0.2">
      <c r="A1008" t="s">
        <v>2936</v>
      </c>
      <c r="B1008" t="s">
        <v>2719</v>
      </c>
      <c r="C1008" t="s">
        <v>2720</v>
      </c>
      <c r="D1008" t="s">
        <v>2904</v>
      </c>
      <c r="E1008" s="10" t="s">
        <v>2937</v>
      </c>
      <c r="F1008" s="10"/>
      <c r="G1008" s="10"/>
      <c r="H1008" s="10" t="s">
        <v>2937</v>
      </c>
      <c r="I1008" s="14">
        <v>37243.115475112572</v>
      </c>
      <c r="J1008" s="19">
        <v>0</v>
      </c>
      <c r="K1008" s="19">
        <v>0.76461550079654239</v>
      </c>
      <c r="L1008" s="19">
        <v>0.23538449920345747</v>
      </c>
      <c r="M1008" s="20">
        <v>2</v>
      </c>
      <c r="N1008" s="19">
        <v>0</v>
      </c>
      <c r="O1008" s="19">
        <v>0</v>
      </c>
      <c r="P1008" s="19">
        <v>0.76461550079654239</v>
      </c>
      <c r="Q1008" s="19">
        <v>8.4139514479093472E-2</v>
      </c>
      <c r="R1008" s="19">
        <v>0.13545337781666092</v>
      </c>
      <c r="S1008" s="19">
        <v>1.5791606907703076E-2</v>
      </c>
      <c r="T1008" s="20">
        <v>21</v>
      </c>
      <c r="U1008" s="17">
        <v>2</v>
      </c>
      <c r="V1008" s="17">
        <v>34</v>
      </c>
    </row>
    <row r="1009" spans="1:22" x14ac:dyDescent="0.2">
      <c r="A1009" t="s">
        <v>2938</v>
      </c>
      <c r="B1009" t="s">
        <v>2719</v>
      </c>
      <c r="C1009" t="s">
        <v>2720</v>
      </c>
      <c r="D1009" t="s">
        <v>2904</v>
      </c>
      <c r="E1009" s="10" t="s">
        <v>2939</v>
      </c>
      <c r="F1009" s="10"/>
      <c r="G1009" s="10"/>
      <c r="H1009" s="10" t="s">
        <v>2939</v>
      </c>
      <c r="I1009" s="14">
        <v>21205.202565576881</v>
      </c>
      <c r="J1009" s="19">
        <v>0</v>
      </c>
      <c r="K1009" s="19">
        <v>0.55661808436285953</v>
      </c>
      <c r="L1009" s="19">
        <v>0.44338191563714058</v>
      </c>
      <c r="M1009" s="20">
        <v>2</v>
      </c>
      <c r="N1009" s="19">
        <v>0</v>
      </c>
      <c r="O1009" s="19">
        <v>0.55661808436285953</v>
      </c>
      <c r="P1009" s="19">
        <v>0</v>
      </c>
      <c r="Q1009" s="19">
        <v>0.23604141713873888</v>
      </c>
      <c r="R1009" s="19">
        <v>0.18102821534716848</v>
      </c>
      <c r="S1009" s="19">
        <v>2.631228315123315E-2</v>
      </c>
      <c r="T1009" s="20">
        <v>22</v>
      </c>
      <c r="U1009" s="17">
        <v>2</v>
      </c>
      <c r="V1009" s="17">
        <v>34</v>
      </c>
    </row>
    <row r="1010" spans="1:22" x14ac:dyDescent="0.2">
      <c r="A1010" t="s">
        <v>2940</v>
      </c>
      <c r="B1010" t="s">
        <v>2719</v>
      </c>
      <c r="C1010" t="s">
        <v>2720</v>
      </c>
      <c r="D1010" t="s">
        <v>2941</v>
      </c>
      <c r="E1010" s="10" t="s">
        <v>2942</v>
      </c>
      <c r="F1010" s="10"/>
      <c r="G1010" s="10"/>
      <c r="H1010" s="10" t="s">
        <v>2942</v>
      </c>
      <c r="I1010" s="14">
        <v>17467.711332459934</v>
      </c>
      <c r="J1010" s="19">
        <v>0</v>
      </c>
      <c r="K1010" s="19">
        <v>0</v>
      </c>
      <c r="L1010" s="19">
        <v>1</v>
      </c>
      <c r="M1010" s="20">
        <v>1</v>
      </c>
      <c r="N1010" s="19">
        <v>0</v>
      </c>
      <c r="O1010" s="19">
        <v>0</v>
      </c>
      <c r="P1010" s="19">
        <v>0</v>
      </c>
      <c r="Q1010" s="19">
        <v>0.60202219174914506</v>
      </c>
      <c r="R1010" s="19">
        <v>0.28537326849166544</v>
      </c>
      <c r="S1010" s="19">
        <v>0.11260453975918953</v>
      </c>
      <c r="T1010" s="20">
        <v>13</v>
      </c>
      <c r="U1010" s="17">
        <v>2</v>
      </c>
      <c r="V1010" s="17">
        <v>34</v>
      </c>
    </row>
    <row r="1011" spans="1:22" x14ac:dyDescent="0.2">
      <c r="A1011" t="s">
        <v>2943</v>
      </c>
      <c r="B1011" t="s">
        <v>2719</v>
      </c>
      <c r="C1011" t="s">
        <v>2720</v>
      </c>
      <c r="D1011" t="s">
        <v>2941</v>
      </c>
      <c r="E1011" s="10" t="s">
        <v>2944</v>
      </c>
      <c r="F1011" s="10"/>
      <c r="G1011" s="10"/>
      <c r="H1011" s="10" t="s">
        <v>2944</v>
      </c>
      <c r="I1011" s="14">
        <v>34186.474379154388</v>
      </c>
      <c r="J1011" s="19">
        <v>0</v>
      </c>
      <c r="K1011" s="19">
        <v>0.17419461065252731</v>
      </c>
      <c r="L1011" s="19">
        <v>0.82580538934747272</v>
      </c>
      <c r="M1011" s="20">
        <v>1</v>
      </c>
      <c r="N1011" s="19">
        <v>0</v>
      </c>
      <c r="O1011" s="19">
        <v>0.17395199995291566</v>
      </c>
      <c r="P1011" s="19">
        <v>2.4261069961171595E-4</v>
      </c>
      <c r="Q1011" s="19">
        <v>0.35441495645102722</v>
      </c>
      <c r="R1011" s="19">
        <v>0.38880283694220735</v>
      </c>
      <c r="S1011" s="19">
        <v>8.2587595954238091E-2</v>
      </c>
      <c r="T1011" s="20">
        <v>12</v>
      </c>
      <c r="U1011" s="17">
        <v>2</v>
      </c>
      <c r="V1011" s="17">
        <v>34</v>
      </c>
    </row>
    <row r="1012" spans="1:22" x14ac:dyDescent="0.2">
      <c r="A1012" t="s">
        <v>2945</v>
      </c>
      <c r="B1012" t="s">
        <v>2719</v>
      </c>
      <c r="C1012" t="s">
        <v>2720</v>
      </c>
      <c r="D1012" t="s">
        <v>2941</v>
      </c>
      <c r="E1012" s="10" t="s">
        <v>2946</v>
      </c>
      <c r="F1012" s="10"/>
      <c r="G1012" s="10"/>
      <c r="H1012" s="10" t="s">
        <v>2946</v>
      </c>
      <c r="I1012" s="14">
        <v>21881.964459790383</v>
      </c>
      <c r="J1012" s="19">
        <v>0</v>
      </c>
      <c r="K1012" s="19">
        <v>0.35121313142828336</v>
      </c>
      <c r="L1012" s="19">
        <v>0.64878686857171664</v>
      </c>
      <c r="M1012" s="20">
        <v>1</v>
      </c>
      <c r="N1012" s="19">
        <v>0</v>
      </c>
      <c r="O1012" s="19">
        <v>0.35121313142828336</v>
      </c>
      <c r="P1012" s="19">
        <v>0</v>
      </c>
      <c r="Q1012" s="19">
        <v>0.16542781559378975</v>
      </c>
      <c r="R1012" s="19">
        <v>0.3840818521107649</v>
      </c>
      <c r="S1012" s="19">
        <v>9.9277200867162019E-2</v>
      </c>
      <c r="T1012" s="20">
        <v>12</v>
      </c>
      <c r="U1012" s="17">
        <v>2</v>
      </c>
      <c r="V1012" s="17">
        <v>34</v>
      </c>
    </row>
    <row r="1013" spans="1:22" x14ac:dyDescent="0.2">
      <c r="A1013" t="s">
        <v>2947</v>
      </c>
      <c r="B1013" t="s">
        <v>2719</v>
      </c>
      <c r="C1013" t="s">
        <v>2720</v>
      </c>
      <c r="D1013" t="s">
        <v>2941</v>
      </c>
      <c r="E1013" s="10" t="s">
        <v>2948</v>
      </c>
      <c r="F1013" s="10"/>
      <c r="G1013" s="10"/>
      <c r="H1013" s="10" t="s">
        <v>2948</v>
      </c>
      <c r="I1013" s="14">
        <v>22576.271481681615</v>
      </c>
      <c r="J1013" s="19">
        <v>0</v>
      </c>
      <c r="K1013" s="19">
        <v>0</v>
      </c>
      <c r="L1013" s="19">
        <v>1</v>
      </c>
      <c r="M1013" s="20">
        <v>1</v>
      </c>
      <c r="N1013" s="19">
        <v>0</v>
      </c>
      <c r="O1013" s="19">
        <v>0</v>
      </c>
      <c r="P1013" s="19">
        <v>0</v>
      </c>
      <c r="Q1013" s="19">
        <v>0.41382766720766889</v>
      </c>
      <c r="R1013" s="19">
        <v>0.48013326442332721</v>
      </c>
      <c r="S1013" s="19">
        <v>0.10603906836900387</v>
      </c>
      <c r="T1013" s="20">
        <v>12</v>
      </c>
      <c r="U1013" s="17">
        <v>2</v>
      </c>
      <c r="V1013" s="17">
        <v>34</v>
      </c>
    </row>
    <row r="1014" spans="1:22" x14ac:dyDescent="0.2">
      <c r="A1014" t="s">
        <v>2949</v>
      </c>
      <c r="B1014" t="s">
        <v>2719</v>
      </c>
      <c r="C1014" t="s">
        <v>2720</v>
      </c>
      <c r="D1014" t="s">
        <v>2941</v>
      </c>
      <c r="E1014" s="10" t="s">
        <v>2950</v>
      </c>
      <c r="F1014" s="10"/>
      <c r="G1014" s="10"/>
      <c r="H1014" s="10" t="s">
        <v>2950</v>
      </c>
      <c r="I1014" s="14">
        <v>24820.825694336556</v>
      </c>
      <c r="J1014" s="19">
        <v>0</v>
      </c>
      <c r="K1014" s="19">
        <v>0.3251339907051643</v>
      </c>
      <c r="L1014" s="19">
        <v>0.67486600929483553</v>
      </c>
      <c r="M1014" s="20">
        <v>1</v>
      </c>
      <c r="N1014" s="19">
        <v>0</v>
      </c>
      <c r="O1014" s="19">
        <v>0.3251339907051643</v>
      </c>
      <c r="P1014" s="19">
        <v>0</v>
      </c>
      <c r="Q1014" s="19">
        <v>0.39047668345409881</v>
      </c>
      <c r="R1014" s="19">
        <v>0.25978787194570679</v>
      </c>
      <c r="S1014" s="19">
        <v>2.4601453895030115E-2</v>
      </c>
      <c r="T1014" s="20">
        <v>13</v>
      </c>
      <c r="U1014" s="17">
        <v>2</v>
      </c>
      <c r="V1014" s="17">
        <v>34</v>
      </c>
    </row>
    <row r="1015" spans="1:22" x14ac:dyDescent="0.2">
      <c r="A1015" t="s">
        <v>2951</v>
      </c>
      <c r="B1015" t="s">
        <v>2719</v>
      </c>
      <c r="C1015" t="s">
        <v>2720</v>
      </c>
      <c r="D1015" t="s">
        <v>2941</v>
      </c>
      <c r="E1015" s="10" t="s">
        <v>2952</v>
      </c>
      <c r="F1015" s="10"/>
      <c r="G1015" s="10"/>
      <c r="H1015" s="10" t="s">
        <v>2952</v>
      </c>
      <c r="I1015" s="14">
        <v>17513.868555398192</v>
      </c>
      <c r="J1015" s="19">
        <v>0</v>
      </c>
      <c r="K1015" s="19">
        <v>1.3630497094127951E-3</v>
      </c>
      <c r="L1015" s="19">
        <v>0.99863695029058719</v>
      </c>
      <c r="M1015" s="20">
        <v>1</v>
      </c>
      <c r="N1015" s="19">
        <v>0</v>
      </c>
      <c r="O1015" s="19">
        <v>1.3630497094127951E-3</v>
      </c>
      <c r="P1015" s="19">
        <v>0</v>
      </c>
      <c r="Q1015" s="19">
        <v>0.55093237643040449</v>
      </c>
      <c r="R1015" s="19">
        <v>0.3761772564751677</v>
      </c>
      <c r="S1015" s="19">
        <v>7.1527317385015027E-2</v>
      </c>
      <c r="T1015" s="20">
        <v>13</v>
      </c>
      <c r="U1015" s="17">
        <v>2</v>
      </c>
      <c r="V1015" s="17">
        <v>34</v>
      </c>
    </row>
    <row r="1016" spans="1:22" x14ac:dyDescent="0.2">
      <c r="A1016" t="s">
        <v>2953</v>
      </c>
      <c r="B1016" t="s">
        <v>2719</v>
      </c>
      <c r="C1016" t="s">
        <v>2720</v>
      </c>
      <c r="D1016" t="s">
        <v>2941</v>
      </c>
      <c r="E1016" s="10" t="s">
        <v>2954</v>
      </c>
      <c r="F1016" s="10"/>
      <c r="G1016" s="10"/>
      <c r="H1016" s="10" t="s">
        <v>2954</v>
      </c>
      <c r="I1016" s="14">
        <v>15309.895696176214</v>
      </c>
      <c r="J1016" s="19">
        <v>0</v>
      </c>
      <c r="K1016" s="19">
        <v>0.85719228678090209</v>
      </c>
      <c r="L1016" s="19">
        <v>0.14280771321909808</v>
      </c>
      <c r="M1016" s="20">
        <v>2</v>
      </c>
      <c r="N1016" s="19">
        <v>0</v>
      </c>
      <c r="O1016" s="19">
        <v>0.85719228678090209</v>
      </c>
      <c r="P1016" s="19">
        <v>0</v>
      </c>
      <c r="Q1016" s="19">
        <v>0</v>
      </c>
      <c r="R1016" s="19">
        <v>0.13018056566391206</v>
      </c>
      <c r="S1016" s="19">
        <v>1.2627147555186012E-2</v>
      </c>
      <c r="T1016" s="20">
        <v>22</v>
      </c>
      <c r="U1016" s="17">
        <v>2</v>
      </c>
      <c r="V1016" s="17">
        <v>34</v>
      </c>
    </row>
    <row r="1017" spans="1:22" x14ac:dyDescent="0.2">
      <c r="A1017" t="s">
        <v>2955</v>
      </c>
      <c r="B1017" t="s">
        <v>2719</v>
      </c>
      <c r="C1017" t="s">
        <v>2720</v>
      </c>
      <c r="D1017" t="s">
        <v>2956</v>
      </c>
      <c r="E1017" s="10" t="s">
        <v>2957</v>
      </c>
      <c r="F1017" s="10"/>
      <c r="G1017" s="10"/>
      <c r="H1017" s="10" t="s">
        <v>2957</v>
      </c>
      <c r="I1017" s="14">
        <v>44898.289537465665</v>
      </c>
      <c r="J1017" s="19">
        <v>0</v>
      </c>
      <c r="K1017" s="19">
        <v>0.93864473462014508</v>
      </c>
      <c r="L1017" s="19">
        <v>6.1355265379854911E-2</v>
      </c>
      <c r="M1017" s="20">
        <v>2</v>
      </c>
      <c r="N1017" s="19">
        <v>0.66806379980839714</v>
      </c>
      <c r="O1017" s="19">
        <v>0</v>
      </c>
      <c r="P1017" s="19">
        <v>0.27058093481174789</v>
      </c>
      <c r="Q1017" s="19">
        <v>0</v>
      </c>
      <c r="R1017" s="19">
        <v>5.6049763287163636E-2</v>
      </c>
      <c r="S1017" s="19">
        <v>5.3055020926912827E-3</v>
      </c>
      <c r="T1017" s="20">
        <v>23</v>
      </c>
      <c r="U1017" s="17">
        <v>2</v>
      </c>
      <c r="V1017" s="17">
        <v>34</v>
      </c>
    </row>
    <row r="1018" spans="1:22" x14ac:dyDescent="0.2">
      <c r="A1018" t="s">
        <v>2958</v>
      </c>
      <c r="B1018" t="s">
        <v>2719</v>
      </c>
      <c r="C1018" t="s">
        <v>2720</v>
      </c>
      <c r="D1018" t="s">
        <v>2956</v>
      </c>
      <c r="E1018" s="10" t="s">
        <v>2959</v>
      </c>
      <c r="F1018" s="10"/>
      <c r="G1018" s="10"/>
      <c r="H1018" s="10" t="s">
        <v>2959</v>
      </c>
      <c r="I1018" s="14">
        <v>30591.197959497105</v>
      </c>
      <c r="J1018" s="19">
        <v>0</v>
      </c>
      <c r="K1018" s="19">
        <v>0.54331450368235235</v>
      </c>
      <c r="L1018" s="19">
        <v>0.4566854963176476</v>
      </c>
      <c r="M1018" s="20">
        <v>2</v>
      </c>
      <c r="N1018" s="19">
        <v>0</v>
      </c>
      <c r="O1018" s="19">
        <v>0.54331450368235235</v>
      </c>
      <c r="P1018" s="19">
        <v>0</v>
      </c>
      <c r="Q1018" s="19">
        <v>0.26707138701782579</v>
      </c>
      <c r="R1018" s="19">
        <v>0.1676232002113229</v>
      </c>
      <c r="S1018" s="19">
        <v>2.199090908849893E-2</v>
      </c>
      <c r="T1018" s="20">
        <v>22</v>
      </c>
      <c r="U1018" s="17">
        <v>2</v>
      </c>
      <c r="V1018" s="17">
        <v>34</v>
      </c>
    </row>
    <row r="1019" spans="1:22" x14ac:dyDescent="0.2">
      <c r="A1019" t="s">
        <v>2960</v>
      </c>
      <c r="B1019" t="s">
        <v>2719</v>
      </c>
      <c r="C1019" t="s">
        <v>2720</v>
      </c>
      <c r="D1019" t="s">
        <v>2956</v>
      </c>
      <c r="E1019" s="10" t="s">
        <v>2961</v>
      </c>
      <c r="F1019" s="10"/>
      <c r="G1019" s="10"/>
      <c r="H1019" s="10" t="s">
        <v>2961</v>
      </c>
      <c r="I1019" s="14">
        <v>19880.857964753173</v>
      </c>
      <c r="J1019" s="19">
        <v>0</v>
      </c>
      <c r="K1019" s="19">
        <v>0.5275278093701361</v>
      </c>
      <c r="L1019" s="19">
        <v>0.47247219062986384</v>
      </c>
      <c r="M1019" s="20">
        <v>2</v>
      </c>
      <c r="N1019" s="19">
        <v>0</v>
      </c>
      <c r="O1019" s="19">
        <v>0.5275278093701361</v>
      </c>
      <c r="P1019" s="19">
        <v>0</v>
      </c>
      <c r="Q1019" s="19">
        <v>0.1511569598266643</v>
      </c>
      <c r="R1019" s="19">
        <v>0.25103283972918738</v>
      </c>
      <c r="S1019" s="19">
        <v>7.0282391074012157E-2</v>
      </c>
      <c r="T1019" s="20">
        <v>22</v>
      </c>
      <c r="U1019" s="17">
        <v>2</v>
      </c>
      <c r="V1019" s="17">
        <v>34</v>
      </c>
    </row>
    <row r="1020" spans="1:22" x14ac:dyDescent="0.2">
      <c r="A1020" t="s">
        <v>2962</v>
      </c>
      <c r="B1020" t="s">
        <v>2719</v>
      </c>
      <c r="C1020" t="s">
        <v>2720</v>
      </c>
      <c r="D1020" t="s">
        <v>2956</v>
      </c>
      <c r="E1020" s="10" t="s">
        <v>2963</v>
      </c>
      <c r="F1020" s="10"/>
      <c r="G1020" s="10"/>
      <c r="H1020" s="10" t="s">
        <v>2963</v>
      </c>
      <c r="I1020" s="14">
        <v>14366.180199626831</v>
      </c>
      <c r="J1020" s="19">
        <v>0</v>
      </c>
      <c r="K1020" s="19">
        <v>0.42157384685687843</v>
      </c>
      <c r="L1020" s="19">
        <v>0.57842615314312174</v>
      </c>
      <c r="M1020" s="20">
        <v>1</v>
      </c>
      <c r="N1020" s="19">
        <v>0</v>
      </c>
      <c r="O1020" s="19">
        <v>0.42157384685687843</v>
      </c>
      <c r="P1020" s="19">
        <v>0</v>
      </c>
      <c r="Q1020" s="19">
        <v>8.9219449843754947E-2</v>
      </c>
      <c r="R1020" s="19">
        <v>0.37633580240964709</v>
      </c>
      <c r="S1020" s="19">
        <v>0.11287090088971967</v>
      </c>
      <c r="T1020" s="20">
        <v>12</v>
      </c>
      <c r="U1020" s="17">
        <v>2</v>
      </c>
      <c r="V1020" s="17">
        <v>34</v>
      </c>
    </row>
    <row r="1021" spans="1:22" x14ac:dyDescent="0.2">
      <c r="A1021" t="s">
        <v>2964</v>
      </c>
      <c r="B1021" t="s">
        <v>2719</v>
      </c>
      <c r="C1021" t="s">
        <v>2720</v>
      </c>
      <c r="D1021" t="s">
        <v>2956</v>
      </c>
      <c r="E1021" s="10" t="s">
        <v>2965</v>
      </c>
      <c r="F1021" s="10"/>
      <c r="G1021" s="10"/>
      <c r="H1021" s="10" t="s">
        <v>2965</v>
      </c>
      <c r="I1021" s="14">
        <v>30009.764337349687</v>
      </c>
      <c r="J1021" s="19">
        <v>0</v>
      </c>
      <c r="K1021" s="19">
        <v>0.68366049638965198</v>
      </c>
      <c r="L1021" s="19">
        <v>0.31633950361034785</v>
      </c>
      <c r="M1021" s="20">
        <v>2</v>
      </c>
      <c r="N1021" s="19">
        <v>0.27958709626916983</v>
      </c>
      <c r="O1021" s="19">
        <v>0.15552482640946516</v>
      </c>
      <c r="P1021" s="19">
        <v>0.24854857371101699</v>
      </c>
      <c r="Q1021" s="19">
        <v>0.22504765734958959</v>
      </c>
      <c r="R1021" s="19">
        <v>8.3080672269737046E-2</v>
      </c>
      <c r="S1021" s="19">
        <v>8.2111739910211996E-3</v>
      </c>
      <c r="T1021" s="20">
        <v>23</v>
      </c>
      <c r="U1021" s="17">
        <v>2</v>
      </c>
      <c r="V1021" s="17">
        <v>34</v>
      </c>
    </row>
    <row r="1022" spans="1:22" x14ac:dyDescent="0.2">
      <c r="A1022" t="s">
        <v>2966</v>
      </c>
      <c r="B1022" t="s">
        <v>2719</v>
      </c>
      <c r="C1022" t="s">
        <v>2720</v>
      </c>
      <c r="D1022" t="s">
        <v>2956</v>
      </c>
      <c r="E1022" s="10" t="s">
        <v>2967</v>
      </c>
      <c r="F1022" s="10"/>
      <c r="G1022" s="10"/>
      <c r="H1022" s="10" t="s">
        <v>2967</v>
      </c>
      <c r="I1022" s="14">
        <v>37432.92303562304</v>
      </c>
      <c r="J1022" s="19">
        <v>0</v>
      </c>
      <c r="K1022" s="19">
        <v>0.3802454212399386</v>
      </c>
      <c r="L1022" s="19">
        <v>0.61975457876006146</v>
      </c>
      <c r="M1022" s="20">
        <v>1</v>
      </c>
      <c r="N1022" s="19">
        <v>0</v>
      </c>
      <c r="O1022" s="19">
        <v>0</v>
      </c>
      <c r="P1022" s="19">
        <v>0.3802454212399386</v>
      </c>
      <c r="Q1022" s="19">
        <v>0.45941215193629087</v>
      </c>
      <c r="R1022" s="19">
        <v>0.14084730500136683</v>
      </c>
      <c r="S1022" s="19">
        <v>1.9495121822403795E-2</v>
      </c>
      <c r="T1022" s="20">
        <v>13</v>
      </c>
      <c r="U1022" s="17">
        <v>2</v>
      </c>
      <c r="V1022" s="17">
        <v>34</v>
      </c>
    </row>
    <row r="1023" spans="1:22" x14ac:dyDescent="0.2">
      <c r="A1023" t="s">
        <v>2968</v>
      </c>
      <c r="B1023" t="s">
        <v>2719</v>
      </c>
      <c r="C1023" t="s">
        <v>2720</v>
      </c>
      <c r="D1023" t="s">
        <v>2956</v>
      </c>
      <c r="E1023" s="10" t="s">
        <v>2969</v>
      </c>
      <c r="F1023" s="10"/>
      <c r="G1023" s="10"/>
      <c r="H1023" s="10" t="s">
        <v>2969</v>
      </c>
      <c r="I1023" s="14">
        <v>50107.329475557432</v>
      </c>
      <c r="J1023" s="19">
        <v>0</v>
      </c>
      <c r="K1023" s="19">
        <v>0.59663178062141509</v>
      </c>
      <c r="L1023" s="19">
        <v>0.40336821937858497</v>
      </c>
      <c r="M1023" s="20">
        <v>2</v>
      </c>
      <c r="N1023" s="19">
        <v>0.11033647554061272</v>
      </c>
      <c r="O1023" s="19">
        <v>0</v>
      </c>
      <c r="P1023" s="19">
        <v>0.48629530508080232</v>
      </c>
      <c r="Q1023" s="19">
        <v>0.26480135144016687</v>
      </c>
      <c r="R1023" s="19">
        <v>0.11967638717683474</v>
      </c>
      <c r="S1023" s="19">
        <v>1.8890480761583325E-2</v>
      </c>
      <c r="T1023" s="20">
        <v>23</v>
      </c>
      <c r="U1023" s="17">
        <v>2</v>
      </c>
      <c r="V1023" s="17">
        <v>34</v>
      </c>
    </row>
    <row r="1024" spans="1:22" x14ac:dyDescent="0.2">
      <c r="A1024" t="s">
        <v>2970</v>
      </c>
      <c r="B1024" t="s">
        <v>2719</v>
      </c>
      <c r="C1024" t="s">
        <v>2720</v>
      </c>
      <c r="D1024" t="s">
        <v>2956</v>
      </c>
      <c r="E1024" s="10" t="s">
        <v>2819</v>
      </c>
      <c r="F1024" s="10"/>
      <c r="G1024" s="10"/>
      <c r="H1024" s="10" t="s">
        <v>2819</v>
      </c>
      <c r="I1024" s="14">
        <v>32532.388328015804</v>
      </c>
      <c r="J1024" s="19">
        <v>0</v>
      </c>
      <c r="K1024" s="19">
        <v>0.64678337970292354</v>
      </c>
      <c r="L1024" s="19">
        <v>0.35321662029707646</v>
      </c>
      <c r="M1024" s="20">
        <v>2</v>
      </c>
      <c r="N1024" s="19">
        <v>0</v>
      </c>
      <c r="O1024" s="19">
        <v>0</v>
      </c>
      <c r="P1024" s="19">
        <v>0.64678337970292354</v>
      </c>
      <c r="Q1024" s="19">
        <v>0.20464198079222218</v>
      </c>
      <c r="R1024" s="19">
        <v>0.1401920755630876</v>
      </c>
      <c r="S1024" s="19">
        <v>8.3825639417666707E-3</v>
      </c>
      <c r="T1024" s="20">
        <v>21</v>
      </c>
      <c r="U1024" s="17">
        <v>2</v>
      </c>
      <c r="V1024" s="17">
        <v>34</v>
      </c>
    </row>
    <row r="1025" spans="1:22" x14ac:dyDescent="0.2">
      <c r="A1025" t="s">
        <v>2971</v>
      </c>
      <c r="B1025" t="s">
        <v>2719</v>
      </c>
      <c r="C1025" t="s">
        <v>2720</v>
      </c>
      <c r="D1025" t="s">
        <v>2972</v>
      </c>
      <c r="E1025" s="10" t="s">
        <v>2973</v>
      </c>
      <c r="F1025" s="10"/>
      <c r="G1025" s="10"/>
      <c r="H1025" s="10" t="s">
        <v>2973</v>
      </c>
      <c r="I1025" s="14">
        <v>4918.2785542478086</v>
      </c>
      <c r="J1025" s="19">
        <v>0</v>
      </c>
      <c r="K1025" s="19">
        <v>0</v>
      </c>
      <c r="L1025" s="19">
        <v>1</v>
      </c>
      <c r="M1025" s="20">
        <v>1</v>
      </c>
      <c r="N1025" s="19">
        <v>0</v>
      </c>
      <c r="O1025" s="19">
        <v>0</v>
      </c>
      <c r="P1025" s="19">
        <v>0</v>
      </c>
      <c r="Q1025" s="19">
        <v>0.4339981316667581</v>
      </c>
      <c r="R1025" s="19">
        <v>0.52906998541068051</v>
      </c>
      <c r="S1025" s="19">
        <v>3.6931882922561339E-2</v>
      </c>
      <c r="T1025" s="20">
        <v>12</v>
      </c>
      <c r="U1025" s="17">
        <v>2</v>
      </c>
      <c r="V1025" s="17">
        <v>34</v>
      </c>
    </row>
    <row r="1026" spans="1:22" x14ac:dyDescent="0.2">
      <c r="A1026" t="s">
        <v>2974</v>
      </c>
      <c r="B1026" t="s">
        <v>2719</v>
      </c>
      <c r="C1026" t="s">
        <v>2720</v>
      </c>
      <c r="D1026" t="s">
        <v>2972</v>
      </c>
      <c r="E1026" s="10" t="s">
        <v>2975</v>
      </c>
      <c r="F1026" s="10"/>
      <c r="G1026" s="10"/>
      <c r="H1026" s="10" t="s">
        <v>2975</v>
      </c>
      <c r="I1026" s="14">
        <v>4228.5727574431803</v>
      </c>
      <c r="J1026" s="19">
        <v>0</v>
      </c>
      <c r="K1026" s="19">
        <v>0</v>
      </c>
      <c r="L1026" s="19">
        <v>1</v>
      </c>
      <c r="M1026" s="20">
        <v>1</v>
      </c>
      <c r="N1026" s="19">
        <v>0</v>
      </c>
      <c r="O1026" s="19">
        <v>0</v>
      </c>
      <c r="P1026" s="19">
        <v>0</v>
      </c>
      <c r="Q1026" s="19">
        <v>0.25039397329856306</v>
      </c>
      <c r="R1026" s="19">
        <v>0.66480872346190001</v>
      </c>
      <c r="S1026" s="19">
        <v>8.4797303239536964E-2</v>
      </c>
      <c r="T1026" s="20">
        <v>12</v>
      </c>
      <c r="U1026" s="17">
        <v>2</v>
      </c>
      <c r="V1026" s="17">
        <v>34</v>
      </c>
    </row>
    <row r="1027" spans="1:22" x14ac:dyDescent="0.2">
      <c r="A1027" t="s">
        <v>2976</v>
      </c>
      <c r="B1027" t="s">
        <v>2719</v>
      </c>
      <c r="C1027" t="s">
        <v>2720</v>
      </c>
      <c r="D1027" t="s">
        <v>2972</v>
      </c>
      <c r="E1027" s="10" t="s">
        <v>2977</v>
      </c>
      <c r="F1027" s="10"/>
      <c r="G1027" s="10"/>
      <c r="H1027" s="10" t="s">
        <v>2977</v>
      </c>
      <c r="I1027" s="14">
        <v>5842.5649943491444</v>
      </c>
      <c r="J1027" s="19">
        <v>0</v>
      </c>
      <c r="K1027" s="19">
        <v>0</v>
      </c>
      <c r="L1027" s="19">
        <v>1</v>
      </c>
      <c r="M1027" s="20">
        <v>1</v>
      </c>
      <c r="N1027" s="19">
        <v>0</v>
      </c>
      <c r="O1027" s="19">
        <v>0</v>
      </c>
      <c r="P1027" s="19">
        <v>0</v>
      </c>
      <c r="Q1027" s="19">
        <v>0.49267460062297297</v>
      </c>
      <c r="R1027" s="19">
        <v>0.46843764523880588</v>
      </c>
      <c r="S1027" s="19">
        <v>3.8887754138221153E-2</v>
      </c>
      <c r="T1027" s="20">
        <v>13</v>
      </c>
      <c r="U1027" s="17">
        <v>2</v>
      </c>
      <c r="V1027" s="17">
        <v>34</v>
      </c>
    </row>
    <row r="1028" spans="1:22" x14ac:dyDescent="0.2">
      <c r="A1028" t="s">
        <v>2978</v>
      </c>
      <c r="B1028" t="s">
        <v>2719</v>
      </c>
      <c r="C1028" t="s">
        <v>2720</v>
      </c>
      <c r="D1028" t="s">
        <v>2972</v>
      </c>
      <c r="E1028" s="10" t="s">
        <v>2979</v>
      </c>
      <c r="F1028" s="10"/>
      <c r="G1028" s="10"/>
      <c r="H1028" s="10" t="s">
        <v>2979</v>
      </c>
      <c r="I1028" s="14">
        <v>73146.399517633487</v>
      </c>
      <c r="J1028" s="19">
        <v>0</v>
      </c>
      <c r="K1028" s="19">
        <v>0.82817397271214732</v>
      </c>
      <c r="L1028" s="19">
        <v>0.17182602728785271</v>
      </c>
      <c r="M1028" s="20">
        <v>2</v>
      </c>
      <c r="N1028" s="19">
        <v>0.48786768958681898</v>
      </c>
      <c r="O1028" s="19">
        <v>0</v>
      </c>
      <c r="P1028" s="19">
        <v>0.34030628312532835</v>
      </c>
      <c r="Q1028" s="19">
        <v>4.87115429561931E-2</v>
      </c>
      <c r="R1028" s="19">
        <v>0.10847611494066044</v>
      </c>
      <c r="S1028" s="19">
        <v>1.4638369390999132E-2</v>
      </c>
      <c r="T1028" s="20">
        <v>23</v>
      </c>
      <c r="U1028" s="17">
        <v>2</v>
      </c>
      <c r="V1028" s="17">
        <v>34</v>
      </c>
    </row>
    <row r="1029" spans="1:22" x14ac:dyDescent="0.2">
      <c r="A1029" t="s">
        <v>2980</v>
      </c>
      <c r="B1029" t="s">
        <v>2719</v>
      </c>
      <c r="C1029" t="s">
        <v>2720</v>
      </c>
      <c r="D1029" t="s">
        <v>2972</v>
      </c>
      <c r="E1029" s="10" t="s">
        <v>2981</v>
      </c>
      <c r="F1029" s="10"/>
      <c r="G1029" s="10"/>
      <c r="H1029" s="10" t="s">
        <v>2981</v>
      </c>
      <c r="I1029" s="14">
        <v>16600.125412512454</v>
      </c>
      <c r="J1029" s="19">
        <v>0</v>
      </c>
      <c r="K1029" s="19">
        <v>0.39761795806571648</v>
      </c>
      <c r="L1029" s="19">
        <v>0.60238204193428357</v>
      </c>
      <c r="M1029" s="20">
        <v>1</v>
      </c>
      <c r="N1029" s="19">
        <v>0</v>
      </c>
      <c r="O1029" s="19">
        <v>0.39761795806571648</v>
      </c>
      <c r="P1029" s="19">
        <v>0</v>
      </c>
      <c r="Q1029" s="19">
        <v>4.6175890790291614E-2</v>
      </c>
      <c r="R1029" s="19">
        <v>0.45415351364587214</v>
      </c>
      <c r="S1029" s="19">
        <v>0.10205263749811987</v>
      </c>
      <c r="T1029" s="20">
        <v>12</v>
      </c>
      <c r="U1029" s="17">
        <v>2</v>
      </c>
      <c r="V1029" s="17">
        <v>34</v>
      </c>
    </row>
    <row r="1030" spans="1:22" x14ac:dyDescent="0.2">
      <c r="A1030" t="s">
        <v>2982</v>
      </c>
      <c r="B1030" t="s">
        <v>2719</v>
      </c>
      <c r="C1030" t="s">
        <v>2720</v>
      </c>
      <c r="D1030" t="s">
        <v>2972</v>
      </c>
      <c r="E1030" s="10" t="s">
        <v>2983</v>
      </c>
      <c r="F1030" s="10"/>
      <c r="G1030" s="10"/>
      <c r="H1030" s="10" t="s">
        <v>2983</v>
      </c>
      <c r="I1030" s="14">
        <v>11383.393754667602</v>
      </c>
      <c r="J1030" s="19">
        <v>0</v>
      </c>
      <c r="K1030" s="19">
        <v>0</v>
      </c>
      <c r="L1030" s="19">
        <v>1</v>
      </c>
      <c r="M1030" s="20">
        <v>1</v>
      </c>
      <c r="N1030" s="19">
        <v>0</v>
      </c>
      <c r="O1030" s="19">
        <v>0</v>
      </c>
      <c r="P1030" s="19">
        <v>0</v>
      </c>
      <c r="Q1030" s="19">
        <v>0.24449520385605433</v>
      </c>
      <c r="R1030" s="19">
        <v>0.67117816040912259</v>
      </c>
      <c r="S1030" s="19">
        <v>8.4326635734823116E-2</v>
      </c>
      <c r="T1030" s="20">
        <v>12</v>
      </c>
      <c r="U1030" s="17">
        <v>2</v>
      </c>
      <c r="V1030" s="17">
        <v>34</v>
      </c>
    </row>
    <row r="1031" spans="1:22" x14ac:dyDescent="0.2">
      <c r="A1031" t="s">
        <v>2984</v>
      </c>
      <c r="B1031" t="s">
        <v>2719</v>
      </c>
      <c r="C1031" t="s">
        <v>2720</v>
      </c>
      <c r="D1031" t="s">
        <v>2972</v>
      </c>
      <c r="E1031" s="10" t="s">
        <v>2985</v>
      </c>
      <c r="F1031" s="10"/>
      <c r="G1031" s="10"/>
      <c r="H1031" s="10" t="s">
        <v>2985</v>
      </c>
      <c r="I1031" s="14">
        <v>12245.652287037228</v>
      </c>
      <c r="J1031" s="19">
        <v>0</v>
      </c>
      <c r="K1031" s="19">
        <v>0.66927242410436838</v>
      </c>
      <c r="L1031" s="19">
        <v>0.33072757589563168</v>
      </c>
      <c r="M1031" s="20">
        <v>2</v>
      </c>
      <c r="N1031" s="19">
        <v>0.62245111673138109</v>
      </c>
      <c r="O1031" s="19">
        <v>0</v>
      </c>
      <c r="P1031" s="19">
        <v>4.6821307372987252E-2</v>
      </c>
      <c r="Q1031" s="19">
        <v>4.4467366097538347E-2</v>
      </c>
      <c r="R1031" s="19">
        <v>0.25993717608015054</v>
      </c>
      <c r="S1031" s="19">
        <v>2.632303371794276E-2</v>
      </c>
      <c r="T1031" s="20">
        <v>23</v>
      </c>
      <c r="U1031" s="17">
        <v>2</v>
      </c>
      <c r="V1031" s="17">
        <v>34</v>
      </c>
    </row>
    <row r="1032" spans="1:22" x14ac:dyDescent="0.2">
      <c r="A1032" t="s">
        <v>2986</v>
      </c>
      <c r="B1032" t="s">
        <v>2719</v>
      </c>
      <c r="C1032" t="s">
        <v>2720</v>
      </c>
      <c r="D1032" t="s">
        <v>2972</v>
      </c>
      <c r="E1032" s="10" t="s">
        <v>2987</v>
      </c>
      <c r="F1032" s="10"/>
      <c r="G1032" s="10"/>
      <c r="H1032" s="10" t="s">
        <v>2987</v>
      </c>
      <c r="I1032" s="14">
        <v>26607.651991209015</v>
      </c>
      <c r="J1032" s="19">
        <v>0</v>
      </c>
      <c r="K1032" s="19">
        <v>0</v>
      </c>
      <c r="L1032" s="19">
        <v>1</v>
      </c>
      <c r="M1032" s="20">
        <v>1</v>
      </c>
      <c r="N1032" s="19">
        <v>0</v>
      </c>
      <c r="O1032" s="19">
        <v>0</v>
      </c>
      <c r="P1032" s="19">
        <v>0</v>
      </c>
      <c r="Q1032" s="19">
        <v>0.52423773397342122</v>
      </c>
      <c r="R1032" s="19">
        <v>0.39853149320275028</v>
      </c>
      <c r="S1032" s="19">
        <v>7.7230772823828495E-2</v>
      </c>
      <c r="T1032" s="20">
        <v>13</v>
      </c>
      <c r="U1032" s="17">
        <v>2</v>
      </c>
      <c r="V1032" s="17">
        <v>34</v>
      </c>
    </row>
    <row r="1033" spans="1:22" x14ac:dyDescent="0.2">
      <c r="A1033" t="s">
        <v>2988</v>
      </c>
      <c r="B1033" t="s">
        <v>2719</v>
      </c>
      <c r="C1033" t="s">
        <v>2720</v>
      </c>
      <c r="D1033" t="s">
        <v>2972</v>
      </c>
      <c r="E1033" s="10" t="s">
        <v>2989</v>
      </c>
      <c r="F1033" s="10"/>
      <c r="G1033" s="10"/>
      <c r="H1033" s="10" t="s">
        <v>2989</v>
      </c>
      <c r="I1033" s="14">
        <v>6301.0504553467035</v>
      </c>
      <c r="J1033" s="19">
        <v>0</v>
      </c>
      <c r="K1033" s="19">
        <v>0</v>
      </c>
      <c r="L1033" s="19">
        <v>1</v>
      </c>
      <c r="M1033" s="20">
        <v>1</v>
      </c>
      <c r="N1033" s="19">
        <v>0</v>
      </c>
      <c r="O1033" s="19">
        <v>0</v>
      </c>
      <c r="P1033" s="19">
        <v>0</v>
      </c>
      <c r="Q1033" s="19">
        <v>0.60740240057669148</v>
      </c>
      <c r="R1033" s="19">
        <v>0.37195554158176741</v>
      </c>
      <c r="S1033" s="19">
        <v>2.064205784154113E-2</v>
      </c>
      <c r="T1033" s="20">
        <v>13</v>
      </c>
      <c r="U1033" s="17">
        <v>2</v>
      </c>
      <c r="V1033" s="17">
        <v>34</v>
      </c>
    </row>
    <row r="1034" spans="1:22" x14ac:dyDescent="0.2">
      <c r="A1034" t="s">
        <v>2990</v>
      </c>
      <c r="B1034" t="s">
        <v>2719</v>
      </c>
      <c r="C1034" t="s">
        <v>2720</v>
      </c>
      <c r="D1034" t="s">
        <v>2972</v>
      </c>
      <c r="E1034" s="10" t="s">
        <v>2991</v>
      </c>
      <c r="F1034" s="10"/>
      <c r="G1034" s="10"/>
      <c r="H1034" s="10" t="s">
        <v>2991</v>
      </c>
      <c r="I1034" s="14">
        <v>7166.1660281624645</v>
      </c>
      <c r="J1034" s="19">
        <v>0</v>
      </c>
      <c r="K1034" s="19">
        <v>0</v>
      </c>
      <c r="L1034" s="19">
        <v>1</v>
      </c>
      <c r="M1034" s="20">
        <v>1</v>
      </c>
      <c r="N1034" s="19">
        <v>0</v>
      </c>
      <c r="O1034" s="19">
        <v>0</v>
      </c>
      <c r="P1034" s="19">
        <v>0</v>
      </c>
      <c r="Q1034" s="19">
        <v>0.65572614950058439</v>
      </c>
      <c r="R1034" s="19">
        <v>0.2890822065295886</v>
      </c>
      <c r="S1034" s="19">
        <v>5.5191643969827064E-2</v>
      </c>
      <c r="T1034" s="20">
        <v>13</v>
      </c>
      <c r="U1034" s="17">
        <v>2</v>
      </c>
      <c r="V1034" s="17">
        <v>34</v>
      </c>
    </row>
    <row r="1035" spans="1:22" x14ac:dyDescent="0.2">
      <c r="A1035" t="s">
        <v>2992</v>
      </c>
      <c r="B1035" t="s">
        <v>2719</v>
      </c>
      <c r="C1035" t="s">
        <v>2720</v>
      </c>
      <c r="D1035" t="s">
        <v>2972</v>
      </c>
      <c r="E1035" s="10" t="s">
        <v>2993</v>
      </c>
      <c r="F1035" s="10"/>
      <c r="G1035" s="10"/>
      <c r="H1035" s="10" t="s">
        <v>2993</v>
      </c>
      <c r="I1035" s="14">
        <v>6603.8786762030795</v>
      </c>
      <c r="J1035" s="19">
        <v>0</v>
      </c>
      <c r="K1035" s="19">
        <v>0</v>
      </c>
      <c r="L1035" s="19">
        <v>1</v>
      </c>
      <c r="M1035" s="20">
        <v>1</v>
      </c>
      <c r="N1035" s="19">
        <v>0</v>
      </c>
      <c r="O1035" s="19">
        <v>0</v>
      </c>
      <c r="P1035" s="19">
        <v>0</v>
      </c>
      <c r="Q1035" s="19">
        <v>0.43945525062484564</v>
      </c>
      <c r="R1035" s="19">
        <v>0.50311053311790765</v>
      </c>
      <c r="S1035" s="19">
        <v>5.7434216257246755E-2</v>
      </c>
      <c r="T1035" s="20">
        <v>12</v>
      </c>
      <c r="U1035" s="17">
        <v>2</v>
      </c>
      <c r="V1035" s="17">
        <v>34</v>
      </c>
    </row>
    <row r="1036" spans="1:22" x14ac:dyDescent="0.2">
      <c r="A1036" t="s">
        <v>2994</v>
      </c>
      <c r="B1036" t="s">
        <v>2719</v>
      </c>
      <c r="C1036" t="s">
        <v>2720</v>
      </c>
      <c r="D1036" t="s">
        <v>2995</v>
      </c>
      <c r="E1036" s="10" t="s">
        <v>2996</v>
      </c>
      <c r="F1036" s="10"/>
      <c r="G1036" s="10"/>
      <c r="H1036" s="10" t="s">
        <v>2996</v>
      </c>
      <c r="I1036" s="14">
        <v>40918.846957329428</v>
      </c>
      <c r="J1036" s="19">
        <v>0.2241555099979802</v>
      </c>
      <c r="K1036" s="19">
        <v>0.71747849490659266</v>
      </c>
      <c r="L1036" s="19">
        <v>5.8365995095427191E-2</v>
      </c>
      <c r="M1036" s="20">
        <v>2</v>
      </c>
      <c r="N1036" s="19">
        <v>0.59335749156284201</v>
      </c>
      <c r="O1036" s="19">
        <v>0</v>
      </c>
      <c r="P1036" s="19">
        <v>0.12412100334375052</v>
      </c>
      <c r="Q1036" s="19">
        <v>0</v>
      </c>
      <c r="R1036" s="19">
        <v>4.9184951280621739E-2</v>
      </c>
      <c r="S1036" s="19">
        <v>9.1810438148054521E-3</v>
      </c>
      <c r="T1036" s="20">
        <v>23</v>
      </c>
      <c r="U1036" s="17">
        <v>2</v>
      </c>
      <c r="V1036" s="17">
        <v>34</v>
      </c>
    </row>
    <row r="1037" spans="1:22" x14ac:dyDescent="0.2">
      <c r="A1037" t="s">
        <v>2997</v>
      </c>
      <c r="B1037" t="s">
        <v>2719</v>
      </c>
      <c r="C1037" t="s">
        <v>2720</v>
      </c>
      <c r="D1037" t="s">
        <v>2995</v>
      </c>
      <c r="E1037" s="10" t="s">
        <v>2998</v>
      </c>
      <c r="F1037" s="10"/>
      <c r="G1037" s="10"/>
      <c r="H1037" s="10" t="s">
        <v>2998</v>
      </c>
      <c r="I1037" s="14">
        <v>30341.758054880425</v>
      </c>
      <c r="J1037" s="19">
        <v>0</v>
      </c>
      <c r="K1037" s="19">
        <v>0.85043809841913121</v>
      </c>
      <c r="L1037" s="19">
        <v>0.14956190158086879</v>
      </c>
      <c r="M1037" s="20">
        <v>2</v>
      </c>
      <c r="N1037" s="19">
        <v>0.34926022660529793</v>
      </c>
      <c r="O1037" s="19">
        <v>0</v>
      </c>
      <c r="P1037" s="19">
        <v>0.50117787181383333</v>
      </c>
      <c r="Q1037" s="19">
        <v>2.3326149423379305E-2</v>
      </c>
      <c r="R1037" s="19">
        <v>0.11107764220452865</v>
      </c>
      <c r="S1037" s="19">
        <v>1.5158109952960809E-2</v>
      </c>
      <c r="T1037" s="20">
        <v>21</v>
      </c>
      <c r="U1037" s="17">
        <v>2</v>
      </c>
      <c r="V1037" s="17">
        <v>34</v>
      </c>
    </row>
    <row r="1038" spans="1:22" x14ac:dyDescent="0.2">
      <c r="A1038" t="s">
        <v>2999</v>
      </c>
      <c r="B1038" t="s">
        <v>2719</v>
      </c>
      <c r="C1038" t="s">
        <v>2720</v>
      </c>
      <c r="D1038" t="s">
        <v>2995</v>
      </c>
      <c r="E1038" s="10" t="s">
        <v>3000</v>
      </c>
      <c r="F1038" s="10"/>
      <c r="G1038" s="10"/>
      <c r="H1038" s="10" t="s">
        <v>3000</v>
      </c>
      <c r="I1038" s="14">
        <v>104581.48281683098</v>
      </c>
      <c r="J1038" s="19">
        <v>0.90111089550357859</v>
      </c>
      <c r="K1038" s="19">
        <v>7.4931023969097343E-2</v>
      </c>
      <c r="L1038" s="19">
        <v>2.3958080527324038E-2</v>
      </c>
      <c r="M1038" s="20">
        <v>3</v>
      </c>
      <c r="N1038" s="19">
        <v>7.5998853725014039E-4</v>
      </c>
      <c r="O1038" s="19">
        <v>0</v>
      </c>
      <c r="P1038" s="19">
        <v>7.4171035431847207E-2</v>
      </c>
      <c r="Q1038" s="19">
        <v>0</v>
      </c>
      <c r="R1038" s="19">
        <v>1.9959639843799004E-2</v>
      </c>
      <c r="S1038" s="19">
        <v>3.9984406835250324E-3</v>
      </c>
      <c r="T1038" s="20">
        <v>30</v>
      </c>
      <c r="U1038" s="17">
        <v>2</v>
      </c>
      <c r="V1038" s="17">
        <v>34</v>
      </c>
    </row>
    <row r="1039" spans="1:22" x14ac:dyDescent="0.2">
      <c r="A1039" t="s">
        <v>3001</v>
      </c>
      <c r="B1039" t="s">
        <v>2719</v>
      </c>
      <c r="C1039" t="s">
        <v>2720</v>
      </c>
      <c r="D1039" t="s">
        <v>2995</v>
      </c>
      <c r="E1039" s="10" t="s">
        <v>3002</v>
      </c>
      <c r="F1039" s="10"/>
      <c r="G1039" s="10"/>
      <c r="H1039" s="10" t="s">
        <v>3002</v>
      </c>
      <c r="I1039" s="14">
        <v>115978.67629824604</v>
      </c>
      <c r="J1039" s="19">
        <v>4.1052671486940015E-2</v>
      </c>
      <c r="K1039" s="19">
        <v>0.93341733791858295</v>
      </c>
      <c r="L1039" s="19">
        <v>2.5529990594476925E-2</v>
      </c>
      <c r="M1039" s="20">
        <v>2</v>
      </c>
      <c r="N1039" s="19">
        <v>0.72173028226898606</v>
      </c>
      <c r="O1039" s="19">
        <v>0</v>
      </c>
      <c r="P1039" s="19">
        <v>0.21168705564959686</v>
      </c>
      <c r="Q1039" s="19">
        <v>0</v>
      </c>
      <c r="R1039" s="19">
        <v>2.3042639732160388E-2</v>
      </c>
      <c r="S1039" s="19">
        <v>2.4873508623165326E-3</v>
      </c>
      <c r="T1039" s="20">
        <v>23</v>
      </c>
      <c r="U1039" s="17">
        <v>2</v>
      </c>
      <c r="V1039" s="17">
        <v>34</v>
      </c>
    </row>
    <row r="1040" spans="1:22" x14ac:dyDescent="0.2">
      <c r="A1040" t="s">
        <v>3003</v>
      </c>
      <c r="B1040" t="s">
        <v>2719</v>
      </c>
      <c r="C1040" t="s">
        <v>2720</v>
      </c>
      <c r="D1040" t="s">
        <v>2995</v>
      </c>
      <c r="E1040" s="10" t="s">
        <v>3004</v>
      </c>
      <c r="F1040" s="10"/>
      <c r="G1040" s="10"/>
      <c r="H1040" s="10" t="s">
        <v>3004</v>
      </c>
      <c r="I1040" s="14">
        <v>70564.143147158669</v>
      </c>
      <c r="J1040" s="19">
        <v>0.54112492724441519</v>
      </c>
      <c r="K1040" s="19">
        <v>0.37045039150721409</v>
      </c>
      <c r="L1040" s="19">
        <v>8.8424681248370718E-2</v>
      </c>
      <c r="M1040" s="20">
        <v>3</v>
      </c>
      <c r="N1040" s="19">
        <v>7.975095655149593E-2</v>
      </c>
      <c r="O1040" s="19">
        <v>0</v>
      </c>
      <c r="P1040" s="19">
        <v>0.29069943495571821</v>
      </c>
      <c r="Q1040" s="19">
        <v>3.1541348533723937E-2</v>
      </c>
      <c r="R1040" s="19">
        <v>5.2259583284678626E-2</v>
      </c>
      <c r="S1040" s="19">
        <v>4.6237494299681478E-3</v>
      </c>
      <c r="T1040" s="20">
        <v>30</v>
      </c>
      <c r="U1040" s="17">
        <v>2</v>
      </c>
      <c r="V1040" s="17">
        <v>34</v>
      </c>
    </row>
    <row r="1041" spans="1:22" x14ac:dyDescent="0.2">
      <c r="A1041" t="s">
        <v>3005</v>
      </c>
      <c r="B1041" t="s">
        <v>2719</v>
      </c>
      <c r="C1041" t="s">
        <v>2720</v>
      </c>
      <c r="D1041" t="s">
        <v>2995</v>
      </c>
      <c r="E1041" s="10" t="s">
        <v>3006</v>
      </c>
      <c r="F1041" s="10"/>
      <c r="G1041" s="10"/>
      <c r="H1041" s="10" t="s">
        <v>3006</v>
      </c>
      <c r="I1041" s="14">
        <v>66681.341933637392</v>
      </c>
      <c r="J1041" s="19">
        <v>0</v>
      </c>
      <c r="K1041" s="19">
        <v>0.98660652587502806</v>
      </c>
      <c r="L1041" s="19">
        <v>1.3393474124971914E-2</v>
      </c>
      <c r="M1041" s="20">
        <v>2</v>
      </c>
      <c r="N1041" s="19">
        <v>0.87889447869733928</v>
      </c>
      <c r="O1041" s="19">
        <v>0</v>
      </c>
      <c r="P1041" s="19">
        <v>0.10771204717768897</v>
      </c>
      <c r="Q1041" s="19">
        <v>0</v>
      </c>
      <c r="R1041" s="19">
        <v>8.5571026417808789E-3</v>
      </c>
      <c r="S1041" s="19">
        <v>4.836371483191034E-3</v>
      </c>
      <c r="T1041" s="20">
        <v>23</v>
      </c>
      <c r="U1041" s="17">
        <v>2</v>
      </c>
      <c r="V1041" s="17">
        <v>34</v>
      </c>
    </row>
    <row r="1042" spans="1:22" x14ac:dyDescent="0.2">
      <c r="A1042" t="s">
        <v>3007</v>
      </c>
      <c r="B1042" t="s">
        <v>2719</v>
      </c>
      <c r="C1042" t="s">
        <v>2720</v>
      </c>
      <c r="D1042" t="s">
        <v>2995</v>
      </c>
      <c r="E1042" s="10" t="s">
        <v>3008</v>
      </c>
      <c r="F1042" s="10"/>
      <c r="G1042" s="10"/>
      <c r="H1042" s="10" t="s">
        <v>3008</v>
      </c>
      <c r="I1042" s="14">
        <v>139321.72767378809</v>
      </c>
      <c r="J1042" s="19">
        <v>0.38398341344586828</v>
      </c>
      <c r="K1042" s="19">
        <v>0.53471269212083428</v>
      </c>
      <c r="L1042" s="19">
        <v>8.1303894433297497E-2</v>
      </c>
      <c r="M1042" s="20">
        <v>2</v>
      </c>
      <c r="N1042" s="19">
        <v>0.37044764090109694</v>
      </c>
      <c r="O1042" s="19">
        <v>0</v>
      </c>
      <c r="P1042" s="19">
        <v>0.16426505121973731</v>
      </c>
      <c r="Q1042" s="19">
        <v>4.2038770465651597E-2</v>
      </c>
      <c r="R1042" s="19">
        <v>3.6409519557462612E-2</v>
      </c>
      <c r="S1042" s="19">
        <v>2.8556044101832913E-3</v>
      </c>
      <c r="T1042" s="20">
        <v>23</v>
      </c>
      <c r="U1042" s="17">
        <v>2</v>
      </c>
      <c r="V1042" s="17">
        <v>34</v>
      </c>
    </row>
    <row r="1043" spans="1:22" x14ac:dyDescent="0.2">
      <c r="A1043" t="s">
        <v>3009</v>
      </c>
      <c r="B1043" t="s">
        <v>2719</v>
      </c>
      <c r="C1043" t="s">
        <v>2720</v>
      </c>
      <c r="D1043" t="s">
        <v>2995</v>
      </c>
      <c r="E1043" s="10" t="s">
        <v>3010</v>
      </c>
      <c r="F1043" s="10"/>
      <c r="G1043" s="10"/>
      <c r="H1043" s="10" t="s">
        <v>3010</v>
      </c>
      <c r="I1043" s="14">
        <v>28046.293097005222</v>
      </c>
      <c r="J1043" s="19">
        <v>4.4751834923820073E-3</v>
      </c>
      <c r="K1043" s="19">
        <v>0.73217227733507051</v>
      </c>
      <c r="L1043" s="19">
        <v>0.26335253917254758</v>
      </c>
      <c r="M1043" s="20">
        <v>2</v>
      </c>
      <c r="N1043" s="19">
        <v>0.47935165772732863</v>
      </c>
      <c r="O1043" s="19">
        <v>0</v>
      </c>
      <c r="P1043" s="19">
        <v>0.25282061960774194</v>
      </c>
      <c r="Q1043" s="19">
        <v>2.0792608090644465E-2</v>
      </c>
      <c r="R1043" s="19">
        <v>0.21570835939975902</v>
      </c>
      <c r="S1043" s="19">
        <v>2.6851571682144075E-2</v>
      </c>
      <c r="T1043" s="20">
        <v>23</v>
      </c>
      <c r="U1043" s="17">
        <v>2</v>
      </c>
      <c r="V1043" s="17">
        <v>34</v>
      </c>
    </row>
    <row r="1044" spans="1:22" x14ac:dyDescent="0.2">
      <c r="A1044" t="s">
        <v>3011</v>
      </c>
      <c r="B1044" t="s">
        <v>2719</v>
      </c>
      <c r="C1044" t="s">
        <v>2720</v>
      </c>
      <c r="D1044" t="s">
        <v>2995</v>
      </c>
      <c r="E1044" s="10" t="s">
        <v>3012</v>
      </c>
      <c r="F1044" s="10"/>
      <c r="G1044" s="10"/>
      <c r="H1044" s="10" t="s">
        <v>3012</v>
      </c>
      <c r="I1044" s="14">
        <v>70947.228201871738</v>
      </c>
      <c r="J1044" s="19">
        <v>0.83453129550687088</v>
      </c>
      <c r="K1044" s="19">
        <v>0.11814803836753458</v>
      </c>
      <c r="L1044" s="19">
        <v>4.7320666125594511E-2</v>
      </c>
      <c r="M1044" s="20">
        <v>3</v>
      </c>
      <c r="N1044" s="19">
        <v>0</v>
      </c>
      <c r="O1044" s="19">
        <v>0</v>
      </c>
      <c r="P1044" s="19">
        <v>0.11814803836753458</v>
      </c>
      <c r="Q1044" s="19">
        <v>2.7901244969266669E-2</v>
      </c>
      <c r="R1044" s="19">
        <v>1.4829097554407493E-2</v>
      </c>
      <c r="S1044" s="19">
        <v>4.5903236019203342E-3</v>
      </c>
      <c r="T1044" s="20">
        <v>30</v>
      </c>
      <c r="U1044" s="17">
        <v>2</v>
      </c>
      <c r="V1044" s="17">
        <v>34</v>
      </c>
    </row>
    <row r="1045" spans="1:22" x14ac:dyDescent="0.2">
      <c r="A1045" t="s">
        <v>3013</v>
      </c>
      <c r="B1045" t="s">
        <v>2719</v>
      </c>
      <c r="C1045" t="s">
        <v>2720</v>
      </c>
      <c r="D1045" t="s">
        <v>2995</v>
      </c>
      <c r="E1045" s="10" t="s">
        <v>3014</v>
      </c>
      <c r="F1045" s="10"/>
      <c r="G1045" s="10"/>
      <c r="H1045" s="10" t="s">
        <v>3014</v>
      </c>
      <c r="I1045" s="14">
        <v>57616.311921532732</v>
      </c>
      <c r="J1045" s="19">
        <v>1.395341021275797E-2</v>
      </c>
      <c r="K1045" s="19">
        <v>0.94209889632086208</v>
      </c>
      <c r="L1045" s="19">
        <v>4.3947693466379917E-2</v>
      </c>
      <c r="M1045" s="20">
        <v>2</v>
      </c>
      <c r="N1045" s="19">
        <v>0.76652005816292523</v>
      </c>
      <c r="O1045" s="19">
        <v>0</v>
      </c>
      <c r="P1045" s="19">
        <v>0.17557883815793693</v>
      </c>
      <c r="Q1045" s="19">
        <v>0</v>
      </c>
      <c r="R1045" s="19">
        <v>4.1331483514408858E-2</v>
      </c>
      <c r="S1045" s="19">
        <v>2.6162099519710567E-3</v>
      </c>
      <c r="T1045" s="20">
        <v>23</v>
      </c>
      <c r="U1045" s="17">
        <v>2</v>
      </c>
      <c r="V1045" s="17">
        <v>34</v>
      </c>
    </row>
    <row r="1046" spans="1:22" x14ac:dyDescent="0.2">
      <c r="A1046" t="s">
        <v>3015</v>
      </c>
      <c r="B1046" t="s">
        <v>2719</v>
      </c>
      <c r="C1046" t="s">
        <v>2720</v>
      </c>
      <c r="D1046" t="s">
        <v>2995</v>
      </c>
      <c r="E1046" s="10" t="s">
        <v>2758</v>
      </c>
      <c r="F1046" s="10"/>
      <c r="G1046" s="10"/>
      <c r="H1046" s="10" t="s">
        <v>2758</v>
      </c>
      <c r="I1046" s="14">
        <v>40313.499865208054</v>
      </c>
      <c r="J1046" s="19">
        <v>0.71056204591267902</v>
      </c>
      <c r="K1046" s="19">
        <v>0.24117419814281219</v>
      </c>
      <c r="L1046" s="19">
        <v>4.8263755944508845E-2</v>
      </c>
      <c r="M1046" s="20">
        <v>3</v>
      </c>
      <c r="N1046" s="19">
        <v>0</v>
      </c>
      <c r="O1046" s="19">
        <v>0</v>
      </c>
      <c r="P1046" s="19">
        <v>0.24117419814281219</v>
      </c>
      <c r="Q1046" s="19">
        <v>0</v>
      </c>
      <c r="R1046" s="19">
        <v>4.5616748362331441E-2</v>
      </c>
      <c r="S1046" s="19">
        <v>2.647007582177409E-3</v>
      </c>
      <c r="T1046" s="20">
        <v>30</v>
      </c>
      <c r="U1046" s="17">
        <v>2</v>
      </c>
      <c r="V1046" s="17">
        <v>34</v>
      </c>
    </row>
    <row r="1047" spans="1:22" x14ac:dyDescent="0.2">
      <c r="A1047" t="s">
        <v>3016</v>
      </c>
      <c r="B1047" t="s">
        <v>2719</v>
      </c>
      <c r="C1047" t="s">
        <v>2720</v>
      </c>
      <c r="D1047" t="s">
        <v>2995</v>
      </c>
      <c r="E1047" s="10" t="s">
        <v>3017</v>
      </c>
      <c r="F1047" s="10"/>
      <c r="G1047" s="10"/>
      <c r="H1047" s="10" t="s">
        <v>3017</v>
      </c>
      <c r="I1047" s="14">
        <v>37348.349146392196</v>
      </c>
      <c r="J1047" s="19">
        <v>0.80173175441110489</v>
      </c>
      <c r="K1047" s="19">
        <v>0.15148924013672974</v>
      </c>
      <c r="L1047" s="19">
        <v>4.6779005452165373E-2</v>
      </c>
      <c r="M1047" s="20">
        <v>3</v>
      </c>
      <c r="N1047" s="19">
        <v>0</v>
      </c>
      <c r="O1047" s="19">
        <v>0</v>
      </c>
      <c r="P1047" s="19">
        <v>0.15148924013672974</v>
      </c>
      <c r="Q1047" s="19">
        <v>0</v>
      </c>
      <c r="R1047" s="19">
        <v>4.3616178212773089E-2</v>
      </c>
      <c r="S1047" s="19">
        <v>3.1628272393922855E-3</v>
      </c>
      <c r="T1047" s="20">
        <v>30</v>
      </c>
      <c r="U1047" s="17">
        <v>2</v>
      </c>
      <c r="V1047" s="17">
        <v>34</v>
      </c>
    </row>
    <row r="1048" spans="1:22" x14ac:dyDescent="0.2">
      <c r="A1048" t="s">
        <v>3018</v>
      </c>
      <c r="B1048" t="s">
        <v>2719</v>
      </c>
      <c r="C1048" t="s">
        <v>2720</v>
      </c>
      <c r="D1048" t="s">
        <v>3019</v>
      </c>
      <c r="E1048" s="10" t="s">
        <v>3020</v>
      </c>
      <c r="F1048" s="10"/>
      <c r="G1048" s="10"/>
      <c r="H1048" s="10" t="s">
        <v>3020</v>
      </c>
      <c r="I1048" s="14">
        <v>9460.2274844683707</v>
      </c>
      <c r="J1048" s="19">
        <v>0</v>
      </c>
      <c r="K1048" s="19">
        <v>0.94098978941493483</v>
      </c>
      <c r="L1048" s="19">
        <v>5.9010210585065191E-2</v>
      </c>
      <c r="M1048" s="20">
        <v>2</v>
      </c>
      <c r="N1048" s="19">
        <v>0.67750460223145059</v>
      </c>
      <c r="O1048" s="19">
        <v>0</v>
      </c>
      <c r="P1048" s="19">
        <v>0.26348518718348418</v>
      </c>
      <c r="Q1048" s="19">
        <v>0</v>
      </c>
      <c r="R1048" s="19">
        <v>5.5671803910792593E-2</v>
      </c>
      <c r="S1048" s="19">
        <v>3.3384066742725921E-3</v>
      </c>
      <c r="T1048" s="20">
        <v>23</v>
      </c>
      <c r="U1048" s="17">
        <v>2</v>
      </c>
      <c r="V1048" s="17">
        <v>34</v>
      </c>
    </row>
    <row r="1049" spans="1:22" x14ac:dyDescent="0.2">
      <c r="A1049" t="s">
        <v>3021</v>
      </c>
      <c r="B1049" t="s">
        <v>2719</v>
      </c>
      <c r="C1049" t="s">
        <v>2720</v>
      </c>
      <c r="D1049" t="s">
        <v>3019</v>
      </c>
      <c r="E1049" s="10" t="s">
        <v>3022</v>
      </c>
      <c r="F1049" s="10"/>
      <c r="G1049" s="10"/>
      <c r="H1049" s="10" t="s">
        <v>3022</v>
      </c>
      <c r="I1049" s="14">
        <v>3280.8361550784175</v>
      </c>
      <c r="J1049" s="19">
        <v>0</v>
      </c>
      <c r="K1049" s="19">
        <v>0</v>
      </c>
      <c r="L1049" s="19">
        <v>1</v>
      </c>
      <c r="M1049" s="20">
        <v>1</v>
      </c>
      <c r="N1049" s="19">
        <v>0</v>
      </c>
      <c r="O1049" s="19">
        <v>0</v>
      </c>
      <c r="P1049" s="19">
        <v>0</v>
      </c>
      <c r="Q1049" s="19">
        <v>0.46510710980808057</v>
      </c>
      <c r="R1049" s="19">
        <v>0.37095002023487295</v>
      </c>
      <c r="S1049" s="19">
        <v>0.16394286995704649</v>
      </c>
      <c r="T1049" s="20">
        <v>13</v>
      </c>
      <c r="U1049" s="17">
        <v>2</v>
      </c>
      <c r="V1049" s="17">
        <v>34</v>
      </c>
    </row>
    <row r="1050" spans="1:22" x14ac:dyDescent="0.2">
      <c r="A1050" t="s">
        <v>3023</v>
      </c>
      <c r="B1050" t="s">
        <v>2719</v>
      </c>
      <c r="C1050" t="s">
        <v>2720</v>
      </c>
      <c r="D1050" t="s">
        <v>3019</v>
      </c>
      <c r="E1050" s="10" t="s">
        <v>3024</v>
      </c>
      <c r="F1050" s="10"/>
      <c r="G1050" s="10"/>
      <c r="H1050" s="10" t="s">
        <v>3024</v>
      </c>
      <c r="I1050" s="14">
        <v>1492.4349121525884</v>
      </c>
      <c r="J1050" s="19">
        <v>0</v>
      </c>
      <c r="K1050" s="19">
        <v>0</v>
      </c>
      <c r="L1050" s="19">
        <v>1</v>
      </c>
      <c r="M1050" s="20">
        <v>1</v>
      </c>
      <c r="N1050" s="19">
        <v>0</v>
      </c>
      <c r="O1050" s="19">
        <v>0</v>
      </c>
      <c r="P1050" s="19">
        <v>0</v>
      </c>
      <c r="Q1050" s="19">
        <v>0.92821457858585976</v>
      </c>
      <c r="R1050" s="19">
        <v>4.5379978612572008E-2</v>
      </c>
      <c r="S1050" s="19">
        <v>2.6405442801568198E-2</v>
      </c>
      <c r="T1050" s="20">
        <v>13</v>
      </c>
      <c r="U1050" s="17">
        <v>2</v>
      </c>
      <c r="V1050" s="17">
        <v>34</v>
      </c>
    </row>
    <row r="1051" spans="1:22" x14ac:dyDescent="0.2">
      <c r="A1051" t="s">
        <v>3025</v>
      </c>
      <c r="B1051" t="s">
        <v>2719</v>
      </c>
      <c r="C1051" t="s">
        <v>2720</v>
      </c>
      <c r="D1051" t="s">
        <v>3019</v>
      </c>
      <c r="E1051" s="10" t="s">
        <v>3026</v>
      </c>
      <c r="F1051" s="10"/>
      <c r="G1051" s="10"/>
      <c r="H1051" s="10" t="s">
        <v>3026</v>
      </c>
      <c r="I1051" s="14">
        <v>1808.7455367061775</v>
      </c>
      <c r="J1051" s="19">
        <v>0</v>
      </c>
      <c r="K1051" s="19">
        <v>5.0259623218529788E-2</v>
      </c>
      <c r="L1051" s="19">
        <v>0.94974037678147016</v>
      </c>
      <c r="M1051" s="20">
        <v>1</v>
      </c>
      <c r="N1051" s="19">
        <v>0</v>
      </c>
      <c r="O1051" s="19">
        <v>0</v>
      </c>
      <c r="P1051" s="19">
        <v>5.0259623218529788E-2</v>
      </c>
      <c r="Q1051" s="19">
        <v>0.29744356926058013</v>
      </c>
      <c r="R1051" s="19">
        <v>0.65108010003723538</v>
      </c>
      <c r="S1051" s="19">
        <v>1.2167074836546843E-3</v>
      </c>
      <c r="T1051" s="20">
        <v>12</v>
      </c>
      <c r="U1051" s="17">
        <v>2</v>
      </c>
      <c r="V1051" s="17">
        <v>34</v>
      </c>
    </row>
    <row r="1052" spans="1:22" x14ac:dyDescent="0.2">
      <c r="A1052" t="s">
        <v>3027</v>
      </c>
      <c r="B1052" t="s">
        <v>2719</v>
      </c>
      <c r="C1052" t="s">
        <v>2720</v>
      </c>
      <c r="D1052" t="s">
        <v>3019</v>
      </c>
      <c r="E1052" s="10" t="s">
        <v>3028</v>
      </c>
      <c r="F1052" s="10"/>
      <c r="G1052" s="10"/>
      <c r="H1052" s="10" t="s">
        <v>3028</v>
      </c>
      <c r="I1052" s="14">
        <v>1705.5725573673844</v>
      </c>
      <c r="J1052" s="19">
        <v>0</v>
      </c>
      <c r="K1052" s="19">
        <v>0</v>
      </c>
      <c r="L1052" s="19">
        <v>1</v>
      </c>
      <c r="M1052" s="20">
        <v>1</v>
      </c>
      <c r="N1052" s="19">
        <v>0</v>
      </c>
      <c r="O1052" s="19">
        <v>0</v>
      </c>
      <c r="P1052" s="19">
        <v>0</v>
      </c>
      <c r="Q1052" s="19">
        <v>0.28177620509689427</v>
      </c>
      <c r="R1052" s="19">
        <v>0.67413256394979315</v>
      </c>
      <c r="S1052" s="19">
        <v>4.4091230953312563E-2</v>
      </c>
      <c r="T1052" s="20">
        <v>12</v>
      </c>
      <c r="U1052" s="17">
        <v>2</v>
      </c>
      <c r="V1052" s="17">
        <v>34</v>
      </c>
    </row>
    <row r="1053" spans="1:22" x14ac:dyDescent="0.2">
      <c r="A1053" t="s">
        <v>3029</v>
      </c>
      <c r="B1053" t="s">
        <v>2719</v>
      </c>
      <c r="C1053" t="s">
        <v>2720</v>
      </c>
      <c r="D1053" t="s">
        <v>3019</v>
      </c>
      <c r="E1053" s="10" t="s">
        <v>3030</v>
      </c>
      <c r="F1053" s="10"/>
      <c r="G1053" s="10"/>
      <c r="H1053" s="10" t="s">
        <v>3030</v>
      </c>
      <c r="I1053" s="14">
        <v>1224.112620651722</v>
      </c>
      <c r="J1053" s="19">
        <v>0</v>
      </c>
      <c r="K1053" s="19">
        <v>0</v>
      </c>
      <c r="L1053" s="19">
        <v>1</v>
      </c>
      <c r="M1053" s="20">
        <v>1</v>
      </c>
      <c r="N1053" s="19">
        <v>0</v>
      </c>
      <c r="O1053" s="19">
        <v>0</v>
      </c>
      <c r="P1053" s="19">
        <v>0</v>
      </c>
      <c r="Q1053" s="19">
        <v>0.30606678607267696</v>
      </c>
      <c r="R1053" s="19">
        <v>0.67525602541498519</v>
      </c>
      <c r="S1053" s="19">
        <v>1.8677188512337961E-2</v>
      </c>
      <c r="T1053" s="20">
        <v>12</v>
      </c>
      <c r="U1053" s="17">
        <v>2</v>
      </c>
      <c r="V1053" s="17">
        <v>34</v>
      </c>
    </row>
    <row r="1054" spans="1:22" x14ac:dyDescent="0.2">
      <c r="A1054" t="s">
        <v>3031</v>
      </c>
      <c r="B1054" t="s">
        <v>2719</v>
      </c>
      <c r="C1054" t="s">
        <v>2720</v>
      </c>
      <c r="D1054" t="s">
        <v>3032</v>
      </c>
      <c r="E1054" s="10" t="s">
        <v>3033</v>
      </c>
      <c r="F1054" s="10"/>
      <c r="G1054" s="10"/>
      <c r="H1054" s="10" t="s">
        <v>3033</v>
      </c>
      <c r="I1054" s="14">
        <v>44038.678691738751</v>
      </c>
      <c r="J1054" s="19">
        <v>0.72009796252392222</v>
      </c>
      <c r="K1054" s="19">
        <v>0.26347398715573106</v>
      </c>
      <c r="L1054" s="19">
        <v>1.6428050320346794E-2</v>
      </c>
      <c r="M1054" s="20">
        <v>3</v>
      </c>
      <c r="N1054" s="19">
        <v>1.184541006985725E-3</v>
      </c>
      <c r="O1054" s="19">
        <v>0</v>
      </c>
      <c r="P1054" s="19">
        <v>0.26228944614874533</v>
      </c>
      <c r="Q1054" s="19">
        <v>0</v>
      </c>
      <c r="R1054" s="19">
        <v>1.4658245604279696E-2</v>
      </c>
      <c r="S1054" s="19">
        <v>1.7698047160670965E-3</v>
      </c>
      <c r="T1054" s="20">
        <v>30</v>
      </c>
      <c r="U1054" s="17">
        <v>2</v>
      </c>
      <c r="V1054" s="17">
        <v>34</v>
      </c>
    </row>
    <row r="1055" spans="1:22" x14ac:dyDescent="0.2">
      <c r="A1055" t="s">
        <v>3034</v>
      </c>
      <c r="B1055" t="s">
        <v>2719</v>
      </c>
      <c r="C1055" t="s">
        <v>2720</v>
      </c>
      <c r="D1055" t="s">
        <v>3032</v>
      </c>
      <c r="E1055" s="10" t="s">
        <v>3035</v>
      </c>
      <c r="F1055" s="10"/>
      <c r="G1055" s="10"/>
      <c r="H1055" s="10" t="s">
        <v>3035</v>
      </c>
      <c r="I1055" s="14">
        <v>28625.276741606183</v>
      </c>
      <c r="J1055" s="19">
        <v>0</v>
      </c>
      <c r="K1055" s="19">
        <v>0.98341914475215231</v>
      </c>
      <c r="L1055" s="19">
        <v>1.6580855247847848E-2</v>
      </c>
      <c r="M1055" s="20">
        <v>2</v>
      </c>
      <c r="N1055" s="19">
        <v>0.58282087065336552</v>
      </c>
      <c r="O1055" s="19">
        <v>0</v>
      </c>
      <c r="P1055" s="19">
        <v>0.40059827409878657</v>
      </c>
      <c r="Q1055" s="19">
        <v>0</v>
      </c>
      <c r="R1055" s="19">
        <v>1.5835226726246571E-2</v>
      </c>
      <c r="S1055" s="19">
        <v>7.4562852160127814E-4</v>
      </c>
      <c r="T1055" s="20">
        <v>23</v>
      </c>
      <c r="U1055" s="17">
        <v>2</v>
      </c>
      <c r="V1055" s="17">
        <v>34</v>
      </c>
    </row>
    <row r="1056" spans="1:22" x14ac:dyDescent="0.2">
      <c r="A1056" t="s">
        <v>3036</v>
      </c>
      <c r="B1056" t="s">
        <v>2719</v>
      </c>
      <c r="C1056" t="s">
        <v>2720</v>
      </c>
      <c r="D1056" t="s">
        <v>3032</v>
      </c>
      <c r="E1056" s="10" t="s">
        <v>3037</v>
      </c>
      <c r="F1056" s="10"/>
      <c r="G1056" s="10"/>
      <c r="H1056" s="10" t="s">
        <v>3037</v>
      </c>
      <c r="I1056" s="14">
        <v>98533.279595400672</v>
      </c>
      <c r="J1056" s="19">
        <v>0.57183923080723942</v>
      </c>
      <c r="K1056" s="19">
        <v>0.39413987480081325</v>
      </c>
      <c r="L1056" s="19">
        <v>3.4020894391947325E-2</v>
      </c>
      <c r="M1056" s="20">
        <v>3</v>
      </c>
      <c r="N1056" s="19">
        <v>5.1952170335685367E-2</v>
      </c>
      <c r="O1056" s="19">
        <v>0</v>
      </c>
      <c r="P1056" s="19">
        <v>0.34218770446512786</v>
      </c>
      <c r="Q1056" s="19">
        <v>0</v>
      </c>
      <c r="R1056" s="19">
        <v>3.3238770498745344E-2</v>
      </c>
      <c r="S1056" s="19">
        <v>7.8212389320198191E-4</v>
      </c>
      <c r="T1056" s="20">
        <v>30</v>
      </c>
      <c r="U1056" s="17">
        <v>2</v>
      </c>
      <c r="V1056" s="17">
        <v>34</v>
      </c>
    </row>
    <row r="1057" spans="1:22" x14ac:dyDescent="0.2">
      <c r="A1057" t="s">
        <v>3038</v>
      </c>
      <c r="B1057" t="s">
        <v>2719</v>
      </c>
      <c r="C1057" t="s">
        <v>2720</v>
      </c>
      <c r="D1057" t="s">
        <v>3032</v>
      </c>
      <c r="E1057" s="10" t="s">
        <v>2834</v>
      </c>
      <c r="F1057" s="10"/>
      <c r="G1057" s="10"/>
      <c r="H1057" s="10" t="s">
        <v>2834</v>
      </c>
      <c r="I1057" s="14">
        <v>24865.878403915092</v>
      </c>
      <c r="J1057" s="19">
        <v>7.0909372636361295E-2</v>
      </c>
      <c r="K1057" s="19">
        <v>0.8952332575760974</v>
      </c>
      <c r="L1057" s="19">
        <v>3.3857369787541447E-2</v>
      </c>
      <c r="M1057" s="20">
        <v>2</v>
      </c>
      <c r="N1057" s="19">
        <v>0.55484238269761976</v>
      </c>
      <c r="O1057" s="19">
        <v>0</v>
      </c>
      <c r="P1057" s="19">
        <v>0.34039087487847752</v>
      </c>
      <c r="Q1057" s="19">
        <v>0</v>
      </c>
      <c r="R1057" s="19">
        <v>3.3857369787541447E-2</v>
      </c>
      <c r="S1057" s="19">
        <v>0</v>
      </c>
      <c r="T1057" s="20">
        <v>23</v>
      </c>
      <c r="U1057" s="17">
        <v>2</v>
      </c>
      <c r="V1057" s="17">
        <v>34</v>
      </c>
    </row>
    <row r="1058" spans="1:22" x14ac:dyDescent="0.2">
      <c r="A1058" t="s">
        <v>3039</v>
      </c>
      <c r="B1058" t="s">
        <v>2719</v>
      </c>
      <c r="C1058" t="s">
        <v>2720</v>
      </c>
      <c r="D1058" t="s">
        <v>3032</v>
      </c>
      <c r="E1058" s="10" t="s">
        <v>3040</v>
      </c>
      <c r="F1058" s="10"/>
      <c r="G1058" s="10"/>
      <c r="H1058" s="10" t="s">
        <v>3040</v>
      </c>
      <c r="I1058" s="14">
        <v>353523.78131961776</v>
      </c>
      <c r="J1058" s="19">
        <v>0.65215327331286643</v>
      </c>
      <c r="K1058" s="19">
        <v>0.31617575884133642</v>
      </c>
      <c r="L1058" s="19">
        <v>3.1670967845797149E-2</v>
      </c>
      <c r="M1058" s="20">
        <v>3</v>
      </c>
      <c r="N1058" s="19">
        <v>6.6293729678031293E-2</v>
      </c>
      <c r="O1058" s="19">
        <v>2.0059165901876654E-2</v>
      </c>
      <c r="P1058" s="19">
        <v>0.22982286326142845</v>
      </c>
      <c r="Q1058" s="19">
        <v>3.6960771513140367E-3</v>
      </c>
      <c r="R1058" s="19">
        <v>2.6802344646498128E-2</v>
      </c>
      <c r="S1058" s="19">
        <v>1.1725460479849845E-3</v>
      </c>
      <c r="T1058" s="20">
        <v>30</v>
      </c>
      <c r="U1058" s="17">
        <v>2</v>
      </c>
      <c r="V1058" s="17">
        <v>34</v>
      </c>
    </row>
    <row r="1059" spans="1:22" x14ac:dyDescent="0.2">
      <c r="A1059" t="s">
        <v>3041</v>
      </c>
      <c r="B1059" t="s">
        <v>2719</v>
      </c>
      <c r="C1059" t="s">
        <v>2720</v>
      </c>
      <c r="D1059" t="s">
        <v>3032</v>
      </c>
      <c r="E1059" s="10" t="s">
        <v>3042</v>
      </c>
      <c r="F1059" s="10"/>
      <c r="G1059" s="10"/>
      <c r="H1059" s="10" t="s">
        <v>3042</v>
      </c>
      <c r="I1059" s="14">
        <v>96836.534620531602</v>
      </c>
      <c r="J1059" s="19">
        <v>0.66056057099569165</v>
      </c>
      <c r="K1059" s="19">
        <v>0.32658688517909901</v>
      </c>
      <c r="L1059" s="19">
        <v>1.2852543825209334E-2</v>
      </c>
      <c r="M1059" s="20">
        <v>3</v>
      </c>
      <c r="N1059" s="19">
        <v>5.723270932271235E-2</v>
      </c>
      <c r="O1059" s="19">
        <v>0</v>
      </c>
      <c r="P1059" s="19">
        <v>0.26935417585638666</v>
      </c>
      <c r="Q1059" s="19">
        <v>0</v>
      </c>
      <c r="R1059" s="19">
        <v>1.2506849337397543E-2</v>
      </c>
      <c r="S1059" s="19">
        <v>3.4569448781179136E-4</v>
      </c>
      <c r="T1059" s="20">
        <v>30</v>
      </c>
      <c r="U1059" s="17">
        <v>2</v>
      </c>
      <c r="V1059" s="17">
        <v>34</v>
      </c>
    </row>
    <row r="1060" spans="1:22" x14ac:dyDescent="0.2">
      <c r="A1060" t="s">
        <v>3043</v>
      </c>
      <c r="B1060" t="s">
        <v>2719</v>
      </c>
      <c r="C1060" t="s">
        <v>2720</v>
      </c>
      <c r="D1060" t="s">
        <v>3032</v>
      </c>
      <c r="E1060" s="10" t="s">
        <v>3044</v>
      </c>
      <c r="F1060" s="10"/>
      <c r="G1060" s="10"/>
      <c r="H1060" s="10" t="s">
        <v>3044</v>
      </c>
      <c r="I1060" s="14">
        <v>90829.556330036838</v>
      </c>
      <c r="J1060" s="19">
        <v>0.51986626616476117</v>
      </c>
      <c r="K1060" s="19">
        <v>0.41052810760206671</v>
      </c>
      <c r="L1060" s="19">
        <v>6.9605626233172166E-2</v>
      </c>
      <c r="M1060" s="20">
        <v>3</v>
      </c>
      <c r="N1060" s="19">
        <v>0</v>
      </c>
      <c r="O1060" s="19">
        <v>0</v>
      </c>
      <c r="P1060" s="19">
        <v>0.41052810760206671</v>
      </c>
      <c r="Q1060" s="19">
        <v>0</v>
      </c>
      <c r="R1060" s="19">
        <v>6.767049657645334E-2</v>
      </c>
      <c r="S1060" s="19">
        <v>1.9351296567188287E-3</v>
      </c>
      <c r="T1060" s="20">
        <v>30</v>
      </c>
      <c r="U1060" s="17">
        <v>2</v>
      </c>
      <c r="V1060" s="17">
        <v>34</v>
      </c>
    </row>
    <row r="1061" spans="1:22" x14ac:dyDescent="0.2">
      <c r="A1061" t="s">
        <v>3045</v>
      </c>
      <c r="B1061" t="s">
        <v>2719</v>
      </c>
      <c r="C1061" t="s">
        <v>2720</v>
      </c>
      <c r="D1061" t="s">
        <v>3032</v>
      </c>
      <c r="E1061" s="10" t="s">
        <v>3046</v>
      </c>
      <c r="F1061" s="10"/>
      <c r="G1061" s="10"/>
      <c r="H1061" s="10" t="s">
        <v>3046</v>
      </c>
      <c r="I1061" s="14">
        <v>60832.235381119885</v>
      </c>
      <c r="J1061" s="19">
        <v>0</v>
      </c>
      <c r="K1061" s="19">
        <v>0.86894730435022005</v>
      </c>
      <c r="L1061" s="19">
        <v>0.13105269564977998</v>
      </c>
      <c r="M1061" s="20">
        <v>2</v>
      </c>
      <c r="N1061" s="19">
        <v>9.9601192648898398E-2</v>
      </c>
      <c r="O1061" s="19">
        <v>0</v>
      </c>
      <c r="P1061" s="19">
        <v>0.76934611170132161</v>
      </c>
      <c r="Q1061" s="19">
        <v>1.8108495521908654E-2</v>
      </c>
      <c r="R1061" s="19">
        <v>0.11151338699883598</v>
      </c>
      <c r="S1061" s="19">
        <v>1.4308131290353546E-3</v>
      </c>
      <c r="T1061" s="20">
        <v>21</v>
      </c>
      <c r="U1061" s="17">
        <v>2</v>
      </c>
      <c r="V1061" s="17">
        <v>34</v>
      </c>
    </row>
    <row r="1062" spans="1:22" x14ac:dyDescent="0.2">
      <c r="A1062" t="s">
        <v>3047</v>
      </c>
      <c r="B1062" t="s">
        <v>2719</v>
      </c>
      <c r="C1062" t="s">
        <v>2720</v>
      </c>
      <c r="D1062" t="s">
        <v>3032</v>
      </c>
      <c r="E1062" s="10" t="s">
        <v>3048</v>
      </c>
      <c r="F1062" s="10"/>
      <c r="G1062" s="10"/>
      <c r="H1062" s="10" t="s">
        <v>3048</v>
      </c>
      <c r="I1062" s="14">
        <v>40315.391413400881</v>
      </c>
      <c r="J1062" s="19">
        <v>0.61369093027926247</v>
      </c>
      <c r="K1062" s="19">
        <v>0.38135027375800984</v>
      </c>
      <c r="L1062" s="19">
        <v>4.9587959627277398E-3</v>
      </c>
      <c r="M1062" s="20">
        <v>3</v>
      </c>
      <c r="N1062" s="19">
        <v>0</v>
      </c>
      <c r="O1062" s="19">
        <v>0</v>
      </c>
      <c r="P1062" s="19">
        <v>0.38135027375800984</v>
      </c>
      <c r="Q1062" s="19">
        <v>0</v>
      </c>
      <c r="R1062" s="19">
        <v>4.4122650782003024E-3</v>
      </c>
      <c r="S1062" s="19">
        <v>5.4653088452743756E-4</v>
      </c>
      <c r="T1062" s="20">
        <v>30</v>
      </c>
      <c r="U1062" s="17">
        <v>2</v>
      </c>
      <c r="V1062" s="17">
        <v>34</v>
      </c>
    </row>
    <row r="1063" spans="1:22" x14ac:dyDescent="0.2">
      <c r="A1063" t="s">
        <v>3049</v>
      </c>
      <c r="B1063" t="s">
        <v>2719</v>
      </c>
      <c r="C1063" t="s">
        <v>2720</v>
      </c>
      <c r="D1063" t="s">
        <v>3032</v>
      </c>
      <c r="E1063" s="10" t="s">
        <v>3050</v>
      </c>
      <c r="F1063" s="10"/>
      <c r="G1063" s="10"/>
      <c r="H1063" s="10" t="s">
        <v>3050</v>
      </c>
      <c r="I1063" s="14">
        <v>60729.772511678289</v>
      </c>
      <c r="J1063" s="19">
        <v>0</v>
      </c>
      <c r="K1063" s="19">
        <v>0.96979049999377542</v>
      </c>
      <c r="L1063" s="19">
        <v>3.0209500006224407E-2</v>
      </c>
      <c r="M1063" s="20">
        <v>2</v>
      </c>
      <c r="N1063" s="19">
        <v>0.40546900624902871</v>
      </c>
      <c r="O1063" s="19">
        <v>0</v>
      </c>
      <c r="P1063" s="19">
        <v>0.56432149374474672</v>
      </c>
      <c r="Q1063" s="19">
        <v>0</v>
      </c>
      <c r="R1063" s="19">
        <v>2.9418363654811264E-2</v>
      </c>
      <c r="S1063" s="19">
        <v>7.9113635141314414E-4</v>
      </c>
      <c r="T1063" s="20">
        <v>21</v>
      </c>
      <c r="U1063" s="17">
        <v>2</v>
      </c>
      <c r="V1063" s="17">
        <v>34</v>
      </c>
    </row>
    <row r="1064" spans="1:22" x14ac:dyDescent="0.2">
      <c r="A1064" t="s">
        <v>3051</v>
      </c>
      <c r="B1064" t="s">
        <v>2719</v>
      </c>
      <c r="C1064" t="s">
        <v>2720</v>
      </c>
      <c r="D1064" t="s">
        <v>3032</v>
      </c>
      <c r="E1064" s="10" t="s">
        <v>3052</v>
      </c>
      <c r="F1064" s="10"/>
      <c r="G1064" s="10"/>
      <c r="H1064" s="10" t="s">
        <v>3052</v>
      </c>
      <c r="I1064" s="14">
        <v>42471.87572382763</v>
      </c>
      <c r="J1064" s="19">
        <v>0</v>
      </c>
      <c r="K1064" s="19">
        <v>0.92324353382089919</v>
      </c>
      <c r="L1064" s="19">
        <v>7.6756466179100868E-2</v>
      </c>
      <c r="M1064" s="20">
        <v>2</v>
      </c>
      <c r="N1064" s="19">
        <v>0.12642572661444285</v>
      </c>
      <c r="O1064" s="19">
        <v>0</v>
      </c>
      <c r="P1064" s="19">
        <v>0.79681780720645634</v>
      </c>
      <c r="Q1064" s="19">
        <v>0</v>
      </c>
      <c r="R1064" s="19">
        <v>7.2383024545258814E-2</v>
      </c>
      <c r="S1064" s="19">
        <v>4.3734416338420418E-3</v>
      </c>
      <c r="T1064" s="20">
        <v>21</v>
      </c>
      <c r="U1064" s="17">
        <v>2</v>
      </c>
      <c r="V1064" s="17">
        <v>34</v>
      </c>
    </row>
    <row r="1065" spans="1:22" x14ac:dyDescent="0.2">
      <c r="A1065" t="s">
        <v>3053</v>
      </c>
      <c r="B1065" t="s">
        <v>2719</v>
      </c>
      <c r="C1065" t="s">
        <v>2720</v>
      </c>
      <c r="D1065" t="s">
        <v>3032</v>
      </c>
      <c r="E1065" s="10" t="s">
        <v>3054</v>
      </c>
      <c r="F1065" s="10"/>
      <c r="G1065" s="10"/>
      <c r="H1065" s="10" t="s">
        <v>3054</v>
      </c>
      <c r="I1065" s="14">
        <v>102569.71153311525</v>
      </c>
      <c r="J1065" s="19">
        <v>0.67291917218452968</v>
      </c>
      <c r="K1065" s="19">
        <v>0.29983538254820419</v>
      </c>
      <c r="L1065" s="19">
        <v>2.7245445267266133E-2</v>
      </c>
      <c r="M1065" s="20">
        <v>3</v>
      </c>
      <c r="N1065" s="19">
        <v>0</v>
      </c>
      <c r="O1065" s="19">
        <v>0</v>
      </c>
      <c r="P1065" s="19">
        <v>0.29983538254820419</v>
      </c>
      <c r="Q1065" s="19">
        <v>0</v>
      </c>
      <c r="R1065" s="19">
        <v>2.720145210757632E-2</v>
      </c>
      <c r="S1065" s="19">
        <v>4.3993159689812992E-5</v>
      </c>
      <c r="T1065" s="20">
        <v>30</v>
      </c>
      <c r="U1065" s="17">
        <v>2</v>
      </c>
      <c r="V1065" s="17">
        <v>34</v>
      </c>
    </row>
    <row r="1066" spans="1:22" x14ac:dyDescent="0.2">
      <c r="A1066" t="s">
        <v>3055</v>
      </c>
      <c r="B1066" t="s">
        <v>2719</v>
      </c>
      <c r="C1066" t="s">
        <v>2720</v>
      </c>
      <c r="D1066" t="s">
        <v>3032</v>
      </c>
      <c r="E1066" s="10" t="s">
        <v>3056</v>
      </c>
      <c r="F1066" s="10"/>
      <c r="G1066" s="10"/>
      <c r="H1066" s="10" t="s">
        <v>3056</v>
      </c>
      <c r="I1066" s="14">
        <v>55602.662924920209</v>
      </c>
      <c r="J1066" s="19">
        <v>6.9055096046432996E-3</v>
      </c>
      <c r="K1066" s="19">
        <v>0.89686726237370118</v>
      </c>
      <c r="L1066" s="19">
        <v>9.6227228021655481E-2</v>
      </c>
      <c r="M1066" s="20">
        <v>2</v>
      </c>
      <c r="N1066" s="19">
        <v>0.45593322120194157</v>
      </c>
      <c r="O1066" s="19">
        <v>0</v>
      </c>
      <c r="P1066" s="19">
        <v>0.44093404117175966</v>
      </c>
      <c r="Q1066" s="19">
        <v>0</v>
      </c>
      <c r="R1066" s="19">
        <v>9.0477092449131186E-2</v>
      </c>
      <c r="S1066" s="19">
        <v>5.7501355725242988E-3</v>
      </c>
      <c r="T1066" s="20">
        <v>23</v>
      </c>
      <c r="U1066" s="17">
        <v>2</v>
      </c>
      <c r="V1066" s="17">
        <v>34</v>
      </c>
    </row>
    <row r="1067" spans="1:22" x14ac:dyDescent="0.2">
      <c r="A1067" t="s">
        <v>3057</v>
      </c>
      <c r="B1067" t="s">
        <v>2719</v>
      </c>
      <c r="C1067" t="s">
        <v>2720</v>
      </c>
      <c r="D1067" t="s">
        <v>3032</v>
      </c>
      <c r="E1067" s="10" t="s">
        <v>3058</v>
      </c>
      <c r="F1067" s="10"/>
      <c r="G1067" s="10"/>
      <c r="H1067" s="10" t="s">
        <v>3058</v>
      </c>
      <c r="I1067" s="14">
        <v>406465.29209374636</v>
      </c>
      <c r="J1067" s="19">
        <v>0.71682071612252207</v>
      </c>
      <c r="K1067" s="19">
        <v>0.27790961151250992</v>
      </c>
      <c r="L1067" s="19">
        <v>5.2696723649679452E-3</v>
      </c>
      <c r="M1067" s="20">
        <v>3</v>
      </c>
      <c r="N1067" s="19">
        <v>9.1693115145974863E-2</v>
      </c>
      <c r="O1067" s="19">
        <v>0</v>
      </c>
      <c r="P1067" s="19">
        <v>0.18621649636653509</v>
      </c>
      <c r="Q1067" s="19">
        <v>0</v>
      </c>
      <c r="R1067" s="19">
        <v>5.1804857379774052E-3</v>
      </c>
      <c r="S1067" s="19">
        <v>8.9186626990540659E-5</v>
      </c>
      <c r="T1067" s="20">
        <v>30</v>
      </c>
      <c r="U1067" s="17">
        <v>2</v>
      </c>
      <c r="V1067" s="17">
        <v>34</v>
      </c>
    </row>
    <row r="1068" spans="1:22" x14ac:dyDescent="0.2">
      <c r="A1068" t="s">
        <v>3059</v>
      </c>
      <c r="B1068" t="s">
        <v>2719</v>
      </c>
      <c r="C1068" t="s">
        <v>2720</v>
      </c>
      <c r="D1068" t="s">
        <v>3032</v>
      </c>
      <c r="E1068" s="10" t="s">
        <v>3060</v>
      </c>
      <c r="F1068" s="10"/>
      <c r="G1068" s="10"/>
      <c r="H1068" s="10" t="s">
        <v>3060</v>
      </c>
      <c r="I1068" s="14">
        <v>42342.858837525833</v>
      </c>
      <c r="J1068" s="19">
        <v>0</v>
      </c>
      <c r="K1068" s="19">
        <v>0.70890547201697984</v>
      </c>
      <c r="L1068" s="19">
        <v>0.29109452798301994</v>
      </c>
      <c r="M1068" s="20">
        <v>2</v>
      </c>
      <c r="N1068" s="19">
        <v>0</v>
      </c>
      <c r="O1068" s="19">
        <v>0.66451385882636782</v>
      </c>
      <c r="P1068" s="19">
        <v>4.4391613190612071E-2</v>
      </c>
      <c r="Q1068" s="19">
        <v>0.10955659215016671</v>
      </c>
      <c r="R1068" s="19">
        <v>0.15879885574891042</v>
      </c>
      <c r="S1068" s="19">
        <v>2.2739080083942813E-2</v>
      </c>
      <c r="T1068" s="20">
        <v>22</v>
      </c>
      <c r="U1068" s="17">
        <v>2</v>
      </c>
      <c r="V1068" s="17">
        <v>34</v>
      </c>
    </row>
    <row r="1069" spans="1:22" x14ac:dyDescent="0.2">
      <c r="A1069" t="s">
        <v>3061</v>
      </c>
      <c r="B1069" t="s">
        <v>2719</v>
      </c>
      <c r="C1069" t="s">
        <v>2720</v>
      </c>
      <c r="D1069" t="s">
        <v>3032</v>
      </c>
      <c r="E1069" s="10" t="s">
        <v>3062</v>
      </c>
      <c r="F1069" s="10"/>
      <c r="G1069" s="10"/>
      <c r="H1069" s="10" t="s">
        <v>3062</v>
      </c>
      <c r="I1069" s="14">
        <v>56143.907880075276</v>
      </c>
      <c r="J1069" s="19">
        <v>0.5965293790258388</v>
      </c>
      <c r="K1069" s="19">
        <v>0.36981521172427151</v>
      </c>
      <c r="L1069" s="19">
        <v>3.3655409249889696E-2</v>
      </c>
      <c r="M1069" s="20">
        <v>3</v>
      </c>
      <c r="N1069" s="19">
        <v>0</v>
      </c>
      <c r="O1069" s="19">
        <v>0</v>
      </c>
      <c r="P1069" s="19">
        <v>0.36981521172427151</v>
      </c>
      <c r="Q1069" s="19">
        <v>0</v>
      </c>
      <c r="R1069" s="19">
        <v>3.3630376455539221E-2</v>
      </c>
      <c r="S1069" s="19">
        <v>2.5032794350474274E-5</v>
      </c>
      <c r="T1069" s="20">
        <v>30</v>
      </c>
      <c r="U1069" s="17">
        <v>2</v>
      </c>
      <c r="V1069" s="17">
        <v>34</v>
      </c>
    </row>
    <row r="1070" spans="1:22" x14ac:dyDescent="0.2">
      <c r="A1070" t="s">
        <v>3063</v>
      </c>
      <c r="B1070" t="s">
        <v>2719</v>
      </c>
      <c r="C1070" t="s">
        <v>2720</v>
      </c>
      <c r="D1070" t="s">
        <v>3032</v>
      </c>
      <c r="E1070" s="10" t="s">
        <v>3064</v>
      </c>
      <c r="F1070" s="10"/>
      <c r="G1070" s="10"/>
      <c r="H1070" s="10" t="s">
        <v>3064</v>
      </c>
      <c r="I1070" s="14">
        <v>60488.119051108602</v>
      </c>
      <c r="J1070" s="19">
        <v>0.83265456796933657</v>
      </c>
      <c r="K1070" s="19">
        <v>0.16422051247121117</v>
      </c>
      <c r="L1070" s="19">
        <v>3.1249195594522418E-3</v>
      </c>
      <c r="M1070" s="20">
        <v>3</v>
      </c>
      <c r="N1070" s="19">
        <v>1.3871071080173685E-3</v>
      </c>
      <c r="O1070" s="19">
        <v>0</v>
      </c>
      <c r="P1070" s="19">
        <v>0.16283340536319379</v>
      </c>
      <c r="Q1070" s="19">
        <v>0</v>
      </c>
      <c r="R1070" s="19">
        <v>3.1249195594522418E-3</v>
      </c>
      <c r="S1070" s="19">
        <v>0</v>
      </c>
      <c r="T1070" s="20">
        <v>30</v>
      </c>
      <c r="U1070" s="17">
        <v>2</v>
      </c>
      <c r="V1070" s="17">
        <v>34</v>
      </c>
    </row>
    <row r="1071" spans="1:22" x14ac:dyDescent="0.2">
      <c r="A1071" t="s">
        <v>3065</v>
      </c>
      <c r="B1071" t="s">
        <v>2719</v>
      </c>
      <c r="C1071" t="s">
        <v>2720</v>
      </c>
      <c r="D1071" t="s">
        <v>3032</v>
      </c>
      <c r="E1071" s="10" t="s">
        <v>3066</v>
      </c>
      <c r="F1071" s="10"/>
      <c r="G1071" s="10"/>
      <c r="H1071" s="10" t="s">
        <v>3066</v>
      </c>
      <c r="I1071" s="14">
        <v>33882.092244822066</v>
      </c>
      <c r="J1071" s="19">
        <v>0</v>
      </c>
      <c r="K1071" s="19">
        <v>0.99332478408428926</v>
      </c>
      <c r="L1071" s="19">
        <v>6.6752159157107867E-3</v>
      </c>
      <c r="M1071" s="20">
        <v>2</v>
      </c>
      <c r="N1071" s="19">
        <v>0.609651514501654</v>
      </c>
      <c r="O1071" s="19">
        <v>0</v>
      </c>
      <c r="P1071" s="19">
        <v>0.38367326958263526</v>
      </c>
      <c r="Q1071" s="19">
        <v>0</v>
      </c>
      <c r="R1071" s="19">
        <v>6.6752159157107858E-3</v>
      </c>
      <c r="S1071" s="19">
        <v>0</v>
      </c>
      <c r="T1071" s="20">
        <v>23</v>
      </c>
      <c r="U1071" s="17">
        <v>2</v>
      </c>
      <c r="V1071" s="17">
        <v>34</v>
      </c>
    </row>
    <row r="1072" spans="1:22" x14ac:dyDescent="0.2">
      <c r="A1072" t="s">
        <v>3067</v>
      </c>
      <c r="B1072" t="s">
        <v>2719</v>
      </c>
      <c r="C1072" t="s">
        <v>2720</v>
      </c>
      <c r="D1072" t="s">
        <v>3032</v>
      </c>
      <c r="E1072" s="10" t="s">
        <v>3068</v>
      </c>
      <c r="F1072" s="10"/>
      <c r="G1072" s="10"/>
      <c r="H1072" s="10" t="s">
        <v>3068</v>
      </c>
      <c r="I1072" s="14">
        <v>154187.0275567146</v>
      </c>
      <c r="J1072" s="19">
        <v>0.37768354463557535</v>
      </c>
      <c r="K1072" s="19">
        <v>0.52540045905287835</v>
      </c>
      <c r="L1072" s="19">
        <v>9.6915996311546307E-2</v>
      </c>
      <c r="M1072" s="20">
        <v>2</v>
      </c>
      <c r="N1072" s="19">
        <v>8.7578683020034687E-2</v>
      </c>
      <c r="O1072" s="19">
        <v>6.2771058270232521E-2</v>
      </c>
      <c r="P1072" s="19">
        <v>0.37505071776261117</v>
      </c>
      <c r="Q1072" s="19">
        <v>3.5624131442280542E-2</v>
      </c>
      <c r="R1072" s="19">
        <v>5.6092137108834081E-2</v>
      </c>
      <c r="S1072" s="19">
        <v>5.199727760431685E-3</v>
      </c>
      <c r="T1072" s="20">
        <v>23</v>
      </c>
      <c r="U1072" s="17">
        <v>2</v>
      </c>
      <c r="V1072" s="17">
        <v>34</v>
      </c>
    </row>
    <row r="1073" spans="1:22" x14ac:dyDescent="0.2">
      <c r="A1073" t="s">
        <v>3069</v>
      </c>
      <c r="B1073" t="s">
        <v>2719</v>
      </c>
      <c r="C1073" t="s">
        <v>2720</v>
      </c>
      <c r="D1073" t="s">
        <v>3032</v>
      </c>
      <c r="E1073" s="10" t="s">
        <v>3070</v>
      </c>
      <c r="F1073" s="10"/>
      <c r="G1073" s="10"/>
      <c r="H1073" s="10" t="s">
        <v>3070</v>
      </c>
      <c r="I1073" s="14">
        <v>55265.05677250633</v>
      </c>
      <c r="J1073" s="19">
        <v>0.64894004660434645</v>
      </c>
      <c r="K1073" s="19">
        <v>0.34350110797606165</v>
      </c>
      <c r="L1073" s="19">
        <v>7.5588454195919409E-3</v>
      </c>
      <c r="M1073" s="20">
        <v>3</v>
      </c>
      <c r="N1073" s="19">
        <v>6.3104919363032403E-3</v>
      </c>
      <c r="O1073" s="19">
        <v>0</v>
      </c>
      <c r="P1073" s="19">
        <v>0.33719061603975842</v>
      </c>
      <c r="Q1073" s="19">
        <v>0</v>
      </c>
      <c r="R1073" s="19">
        <v>7.5588454195919409E-3</v>
      </c>
      <c r="S1073" s="19">
        <v>0</v>
      </c>
      <c r="T1073" s="20">
        <v>30</v>
      </c>
      <c r="U1073" s="17">
        <v>2</v>
      </c>
      <c r="V1073" s="17">
        <v>34</v>
      </c>
    </row>
    <row r="1074" spans="1:22" x14ac:dyDescent="0.2">
      <c r="A1074" t="s">
        <v>3071</v>
      </c>
      <c r="B1074" t="s">
        <v>2719</v>
      </c>
      <c r="C1074" t="s">
        <v>2720</v>
      </c>
      <c r="D1074" t="s">
        <v>3032</v>
      </c>
      <c r="E1074" s="10" t="s">
        <v>2815</v>
      </c>
      <c r="F1074" s="10"/>
      <c r="G1074" s="10"/>
      <c r="H1074" s="10" t="s">
        <v>2815</v>
      </c>
      <c r="I1074" s="14">
        <v>139132.74273476982</v>
      </c>
      <c r="J1074" s="19">
        <v>0.21879512812238117</v>
      </c>
      <c r="K1074" s="19">
        <v>0.70436278061878121</v>
      </c>
      <c r="L1074" s="19">
        <v>7.6842091258837592E-2</v>
      </c>
      <c r="M1074" s="20">
        <v>2</v>
      </c>
      <c r="N1074" s="19">
        <v>5.2446846825510568E-2</v>
      </c>
      <c r="O1074" s="19">
        <v>2.5695066621843683E-2</v>
      </c>
      <c r="P1074" s="19">
        <v>0.626220867171427</v>
      </c>
      <c r="Q1074" s="19">
        <v>9.9276672156900191E-3</v>
      </c>
      <c r="R1074" s="19">
        <v>6.5335376852111091E-2</v>
      </c>
      <c r="S1074" s="19">
        <v>1.5790471910364786E-3</v>
      </c>
      <c r="T1074" s="20">
        <v>21</v>
      </c>
      <c r="U1074" s="17">
        <v>2</v>
      </c>
      <c r="V1074" s="17">
        <v>34</v>
      </c>
    </row>
    <row r="1075" spans="1:22" x14ac:dyDescent="0.2">
      <c r="A1075" t="s">
        <v>3072</v>
      </c>
      <c r="B1075" t="s">
        <v>2719</v>
      </c>
      <c r="C1075" t="s">
        <v>2720</v>
      </c>
      <c r="D1075" t="s">
        <v>3032</v>
      </c>
      <c r="E1075" s="10" t="s">
        <v>2927</v>
      </c>
      <c r="F1075" s="10"/>
      <c r="G1075" s="10"/>
      <c r="H1075" s="10" t="s">
        <v>2927</v>
      </c>
      <c r="I1075" s="14">
        <v>91162.03879455477</v>
      </c>
      <c r="J1075" s="19">
        <v>0.13041579019326466</v>
      </c>
      <c r="K1075" s="19">
        <v>0.86857925853073348</v>
      </c>
      <c r="L1075" s="19">
        <v>1.0049512760018236E-3</v>
      </c>
      <c r="M1075" s="20">
        <v>2</v>
      </c>
      <c r="N1075" s="19">
        <v>0.53479632142608247</v>
      </c>
      <c r="O1075" s="19">
        <v>0</v>
      </c>
      <c r="P1075" s="19">
        <v>0.33378293710465101</v>
      </c>
      <c r="Q1075" s="19">
        <v>0</v>
      </c>
      <c r="R1075" s="19">
        <v>8.9373345540814649E-4</v>
      </c>
      <c r="S1075" s="19">
        <v>1.1121782059367719E-4</v>
      </c>
      <c r="T1075" s="20">
        <v>23</v>
      </c>
      <c r="U1075" s="17">
        <v>2</v>
      </c>
      <c r="V1075" s="17">
        <v>34</v>
      </c>
    </row>
    <row r="1076" spans="1:22" x14ac:dyDescent="0.2">
      <c r="A1076" t="s">
        <v>3073</v>
      </c>
      <c r="B1076" t="s">
        <v>2719</v>
      </c>
      <c r="C1076" t="s">
        <v>2720</v>
      </c>
      <c r="D1076" t="s">
        <v>3032</v>
      </c>
      <c r="E1076" s="10" t="s">
        <v>2764</v>
      </c>
      <c r="F1076" s="10"/>
      <c r="G1076" s="10"/>
      <c r="H1076" s="10" t="s">
        <v>2764</v>
      </c>
      <c r="I1076" s="14">
        <v>119209.3396125734</v>
      </c>
      <c r="J1076" s="19">
        <v>0</v>
      </c>
      <c r="K1076" s="19">
        <v>0.89949269998278991</v>
      </c>
      <c r="L1076" s="19">
        <v>0.10050730001720998</v>
      </c>
      <c r="M1076" s="20">
        <v>2</v>
      </c>
      <c r="N1076" s="19">
        <v>0.24489340126797848</v>
      </c>
      <c r="O1076" s="19">
        <v>2.4290938999050528E-4</v>
      </c>
      <c r="P1076" s="19">
        <v>0.65435638932482088</v>
      </c>
      <c r="Q1076" s="19">
        <v>0</v>
      </c>
      <c r="R1076" s="19">
        <v>9.3471588332863939E-2</v>
      </c>
      <c r="S1076" s="19">
        <v>7.0357116843460469E-3</v>
      </c>
      <c r="T1076" s="20">
        <v>21</v>
      </c>
      <c r="U1076" s="17">
        <v>2</v>
      </c>
      <c r="V1076" s="17">
        <v>34</v>
      </c>
    </row>
    <row r="1077" spans="1:22" x14ac:dyDescent="0.2">
      <c r="A1077" t="s">
        <v>3074</v>
      </c>
      <c r="B1077" t="s">
        <v>2719</v>
      </c>
      <c r="C1077" t="s">
        <v>2720</v>
      </c>
      <c r="D1077" t="s">
        <v>3032</v>
      </c>
      <c r="E1077" s="10" t="s">
        <v>2819</v>
      </c>
      <c r="F1077" s="10"/>
      <c r="G1077" s="10"/>
      <c r="H1077" s="10" t="s">
        <v>2819</v>
      </c>
      <c r="I1077" s="14">
        <v>37693.139658710927</v>
      </c>
      <c r="J1077" s="19">
        <v>0.22912414771533829</v>
      </c>
      <c r="K1077" s="19">
        <v>0.75122762119008135</v>
      </c>
      <c r="L1077" s="19">
        <v>1.9648231094580228E-2</v>
      </c>
      <c r="M1077" s="20">
        <v>2</v>
      </c>
      <c r="N1077" s="19">
        <v>4.0778078515958181E-2</v>
      </c>
      <c r="O1077" s="19">
        <v>0</v>
      </c>
      <c r="P1077" s="19">
        <v>0.71044954267412297</v>
      </c>
      <c r="Q1077" s="19">
        <v>0</v>
      </c>
      <c r="R1077" s="19">
        <v>1.9153089327170181E-2</v>
      </c>
      <c r="S1077" s="19">
        <v>4.9514176741004669E-4</v>
      </c>
      <c r="T1077" s="20">
        <v>21</v>
      </c>
      <c r="U1077" s="17">
        <v>2</v>
      </c>
      <c r="V1077" s="17">
        <v>34</v>
      </c>
    </row>
    <row r="1078" spans="1:22" x14ac:dyDescent="0.2">
      <c r="A1078" t="s">
        <v>3075</v>
      </c>
      <c r="B1078" t="s">
        <v>2719</v>
      </c>
      <c r="C1078" t="s">
        <v>2720</v>
      </c>
      <c r="D1078" t="s">
        <v>3032</v>
      </c>
      <c r="E1078" s="10" t="s">
        <v>3076</v>
      </c>
      <c r="F1078" s="10"/>
      <c r="G1078" s="10"/>
      <c r="H1078" s="10" t="s">
        <v>3076</v>
      </c>
      <c r="I1078" s="14">
        <v>26030.937042211648</v>
      </c>
      <c r="J1078" s="19">
        <v>0.91939975553613296</v>
      </c>
      <c r="K1078" s="19">
        <v>1.2570431006168526E-2</v>
      </c>
      <c r="L1078" s="19">
        <v>6.8029813457698568E-2</v>
      </c>
      <c r="M1078" s="20">
        <v>3</v>
      </c>
      <c r="N1078" s="19">
        <v>0</v>
      </c>
      <c r="O1078" s="19">
        <v>0</v>
      </c>
      <c r="P1078" s="19">
        <v>1.2570431006168526E-2</v>
      </c>
      <c r="Q1078" s="19">
        <v>6.3247268880215077E-2</v>
      </c>
      <c r="R1078" s="19">
        <v>4.5473194470937459E-3</v>
      </c>
      <c r="S1078" s="19">
        <v>2.3522513038973681E-4</v>
      </c>
      <c r="T1078" s="20">
        <v>30</v>
      </c>
      <c r="U1078" s="17">
        <v>2</v>
      </c>
      <c r="V1078" s="17">
        <v>34</v>
      </c>
    </row>
    <row r="1079" spans="1:22" x14ac:dyDescent="0.2">
      <c r="A1079" t="s">
        <v>3077</v>
      </c>
      <c r="B1079" t="s">
        <v>2719</v>
      </c>
      <c r="C1079" t="s">
        <v>2720</v>
      </c>
      <c r="D1079" t="s">
        <v>3032</v>
      </c>
      <c r="E1079" s="10" t="s">
        <v>3078</v>
      </c>
      <c r="F1079" s="10"/>
      <c r="G1079" s="10"/>
      <c r="H1079" s="10" t="s">
        <v>3078</v>
      </c>
      <c r="I1079" s="14">
        <v>73446.12757994025</v>
      </c>
      <c r="J1079" s="19">
        <v>0.69727782276777595</v>
      </c>
      <c r="K1079" s="19">
        <v>0.29898095499933841</v>
      </c>
      <c r="L1079" s="19">
        <v>3.7412222328856866E-3</v>
      </c>
      <c r="M1079" s="20">
        <v>3</v>
      </c>
      <c r="N1079" s="19">
        <v>0</v>
      </c>
      <c r="O1079" s="19">
        <v>0</v>
      </c>
      <c r="P1079" s="19">
        <v>0.29898095499933841</v>
      </c>
      <c r="Q1079" s="19">
        <v>0</v>
      </c>
      <c r="R1079" s="19">
        <v>3.4100436059017864E-3</v>
      </c>
      <c r="S1079" s="19">
        <v>3.311786269839003E-4</v>
      </c>
      <c r="T1079" s="20">
        <v>30</v>
      </c>
      <c r="U1079" s="17">
        <v>2</v>
      </c>
      <c r="V1079" s="17">
        <v>34</v>
      </c>
    </row>
    <row r="1080" spans="1:22" x14ac:dyDescent="0.2">
      <c r="A1080" t="s">
        <v>3079</v>
      </c>
      <c r="B1080" t="s">
        <v>2719</v>
      </c>
      <c r="C1080" t="s">
        <v>2720</v>
      </c>
      <c r="D1080" t="s">
        <v>3032</v>
      </c>
      <c r="E1080" s="10" t="s">
        <v>3080</v>
      </c>
      <c r="F1080" s="10"/>
      <c r="G1080" s="10"/>
      <c r="H1080" s="10" t="s">
        <v>3080</v>
      </c>
      <c r="I1080" s="14">
        <v>21059.785581971519</v>
      </c>
      <c r="J1080" s="19">
        <v>0.2920656257813003</v>
      </c>
      <c r="K1080" s="19">
        <v>0.70793437421869976</v>
      </c>
      <c r="L1080" s="19">
        <v>0</v>
      </c>
      <c r="M1080" s="20">
        <v>2</v>
      </c>
      <c r="N1080" s="19">
        <v>0.5366202422582389</v>
      </c>
      <c r="O1080" s="19">
        <v>0</v>
      </c>
      <c r="P1080" s="19">
        <v>0.17131413196046086</v>
      </c>
      <c r="Q1080" s="19">
        <v>0</v>
      </c>
      <c r="R1080" s="19">
        <v>0</v>
      </c>
      <c r="S1080" s="19">
        <v>0</v>
      </c>
      <c r="T1080" s="20">
        <v>23</v>
      </c>
      <c r="U1080" s="17">
        <v>2</v>
      </c>
      <c r="V1080" s="17">
        <v>34</v>
      </c>
    </row>
    <row r="1081" spans="1:22" x14ac:dyDescent="0.2">
      <c r="A1081" t="s">
        <v>3081</v>
      </c>
      <c r="B1081" t="s">
        <v>2719</v>
      </c>
      <c r="C1081" t="s">
        <v>2720</v>
      </c>
      <c r="D1081" t="s">
        <v>3032</v>
      </c>
      <c r="E1081" s="10" t="s">
        <v>3082</v>
      </c>
      <c r="F1081" s="10"/>
      <c r="G1081" s="10"/>
      <c r="H1081" s="10" t="s">
        <v>3082</v>
      </c>
      <c r="I1081" s="14">
        <v>162940.93998302054</v>
      </c>
      <c r="J1081" s="19">
        <v>0.61521878083789827</v>
      </c>
      <c r="K1081" s="19">
        <v>0.37241999266266262</v>
      </c>
      <c r="L1081" s="19">
        <v>1.2361226499439089E-2</v>
      </c>
      <c r="M1081" s="20">
        <v>3</v>
      </c>
      <c r="N1081" s="19">
        <v>0.21290264979102025</v>
      </c>
      <c r="O1081" s="19">
        <v>0</v>
      </c>
      <c r="P1081" s="19">
        <v>0.15951734287164235</v>
      </c>
      <c r="Q1081" s="19">
        <v>0</v>
      </c>
      <c r="R1081" s="19">
        <v>1.1590591862118376E-2</v>
      </c>
      <c r="S1081" s="19">
        <v>7.706346373207118E-4</v>
      </c>
      <c r="T1081" s="20">
        <v>30</v>
      </c>
      <c r="U1081" s="17">
        <v>2</v>
      </c>
      <c r="V1081" s="17">
        <v>34</v>
      </c>
    </row>
    <row r="1082" spans="1:22" x14ac:dyDescent="0.2">
      <c r="A1082" t="s">
        <v>3083</v>
      </c>
      <c r="B1082" t="s">
        <v>2719</v>
      </c>
      <c r="C1082" t="s">
        <v>2720</v>
      </c>
      <c r="D1082" t="s">
        <v>3032</v>
      </c>
      <c r="E1082" s="10" t="s">
        <v>3084</v>
      </c>
      <c r="F1082" s="10"/>
      <c r="G1082" s="10"/>
      <c r="H1082" s="10" t="s">
        <v>3084</v>
      </c>
      <c r="I1082" s="14">
        <v>61873.888030656155</v>
      </c>
      <c r="J1082" s="19">
        <v>0.84912396766603904</v>
      </c>
      <c r="K1082" s="19">
        <v>0.15087603233396088</v>
      </c>
      <c r="L1082" s="19">
        <v>0</v>
      </c>
      <c r="M1082" s="20">
        <v>3</v>
      </c>
      <c r="N1082" s="19">
        <v>5.9342149318872576E-4</v>
      </c>
      <c r="O1082" s="19">
        <v>0</v>
      </c>
      <c r="P1082" s="19">
        <v>0.15028261084077216</v>
      </c>
      <c r="Q1082" s="19">
        <v>0</v>
      </c>
      <c r="R1082" s="19">
        <v>0</v>
      </c>
      <c r="S1082" s="19">
        <v>0</v>
      </c>
      <c r="T1082" s="20">
        <v>30</v>
      </c>
      <c r="U1082" s="17">
        <v>2</v>
      </c>
      <c r="V1082" s="17">
        <v>34</v>
      </c>
    </row>
    <row r="1083" spans="1:22" x14ac:dyDescent="0.2">
      <c r="A1083" t="s">
        <v>3085</v>
      </c>
      <c r="B1083" t="s">
        <v>2719</v>
      </c>
      <c r="C1083" t="s">
        <v>2720</v>
      </c>
      <c r="D1083" t="s">
        <v>3032</v>
      </c>
      <c r="E1083" s="10" t="s">
        <v>3086</v>
      </c>
      <c r="F1083" s="10"/>
      <c r="G1083" s="10"/>
      <c r="H1083" s="10" t="s">
        <v>3086</v>
      </c>
      <c r="I1083" s="14">
        <v>3090.6462183403783</v>
      </c>
      <c r="J1083" s="19">
        <v>0.11129061054663596</v>
      </c>
      <c r="K1083" s="19">
        <v>0.87722186218354536</v>
      </c>
      <c r="L1083" s="19">
        <v>1.1487527269818727E-2</v>
      </c>
      <c r="M1083" s="20">
        <v>2</v>
      </c>
      <c r="N1083" s="19">
        <v>0.55444525325291782</v>
      </c>
      <c r="O1083" s="19">
        <v>0</v>
      </c>
      <c r="P1083" s="19">
        <v>0.32277660893062754</v>
      </c>
      <c r="Q1083" s="19">
        <v>3.3598191857380064E-4</v>
      </c>
      <c r="R1083" s="19">
        <v>8.4521739568929454E-3</v>
      </c>
      <c r="S1083" s="19">
        <v>2.6993713943519789E-3</v>
      </c>
      <c r="T1083" s="20">
        <v>23</v>
      </c>
      <c r="U1083" s="17">
        <v>2</v>
      </c>
      <c r="V1083" s="17">
        <v>34</v>
      </c>
    </row>
    <row r="1084" spans="1:22" x14ac:dyDescent="0.2">
      <c r="A1084" t="s">
        <v>3087</v>
      </c>
      <c r="B1084" t="s">
        <v>2719</v>
      </c>
      <c r="C1084" t="s">
        <v>2720</v>
      </c>
      <c r="D1084" t="s">
        <v>3032</v>
      </c>
      <c r="E1084" s="10" t="s">
        <v>3088</v>
      </c>
      <c r="F1084" s="10"/>
      <c r="G1084" s="10"/>
      <c r="H1084" s="10" t="s">
        <v>3088</v>
      </c>
      <c r="I1084" s="14">
        <v>45791.014004731551</v>
      </c>
      <c r="J1084" s="19">
        <v>0</v>
      </c>
      <c r="K1084" s="19">
        <v>0.94791814110820771</v>
      </c>
      <c r="L1084" s="19">
        <v>5.2081858891792281E-2</v>
      </c>
      <c r="M1084" s="20">
        <v>2</v>
      </c>
      <c r="N1084" s="19">
        <v>0.75997360988933593</v>
      </c>
      <c r="O1084" s="19">
        <v>0</v>
      </c>
      <c r="P1084" s="19">
        <v>0.18794453121887184</v>
      </c>
      <c r="Q1084" s="19">
        <v>0</v>
      </c>
      <c r="R1084" s="19">
        <v>5.0426161946697468E-2</v>
      </c>
      <c r="S1084" s="19">
        <v>1.6556969450948133E-3</v>
      </c>
      <c r="T1084" s="20">
        <v>23</v>
      </c>
      <c r="U1084" s="17">
        <v>2</v>
      </c>
      <c r="V1084" s="17">
        <v>34</v>
      </c>
    </row>
    <row r="1085" spans="1:22" x14ac:dyDescent="0.2">
      <c r="A1085" t="s">
        <v>3089</v>
      </c>
      <c r="B1085" t="s">
        <v>2719</v>
      </c>
      <c r="C1085" t="s">
        <v>2720</v>
      </c>
      <c r="D1085" t="s">
        <v>3032</v>
      </c>
      <c r="E1085" s="10" t="s">
        <v>3090</v>
      </c>
      <c r="F1085" s="10"/>
      <c r="G1085" s="10"/>
      <c r="H1085" s="10" t="s">
        <v>3090</v>
      </c>
      <c r="I1085" s="14">
        <v>192421.62011079909</v>
      </c>
      <c r="J1085" s="19">
        <v>0.39984764449064608</v>
      </c>
      <c r="K1085" s="19">
        <v>0.58907564273555468</v>
      </c>
      <c r="L1085" s="19">
        <v>1.1076712773799225E-2</v>
      </c>
      <c r="M1085" s="20">
        <v>2</v>
      </c>
      <c r="N1085" s="19">
        <v>0.22137610819790574</v>
      </c>
      <c r="O1085" s="19">
        <v>0</v>
      </c>
      <c r="P1085" s="19">
        <v>0.36769953453764892</v>
      </c>
      <c r="Q1085" s="19">
        <v>0</v>
      </c>
      <c r="R1085" s="19">
        <v>1.0614038381860983E-2</v>
      </c>
      <c r="S1085" s="19">
        <v>4.6267439193824038E-4</v>
      </c>
      <c r="T1085" s="20">
        <v>23</v>
      </c>
      <c r="U1085" s="17">
        <v>2</v>
      </c>
      <c r="V1085" s="17">
        <v>34</v>
      </c>
    </row>
    <row r="1086" spans="1:22" x14ac:dyDescent="0.2">
      <c r="A1086" t="s">
        <v>3091</v>
      </c>
      <c r="B1086" t="s">
        <v>2719</v>
      </c>
      <c r="C1086" t="s">
        <v>2720</v>
      </c>
      <c r="D1086" t="s">
        <v>3032</v>
      </c>
      <c r="E1086" s="10" t="s">
        <v>3092</v>
      </c>
      <c r="F1086" s="10"/>
      <c r="G1086" s="10"/>
      <c r="H1086" s="10" t="s">
        <v>3092</v>
      </c>
      <c r="I1086" s="14">
        <v>44139.859018766321</v>
      </c>
      <c r="J1086" s="19">
        <v>0</v>
      </c>
      <c r="K1086" s="19">
        <v>0.86429197386374024</v>
      </c>
      <c r="L1086" s="19">
        <v>0.13570802613625971</v>
      </c>
      <c r="M1086" s="20">
        <v>2</v>
      </c>
      <c r="N1086" s="19">
        <v>0</v>
      </c>
      <c r="O1086" s="19">
        <v>0</v>
      </c>
      <c r="P1086" s="19">
        <v>0.86429197386374024</v>
      </c>
      <c r="Q1086" s="19">
        <v>0</v>
      </c>
      <c r="R1086" s="19">
        <v>0.13338160177247899</v>
      </c>
      <c r="S1086" s="19">
        <v>2.3264243637807218E-3</v>
      </c>
      <c r="T1086" s="20">
        <v>21</v>
      </c>
      <c r="U1086" s="17">
        <v>2</v>
      </c>
      <c r="V1086" s="17">
        <v>34</v>
      </c>
    </row>
    <row r="1087" spans="1:22" x14ac:dyDescent="0.2">
      <c r="A1087" t="s">
        <v>3093</v>
      </c>
      <c r="B1087" t="s">
        <v>2719</v>
      </c>
      <c r="C1087" t="s">
        <v>2720</v>
      </c>
      <c r="D1087" t="s">
        <v>3032</v>
      </c>
      <c r="E1087" s="10" t="s">
        <v>3094</v>
      </c>
      <c r="F1087" s="10"/>
      <c r="G1087" s="10"/>
      <c r="H1087" s="10" t="s">
        <v>3094</v>
      </c>
      <c r="I1087" s="14">
        <v>16610.326471840963</v>
      </c>
      <c r="J1087" s="19">
        <v>0</v>
      </c>
      <c r="K1087" s="19">
        <v>0.88460172335331411</v>
      </c>
      <c r="L1087" s="19">
        <v>0.11539827664668585</v>
      </c>
      <c r="M1087" s="20">
        <v>2</v>
      </c>
      <c r="N1087" s="19">
        <v>0</v>
      </c>
      <c r="O1087" s="19">
        <v>0.88460172335331411</v>
      </c>
      <c r="P1087" s="19">
        <v>0</v>
      </c>
      <c r="Q1087" s="19">
        <v>0</v>
      </c>
      <c r="R1087" s="19">
        <v>0.11503514024129399</v>
      </c>
      <c r="S1087" s="19">
        <v>3.6313640539187102E-4</v>
      </c>
      <c r="T1087" s="20">
        <v>22</v>
      </c>
      <c r="U1087" s="17">
        <v>2</v>
      </c>
      <c r="V1087" s="17">
        <v>34</v>
      </c>
    </row>
    <row r="1088" spans="1:22" x14ac:dyDescent="0.2">
      <c r="A1088" t="s">
        <v>3095</v>
      </c>
      <c r="B1088" t="s">
        <v>2719</v>
      </c>
      <c r="C1088" t="s">
        <v>2720</v>
      </c>
      <c r="D1088" t="s">
        <v>3032</v>
      </c>
      <c r="E1088" s="10" t="s">
        <v>3096</v>
      </c>
      <c r="F1088" s="10"/>
      <c r="G1088" s="10"/>
      <c r="H1088" s="10" t="s">
        <v>3096</v>
      </c>
      <c r="I1088" s="14">
        <v>48479.57415081514</v>
      </c>
      <c r="J1088" s="19">
        <v>2.8790608474250613E-4</v>
      </c>
      <c r="K1088" s="19">
        <v>0.84718420605687517</v>
      </c>
      <c r="L1088" s="19">
        <v>0.15252788785838237</v>
      </c>
      <c r="M1088" s="20">
        <v>2</v>
      </c>
      <c r="N1088" s="19">
        <v>0.22047027056224353</v>
      </c>
      <c r="O1088" s="19">
        <v>0</v>
      </c>
      <c r="P1088" s="19">
        <v>0.62671393549463161</v>
      </c>
      <c r="Q1088" s="19">
        <v>4.2718170955403423E-2</v>
      </c>
      <c r="R1088" s="19">
        <v>0.10748384762488021</v>
      </c>
      <c r="S1088" s="19">
        <v>2.3258692780987237E-3</v>
      </c>
      <c r="T1088" s="20">
        <v>21</v>
      </c>
      <c r="U1088" s="17">
        <v>2</v>
      </c>
      <c r="V1088" s="17">
        <v>34</v>
      </c>
    </row>
    <row r="1089" spans="1:22" x14ac:dyDescent="0.2">
      <c r="A1089" t="s">
        <v>3097</v>
      </c>
      <c r="B1089" t="s">
        <v>2719</v>
      </c>
      <c r="C1089" t="s">
        <v>2720</v>
      </c>
      <c r="D1089" t="s">
        <v>3098</v>
      </c>
      <c r="E1089" s="10" t="s">
        <v>3099</v>
      </c>
      <c r="F1089" s="10"/>
      <c r="G1089" s="10"/>
      <c r="H1089" s="10" t="s">
        <v>3099</v>
      </c>
      <c r="I1089" s="14">
        <v>23545.653096189722</v>
      </c>
      <c r="J1089" s="19">
        <v>0</v>
      </c>
      <c r="K1089" s="19">
        <v>5.4857097610630602E-2</v>
      </c>
      <c r="L1089" s="19">
        <v>0.94514290238936938</v>
      </c>
      <c r="M1089" s="20">
        <v>1</v>
      </c>
      <c r="N1089" s="19">
        <v>0</v>
      </c>
      <c r="O1089" s="19">
        <v>1.6508140081435814E-2</v>
      </c>
      <c r="P1089" s="19">
        <v>3.8348957529194788E-2</v>
      </c>
      <c r="Q1089" s="19">
        <v>0.61150709996803765</v>
      </c>
      <c r="R1089" s="19">
        <v>0.30447594120653398</v>
      </c>
      <c r="S1089" s="19">
        <v>2.915986121479781E-2</v>
      </c>
      <c r="T1089" s="20">
        <v>13</v>
      </c>
      <c r="U1089" s="17">
        <v>2</v>
      </c>
      <c r="V1089" s="17">
        <v>34</v>
      </c>
    </row>
    <row r="1090" spans="1:22" x14ac:dyDescent="0.2">
      <c r="A1090" t="s">
        <v>3100</v>
      </c>
      <c r="B1090" t="s">
        <v>2719</v>
      </c>
      <c r="C1090" t="s">
        <v>2720</v>
      </c>
      <c r="D1090" t="s">
        <v>3098</v>
      </c>
      <c r="E1090" s="10" t="s">
        <v>3101</v>
      </c>
      <c r="F1090" s="10"/>
      <c r="G1090" s="10"/>
      <c r="H1090" s="10" t="s">
        <v>3101</v>
      </c>
      <c r="I1090" s="14">
        <v>387979.61148778186</v>
      </c>
      <c r="J1090" s="19">
        <v>0.97896885592899641</v>
      </c>
      <c r="K1090" s="19">
        <v>2.0705628926069339E-2</v>
      </c>
      <c r="L1090" s="19">
        <v>3.255151449342603E-4</v>
      </c>
      <c r="M1090" s="20">
        <v>3</v>
      </c>
      <c r="N1090" s="19">
        <v>0</v>
      </c>
      <c r="O1090" s="19">
        <v>0</v>
      </c>
      <c r="P1090" s="19">
        <v>2.0705628926069339E-2</v>
      </c>
      <c r="Q1090" s="19">
        <v>0</v>
      </c>
      <c r="R1090" s="19">
        <v>3.1859715967121597E-4</v>
      </c>
      <c r="S1090" s="19">
        <v>6.9179852630443855E-6</v>
      </c>
      <c r="T1090" s="20">
        <v>30</v>
      </c>
      <c r="U1090" s="17">
        <v>2</v>
      </c>
      <c r="V1090" s="17">
        <v>34</v>
      </c>
    </row>
    <row r="1091" spans="1:22" x14ac:dyDescent="0.2">
      <c r="A1091" t="s">
        <v>3102</v>
      </c>
      <c r="B1091" t="s">
        <v>2719</v>
      </c>
      <c r="C1091" t="s">
        <v>2720</v>
      </c>
      <c r="D1091" t="s">
        <v>3098</v>
      </c>
      <c r="E1091" s="10" t="s">
        <v>3103</v>
      </c>
      <c r="F1091" s="10"/>
      <c r="G1091" s="10"/>
      <c r="H1091" s="10" t="s">
        <v>3103</v>
      </c>
      <c r="I1091" s="14">
        <v>19067.652740709484</v>
      </c>
      <c r="J1091" s="19">
        <v>0</v>
      </c>
      <c r="K1091" s="19">
        <v>0.15565784855325596</v>
      </c>
      <c r="L1091" s="19">
        <v>0.84434215144674407</v>
      </c>
      <c r="M1091" s="20">
        <v>1</v>
      </c>
      <c r="N1091" s="19">
        <v>0</v>
      </c>
      <c r="O1091" s="19">
        <v>0.15565784855325596</v>
      </c>
      <c r="P1091" s="19">
        <v>0</v>
      </c>
      <c r="Q1091" s="19">
        <v>0.35010456815887503</v>
      </c>
      <c r="R1091" s="19">
        <v>0.4379456322807706</v>
      </c>
      <c r="S1091" s="19">
        <v>5.6291951007098398E-2</v>
      </c>
      <c r="T1091" s="20">
        <v>12</v>
      </c>
      <c r="U1091" s="17">
        <v>2</v>
      </c>
      <c r="V1091" s="17">
        <v>34</v>
      </c>
    </row>
    <row r="1092" spans="1:22" x14ac:dyDescent="0.2">
      <c r="A1092" t="s">
        <v>3104</v>
      </c>
      <c r="B1092" t="s">
        <v>2719</v>
      </c>
      <c r="C1092" t="s">
        <v>2720</v>
      </c>
      <c r="D1092" t="s">
        <v>3098</v>
      </c>
      <c r="E1092" s="10" t="s">
        <v>3105</v>
      </c>
      <c r="F1092" s="10"/>
      <c r="G1092" s="10"/>
      <c r="H1092" s="10" t="s">
        <v>3105</v>
      </c>
      <c r="I1092" s="14">
        <v>15518.491988152266</v>
      </c>
      <c r="J1092" s="19">
        <v>0</v>
      </c>
      <c r="K1092" s="19">
        <v>6.1562071640411916E-3</v>
      </c>
      <c r="L1092" s="19">
        <v>0.99384379283595881</v>
      </c>
      <c r="M1092" s="20">
        <v>1</v>
      </c>
      <c r="N1092" s="19">
        <v>0</v>
      </c>
      <c r="O1092" s="19">
        <v>0</v>
      </c>
      <c r="P1092" s="19">
        <v>6.1562071640411916E-3</v>
      </c>
      <c r="Q1092" s="19">
        <v>0.42877151555110671</v>
      </c>
      <c r="R1092" s="19">
        <v>0.44627554006307751</v>
      </c>
      <c r="S1092" s="19">
        <v>0.11879673722177465</v>
      </c>
      <c r="T1092" s="20">
        <v>12</v>
      </c>
      <c r="U1092" s="17">
        <v>2</v>
      </c>
      <c r="V1092" s="17">
        <v>34</v>
      </c>
    </row>
    <row r="1093" spans="1:22" x14ac:dyDescent="0.2">
      <c r="A1093" t="s">
        <v>3106</v>
      </c>
      <c r="B1093" t="s">
        <v>2719</v>
      </c>
      <c r="C1093" t="s">
        <v>2720</v>
      </c>
      <c r="D1093" t="s">
        <v>3098</v>
      </c>
      <c r="E1093" s="10" t="s">
        <v>3107</v>
      </c>
      <c r="F1093" s="10"/>
      <c r="G1093" s="10"/>
      <c r="H1093" s="10" t="s">
        <v>3107</v>
      </c>
      <c r="I1093" s="14">
        <v>55918.628503045067</v>
      </c>
      <c r="J1093" s="19">
        <v>0</v>
      </c>
      <c r="K1093" s="19">
        <v>0.73981949529434998</v>
      </c>
      <c r="L1093" s="19">
        <v>0.26018050470565007</v>
      </c>
      <c r="M1093" s="20">
        <v>2</v>
      </c>
      <c r="N1093" s="19">
        <v>0</v>
      </c>
      <c r="O1093" s="19">
        <v>0.42170915268054088</v>
      </c>
      <c r="P1093" s="19">
        <v>0.31811034261380911</v>
      </c>
      <c r="Q1093" s="19">
        <v>4.6605985066832278E-2</v>
      </c>
      <c r="R1093" s="19">
        <v>0.20281369265270929</v>
      </c>
      <c r="S1093" s="19">
        <v>1.0760826986108449E-2</v>
      </c>
      <c r="T1093" s="20">
        <v>22</v>
      </c>
      <c r="U1093" s="17">
        <v>2</v>
      </c>
      <c r="V1093" s="17">
        <v>34</v>
      </c>
    </row>
    <row r="1094" spans="1:22" x14ac:dyDescent="0.2">
      <c r="A1094" t="s">
        <v>3108</v>
      </c>
      <c r="B1094" t="s">
        <v>2719</v>
      </c>
      <c r="C1094" t="s">
        <v>2720</v>
      </c>
      <c r="D1094" t="s">
        <v>3098</v>
      </c>
      <c r="E1094" s="10" t="s">
        <v>3109</v>
      </c>
      <c r="F1094" s="10"/>
      <c r="G1094" s="10"/>
      <c r="H1094" s="10" t="s">
        <v>3109</v>
      </c>
      <c r="I1094" s="14">
        <v>80508.62366387574</v>
      </c>
      <c r="J1094" s="19">
        <v>0.28481702020798982</v>
      </c>
      <c r="K1094" s="19">
        <v>0.45168044237528943</v>
      </c>
      <c r="L1094" s="19">
        <v>0.26350253741672075</v>
      </c>
      <c r="M1094" s="20">
        <v>2</v>
      </c>
      <c r="N1094" s="19">
        <v>5.5259583391488898E-2</v>
      </c>
      <c r="O1094" s="19">
        <v>0</v>
      </c>
      <c r="P1094" s="19">
        <v>0.39642085898380053</v>
      </c>
      <c r="Q1094" s="19">
        <v>0.11769435843636473</v>
      </c>
      <c r="R1094" s="19">
        <v>0.12511181906114477</v>
      </c>
      <c r="S1094" s="19">
        <v>2.0696359919211219E-2</v>
      </c>
      <c r="T1094" s="20">
        <v>23</v>
      </c>
      <c r="U1094" s="17">
        <v>2</v>
      </c>
      <c r="V1094" s="17">
        <v>34</v>
      </c>
    </row>
    <row r="1095" spans="1:22" x14ac:dyDescent="0.2">
      <c r="A1095" t="s">
        <v>3110</v>
      </c>
      <c r="B1095" t="s">
        <v>2719</v>
      </c>
      <c r="C1095" t="s">
        <v>2720</v>
      </c>
      <c r="D1095" t="s">
        <v>3098</v>
      </c>
      <c r="E1095" s="10" t="s">
        <v>3111</v>
      </c>
      <c r="F1095" s="10"/>
      <c r="G1095" s="10"/>
      <c r="H1095" s="10" t="s">
        <v>3111</v>
      </c>
      <c r="I1095" s="14">
        <v>18188.637531613931</v>
      </c>
      <c r="J1095" s="19">
        <v>0</v>
      </c>
      <c r="K1095" s="19">
        <v>0.32348254534579307</v>
      </c>
      <c r="L1095" s="19">
        <v>0.67651745465420687</v>
      </c>
      <c r="M1095" s="20">
        <v>1</v>
      </c>
      <c r="N1095" s="19">
        <v>0</v>
      </c>
      <c r="O1095" s="19">
        <v>0.32348254534579307</v>
      </c>
      <c r="P1095" s="19">
        <v>0</v>
      </c>
      <c r="Q1095" s="19">
        <v>0.33723415984267646</v>
      </c>
      <c r="R1095" s="19">
        <v>0.29757802815670781</v>
      </c>
      <c r="S1095" s="19">
        <v>4.1705266654822645E-2</v>
      </c>
      <c r="T1095" s="20">
        <v>13</v>
      </c>
      <c r="U1095" s="17">
        <v>2</v>
      </c>
      <c r="V1095" s="17">
        <v>34</v>
      </c>
    </row>
    <row r="1096" spans="1:22" x14ac:dyDescent="0.2">
      <c r="A1096" t="s">
        <v>3112</v>
      </c>
      <c r="B1096" t="s">
        <v>2719</v>
      </c>
      <c r="C1096" t="s">
        <v>2720</v>
      </c>
      <c r="D1096" t="s">
        <v>3098</v>
      </c>
      <c r="E1096" s="10" t="s">
        <v>3113</v>
      </c>
      <c r="F1096" s="10"/>
      <c r="G1096" s="10"/>
      <c r="H1096" s="10" t="s">
        <v>3113</v>
      </c>
      <c r="I1096" s="14">
        <v>27596.873789647594</v>
      </c>
      <c r="J1096" s="19">
        <v>0</v>
      </c>
      <c r="K1096" s="19">
        <v>0.60526313296658663</v>
      </c>
      <c r="L1096" s="19">
        <v>0.39473686703341343</v>
      </c>
      <c r="M1096" s="20">
        <v>2</v>
      </c>
      <c r="N1096" s="19">
        <v>0</v>
      </c>
      <c r="O1096" s="19">
        <v>0.60526313296658663</v>
      </c>
      <c r="P1096" s="19">
        <v>0</v>
      </c>
      <c r="Q1096" s="19">
        <v>0.12475128365403693</v>
      </c>
      <c r="R1096" s="19">
        <v>0.24864644086027529</v>
      </c>
      <c r="S1096" s="19">
        <v>2.1339142519101219E-2</v>
      </c>
      <c r="T1096" s="20">
        <v>22</v>
      </c>
      <c r="U1096" s="17">
        <v>2</v>
      </c>
      <c r="V1096" s="17">
        <v>34</v>
      </c>
    </row>
    <row r="1097" spans="1:22" x14ac:dyDescent="0.2">
      <c r="A1097" t="s">
        <v>3114</v>
      </c>
      <c r="B1097" t="s">
        <v>2719</v>
      </c>
      <c r="C1097" t="s">
        <v>2720</v>
      </c>
      <c r="D1097" t="s">
        <v>3098</v>
      </c>
      <c r="E1097" s="10" t="s">
        <v>3115</v>
      </c>
      <c r="F1097" s="10"/>
      <c r="G1097" s="10"/>
      <c r="H1097" s="10" t="s">
        <v>3115</v>
      </c>
      <c r="I1097" s="14">
        <v>22435.179298840463</v>
      </c>
      <c r="J1097" s="19">
        <v>0</v>
      </c>
      <c r="K1097" s="19">
        <v>0.4082632435851134</v>
      </c>
      <c r="L1097" s="19">
        <v>0.59173675641488666</v>
      </c>
      <c r="M1097" s="20">
        <v>1</v>
      </c>
      <c r="N1097" s="19">
        <v>0</v>
      </c>
      <c r="O1097" s="19">
        <v>0.4082632435851134</v>
      </c>
      <c r="P1097" s="19">
        <v>0</v>
      </c>
      <c r="Q1097" s="19">
        <v>0.32475363107161576</v>
      </c>
      <c r="R1097" s="19">
        <v>0.22317359199236772</v>
      </c>
      <c r="S1097" s="19">
        <v>4.3809533350903165E-2</v>
      </c>
      <c r="T1097" s="20">
        <v>13</v>
      </c>
      <c r="U1097" s="17">
        <v>2</v>
      </c>
      <c r="V1097" s="17">
        <v>34</v>
      </c>
    </row>
    <row r="1098" spans="1:22" x14ac:dyDescent="0.2">
      <c r="A1098" t="s">
        <v>3116</v>
      </c>
      <c r="B1098" t="s">
        <v>2719</v>
      </c>
      <c r="C1098" t="s">
        <v>2720</v>
      </c>
      <c r="D1098" t="s">
        <v>3098</v>
      </c>
      <c r="E1098" s="10" t="s">
        <v>3117</v>
      </c>
      <c r="F1098" s="10"/>
      <c r="G1098" s="10"/>
      <c r="H1098" s="10" t="s">
        <v>3117</v>
      </c>
      <c r="I1098" s="14">
        <v>147790.67768986896</v>
      </c>
      <c r="J1098" s="19">
        <v>0.87687274131744286</v>
      </c>
      <c r="K1098" s="19">
        <v>9.7691716171819126E-2</v>
      </c>
      <c r="L1098" s="19">
        <v>2.5435542510738061E-2</v>
      </c>
      <c r="M1098" s="20">
        <v>3</v>
      </c>
      <c r="N1098" s="19">
        <v>0</v>
      </c>
      <c r="O1098" s="19">
        <v>0</v>
      </c>
      <c r="P1098" s="19">
        <v>9.7691716171819126E-2</v>
      </c>
      <c r="Q1098" s="19">
        <v>2.4525735900499147E-3</v>
      </c>
      <c r="R1098" s="19">
        <v>2.0086785407980687E-2</v>
      </c>
      <c r="S1098" s="19">
        <v>2.896183512707456E-3</v>
      </c>
      <c r="T1098" s="20">
        <v>30</v>
      </c>
      <c r="U1098" s="17">
        <v>2</v>
      </c>
      <c r="V1098" s="17">
        <v>34</v>
      </c>
    </row>
    <row r="1099" spans="1:22" x14ac:dyDescent="0.2">
      <c r="A1099" t="s">
        <v>3118</v>
      </c>
      <c r="B1099" t="s">
        <v>2719</v>
      </c>
      <c r="C1099" t="s">
        <v>2720</v>
      </c>
      <c r="D1099" t="s">
        <v>3098</v>
      </c>
      <c r="E1099" s="10" t="s">
        <v>3119</v>
      </c>
      <c r="F1099" s="10"/>
      <c r="G1099" s="10"/>
      <c r="H1099" s="10" t="s">
        <v>3119</v>
      </c>
      <c r="I1099" s="14">
        <v>45322.792243588716</v>
      </c>
      <c r="J1099" s="19">
        <v>0</v>
      </c>
      <c r="K1099" s="19">
        <v>0.86031829985012898</v>
      </c>
      <c r="L1099" s="19">
        <v>0.13968170014987097</v>
      </c>
      <c r="M1099" s="20">
        <v>2</v>
      </c>
      <c r="N1099" s="19">
        <v>0.15943964303327474</v>
      </c>
      <c r="O1099" s="19">
        <v>0</v>
      </c>
      <c r="P1099" s="19">
        <v>0.70087865681685424</v>
      </c>
      <c r="Q1099" s="19">
        <v>1.9813336465816751E-2</v>
      </c>
      <c r="R1099" s="19">
        <v>0.10890671325366276</v>
      </c>
      <c r="S1099" s="19">
        <v>1.0961650430391478E-2</v>
      </c>
      <c r="T1099" s="20">
        <v>21</v>
      </c>
      <c r="U1099" s="17">
        <v>2</v>
      </c>
      <c r="V1099" s="17">
        <v>34</v>
      </c>
    </row>
    <row r="1100" spans="1:22" x14ac:dyDescent="0.2">
      <c r="A1100" t="s">
        <v>3120</v>
      </c>
      <c r="B1100" t="s">
        <v>2719</v>
      </c>
      <c r="C1100" t="s">
        <v>2720</v>
      </c>
      <c r="D1100" t="s">
        <v>3098</v>
      </c>
      <c r="E1100" s="10" t="s">
        <v>3121</v>
      </c>
      <c r="F1100" s="10"/>
      <c r="G1100" s="10"/>
      <c r="H1100" s="10" t="s">
        <v>3121</v>
      </c>
      <c r="I1100" s="14">
        <v>12476.312725694848</v>
      </c>
      <c r="J1100" s="19">
        <v>0</v>
      </c>
      <c r="K1100" s="19">
        <v>0.40657234406072995</v>
      </c>
      <c r="L1100" s="19">
        <v>0.59342765593927016</v>
      </c>
      <c r="M1100" s="20">
        <v>1</v>
      </c>
      <c r="N1100" s="19">
        <v>0</v>
      </c>
      <c r="O1100" s="19">
        <v>0</v>
      </c>
      <c r="P1100" s="19">
        <v>0.40657234406072995</v>
      </c>
      <c r="Q1100" s="19">
        <v>0.13722730340240852</v>
      </c>
      <c r="R1100" s="19">
        <v>0.41023111846949833</v>
      </c>
      <c r="S1100" s="19">
        <v>4.5969234067363349E-2</v>
      </c>
      <c r="T1100" s="20">
        <v>12</v>
      </c>
      <c r="U1100" s="17">
        <v>2</v>
      </c>
      <c r="V1100" s="17">
        <v>34</v>
      </c>
    </row>
    <row r="1101" spans="1:22" x14ac:dyDescent="0.2">
      <c r="A1101" t="s">
        <v>3122</v>
      </c>
      <c r="B1101" t="s">
        <v>2719</v>
      </c>
      <c r="C1101" t="s">
        <v>2720</v>
      </c>
      <c r="D1101" t="s">
        <v>3098</v>
      </c>
      <c r="E1101" s="10" t="s">
        <v>3123</v>
      </c>
      <c r="F1101" s="10"/>
      <c r="G1101" s="10"/>
      <c r="H1101" s="10" t="s">
        <v>3123</v>
      </c>
      <c r="I1101" s="14">
        <v>57533.70199875813</v>
      </c>
      <c r="J1101" s="19">
        <v>0.11799650286030852</v>
      </c>
      <c r="K1101" s="19">
        <v>0.55180056234710961</v>
      </c>
      <c r="L1101" s="19">
        <v>0.33020293479258184</v>
      </c>
      <c r="M1101" s="20">
        <v>2</v>
      </c>
      <c r="N1101" s="19">
        <v>9.9014634150689604E-2</v>
      </c>
      <c r="O1101" s="19">
        <v>0</v>
      </c>
      <c r="P1101" s="19">
        <v>0.45278592819642</v>
      </c>
      <c r="Q1101" s="19">
        <v>0.12721279660611265</v>
      </c>
      <c r="R1101" s="19">
        <v>0.17489172179431209</v>
      </c>
      <c r="S1101" s="19">
        <v>2.8098416392157131E-2</v>
      </c>
      <c r="T1101" s="20">
        <v>23</v>
      </c>
      <c r="U1101" s="17">
        <v>2</v>
      </c>
      <c r="V1101" s="17">
        <v>34</v>
      </c>
    </row>
    <row r="1102" spans="1:22" x14ac:dyDescent="0.2">
      <c r="A1102" t="s">
        <v>3124</v>
      </c>
      <c r="B1102" t="s">
        <v>2719</v>
      </c>
      <c r="C1102" t="s">
        <v>2720</v>
      </c>
      <c r="D1102" t="s">
        <v>3098</v>
      </c>
      <c r="E1102" s="10" t="s">
        <v>3125</v>
      </c>
      <c r="F1102" s="10"/>
      <c r="G1102" s="10"/>
      <c r="H1102" s="10" t="s">
        <v>3125</v>
      </c>
      <c r="I1102" s="14">
        <v>22656.450294783339</v>
      </c>
      <c r="J1102" s="19">
        <v>0</v>
      </c>
      <c r="K1102" s="19">
        <v>0.79736735491023869</v>
      </c>
      <c r="L1102" s="19">
        <v>0.20263264508976131</v>
      </c>
      <c r="M1102" s="20">
        <v>2</v>
      </c>
      <c r="N1102" s="19">
        <v>0</v>
      </c>
      <c r="O1102" s="19">
        <v>0</v>
      </c>
      <c r="P1102" s="19">
        <v>0.79736735491023869</v>
      </c>
      <c r="Q1102" s="19">
        <v>3.745296855653512E-2</v>
      </c>
      <c r="R1102" s="19">
        <v>0.15940236626905696</v>
      </c>
      <c r="S1102" s="19">
        <v>5.7773102641692099E-3</v>
      </c>
      <c r="T1102" s="20">
        <v>21</v>
      </c>
      <c r="U1102" s="17">
        <v>2</v>
      </c>
      <c r="V1102" s="17">
        <v>34</v>
      </c>
    </row>
    <row r="1103" spans="1:22" x14ac:dyDescent="0.2">
      <c r="A1103" t="s">
        <v>3126</v>
      </c>
      <c r="B1103" t="s">
        <v>2719</v>
      </c>
      <c r="C1103" t="s">
        <v>2720</v>
      </c>
      <c r="D1103" t="s">
        <v>3127</v>
      </c>
      <c r="E1103" s="10" t="s">
        <v>3128</v>
      </c>
      <c r="F1103" s="10"/>
      <c r="G1103" s="10"/>
      <c r="H1103" s="10" t="s">
        <v>3128</v>
      </c>
      <c r="I1103" s="14">
        <v>22823.225967327133</v>
      </c>
      <c r="J1103" s="19">
        <v>0</v>
      </c>
      <c r="K1103" s="19">
        <v>0.8125060502353515</v>
      </c>
      <c r="L1103" s="19">
        <v>0.18749394976464853</v>
      </c>
      <c r="M1103" s="20">
        <v>2</v>
      </c>
      <c r="N1103" s="19">
        <v>0.26695040598978981</v>
      </c>
      <c r="O1103" s="19">
        <v>0</v>
      </c>
      <c r="P1103" s="19">
        <v>0.54555564424556169</v>
      </c>
      <c r="Q1103" s="19">
        <v>7.6575168206555647E-2</v>
      </c>
      <c r="R1103" s="19">
        <v>0.1022370462032321</v>
      </c>
      <c r="S1103" s="19">
        <v>8.6817353548607774E-3</v>
      </c>
      <c r="T1103" s="20">
        <v>21</v>
      </c>
      <c r="U1103" s="17">
        <v>2</v>
      </c>
      <c r="V1103" s="17">
        <v>34</v>
      </c>
    </row>
    <row r="1104" spans="1:22" x14ac:dyDescent="0.2">
      <c r="A1104" t="s">
        <v>3129</v>
      </c>
      <c r="B1104" t="s">
        <v>2719</v>
      </c>
      <c r="C1104" t="s">
        <v>2720</v>
      </c>
      <c r="D1104" t="s">
        <v>3127</v>
      </c>
      <c r="E1104" s="10" t="s">
        <v>3127</v>
      </c>
      <c r="F1104" s="10"/>
      <c r="G1104" s="10"/>
      <c r="H1104" s="10" t="s">
        <v>3127</v>
      </c>
      <c r="I1104" s="14">
        <v>21067.515188270248</v>
      </c>
      <c r="J1104" s="19">
        <v>0</v>
      </c>
      <c r="K1104" s="19">
        <v>0.82548362720756607</v>
      </c>
      <c r="L1104" s="19">
        <v>0.17451637279243401</v>
      </c>
      <c r="M1104" s="20">
        <v>2</v>
      </c>
      <c r="N1104" s="19">
        <v>0.32724176641257535</v>
      </c>
      <c r="O1104" s="19">
        <v>0</v>
      </c>
      <c r="P1104" s="19">
        <v>0.49824186079499067</v>
      </c>
      <c r="Q1104" s="19">
        <v>8.1070146358824813E-2</v>
      </c>
      <c r="R1104" s="19">
        <v>8.4958514333211374E-2</v>
      </c>
      <c r="S1104" s="19">
        <v>8.4877121003977922E-3</v>
      </c>
      <c r="T1104" s="20">
        <v>23</v>
      </c>
      <c r="U1104" s="17">
        <v>2</v>
      </c>
      <c r="V1104" s="17">
        <v>34</v>
      </c>
    </row>
    <row r="1105" spans="1:22" x14ac:dyDescent="0.2">
      <c r="A1105" t="s">
        <v>3130</v>
      </c>
      <c r="B1105" t="s">
        <v>2719</v>
      </c>
      <c r="C1105" t="s">
        <v>2720</v>
      </c>
      <c r="D1105" t="s">
        <v>3127</v>
      </c>
      <c r="E1105" s="10" t="s">
        <v>3131</v>
      </c>
      <c r="F1105" s="10"/>
      <c r="G1105" s="10"/>
      <c r="H1105" s="10" t="s">
        <v>3131</v>
      </c>
      <c r="I1105" s="14">
        <v>24516.59960322734</v>
      </c>
      <c r="J1105" s="19">
        <v>0</v>
      </c>
      <c r="K1105" s="19">
        <v>0.88204732900294391</v>
      </c>
      <c r="L1105" s="19">
        <v>0.1179526709970561</v>
      </c>
      <c r="M1105" s="20">
        <v>2</v>
      </c>
      <c r="N1105" s="19">
        <v>0.37566137492998097</v>
      </c>
      <c r="O1105" s="19">
        <v>0</v>
      </c>
      <c r="P1105" s="19">
        <v>0.50638595407296294</v>
      </c>
      <c r="Q1105" s="19">
        <v>4.5833871367239119E-2</v>
      </c>
      <c r="R1105" s="19">
        <v>6.9244156765728024E-2</v>
      </c>
      <c r="S1105" s="19">
        <v>2.8746428640889655E-3</v>
      </c>
      <c r="T1105" s="20">
        <v>21</v>
      </c>
      <c r="U1105" s="17">
        <v>2</v>
      </c>
      <c r="V1105" s="17">
        <v>34</v>
      </c>
    </row>
    <row r="1106" spans="1:22" x14ac:dyDescent="0.2">
      <c r="A1106" t="s">
        <v>3132</v>
      </c>
      <c r="B1106" t="s">
        <v>2719</v>
      </c>
      <c r="C1106" t="s">
        <v>2720</v>
      </c>
      <c r="D1106" t="s">
        <v>3127</v>
      </c>
      <c r="E1106" s="10" t="s">
        <v>3133</v>
      </c>
      <c r="F1106" s="10"/>
      <c r="G1106" s="10"/>
      <c r="H1106" s="10" t="s">
        <v>3133</v>
      </c>
      <c r="I1106" s="14">
        <v>26254.194175964221</v>
      </c>
      <c r="J1106" s="19">
        <v>0</v>
      </c>
      <c r="K1106" s="19">
        <v>0.9315170748196</v>
      </c>
      <c r="L1106" s="19">
        <v>6.8482925180400001E-2</v>
      </c>
      <c r="M1106" s="20">
        <v>2</v>
      </c>
      <c r="N1106" s="19">
        <v>0.33831975134140096</v>
      </c>
      <c r="O1106" s="19">
        <v>0</v>
      </c>
      <c r="P1106" s="19">
        <v>0.59319732347819898</v>
      </c>
      <c r="Q1106" s="19">
        <v>0</v>
      </c>
      <c r="R1106" s="19">
        <v>6.1643258237261356E-2</v>
      </c>
      <c r="S1106" s="19">
        <v>6.8396669431386595E-3</v>
      </c>
      <c r="T1106" s="20">
        <v>21</v>
      </c>
      <c r="U1106" s="17">
        <v>2</v>
      </c>
      <c r="V1106" s="17">
        <v>34</v>
      </c>
    </row>
    <row r="1107" spans="1:22" x14ac:dyDescent="0.2">
      <c r="A1107" t="s">
        <v>3134</v>
      </c>
      <c r="B1107" t="s">
        <v>2719</v>
      </c>
      <c r="C1107" t="s">
        <v>2720</v>
      </c>
      <c r="D1107" t="s">
        <v>3127</v>
      </c>
      <c r="E1107" s="10" t="s">
        <v>3135</v>
      </c>
      <c r="F1107" s="10"/>
      <c r="G1107" s="10"/>
      <c r="H1107" s="10" t="s">
        <v>3135</v>
      </c>
      <c r="I1107" s="14">
        <v>16227.721554489806</v>
      </c>
      <c r="J1107" s="19">
        <v>0</v>
      </c>
      <c r="K1107" s="19">
        <v>0.84169594363808031</v>
      </c>
      <c r="L1107" s="19">
        <v>0.15830405636191969</v>
      </c>
      <c r="M1107" s="20">
        <v>2</v>
      </c>
      <c r="N1107" s="19">
        <v>0.36932154727895983</v>
      </c>
      <c r="O1107" s="19">
        <v>0</v>
      </c>
      <c r="P1107" s="19">
        <v>0.47237439635912049</v>
      </c>
      <c r="Q1107" s="19">
        <v>7.5122703643622474E-2</v>
      </c>
      <c r="R1107" s="19">
        <v>6.9198528490207536E-2</v>
      </c>
      <c r="S1107" s="19">
        <v>1.3982824228089672E-2</v>
      </c>
      <c r="T1107" s="20">
        <v>23</v>
      </c>
      <c r="U1107" s="17">
        <v>2</v>
      </c>
      <c r="V1107" s="17">
        <v>34</v>
      </c>
    </row>
    <row r="1108" spans="1:22" x14ac:dyDescent="0.2">
      <c r="A1108" t="s">
        <v>3136</v>
      </c>
      <c r="B1108" t="s">
        <v>2719</v>
      </c>
      <c r="C1108" t="s">
        <v>2720</v>
      </c>
      <c r="D1108" t="s">
        <v>3127</v>
      </c>
      <c r="E1108" s="10" t="s">
        <v>3137</v>
      </c>
      <c r="F1108" s="10"/>
      <c r="G1108" s="10"/>
      <c r="H1108" s="10" t="s">
        <v>3137</v>
      </c>
      <c r="I1108" s="14">
        <v>24817.770225664601</v>
      </c>
      <c r="J1108" s="19">
        <v>0</v>
      </c>
      <c r="K1108" s="19">
        <v>0.93442313882405625</v>
      </c>
      <c r="L1108" s="19">
        <v>6.5576861175943718E-2</v>
      </c>
      <c r="M1108" s="20">
        <v>2</v>
      </c>
      <c r="N1108" s="19">
        <v>0.39267125648931583</v>
      </c>
      <c r="O1108" s="19">
        <v>0</v>
      </c>
      <c r="P1108" s="19">
        <v>0.54175188233474048</v>
      </c>
      <c r="Q1108" s="19">
        <v>0</v>
      </c>
      <c r="R1108" s="19">
        <v>6.2490432446943002E-2</v>
      </c>
      <c r="S1108" s="19">
        <v>3.0864287290007148E-3</v>
      </c>
      <c r="T1108" s="20">
        <v>21</v>
      </c>
      <c r="U1108" s="17">
        <v>2</v>
      </c>
      <c r="V1108" s="17">
        <v>34</v>
      </c>
    </row>
    <row r="1109" spans="1:22" x14ac:dyDescent="0.2">
      <c r="A1109" t="s">
        <v>3138</v>
      </c>
      <c r="B1109" t="s">
        <v>2719</v>
      </c>
      <c r="C1109" t="s">
        <v>2720</v>
      </c>
      <c r="D1109" t="s">
        <v>3127</v>
      </c>
      <c r="E1109" s="10" t="s">
        <v>3139</v>
      </c>
      <c r="F1109" s="10"/>
      <c r="G1109" s="10"/>
      <c r="H1109" s="10" t="s">
        <v>3139</v>
      </c>
      <c r="I1109" s="14">
        <v>7392.7905054297298</v>
      </c>
      <c r="J1109" s="19">
        <v>0</v>
      </c>
      <c r="K1109" s="19">
        <v>0</v>
      </c>
      <c r="L1109" s="19">
        <v>1</v>
      </c>
      <c r="M1109" s="20">
        <v>1</v>
      </c>
      <c r="N1109" s="19">
        <v>0</v>
      </c>
      <c r="O1109" s="19">
        <v>0</v>
      </c>
      <c r="P1109" s="19">
        <v>0</v>
      </c>
      <c r="Q1109" s="19">
        <v>0.79826365636107999</v>
      </c>
      <c r="R1109" s="19">
        <v>0.1991793035004622</v>
      </c>
      <c r="S1109" s="19">
        <v>2.5570401384577891E-3</v>
      </c>
      <c r="T1109" s="20">
        <v>13</v>
      </c>
      <c r="U1109" s="17">
        <v>2</v>
      </c>
      <c r="V1109" s="17">
        <v>34</v>
      </c>
    </row>
    <row r="1110" spans="1:22" x14ac:dyDescent="0.2">
      <c r="A1110" t="s">
        <v>3140</v>
      </c>
      <c r="B1110" t="s">
        <v>2719</v>
      </c>
      <c r="C1110" t="s">
        <v>2720</v>
      </c>
      <c r="D1110" t="s">
        <v>3127</v>
      </c>
      <c r="E1110" s="10" t="s">
        <v>3141</v>
      </c>
      <c r="F1110" s="10"/>
      <c r="G1110" s="10"/>
      <c r="H1110" s="10" t="s">
        <v>3141</v>
      </c>
      <c r="I1110" s="14">
        <v>65005.481101272628</v>
      </c>
      <c r="J1110" s="19">
        <v>0</v>
      </c>
      <c r="K1110" s="19">
        <v>0.89543059322254015</v>
      </c>
      <c r="L1110" s="19">
        <v>0.10456940677745979</v>
      </c>
      <c r="M1110" s="20">
        <v>2</v>
      </c>
      <c r="N1110" s="19">
        <v>0.58717110143952678</v>
      </c>
      <c r="O1110" s="19">
        <v>0</v>
      </c>
      <c r="P1110" s="19">
        <v>0.30825949178301348</v>
      </c>
      <c r="Q1110" s="19">
        <v>5.6328917814935466E-2</v>
      </c>
      <c r="R1110" s="19">
        <v>4.500020503805495E-2</v>
      </c>
      <c r="S1110" s="19">
        <v>3.2402839244693817E-3</v>
      </c>
      <c r="T1110" s="20">
        <v>23</v>
      </c>
      <c r="U1110" s="17">
        <v>2</v>
      </c>
      <c r="V1110" s="17">
        <v>34</v>
      </c>
    </row>
    <row r="1111" spans="1:22" x14ac:dyDescent="0.2">
      <c r="A1111" t="s">
        <v>3142</v>
      </c>
      <c r="B1111" t="s">
        <v>2719</v>
      </c>
      <c r="C1111" t="s">
        <v>2720</v>
      </c>
      <c r="D1111" t="s">
        <v>3143</v>
      </c>
      <c r="E1111" s="10" t="s">
        <v>3144</v>
      </c>
      <c r="F1111" s="10"/>
      <c r="G1111" s="10"/>
      <c r="H1111" s="10" t="s">
        <v>3144</v>
      </c>
      <c r="I1111" s="14">
        <v>11174.326485808939</v>
      </c>
      <c r="J1111" s="19">
        <v>0</v>
      </c>
      <c r="K1111" s="19">
        <v>0.74054222129162217</v>
      </c>
      <c r="L1111" s="19">
        <v>0.25945777870837783</v>
      </c>
      <c r="M1111" s="20">
        <v>2</v>
      </c>
      <c r="N1111" s="19">
        <v>0</v>
      </c>
      <c r="O1111" s="19">
        <v>0</v>
      </c>
      <c r="P1111" s="19">
        <v>0.74054222129162217</v>
      </c>
      <c r="Q1111" s="19">
        <v>0.12311270507139059</v>
      </c>
      <c r="R1111" s="19">
        <v>0.12905792207609484</v>
      </c>
      <c r="S1111" s="19">
        <v>7.2871515608923972E-3</v>
      </c>
      <c r="T1111" s="20">
        <v>21</v>
      </c>
      <c r="U1111" s="17">
        <v>2</v>
      </c>
      <c r="V1111" s="17">
        <v>34</v>
      </c>
    </row>
    <row r="1112" spans="1:22" x14ac:dyDescent="0.2">
      <c r="A1112" t="s">
        <v>3145</v>
      </c>
      <c r="B1112" t="s">
        <v>2719</v>
      </c>
      <c r="C1112" t="s">
        <v>2720</v>
      </c>
      <c r="D1112" t="s">
        <v>3143</v>
      </c>
      <c r="E1112" s="10" t="s">
        <v>3146</v>
      </c>
      <c r="F1112" s="10"/>
      <c r="G1112" s="10"/>
      <c r="H1112" s="10" t="s">
        <v>3146</v>
      </c>
      <c r="I1112" s="14">
        <v>23041.781635392923</v>
      </c>
      <c r="J1112" s="19">
        <v>0</v>
      </c>
      <c r="K1112" s="19">
        <v>0.46906632957227051</v>
      </c>
      <c r="L1112" s="19">
        <v>0.53093367042772943</v>
      </c>
      <c r="M1112" s="20">
        <v>1</v>
      </c>
      <c r="N1112" s="19">
        <v>0</v>
      </c>
      <c r="O1112" s="19">
        <v>6.4780077206909705E-3</v>
      </c>
      <c r="P1112" s="19">
        <v>0.46258832185157955</v>
      </c>
      <c r="Q1112" s="19">
        <v>0.21176231245051291</v>
      </c>
      <c r="R1112" s="19">
        <v>0.29369238464809289</v>
      </c>
      <c r="S1112" s="19">
        <v>2.5478973329123668E-2</v>
      </c>
      <c r="T1112" s="20">
        <v>12</v>
      </c>
      <c r="U1112" s="17">
        <v>2</v>
      </c>
      <c r="V1112" s="17">
        <v>34</v>
      </c>
    </row>
    <row r="1113" spans="1:22" x14ac:dyDescent="0.2">
      <c r="A1113" t="s">
        <v>3147</v>
      </c>
      <c r="B1113" t="s">
        <v>2719</v>
      </c>
      <c r="C1113" t="s">
        <v>2720</v>
      </c>
      <c r="D1113" t="s">
        <v>3143</v>
      </c>
      <c r="E1113" s="10" t="s">
        <v>3148</v>
      </c>
      <c r="F1113" s="10"/>
      <c r="G1113" s="10"/>
      <c r="H1113" s="10" t="s">
        <v>3148</v>
      </c>
      <c r="I1113" s="14">
        <v>18645.875719726086</v>
      </c>
      <c r="J1113" s="19">
        <v>0</v>
      </c>
      <c r="K1113" s="19">
        <v>0.75517620035998723</v>
      </c>
      <c r="L1113" s="19">
        <v>0.24482379964001277</v>
      </c>
      <c r="M1113" s="20">
        <v>2</v>
      </c>
      <c r="N1113" s="19">
        <v>0</v>
      </c>
      <c r="O1113" s="19">
        <v>0</v>
      </c>
      <c r="P1113" s="19">
        <v>0.75517620035998723</v>
      </c>
      <c r="Q1113" s="19">
        <v>0.11707006702973095</v>
      </c>
      <c r="R1113" s="19">
        <v>0.12060158909602528</v>
      </c>
      <c r="S1113" s="19">
        <v>7.152143514256532E-3</v>
      </c>
      <c r="T1113" s="20">
        <v>21</v>
      </c>
      <c r="U1113" s="17">
        <v>2</v>
      </c>
      <c r="V1113" s="17">
        <v>34</v>
      </c>
    </row>
    <row r="1114" spans="1:22" x14ac:dyDescent="0.2">
      <c r="A1114" t="s">
        <v>3149</v>
      </c>
      <c r="B1114" t="s">
        <v>2719</v>
      </c>
      <c r="C1114" t="s">
        <v>2720</v>
      </c>
      <c r="D1114" t="s">
        <v>3143</v>
      </c>
      <c r="E1114" s="10" t="s">
        <v>3150</v>
      </c>
      <c r="F1114" s="10"/>
      <c r="G1114" s="10"/>
      <c r="H1114" s="10" t="s">
        <v>3150</v>
      </c>
      <c r="I1114" s="14">
        <v>15809.276640802622</v>
      </c>
      <c r="J1114" s="19">
        <v>0</v>
      </c>
      <c r="K1114" s="19">
        <v>0.67892099992146804</v>
      </c>
      <c r="L1114" s="19">
        <v>0.32107900007853202</v>
      </c>
      <c r="M1114" s="20">
        <v>2</v>
      </c>
      <c r="N1114" s="19">
        <v>0</v>
      </c>
      <c r="O1114" s="19">
        <v>0</v>
      </c>
      <c r="P1114" s="19">
        <v>0.67892099992146804</v>
      </c>
      <c r="Q1114" s="19">
        <v>0.13143321572186431</v>
      </c>
      <c r="R1114" s="19">
        <v>0.18080414383988885</v>
      </c>
      <c r="S1114" s="19">
        <v>8.8416405167788328E-3</v>
      </c>
      <c r="T1114" s="20">
        <v>21</v>
      </c>
      <c r="U1114" s="17">
        <v>2</v>
      </c>
      <c r="V1114" s="17">
        <v>34</v>
      </c>
    </row>
    <row r="1115" spans="1:22" x14ac:dyDescent="0.2">
      <c r="A1115" t="s">
        <v>3151</v>
      </c>
      <c r="B1115" t="s">
        <v>2719</v>
      </c>
      <c r="C1115" t="s">
        <v>2720</v>
      </c>
      <c r="D1115" t="s">
        <v>3143</v>
      </c>
      <c r="E1115" s="10" t="s">
        <v>3152</v>
      </c>
      <c r="F1115" s="10"/>
      <c r="G1115" s="10"/>
      <c r="H1115" s="10" t="s">
        <v>3152</v>
      </c>
      <c r="I1115" s="14">
        <v>20868.148193876259</v>
      </c>
      <c r="J1115" s="19">
        <v>0.52975919967879248</v>
      </c>
      <c r="K1115" s="19">
        <v>0.22151259468354356</v>
      </c>
      <c r="L1115" s="19">
        <v>0.24872820563766398</v>
      </c>
      <c r="M1115" s="20">
        <v>3</v>
      </c>
      <c r="N1115" s="19">
        <v>0</v>
      </c>
      <c r="O1115" s="19">
        <v>0</v>
      </c>
      <c r="P1115" s="19">
        <v>0.22151259468354356</v>
      </c>
      <c r="Q1115" s="19">
        <v>0.10818838494044782</v>
      </c>
      <c r="R1115" s="19">
        <v>0.13192263379923433</v>
      </c>
      <c r="S1115" s="19">
        <v>8.6171868979818614E-3</v>
      </c>
      <c r="T1115" s="20">
        <v>30</v>
      </c>
      <c r="U1115" s="17">
        <v>2</v>
      </c>
      <c r="V1115" s="17">
        <v>34</v>
      </c>
    </row>
    <row r="1116" spans="1:22" x14ac:dyDescent="0.2">
      <c r="A1116" t="s">
        <v>3153</v>
      </c>
      <c r="B1116" t="s">
        <v>2719</v>
      </c>
      <c r="C1116" t="s">
        <v>2720</v>
      </c>
      <c r="D1116" t="s">
        <v>3143</v>
      </c>
      <c r="E1116" s="10" t="s">
        <v>3154</v>
      </c>
      <c r="F1116" s="10"/>
      <c r="G1116" s="10"/>
      <c r="H1116" s="10" t="s">
        <v>3154</v>
      </c>
      <c r="I1116" s="14">
        <v>18886.306878508069</v>
      </c>
      <c r="J1116" s="19">
        <v>0</v>
      </c>
      <c r="K1116" s="19">
        <v>8.4771834936676754E-2</v>
      </c>
      <c r="L1116" s="19">
        <v>0.91522816506332338</v>
      </c>
      <c r="M1116" s="20">
        <v>1</v>
      </c>
      <c r="N1116" s="19">
        <v>0</v>
      </c>
      <c r="O1116" s="19">
        <v>0</v>
      </c>
      <c r="P1116" s="19">
        <v>8.4771834936676754E-2</v>
      </c>
      <c r="Q1116" s="19">
        <v>0.49115094208721566</v>
      </c>
      <c r="R1116" s="19">
        <v>0.38863305521073882</v>
      </c>
      <c r="S1116" s="19">
        <v>3.5444167765368718E-2</v>
      </c>
      <c r="T1116" s="20">
        <v>13</v>
      </c>
      <c r="U1116" s="17">
        <v>2</v>
      </c>
      <c r="V1116" s="17">
        <v>34</v>
      </c>
    </row>
    <row r="1117" spans="1:22" x14ac:dyDescent="0.2">
      <c r="A1117" t="s">
        <v>3155</v>
      </c>
      <c r="B1117" t="s">
        <v>2719</v>
      </c>
      <c r="C1117" t="s">
        <v>2720</v>
      </c>
      <c r="D1117" t="s">
        <v>3143</v>
      </c>
      <c r="E1117" s="10" t="s">
        <v>3156</v>
      </c>
      <c r="F1117" s="10"/>
      <c r="G1117" s="10"/>
      <c r="H1117" s="10" t="s">
        <v>3156</v>
      </c>
      <c r="I1117" s="14">
        <v>13811.649362968281</v>
      </c>
      <c r="J1117" s="19">
        <v>0</v>
      </c>
      <c r="K1117" s="19">
        <v>0.38269134855596892</v>
      </c>
      <c r="L1117" s="19">
        <v>0.61730865144403113</v>
      </c>
      <c r="M1117" s="20">
        <v>1</v>
      </c>
      <c r="N1117" s="19">
        <v>0</v>
      </c>
      <c r="O1117" s="19">
        <v>0.38269134855596892</v>
      </c>
      <c r="P1117" s="19">
        <v>0</v>
      </c>
      <c r="Q1117" s="19">
        <v>0.22695856700326761</v>
      </c>
      <c r="R1117" s="19">
        <v>0.37114742061723577</v>
      </c>
      <c r="S1117" s="19">
        <v>1.9202663823527692E-2</v>
      </c>
      <c r="T1117" s="20">
        <v>12</v>
      </c>
      <c r="U1117" s="17">
        <v>2</v>
      </c>
      <c r="V1117" s="17">
        <v>34</v>
      </c>
    </row>
    <row r="1118" spans="1:22" x14ac:dyDescent="0.2">
      <c r="A1118" t="s">
        <v>3157</v>
      </c>
      <c r="B1118" t="s">
        <v>2719</v>
      </c>
      <c r="C1118" t="s">
        <v>2720</v>
      </c>
      <c r="D1118" t="s">
        <v>3143</v>
      </c>
      <c r="E1118" s="10" t="s">
        <v>3158</v>
      </c>
      <c r="F1118" s="10"/>
      <c r="G1118" s="10"/>
      <c r="H1118" s="10" t="s">
        <v>3158</v>
      </c>
      <c r="I1118" s="14">
        <v>25525.401676800102</v>
      </c>
      <c r="J1118" s="19">
        <v>0</v>
      </c>
      <c r="K1118" s="19">
        <v>0.88238115849076126</v>
      </c>
      <c r="L1118" s="19">
        <v>0.11761884150923868</v>
      </c>
      <c r="M1118" s="20">
        <v>2</v>
      </c>
      <c r="N1118" s="19">
        <v>0.37409299254633627</v>
      </c>
      <c r="O1118" s="19">
        <v>0</v>
      </c>
      <c r="P1118" s="19">
        <v>0.50828816594442505</v>
      </c>
      <c r="Q1118" s="19">
        <v>5.862079646835313E-2</v>
      </c>
      <c r="R1118" s="19">
        <v>5.8202258188002877E-2</v>
      </c>
      <c r="S1118" s="19">
        <v>7.957868528826723E-4</v>
      </c>
      <c r="T1118" s="20">
        <v>21</v>
      </c>
      <c r="U1118" s="17">
        <v>2</v>
      </c>
      <c r="V1118" s="17">
        <v>34</v>
      </c>
    </row>
    <row r="1119" spans="1:22" x14ac:dyDescent="0.2">
      <c r="A1119" t="s">
        <v>3159</v>
      </c>
      <c r="B1119" t="s">
        <v>2719</v>
      </c>
      <c r="C1119" t="s">
        <v>2720</v>
      </c>
      <c r="D1119" t="s">
        <v>3143</v>
      </c>
      <c r="E1119" s="10" t="s">
        <v>3160</v>
      </c>
      <c r="F1119" s="10"/>
      <c r="G1119" s="10"/>
      <c r="H1119" s="10" t="s">
        <v>3160</v>
      </c>
      <c r="I1119" s="14">
        <v>18668.881170919165</v>
      </c>
      <c r="J1119" s="19">
        <v>0</v>
      </c>
      <c r="K1119" s="19">
        <v>0.57216003607580079</v>
      </c>
      <c r="L1119" s="19">
        <v>0.42783996392419921</v>
      </c>
      <c r="M1119" s="20">
        <v>2</v>
      </c>
      <c r="N1119" s="19">
        <v>0</v>
      </c>
      <c r="O1119" s="19">
        <v>0.57216003607580079</v>
      </c>
      <c r="P1119" s="19">
        <v>0</v>
      </c>
      <c r="Q1119" s="19">
        <v>0.13529078635151365</v>
      </c>
      <c r="R1119" s="19">
        <v>0.25634718858845312</v>
      </c>
      <c r="S1119" s="19">
        <v>3.6201988984232436E-2</v>
      </c>
      <c r="T1119" s="20">
        <v>22</v>
      </c>
      <c r="U1119" s="17">
        <v>2</v>
      </c>
      <c r="V1119" s="17">
        <v>34</v>
      </c>
    </row>
    <row r="1120" spans="1:22" x14ac:dyDescent="0.2">
      <c r="A1120" t="s">
        <v>3161</v>
      </c>
      <c r="B1120" t="s">
        <v>2719</v>
      </c>
      <c r="C1120" t="s">
        <v>2720</v>
      </c>
      <c r="D1120" t="s">
        <v>3143</v>
      </c>
      <c r="E1120" s="10" t="s">
        <v>2777</v>
      </c>
      <c r="F1120" s="10"/>
      <c r="G1120" s="10"/>
      <c r="H1120" s="10" t="s">
        <v>2777</v>
      </c>
      <c r="I1120" s="14">
        <v>29706.212871134281</v>
      </c>
      <c r="J1120" s="19">
        <v>0</v>
      </c>
      <c r="K1120" s="19">
        <v>0.52937526455214556</v>
      </c>
      <c r="L1120" s="19">
        <v>0.47062473544785449</v>
      </c>
      <c r="M1120" s="20">
        <v>2</v>
      </c>
      <c r="N1120" s="19">
        <v>0</v>
      </c>
      <c r="O1120" s="19">
        <v>0</v>
      </c>
      <c r="P1120" s="19">
        <v>0.52937526455214556</v>
      </c>
      <c r="Q1120" s="19">
        <v>0.24893319236981953</v>
      </c>
      <c r="R1120" s="19">
        <v>0.20917383344751828</v>
      </c>
      <c r="S1120" s="19">
        <v>1.2517709630516669E-2</v>
      </c>
      <c r="T1120" s="20">
        <v>21</v>
      </c>
      <c r="U1120" s="17">
        <v>2</v>
      </c>
      <c r="V1120" s="17">
        <v>34</v>
      </c>
    </row>
    <row r="1121" spans="1:22" x14ac:dyDescent="0.2">
      <c r="A1121" t="s">
        <v>3162</v>
      </c>
      <c r="B1121" t="s">
        <v>2719</v>
      </c>
      <c r="C1121" t="s">
        <v>2720</v>
      </c>
      <c r="D1121" t="s">
        <v>3143</v>
      </c>
      <c r="E1121" s="10" t="s">
        <v>3163</v>
      </c>
      <c r="F1121" s="10"/>
      <c r="G1121" s="10"/>
      <c r="H1121" s="10" t="s">
        <v>3163</v>
      </c>
      <c r="I1121" s="14">
        <v>32999.201976596378</v>
      </c>
      <c r="J1121" s="19">
        <v>0</v>
      </c>
      <c r="K1121" s="19">
        <v>0.6982483081737022</v>
      </c>
      <c r="L1121" s="19">
        <v>0.3017516918262978</v>
      </c>
      <c r="M1121" s="20">
        <v>2</v>
      </c>
      <c r="N1121" s="19">
        <v>0.27819149638709334</v>
      </c>
      <c r="O1121" s="19">
        <v>0</v>
      </c>
      <c r="P1121" s="19">
        <v>0.42005681178660892</v>
      </c>
      <c r="Q1121" s="19">
        <v>0.18687151178296527</v>
      </c>
      <c r="R1121" s="19">
        <v>0.10415784904866532</v>
      </c>
      <c r="S1121" s="19">
        <v>1.0722330994667191E-2</v>
      </c>
      <c r="T1121" s="20">
        <v>23</v>
      </c>
      <c r="U1121" s="17">
        <v>2</v>
      </c>
      <c r="V1121" s="17">
        <v>34</v>
      </c>
    </row>
    <row r="1122" spans="1:22" x14ac:dyDescent="0.2">
      <c r="A1122" t="s">
        <v>3164</v>
      </c>
      <c r="B1122" t="s">
        <v>2719</v>
      </c>
      <c r="C1122" t="s">
        <v>2720</v>
      </c>
      <c r="D1122" t="s">
        <v>3143</v>
      </c>
      <c r="E1122" s="10" t="s">
        <v>3165</v>
      </c>
      <c r="F1122" s="10"/>
      <c r="G1122" s="10"/>
      <c r="H1122" s="10" t="s">
        <v>3165</v>
      </c>
      <c r="I1122" s="14">
        <v>29093.166886977851</v>
      </c>
      <c r="J1122" s="19">
        <v>0</v>
      </c>
      <c r="K1122" s="19">
        <v>0.8663782145508514</v>
      </c>
      <c r="L1122" s="19">
        <v>0.13362178544914854</v>
      </c>
      <c r="M1122" s="20">
        <v>2</v>
      </c>
      <c r="N1122" s="19">
        <v>0</v>
      </c>
      <c r="O1122" s="19">
        <v>0.13034279453207862</v>
      </c>
      <c r="P1122" s="19">
        <v>0.73603542001877287</v>
      </c>
      <c r="Q1122" s="19">
        <v>6.6927569134355271E-3</v>
      </c>
      <c r="R1122" s="19">
        <v>0.11392063660579772</v>
      </c>
      <c r="S1122" s="19">
        <v>1.3008391929915304E-2</v>
      </c>
      <c r="T1122" s="20">
        <v>21</v>
      </c>
      <c r="U1122" s="17">
        <v>2</v>
      </c>
      <c r="V1122" s="17">
        <v>34</v>
      </c>
    </row>
    <row r="1123" spans="1:22" x14ac:dyDescent="0.2">
      <c r="A1123" t="s">
        <v>3166</v>
      </c>
      <c r="B1123" t="s">
        <v>2719</v>
      </c>
      <c r="C1123" t="s">
        <v>2720</v>
      </c>
      <c r="D1123" t="s">
        <v>3143</v>
      </c>
      <c r="E1123" s="10" t="s">
        <v>2783</v>
      </c>
      <c r="F1123" s="10"/>
      <c r="G1123" s="10"/>
      <c r="H1123" s="10" t="s">
        <v>2783</v>
      </c>
      <c r="I1123" s="14">
        <v>48133.843137787539</v>
      </c>
      <c r="J1123" s="19">
        <v>0</v>
      </c>
      <c r="K1123" s="19">
        <v>0.50049743576974093</v>
      </c>
      <c r="L1123" s="19">
        <v>0.49950256423025913</v>
      </c>
      <c r="M1123" s="20">
        <v>2</v>
      </c>
      <c r="N1123" s="19">
        <v>0.12780153266720568</v>
      </c>
      <c r="O1123" s="19">
        <v>1.6618143231625516E-2</v>
      </c>
      <c r="P1123" s="19">
        <v>0.35607775987090973</v>
      </c>
      <c r="Q1123" s="19">
        <v>0.1146514814266649</v>
      </c>
      <c r="R1123" s="19">
        <v>0.35998767838837087</v>
      </c>
      <c r="S1123" s="19">
        <v>2.4863404415223327E-2</v>
      </c>
      <c r="T1123" s="20">
        <v>23</v>
      </c>
      <c r="U1123" s="17">
        <v>2</v>
      </c>
      <c r="V1123" s="17">
        <v>34</v>
      </c>
    </row>
    <row r="1124" spans="1:22" x14ac:dyDescent="0.2">
      <c r="A1124" t="s">
        <v>3167</v>
      </c>
      <c r="B1124" t="s">
        <v>2719</v>
      </c>
      <c r="C1124" t="s">
        <v>2720</v>
      </c>
      <c r="D1124" t="s">
        <v>3143</v>
      </c>
      <c r="E1124" s="10" t="s">
        <v>3168</v>
      </c>
      <c r="F1124" s="10"/>
      <c r="G1124" s="10"/>
      <c r="H1124" s="10" t="s">
        <v>3168</v>
      </c>
      <c r="I1124" s="14">
        <v>23960.319797169417</v>
      </c>
      <c r="J1124" s="19">
        <v>0</v>
      </c>
      <c r="K1124" s="19">
        <v>0.53416609473081011</v>
      </c>
      <c r="L1124" s="19">
        <v>0.46583390526919</v>
      </c>
      <c r="M1124" s="20">
        <v>2</v>
      </c>
      <c r="N1124" s="19">
        <v>0</v>
      </c>
      <c r="O1124" s="19">
        <v>0.53416609473081011</v>
      </c>
      <c r="P1124" s="19">
        <v>0</v>
      </c>
      <c r="Q1124" s="19">
        <v>0.20911821099842409</v>
      </c>
      <c r="R1124" s="19">
        <v>0.24151130186028238</v>
      </c>
      <c r="S1124" s="19">
        <v>1.520439241048346E-2</v>
      </c>
      <c r="T1124" s="20">
        <v>22</v>
      </c>
      <c r="U1124" s="17">
        <v>2</v>
      </c>
      <c r="V1124" s="17">
        <v>34</v>
      </c>
    </row>
    <row r="1125" spans="1:22" x14ac:dyDescent="0.2">
      <c r="A1125" t="s">
        <v>3169</v>
      </c>
      <c r="B1125" t="s">
        <v>2719</v>
      </c>
      <c r="C1125" t="s">
        <v>2720</v>
      </c>
      <c r="D1125" t="s">
        <v>3143</v>
      </c>
      <c r="E1125" s="10" t="s">
        <v>3170</v>
      </c>
      <c r="F1125" s="10"/>
      <c r="G1125" s="10"/>
      <c r="H1125" s="10" t="s">
        <v>3170</v>
      </c>
      <c r="I1125" s="14">
        <v>23922.524186694063</v>
      </c>
      <c r="J1125" s="19">
        <v>0</v>
      </c>
      <c r="K1125" s="19">
        <v>0.83121429463331264</v>
      </c>
      <c r="L1125" s="19">
        <v>0.16878570536668738</v>
      </c>
      <c r="M1125" s="20">
        <v>2</v>
      </c>
      <c r="N1125" s="19">
        <v>0.23403360969814307</v>
      </c>
      <c r="O1125" s="19">
        <v>0.14210149505352754</v>
      </c>
      <c r="P1125" s="19">
        <v>0.45507918988164203</v>
      </c>
      <c r="Q1125" s="19">
        <v>0</v>
      </c>
      <c r="R1125" s="19">
        <v>0.16047842407282778</v>
      </c>
      <c r="S1125" s="19">
        <v>8.3072812938595891E-3</v>
      </c>
      <c r="T1125" s="20">
        <v>23</v>
      </c>
      <c r="U1125" s="17">
        <v>2</v>
      </c>
      <c r="V1125" s="17">
        <v>34</v>
      </c>
    </row>
    <row r="1126" spans="1:22" x14ac:dyDescent="0.2">
      <c r="A1126" t="s">
        <v>3171</v>
      </c>
      <c r="B1126" t="s">
        <v>2719</v>
      </c>
      <c r="C1126" t="s">
        <v>2720</v>
      </c>
      <c r="D1126" t="s">
        <v>3143</v>
      </c>
      <c r="E1126" s="10" t="s">
        <v>3172</v>
      </c>
      <c r="F1126" s="10"/>
      <c r="G1126" s="10"/>
      <c r="H1126" s="10" t="s">
        <v>3172</v>
      </c>
      <c r="I1126" s="14">
        <v>8636.3927532201633</v>
      </c>
      <c r="J1126" s="19">
        <v>0</v>
      </c>
      <c r="K1126" s="19">
        <v>0.68388838799283458</v>
      </c>
      <c r="L1126" s="19">
        <v>0.31611161200716553</v>
      </c>
      <c r="M1126" s="20">
        <v>2</v>
      </c>
      <c r="N1126" s="19">
        <v>0</v>
      </c>
      <c r="O1126" s="19">
        <v>0</v>
      </c>
      <c r="P1126" s="19">
        <v>0.68388838799283458</v>
      </c>
      <c r="Q1126" s="19">
        <v>2.9804929845385918E-2</v>
      </c>
      <c r="R1126" s="19">
        <v>0.26741216981848664</v>
      </c>
      <c r="S1126" s="19">
        <v>1.8894512343293004E-2</v>
      </c>
      <c r="T1126" s="20">
        <v>21</v>
      </c>
      <c r="U1126" s="17">
        <v>2</v>
      </c>
      <c r="V1126" s="17">
        <v>34</v>
      </c>
    </row>
    <row r="1127" spans="1:22" x14ac:dyDescent="0.2">
      <c r="A1127" t="s">
        <v>3173</v>
      </c>
      <c r="B1127" t="s">
        <v>2719</v>
      </c>
      <c r="C1127" t="s">
        <v>2720</v>
      </c>
      <c r="D1127" t="s">
        <v>3143</v>
      </c>
      <c r="E1127" s="10" t="s">
        <v>3174</v>
      </c>
      <c r="F1127" s="10"/>
      <c r="G1127" s="10"/>
      <c r="H1127" s="10" t="s">
        <v>3174</v>
      </c>
      <c r="I1127" s="14">
        <v>17376.895375689492</v>
      </c>
      <c r="J1127" s="19">
        <v>0.19045359548129356</v>
      </c>
      <c r="K1127" s="19">
        <v>0.69156100462061243</v>
      </c>
      <c r="L1127" s="19">
        <v>0.11798539989809402</v>
      </c>
      <c r="M1127" s="20">
        <v>2</v>
      </c>
      <c r="N1127" s="19">
        <v>0</v>
      </c>
      <c r="O1127" s="19">
        <v>0</v>
      </c>
      <c r="P1127" s="19">
        <v>0.69156100462061243</v>
      </c>
      <c r="Q1127" s="19">
        <v>0</v>
      </c>
      <c r="R1127" s="19">
        <v>0.11731286677350812</v>
      </c>
      <c r="S1127" s="19">
        <v>6.7253312458590085E-4</v>
      </c>
      <c r="T1127" s="20">
        <v>21</v>
      </c>
      <c r="U1127" s="17">
        <v>2</v>
      </c>
      <c r="V1127" s="17">
        <v>34</v>
      </c>
    </row>
    <row r="1128" spans="1:22" x14ac:dyDescent="0.2">
      <c r="A1128" t="s">
        <v>3175</v>
      </c>
      <c r="B1128" t="s">
        <v>2719</v>
      </c>
      <c r="C1128" t="s">
        <v>2720</v>
      </c>
      <c r="D1128" t="s">
        <v>3143</v>
      </c>
      <c r="E1128" s="10" t="s">
        <v>3176</v>
      </c>
      <c r="F1128" s="10"/>
      <c r="G1128" s="10"/>
      <c r="H1128" s="10" t="s">
        <v>3176</v>
      </c>
      <c r="I1128" s="14">
        <v>21192.863602647558</v>
      </c>
      <c r="J1128" s="19">
        <v>0</v>
      </c>
      <c r="K1128" s="19">
        <v>0.73802726257075257</v>
      </c>
      <c r="L1128" s="19">
        <v>0.26197273742924743</v>
      </c>
      <c r="M1128" s="20">
        <v>2</v>
      </c>
      <c r="N1128" s="19">
        <v>0</v>
      </c>
      <c r="O1128" s="19">
        <v>0.73802726257075257</v>
      </c>
      <c r="P1128" s="19">
        <v>0</v>
      </c>
      <c r="Q1128" s="19">
        <v>3.0237701013885138E-2</v>
      </c>
      <c r="R1128" s="19">
        <v>0.21779789085571491</v>
      </c>
      <c r="S1128" s="19">
        <v>1.3937145559647387E-2</v>
      </c>
      <c r="T1128" s="20">
        <v>22</v>
      </c>
      <c r="U1128" s="17">
        <v>2</v>
      </c>
      <c r="V1128" s="17">
        <v>34</v>
      </c>
    </row>
    <row r="1129" spans="1:22" x14ac:dyDescent="0.2">
      <c r="A1129" t="s">
        <v>3177</v>
      </c>
      <c r="B1129" t="s">
        <v>2719</v>
      </c>
      <c r="C1129" t="s">
        <v>2720</v>
      </c>
      <c r="D1129" t="s">
        <v>3143</v>
      </c>
      <c r="E1129" s="10" t="s">
        <v>3178</v>
      </c>
      <c r="F1129" s="10"/>
      <c r="G1129" s="10"/>
      <c r="H1129" s="10" t="s">
        <v>3178</v>
      </c>
      <c r="I1129" s="14">
        <v>19769.493022809853</v>
      </c>
      <c r="J1129" s="19">
        <v>0</v>
      </c>
      <c r="K1129" s="19">
        <v>0.31619469720414006</v>
      </c>
      <c r="L1129" s="19">
        <v>0.68380530279585994</v>
      </c>
      <c r="M1129" s="20">
        <v>1</v>
      </c>
      <c r="N1129" s="19">
        <v>0</v>
      </c>
      <c r="O1129" s="19">
        <v>0.31619469720414006</v>
      </c>
      <c r="P1129" s="19">
        <v>0</v>
      </c>
      <c r="Q1129" s="19">
        <v>0.20581784419169616</v>
      </c>
      <c r="R1129" s="19">
        <v>0.42486071988620777</v>
      </c>
      <c r="S1129" s="19">
        <v>5.3126738717956035E-2</v>
      </c>
      <c r="T1129" s="20">
        <v>12</v>
      </c>
      <c r="U1129" s="17">
        <v>2</v>
      </c>
      <c r="V1129" s="17">
        <v>34</v>
      </c>
    </row>
    <row r="1130" spans="1:22" x14ac:dyDescent="0.2">
      <c r="A1130" t="s">
        <v>3179</v>
      </c>
      <c r="B1130" t="s">
        <v>2719</v>
      </c>
      <c r="C1130" t="s">
        <v>2720</v>
      </c>
      <c r="D1130" t="s">
        <v>3143</v>
      </c>
      <c r="E1130" s="10" t="s">
        <v>3180</v>
      </c>
      <c r="F1130" s="10"/>
      <c r="G1130" s="10"/>
      <c r="H1130" s="10" t="s">
        <v>3180</v>
      </c>
      <c r="I1130" s="14">
        <v>46425.145807540044</v>
      </c>
      <c r="J1130" s="19">
        <v>0.43646123435491035</v>
      </c>
      <c r="K1130" s="19">
        <v>0.53117424235579214</v>
      </c>
      <c r="L1130" s="19">
        <v>3.236452328929753E-2</v>
      </c>
      <c r="M1130" s="20">
        <v>2</v>
      </c>
      <c r="N1130" s="19">
        <v>0</v>
      </c>
      <c r="O1130" s="19">
        <v>0</v>
      </c>
      <c r="P1130" s="19">
        <v>0.53117424235579214</v>
      </c>
      <c r="Q1130" s="19">
        <v>0</v>
      </c>
      <c r="R1130" s="19">
        <v>3.189250444433759E-2</v>
      </c>
      <c r="S1130" s="19">
        <v>4.720188449599405E-4</v>
      </c>
      <c r="T1130" s="20">
        <v>21</v>
      </c>
      <c r="U1130" s="17">
        <v>2</v>
      </c>
      <c r="V1130" s="17">
        <v>34</v>
      </c>
    </row>
    <row r="1131" spans="1:22" x14ac:dyDescent="0.2">
      <c r="A1131" t="s">
        <v>3181</v>
      </c>
      <c r="B1131" t="s">
        <v>2719</v>
      </c>
      <c r="C1131" t="s">
        <v>2720</v>
      </c>
      <c r="D1131" t="s">
        <v>3143</v>
      </c>
      <c r="E1131" s="10" t="s">
        <v>3182</v>
      </c>
      <c r="F1131" s="10"/>
      <c r="G1131" s="10"/>
      <c r="H1131" s="10" t="s">
        <v>3182</v>
      </c>
      <c r="I1131" s="14">
        <v>17865.3728485303</v>
      </c>
      <c r="J1131" s="19">
        <v>0</v>
      </c>
      <c r="K1131" s="19">
        <v>0.58992650835809912</v>
      </c>
      <c r="L1131" s="19">
        <v>0.41007349164190082</v>
      </c>
      <c r="M1131" s="20">
        <v>2</v>
      </c>
      <c r="N1131" s="19">
        <v>0</v>
      </c>
      <c r="O1131" s="19">
        <v>8.584316701489085E-2</v>
      </c>
      <c r="P1131" s="19">
        <v>0.50408334134320831</v>
      </c>
      <c r="Q1131" s="19">
        <v>0.15754485479685496</v>
      </c>
      <c r="R1131" s="19">
        <v>0.24731167362499623</v>
      </c>
      <c r="S1131" s="19">
        <v>5.2169632200496458E-3</v>
      </c>
      <c r="T1131" s="20">
        <v>21</v>
      </c>
      <c r="U1131" s="17">
        <v>2</v>
      </c>
      <c r="V1131" s="17">
        <v>34</v>
      </c>
    </row>
    <row r="1132" spans="1:22" x14ac:dyDescent="0.2">
      <c r="A1132" t="s">
        <v>3183</v>
      </c>
      <c r="B1132" t="s">
        <v>2719</v>
      </c>
      <c r="C1132" t="s">
        <v>2720</v>
      </c>
      <c r="D1132" t="s">
        <v>3143</v>
      </c>
      <c r="E1132" s="10" t="s">
        <v>3184</v>
      </c>
      <c r="F1132" s="10"/>
      <c r="G1132" s="10"/>
      <c r="H1132" s="10" t="s">
        <v>3184</v>
      </c>
      <c r="I1132" s="14">
        <v>19173.48983845301</v>
      </c>
      <c r="J1132" s="19">
        <v>0</v>
      </c>
      <c r="K1132" s="19">
        <v>0.73214842880983855</v>
      </c>
      <c r="L1132" s="19">
        <v>0.26785157119016156</v>
      </c>
      <c r="M1132" s="20">
        <v>2</v>
      </c>
      <c r="N1132" s="19">
        <v>0</v>
      </c>
      <c r="O1132" s="19">
        <v>0</v>
      </c>
      <c r="P1132" s="19">
        <v>0.73214842880983855</v>
      </c>
      <c r="Q1132" s="19">
        <v>6.8481881169106709E-2</v>
      </c>
      <c r="R1132" s="19">
        <v>0.18303310671642425</v>
      </c>
      <c r="S1132" s="19">
        <v>1.63365833046306E-2</v>
      </c>
      <c r="T1132" s="20">
        <v>21</v>
      </c>
      <c r="U1132" s="17">
        <v>2</v>
      </c>
      <c r="V1132" s="17">
        <v>34</v>
      </c>
    </row>
    <row r="1133" spans="1:22" x14ac:dyDescent="0.2">
      <c r="A1133" t="s">
        <v>3185</v>
      </c>
      <c r="B1133" t="s">
        <v>2719</v>
      </c>
      <c r="C1133" t="s">
        <v>2720</v>
      </c>
      <c r="D1133" t="s">
        <v>3143</v>
      </c>
      <c r="E1133" s="10" t="s">
        <v>3186</v>
      </c>
      <c r="F1133" s="10"/>
      <c r="G1133" s="10"/>
      <c r="H1133" s="10" t="s">
        <v>3186</v>
      </c>
      <c r="I1133" s="14">
        <v>27112.916230944917</v>
      </c>
      <c r="J1133" s="19">
        <v>0</v>
      </c>
      <c r="K1133" s="19">
        <v>0.52097214733667319</v>
      </c>
      <c r="L1133" s="19">
        <v>0.47902785266332676</v>
      </c>
      <c r="M1133" s="20">
        <v>2</v>
      </c>
      <c r="N1133" s="19">
        <v>0.35368390530537752</v>
      </c>
      <c r="O1133" s="19">
        <v>0</v>
      </c>
      <c r="P1133" s="19">
        <v>0.16728824203129566</v>
      </c>
      <c r="Q1133" s="19">
        <v>0.30153686216985842</v>
      </c>
      <c r="R1133" s="19">
        <v>0.16155269654171153</v>
      </c>
      <c r="S1133" s="19">
        <v>1.5938293951756853E-2</v>
      </c>
      <c r="T1133" s="20">
        <v>23</v>
      </c>
      <c r="U1133" s="17">
        <v>2</v>
      </c>
      <c r="V1133" s="17">
        <v>34</v>
      </c>
    </row>
    <row r="1134" spans="1:22" x14ac:dyDescent="0.2">
      <c r="A1134" t="s">
        <v>3187</v>
      </c>
      <c r="B1134" t="s">
        <v>2719</v>
      </c>
      <c r="C1134" t="s">
        <v>2720</v>
      </c>
      <c r="D1134" t="s">
        <v>3143</v>
      </c>
      <c r="E1134" s="10" t="s">
        <v>3188</v>
      </c>
      <c r="F1134" s="10"/>
      <c r="G1134" s="10"/>
      <c r="H1134" s="10" t="s">
        <v>3188</v>
      </c>
      <c r="I1134" s="14">
        <v>33702.160551165231</v>
      </c>
      <c r="J1134" s="19">
        <v>0</v>
      </c>
      <c r="K1134" s="19">
        <v>0.72669083302899018</v>
      </c>
      <c r="L1134" s="19">
        <v>0.27330916697100988</v>
      </c>
      <c r="M1134" s="20">
        <v>2</v>
      </c>
      <c r="N1134" s="19">
        <v>0</v>
      </c>
      <c r="O1134" s="19">
        <v>7.7112918428202948E-2</v>
      </c>
      <c r="P1134" s="19">
        <v>0.64957791460078718</v>
      </c>
      <c r="Q1134" s="19">
        <v>8.6665340467144344E-2</v>
      </c>
      <c r="R1134" s="19">
        <v>0.17668721320239217</v>
      </c>
      <c r="S1134" s="19">
        <v>9.9566133014733493E-3</v>
      </c>
      <c r="T1134" s="20">
        <v>21</v>
      </c>
      <c r="U1134" s="17">
        <v>2</v>
      </c>
      <c r="V1134" s="17">
        <v>34</v>
      </c>
    </row>
    <row r="1135" spans="1:22" x14ac:dyDescent="0.2">
      <c r="A1135" t="s">
        <v>3189</v>
      </c>
      <c r="B1135" t="s">
        <v>2719</v>
      </c>
      <c r="C1135" t="s">
        <v>2720</v>
      </c>
      <c r="D1135" t="s">
        <v>3143</v>
      </c>
      <c r="E1135" s="10" t="s">
        <v>3190</v>
      </c>
      <c r="F1135" s="10"/>
      <c r="G1135" s="10"/>
      <c r="H1135" s="10" t="s">
        <v>3190</v>
      </c>
      <c r="I1135" s="14">
        <v>45913.98990715947</v>
      </c>
      <c r="J1135" s="19">
        <v>0</v>
      </c>
      <c r="K1135" s="19">
        <v>0.80961400988341548</v>
      </c>
      <c r="L1135" s="19">
        <v>0.19038599011658452</v>
      </c>
      <c r="M1135" s="20">
        <v>2</v>
      </c>
      <c r="N1135" s="19">
        <v>0</v>
      </c>
      <c r="O1135" s="19">
        <v>0.14166631771224053</v>
      </c>
      <c r="P1135" s="19">
        <v>0.667947692171175</v>
      </c>
      <c r="Q1135" s="19">
        <v>5.9412653982545714E-2</v>
      </c>
      <c r="R1135" s="19">
        <v>0.12542451781912925</v>
      </c>
      <c r="S1135" s="19">
        <v>5.5488183149095573E-3</v>
      </c>
      <c r="T1135" s="20">
        <v>21</v>
      </c>
      <c r="U1135" s="17">
        <v>2</v>
      </c>
      <c r="V1135" s="17">
        <v>34</v>
      </c>
    </row>
    <row r="1136" spans="1:22" x14ac:dyDescent="0.2">
      <c r="A1136" t="s">
        <v>3191</v>
      </c>
      <c r="B1136" t="s">
        <v>2719</v>
      </c>
      <c r="C1136" t="s">
        <v>2720</v>
      </c>
      <c r="D1136" t="s">
        <v>3143</v>
      </c>
      <c r="E1136" s="10" t="s">
        <v>3192</v>
      </c>
      <c r="F1136" s="10"/>
      <c r="G1136" s="10"/>
      <c r="H1136" s="10" t="s">
        <v>3192</v>
      </c>
      <c r="I1136" s="14">
        <v>35755.194975731894</v>
      </c>
      <c r="J1136" s="19">
        <v>0</v>
      </c>
      <c r="K1136" s="19">
        <v>0.79526596010239436</v>
      </c>
      <c r="L1136" s="19">
        <v>0.20473403989760558</v>
      </c>
      <c r="M1136" s="20">
        <v>2</v>
      </c>
      <c r="N1136" s="19">
        <v>0.33623277991764644</v>
      </c>
      <c r="O1136" s="19">
        <v>0</v>
      </c>
      <c r="P1136" s="19">
        <v>0.45903318018474798</v>
      </c>
      <c r="Q1136" s="19">
        <v>4.9623729108793181E-2</v>
      </c>
      <c r="R1136" s="19">
        <v>0.14631683540519849</v>
      </c>
      <c r="S1136" s="19">
        <v>8.793475383613936E-3</v>
      </c>
      <c r="T1136" s="20">
        <v>23</v>
      </c>
      <c r="U1136" s="17">
        <v>2</v>
      </c>
      <c r="V1136" s="17">
        <v>34</v>
      </c>
    </row>
    <row r="1137" spans="1:22" x14ac:dyDescent="0.2">
      <c r="A1137" t="s">
        <v>3193</v>
      </c>
      <c r="B1137" t="s">
        <v>2719</v>
      </c>
      <c r="C1137" t="s">
        <v>2720</v>
      </c>
      <c r="D1137" t="s">
        <v>3143</v>
      </c>
      <c r="E1137" s="10" t="s">
        <v>3194</v>
      </c>
      <c r="F1137" s="10"/>
      <c r="G1137" s="10"/>
      <c r="H1137" s="10" t="s">
        <v>3194</v>
      </c>
      <c r="I1137" s="14">
        <v>28190.438763972372</v>
      </c>
      <c r="J1137" s="19">
        <v>0</v>
      </c>
      <c r="K1137" s="19">
        <v>0.58329153904740982</v>
      </c>
      <c r="L1137" s="19">
        <v>0.41670846095259023</v>
      </c>
      <c r="M1137" s="20">
        <v>2</v>
      </c>
      <c r="N1137" s="19">
        <v>0</v>
      </c>
      <c r="O1137" s="19">
        <v>0</v>
      </c>
      <c r="P1137" s="19">
        <v>0.58329153904740982</v>
      </c>
      <c r="Q1137" s="19">
        <v>0.24908971502436569</v>
      </c>
      <c r="R1137" s="19">
        <v>0.15204749283458299</v>
      </c>
      <c r="S1137" s="19">
        <v>1.557125309364153E-2</v>
      </c>
      <c r="T1137" s="20">
        <v>21</v>
      </c>
      <c r="U1137" s="17">
        <v>2</v>
      </c>
      <c r="V1137" s="17">
        <v>34</v>
      </c>
    </row>
    <row r="1138" spans="1:22" x14ac:dyDescent="0.2">
      <c r="A1138" t="s">
        <v>3195</v>
      </c>
      <c r="B1138" t="s">
        <v>2719</v>
      </c>
      <c r="C1138" t="s">
        <v>2720</v>
      </c>
      <c r="D1138" t="s">
        <v>3143</v>
      </c>
      <c r="E1138" s="10" t="s">
        <v>3196</v>
      </c>
      <c r="F1138" s="10"/>
      <c r="G1138" s="10"/>
      <c r="H1138" s="10" t="s">
        <v>3196</v>
      </c>
      <c r="I1138" s="14">
        <v>14572.991765249986</v>
      </c>
      <c r="J1138" s="19">
        <v>0</v>
      </c>
      <c r="K1138" s="19">
        <v>0.97714775086389638</v>
      </c>
      <c r="L1138" s="19">
        <v>2.2852249136103456E-2</v>
      </c>
      <c r="M1138" s="20">
        <v>2</v>
      </c>
      <c r="N1138" s="19">
        <v>0</v>
      </c>
      <c r="O1138" s="19">
        <v>0</v>
      </c>
      <c r="P1138" s="19">
        <v>0.97714775086389638</v>
      </c>
      <c r="Q1138" s="19">
        <v>0</v>
      </c>
      <c r="R1138" s="19">
        <v>1.8277133845240143E-2</v>
      </c>
      <c r="S1138" s="19">
        <v>4.575115290863312E-3</v>
      </c>
      <c r="T1138" s="20">
        <v>21</v>
      </c>
      <c r="U1138" s="17">
        <v>2</v>
      </c>
      <c r="V1138" s="17">
        <v>34</v>
      </c>
    </row>
    <row r="1139" spans="1:22" x14ac:dyDescent="0.2">
      <c r="A1139" t="s">
        <v>3197</v>
      </c>
      <c r="B1139" t="s">
        <v>2719</v>
      </c>
      <c r="C1139" t="s">
        <v>2720</v>
      </c>
      <c r="D1139" t="s">
        <v>3143</v>
      </c>
      <c r="E1139" s="10" t="s">
        <v>3198</v>
      </c>
      <c r="F1139" s="10"/>
      <c r="G1139" s="10"/>
      <c r="H1139" s="10" t="s">
        <v>3198</v>
      </c>
      <c r="I1139" s="14">
        <v>18034.372252115048</v>
      </c>
      <c r="J1139" s="19">
        <v>0</v>
      </c>
      <c r="K1139" s="19">
        <v>0.90571905816951725</v>
      </c>
      <c r="L1139" s="19">
        <v>9.4280941830482787E-2</v>
      </c>
      <c r="M1139" s="20">
        <v>2</v>
      </c>
      <c r="N1139" s="19">
        <v>0.30279630869530233</v>
      </c>
      <c r="O1139" s="19">
        <v>0</v>
      </c>
      <c r="P1139" s="19">
        <v>0.60292274947421487</v>
      </c>
      <c r="Q1139" s="19">
        <v>0</v>
      </c>
      <c r="R1139" s="19">
        <v>9.4055720804799348E-2</v>
      </c>
      <c r="S1139" s="19">
        <v>2.2522102568342682E-4</v>
      </c>
      <c r="T1139" s="20">
        <v>21</v>
      </c>
      <c r="U1139" s="17">
        <v>2</v>
      </c>
      <c r="V1139" s="17">
        <v>34</v>
      </c>
    </row>
    <row r="1140" spans="1:22" x14ac:dyDescent="0.2">
      <c r="A1140" t="s">
        <v>3199</v>
      </c>
      <c r="B1140" t="s">
        <v>2719</v>
      </c>
      <c r="C1140" t="s">
        <v>2720</v>
      </c>
      <c r="D1140" t="s">
        <v>3143</v>
      </c>
      <c r="E1140" s="10" t="s">
        <v>3200</v>
      </c>
      <c r="F1140" s="10"/>
      <c r="G1140" s="10"/>
      <c r="H1140" s="10" t="s">
        <v>3200</v>
      </c>
      <c r="I1140" s="14">
        <v>17802.432675396092</v>
      </c>
      <c r="J1140" s="19">
        <v>0</v>
      </c>
      <c r="K1140" s="19">
        <v>0.73084604072933623</v>
      </c>
      <c r="L1140" s="19">
        <v>0.26915395927066382</v>
      </c>
      <c r="M1140" s="20">
        <v>2</v>
      </c>
      <c r="N1140" s="19">
        <v>0</v>
      </c>
      <c r="O1140" s="19">
        <v>0.12507663418506837</v>
      </c>
      <c r="P1140" s="19">
        <v>0.60576940654426781</v>
      </c>
      <c r="Q1140" s="19">
        <v>3.5010689572339264E-2</v>
      </c>
      <c r="R1140" s="19">
        <v>0.22223930593997951</v>
      </c>
      <c r="S1140" s="19">
        <v>1.1903963758345024E-2</v>
      </c>
      <c r="T1140" s="20">
        <v>21</v>
      </c>
      <c r="U1140" s="17">
        <v>2</v>
      </c>
      <c r="V1140" s="17">
        <v>34</v>
      </c>
    </row>
    <row r="1141" spans="1:22" x14ac:dyDescent="0.2">
      <c r="A1141" t="s">
        <v>3201</v>
      </c>
      <c r="B1141" t="s">
        <v>2719</v>
      </c>
      <c r="C1141" t="s">
        <v>2720</v>
      </c>
      <c r="D1141" t="s">
        <v>3143</v>
      </c>
      <c r="E1141" s="10" t="s">
        <v>3202</v>
      </c>
      <c r="F1141" s="10"/>
      <c r="G1141" s="10"/>
      <c r="H1141" s="10" t="s">
        <v>3202</v>
      </c>
      <c r="I1141" s="14">
        <v>46869.306376682594</v>
      </c>
      <c r="J1141" s="19">
        <v>0</v>
      </c>
      <c r="K1141" s="19">
        <v>0.81145061602270319</v>
      </c>
      <c r="L1141" s="19">
        <v>0.18854938397729679</v>
      </c>
      <c r="M1141" s="20">
        <v>2</v>
      </c>
      <c r="N1141" s="19">
        <v>0.12898442194246307</v>
      </c>
      <c r="O1141" s="19">
        <v>0</v>
      </c>
      <c r="P1141" s="19">
        <v>0.68246619408024012</v>
      </c>
      <c r="Q1141" s="19">
        <v>2.8736918349470578E-2</v>
      </c>
      <c r="R1141" s="19">
        <v>0.15448667267972749</v>
      </c>
      <c r="S1141" s="19">
        <v>5.3257929480987082E-3</v>
      </c>
      <c r="T1141" s="20">
        <v>21</v>
      </c>
      <c r="U1141" s="17">
        <v>2</v>
      </c>
      <c r="V1141" s="17">
        <v>34</v>
      </c>
    </row>
    <row r="1142" spans="1:22" x14ac:dyDescent="0.2">
      <c r="A1142" t="s">
        <v>3203</v>
      </c>
      <c r="B1142" t="s">
        <v>2719</v>
      </c>
      <c r="C1142" t="s">
        <v>2720</v>
      </c>
      <c r="D1142" t="s">
        <v>3143</v>
      </c>
      <c r="E1142" s="10" t="s">
        <v>3062</v>
      </c>
      <c r="F1142" s="10"/>
      <c r="G1142" s="10"/>
      <c r="H1142" s="10" t="s">
        <v>3062</v>
      </c>
      <c r="I1142" s="14">
        <v>29824.775090577081</v>
      </c>
      <c r="J1142" s="19">
        <v>0</v>
      </c>
      <c r="K1142" s="19">
        <v>0.79110345492516121</v>
      </c>
      <c r="L1142" s="19">
        <v>0.20889654507483871</v>
      </c>
      <c r="M1142" s="20">
        <v>2</v>
      </c>
      <c r="N1142" s="19">
        <v>0</v>
      </c>
      <c r="O1142" s="19">
        <v>0</v>
      </c>
      <c r="P1142" s="19">
        <v>0.79110345492516121</v>
      </c>
      <c r="Q1142" s="19">
        <v>0</v>
      </c>
      <c r="R1142" s="19">
        <v>0.19425423568314282</v>
      </c>
      <c r="S1142" s="19">
        <v>1.4642309391695927E-2</v>
      </c>
      <c r="T1142" s="20">
        <v>21</v>
      </c>
      <c r="U1142" s="17">
        <v>2</v>
      </c>
      <c r="V1142" s="17">
        <v>34</v>
      </c>
    </row>
    <row r="1143" spans="1:22" x14ac:dyDescent="0.2">
      <c r="A1143" t="s">
        <v>3204</v>
      </c>
      <c r="B1143" t="s">
        <v>2719</v>
      </c>
      <c r="C1143" t="s">
        <v>2720</v>
      </c>
      <c r="D1143" t="s">
        <v>3143</v>
      </c>
      <c r="E1143" s="10" t="s">
        <v>3205</v>
      </c>
      <c r="F1143" s="10"/>
      <c r="G1143" s="10"/>
      <c r="H1143" s="10" t="s">
        <v>3205</v>
      </c>
      <c r="I1143" s="14">
        <v>25416.476063612849</v>
      </c>
      <c r="J1143" s="19">
        <v>0</v>
      </c>
      <c r="K1143" s="19">
        <v>0.854545662488571</v>
      </c>
      <c r="L1143" s="19">
        <v>0.14545433751142905</v>
      </c>
      <c r="M1143" s="20">
        <v>2</v>
      </c>
      <c r="N1143" s="19">
        <v>0.31841959966539474</v>
      </c>
      <c r="O1143" s="19">
        <v>0</v>
      </c>
      <c r="P1143" s="19">
        <v>0.53612606282317621</v>
      </c>
      <c r="Q1143" s="19">
        <v>2.9651955192052507E-2</v>
      </c>
      <c r="R1143" s="19">
        <v>0.10970739306892845</v>
      </c>
      <c r="S1143" s="19">
        <v>6.0949892504481044E-3</v>
      </c>
      <c r="T1143" s="20">
        <v>21</v>
      </c>
      <c r="U1143" s="17">
        <v>2</v>
      </c>
      <c r="V1143" s="17">
        <v>34</v>
      </c>
    </row>
    <row r="1144" spans="1:22" x14ac:dyDescent="0.2">
      <c r="A1144" t="s">
        <v>3206</v>
      </c>
      <c r="B1144" t="s">
        <v>2719</v>
      </c>
      <c r="C1144" t="s">
        <v>2720</v>
      </c>
      <c r="D1144" t="s">
        <v>3143</v>
      </c>
      <c r="E1144" s="10" t="s">
        <v>3207</v>
      </c>
      <c r="F1144" s="10"/>
      <c r="G1144" s="10"/>
      <c r="H1144" s="10" t="s">
        <v>3207</v>
      </c>
      <c r="I1144" s="14">
        <v>34899.382779883221</v>
      </c>
      <c r="J1144" s="19">
        <v>0</v>
      </c>
      <c r="K1144" s="19">
        <v>0.92667668025504957</v>
      </c>
      <c r="L1144" s="19">
        <v>7.3323319744950391E-2</v>
      </c>
      <c r="M1144" s="20">
        <v>2</v>
      </c>
      <c r="N1144" s="19">
        <v>0.25146215666290894</v>
      </c>
      <c r="O1144" s="19">
        <v>0</v>
      </c>
      <c r="P1144" s="19">
        <v>0.67521452359214063</v>
      </c>
      <c r="Q1144" s="19">
        <v>0</v>
      </c>
      <c r="R1144" s="19">
        <v>7.2709349178318256E-2</v>
      </c>
      <c r="S1144" s="19">
        <v>6.139705666321309E-4</v>
      </c>
      <c r="T1144" s="20">
        <v>21</v>
      </c>
      <c r="U1144" s="17">
        <v>2</v>
      </c>
      <c r="V1144" s="17">
        <v>34</v>
      </c>
    </row>
    <row r="1145" spans="1:22" x14ac:dyDescent="0.2">
      <c r="A1145" t="s">
        <v>3208</v>
      </c>
      <c r="B1145" t="s">
        <v>2719</v>
      </c>
      <c r="C1145" t="s">
        <v>2720</v>
      </c>
      <c r="D1145" t="s">
        <v>3143</v>
      </c>
      <c r="E1145" s="10" t="s">
        <v>2758</v>
      </c>
      <c r="F1145" s="10"/>
      <c r="G1145" s="10"/>
      <c r="H1145" s="10" t="s">
        <v>2758</v>
      </c>
      <c r="I1145" s="14">
        <v>28766.861090313178</v>
      </c>
      <c r="J1145" s="19">
        <v>0</v>
      </c>
      <c r="K1145" s="19">
        <v>0.60661732266474422</v>
      </c>
      <c r="L1145" s="19">
        <v>0.39338267733525578</v>
      </c>
      <c r="M1145" s="20">
        <v>2</v>
      </c>
      <c r="N1145" s="19">
        <v>0</v>
      </c>
      <c r="O1145" s="19">
        <v>0.60661732266474422</v>
      </c>
      <c r="P1145" s="19">
        <v>0</v>
      </c>
      <c r="Q1145" s="19">
        <v>9.5914615361370234E-2</v>
      </c>
      <c r="R1145" s="19">
        <v>0.27573238109223253</v>
      </c>
      <c r="S1145" s="19">
        <v>2.1735680881653036E-2</v>
      </c>
      <c r="T1145" s="20">
        <v>22</v>
      </c>
      <c r="U1145" s="17">
        <v>2</v>
      </c>
      <c r="V1145" s="17">
        <v>34</v>
      </c>
    </row>
    <row r="1146" spans="1:22" x14ac:dyDescent="0.2">
      <c r="A1146" t="s">
        <v>3209</v>
      </c>
      <c r="B1146" t="s">
        <v>2719</v>
      </c>
      <c r="C1146" t="s">
        <v>2720</v>
      </c>
      <c r="D1146" t="s">
        <v>3143</v>
      </c>
      <c r="E1146" s="10" t="s">
        <v>3210</v>
      </c>
      <c r="F1146" s="10"/>
      <c r="G1146" s="10"/>
      <c r="H1146" s="10" t="s">
        <v>3210</v>
      </c>
      <c r="I1146" s="14">
        <v>21930.591223387048</v>
      </c>
      <c r="J1146" s="19">
        <v>0</v>
      </c>
      <c r="K1146" s="19">
        <v>0.77436121105597222</v>
      </c>
      <c r="L1146" s="19">
        <v>0.22563878894402772</v>
      </c>
      <c r="M1146" s="20">
        <v>2</v>
      </c>
      <c r="N1146" s="19">
        <v>0</v>
      </c>
      <c r="O1146" s="19">
        <v>0</v>
      </c>
      <c r="P1146" s="19">
        <v>0.77436121105597222</v>
      </c>
      <c r="Q1146" s="19">
        <v>0.13813811939422488</v>
      </c>
      <c r="R1146" s="19">
        <v>8.5634590839169689E-2</v>
      </c>
      <c r="S1146" s="19">
        <v>1.8660787106331549E-3</v>
      </c>
      <c r="T1146" s="20">
        <v>21</v>
      </c>
      <c r="U1146" s="17">
        <v>2</v>
      </c>
      <c r="V1146" s="17">
        <v>34</v>
      </c>
    </row>
    <row r="1147" spans="1:22" x14ac:dyDescent="0.2">
      <c r="A1147" t="s">
        <v>3211</v>
      </c>
      <c r="B1147" t="s">
        <v>2719</v>
      </c>
      <c r="C1147" t="s">
        <v>2720</v>
      </c>
      <c r="D1147" t="s">
        <v>3143</v>
      </c>
      <c r="E1147" s="10" t="s">
        <v>3212</v>
      </c>
      <c r="F1147" s="10"/>
      <c r="G1147" s="10"/>
      <c r="H1147" s="10" t="s">
        <v>3212</v>
      </c>
      <c r="I1147" s="14">
        <v>22742.53625032492</v>
      </c>
      <c r="J1147" s="19">
        <v>0</v>
      </c>
      <c r="K1147" s="19">
        <v>0.5310492937172937</v>
      </c>
      <c r="L1147" s="19">
        <v>0.46895070628270624</v>
      </c>
      <c r="M1147" s="20">
        <v>2</v>
      </c>
      <c r="N1147" s="19">
        <v>0</v>
      </c>
      <c r="O1147" s="19">
        <v>0.5310492937172937</v>
      </c>
      <c r="P1147" s="19">
        <v>0</v>
      </c>
      <c r="Q1147" s="19">
        <v>9.0781909976247313E-2</v>
      </c>
      <c r="R1147" s="19">
        <v>0.36435482148806914</v>
      </c>
      <c r="S1147" s="19">
        <v>1.381397481838981E-2</v>
      </c>
      <c r="T1147" s="20">
        <v>22</v>
      </c>
      <c r="U1147" s="17">
        <v>2</v>
      </c>
      <c r="V1147" s="17">
        <v>34</v>
      </c>
    </row>
    <row r="1148" spans="1:22" x14ac:dyDescent="0.2">
      <c r="A1148" t="s">
        <v>3213</v>
      </c>
      <c r="B1148" t="s">
        <v>2719</v>
      </c>
      <c r="C1148" t="s">
        <v>2720</v>
      </c>
      <c r="D1148" t="s">
        <v>3143</v>
      </c>
      <c r="E1148" s="10" t="s">
        <v>2762</v>
      </c>
      <c r="F1148" s="10"/>
      <c r="G1148" s="10"/>
      <c r="H1148" s="10" t="s">
        <v>2762</v>
      </c>
      <c r="I1148" s="14">
        <v>9764.5500439535826</v>
      </c>
      <c r="J1148" s="19">
        <v>0</v>
      </c>
      <c r="K1148" s="19">
        <v>0.45020105429073737</v>
      </c>
      <c r="L1148" s="19">
        <v>0.54979894570926269</v>
      </c>
      <c r="M1148" s="20">
        <v>1</v>
      </c>
      <c r="N1148" s="19">
        <v>0</v>
      </c>
      <c r="O1148" s="19">
        <v>0.3667671433227121</v>
      </c>
      <c r="P1148" s="19">
        <v>8.3433910968025257E-2</v>
      </c>
      <c r="Q1148" s="19">
        <v>6.2474443424709328E-2</v>
      </c>
      <c r="R1148" s="19">
        <v>0.44939994694035507</v>
      </c>
      <c r="S1148" s="19">
        <v>3.7924555344198238E-2</v>
      </c>
      <c r="T1148" s="20">
        <v>12</v>
      </c>
      <c r="U1148" s="17">
        <v>2</v>
      </c>
      <c r="V1148" s="17">
        <v>34</v>
      </c>
    </row>
    <row r="1149" spans="1:22" x14ac:dyDescent="0.2">
      <c r="A1149" t="s">
        <v>3214</v>
      </c>
      <c r="B1149" t="s">
        <v>2719</v>
      </c>
      <c r="C1149" t="s">
        <v>2720</v>
      </c>
      <c r="D1149" t="s">
        <v>3143</v>
      </c>
      <c r="E1149" s="10" t="s">
        <v>3215</v>
      </c>
      <c r="F1149" s="10"/>
      <c r="G1149" s="10"/>
      <c r="H1149" s="10" t="s">
        <v>3215</v>
      </c>
      <c r="I1149" s="14">
        <v>27287.442734165579</v>
      </c>
      <c r="J1149" s="19">
        <v>0</v>
      </c>
      <c r="K1149" s="19">
        <v>0.50100676339784678</v>
      </c>
      <c r="L1149" s="19">
        <v>0.49899323660215339</v>
      </c>
      <c r="M1149" s="20">
        <v>2</v>
      </c>
      <c r="N1149" s="19">
        <v>0</v>
      </c>
      <c r="O1149" s="19">
        <v>1.1473196721580658E-2</v>
      </c>
      <c r="P1149" s="19">
        <v>0.48953356667626619</v>
      </c>
      <c r="Q1149" s="19">
        <v>8.6401863290095415E-2</v>
      </c>
      <c r="R1149" s="19">
        <v>0.39636211359611867</v>
      </c>
      <c r="S1149" s="19">
        <v>1.6229259715939207E-2</v>
      </c>
      <c r="T1149" s="20">
        <v>22</v>
      </c>
      <c r="U1149" s="17">
        <v>2</v>
      </c>
      <c r="V1149" s="17">
        <v>34</v>
      </c>
    </row>
    <row r="1150" spans="1:22" x14ac:dyDescent="0.2">
      <c r="A1150" t="s">
        <v>3216</v>
      </c>
      <c r="B1150" t="s">
        <v>2719</v>
      </c>
      <c r="C1150" t="s">
        <v>2720</v>
      </c>
      <c r="D1150" t="s">
        <v>3143</v>
      </c>
      <c r="E1150" s="10" t="s">
        <v>3217</v>
      </c>
      <c r="F1150" s="10"/>
      <c r="G1150" s="10"/>
      <c r="H1150" s="10" t="s">
        <v>3217</v>
      </c>
      <c r="I1150" s="14">
        <v>10431.435226678848</v>
      </c>
      <c r="J1150" s="19">
        <v>0</v>
      </c>
      <c r="K1150" s="19">
        <v>0.47940965330908891</v>
      </c>
      <c r="L1150" s="19">
        <v>0.52059034669091109</v>
      </c>
      <c r="M1150" s="20">
        <v>1</v>
      </c>
      <c r="N1150" s="19">
        <v>0</v>
      </c>
      <c r="O1150" s="19">
        <v>0.4756353957819564</v>
      </c>
      <c r="P1150" s="19">
        <v>3.7742575271325299E-3</v>
      </c>
      <c r="Q1150" s="19">
        <v>0.12408653077534104</v>
      </c>
      <c r="R1150" s="19">
        <v>0.37170608957913198</v>
      </c>
      <c r="S1150" s="19">
        <v>2.4797726336438102E-2</v>
      </c>
      <c r="T1150" s="20">
        <v>12</v>
      </c>
      <c r="U1150" s="17">
        <v>2</v>
      </c>
      <c r="V1150" s="17">
        <v>34</v>
      </c>
    </row>
    <row r="1151" spans="1:22" x14ac:dyDescent="0.2">
      <c r="A1151" t="s">
        <v>3218</v>
      </c>
      <c r="B1151" t="s">
        <v>2719</v>
      </c>
      <c r="C1151" t="s">
        <v>2720</v>
      </c>
      <c r="D1151" t="s">
        <v>3143</v>
      </c>
      <c r="E1151" s="10" t="s">
        <v>3219</v>
      </c>
      <c r="F1151" s="10"/>
      <c r="G1151" s="10"/>
      <c r="H1151" s="10" t="s">
        <v>3219</v>
      </c>
      <c r="I1151" s="14">
        <v>24939.755046586506</v>
      </c>
      <c r="J1151" s="19">
        <v>0</v>
      </c>
      <c r="K1151" s="19">
        <v>0.66453363614558014</v>
      </c>
      <c r="L1151" s="19">
        <v>0.3354663638544198</v>
      </c>
      <c r="M1151" s="20">
        <v>2</v>
      </c>
      <c r="N1151" s="19">
        <v>0</v>
      </c>
      <c r="O1151" s="19">
        <v>0.66191505441679033</v>
      </c>
      <c r="P1151" s="19">
        <v>2.6185817287898167E-3</v>
      </c>
      <c r="Q1151" s="19">
        <v>0.14988748983489353</v>
      </c>
      <c r="R1151" s="19">
        <v>0.16973822669463268</v>
      </c>
      <c r="S1151" s="19">
        <v>1.5840647324893611E-2</v>
      </c>
      <c r="T1151" s="20">
        <v>22</v>
      </c>
      <c r="U1151" s="17">
        <v>2</v>
      </c>
      <c r="V1151" s="17">
        <v>34</v>
      </c>
    </row>
    <row r="1152" spans="1:22" x14ac:dyDescent="0.2">
      <c r="A1152" t="s">
        <v>3220</v>
      </c>
      <c r="B1152" t="s">
        <v>2719</v>
      </c>
      <c r="C1152" t="s">
        <v>2720</v>
      </c>
      <c r="D1152" t="s">
        <v>3143</v>
      </c>
      <c r="E1152" s="10" t="s">
        <v>3221</v>
      </c>
      <c r="F1152" s="10"/>
      <c r="G1152" s="10"/>
      <c r="H1152" s="10" t="s">
        <v>3221</v>
      </c>
      <c r="I1152" s="14">
        <v>6962.3764451462775</v>
      </c>
      <c r="J1152" s="19">
        <v>0</v>
      </c>
      <c r="K1152" s="19">
        <v>0.56483831278451568</v>
      </c>
      <c r="L1152" s="19">
        <v>0.43516168721548432</v>
      </c>
      <c r="M1152" s="20">
        <v>2</v>
      </c>
      <c r="N1152" s="19">
        <v>0</v>
      </c>
      <c r="O1152" s="19">
        <v>0</v>
      </c>
      <c r="P1152" s="19">
        <v>0.56483831278451568</v>
      </c>
      <c r="Q1152" s="19">
        <v>1.6595444677587678E-2</v>
      </c>
      <c r="R1152" s="19">
        <v>0.41797543016384675</v>
      </c>
      <c r="S1152" s="19">
        <v>5.9081237404985947E-4</v>
      </c>
      <c r="T1152" s="20">
        <v>21</v>
      </c>
      <c r="U1152" s="17">
        <v>2</v>
      </c>
      <c r="V1152" s="17">
        <v>34</v>
      </c>
    </row>
    <row r="1153" spans="1:22" x14ac:dyDescent="0.2">
      <c r="A1153" t="s">
        <v>3222</v>
      </c>
      <c r="B1153" t="s">
        <v>2719</v>
      </c>
      <c r="C1153" t="s">
        <v>2720</v>
      </c>
      <c r="D1153" t="s">
        <v>3143</v>
      </c>
      <c r="E1153" s="10" t="s">
        <v>3223</v>
      </c>
      <c r="F1153" s="10"/>
      <c r="G1153" s="10"/>
      <c r="H1153" s="10" t="s">
        <v>3223</v>
      </c>
      <c r="I1153" s="14">
        <v>110883.14590630306</v>
      </c>
      <c r="J1153" s="19">
        <v>0.94754445733967252</v>
      </c>
      <c r="K1153" s="19">
        <v>5.1075201214033056E-2</v>
      </c>
      <c r="L1153" s="19">
        <v>1.3803414462947154E-3</v>
      </c>
      <c r="M1153" s="20">
        <v>3</v>
      </c>
      <c r="N1153" s="19">
        <v>0</v>
      </c>
      <c r="O1153" s="19">
        <v>0</v>
      </c>
      <c r="P1153" s="19">
        <v>5.1075201214033056E-2</v>
      </c>
      <c r="Q1153" s="19">
        <v>0</v>
      </c>
      <c r="R1153" s="19">
        <v>1.3803414462947154E-3</v>
      </c>
      <c r="S1153" s="19">
        <v>0</v>
      </c>
      <c r="T1153" s="20">
        <v>30</v>
      </c>
      <c r="U1153" s="17">
        <v>2</v>
      </c>
      <c r="V1153" s="17">
        <v>34</v>
      </c>
    </row>
    <row r="1154" spans="1:22" x14ac:dyDescent="0.2">
      <c r="A1154" t="s">
        <v>3224</v>
      </c>
      <c r="B1154" t="s">
        <v>2719</v>
      </c>
      <c r="C1154" t="s">
        <v>2720</v>
      </c>
      <c r="D1154" t="s">
        <v>3143</v>
      </c>
      <c r="E1154" s="10" t="s">
        <v>3225</v>
      </c>
      <c r="F1154" s="10"/>
      <c r="G1154" s="10"/>
      <c r="H1154" s="10" t="s">
        <v>3225</v>
      </c>
      <c r="I1154" s="14">
        <v>64452.1759913899</v>
      </c>
      <c r="J1154" s="19">
        <v>0</v>
      </c>
      <c r="K1154" s="19">
        <v>0.72284056117482653</v>
      </c>
      <c r="L1154" s="19">
        <v>0.27715943882517352</v>
      </c>
      <c r="M1154" s="20">
        <v>2</v>
      </c>
      <c r="N1154" s="19">
        <v>0.22844879296911791</v>
      </c>
      <c r="O1154" s="19">
        <v>0</v>
      </c>
      <c r="P1154" s="19">
        <v>0.49439176820570852</v>
      </c>
      <c r="Q1154" s="19">
        <v>0.16224599207262203</v>
      </c>
      <c r="R1154" s="19">
        <v>0.10355994784366281</v>
      </c>
      <c r="S1154" s="19">
        <v>1.1353498908888681E-2</v>
      </c>
      <c r="T1154" s="20">
        <v>23</v>
      </c>
      <c r="U1154" s="17">
        <v>2</v>
      </c>
      <c r="V1154" s="17">
        <v>34</v>
      </c>
    </row>
    <row r="1155" spans="1:22" x14ac:dyDescent="0.2">
      <c r="A1155" t="s">
        <v>3226</v>
      </c>
      <c r="B1155" t="s">
        <v>2719</v>
      </c>
      <c r="C1155" t="s">
        <v>2720</v>
      </c>
      <c r="D1155" t="s">
        <v>3143</v>
      </c>
      <c r="E1155" s="10" t="s">
        <v>3227</v>
      </c>
      <c r="F1155" s="10"/>
      <c r="G1155" s="10"/>
      <c r="H1155" s="10" t="s">
        <v>3227</v>
      </c>
      <c r="I1155" s="14">
        <v>32871.706332676113</v>
      </c>
      <c r="J1155" s="19">
        <v>0</v>
      </c>
      <c r="K1155" s="19">
        <v>0.69437352951032516</v>
      </c>
      <c r="L1155" s="19">
        <v>0.30562647048967484</v>
      </c>
      <c r="M1155" s="20">
        <v>2</v>
      </c>
      <c r="N1155" s="19">
        <v>0</v>
      </c>
      <c r="O1155" s="19">
        <v>0</v>
      </c>
      <c r="P1155" s="19">
        <v>0.69437352951032516</v>
      </c>
      <c r="Q1155" s="19">
        <v>5.823265043933383E-2</v>
      </c>
      <c r="R1155" s="19">
        <v>0.23746059069407371</v>
      </c>
      <c r="S1155" s="19">
        <v>9.9332293562673056E-3</v>
      </c>
      <c r="T1155" s="20">
        <v>21</v>
      </c>
      <c r="U1155" s="17">
        <v>2</v>
      </c>
      <c r="V1155" s="17">
        <v>34</v>
      </c>
    </row>
    <row r="1156" spans="1:22" x14ac:dyDescent="0.2">
      <c r="A1156" t="s">
        <v>3228</v>
      </c>
      <c r="B1156" t="s">
        <v>2719</v>
      </c>
      <c r="C1156" t="s">
        <v>2720</v>
      </c>
      <c r="D1156" t="s">
        <v>3143</v>
      </c>
      <c r="E1156" s="10" t="s">
        <v>3229</v>
      </c>
      <c r="F1156" s="10"/>
      <c r="G1156" s="10"/>
      <c r="H1156" s="10" t="s">
        <v>3229</v>
      </c>
      <c r="I1156" s="14">
        <v>47073.84031048324</v>
      </c>
      <c r="J1156" s="19">
        <v>0</v>
      </c>
      <c r="K1156" s="19">
        <v>0.88302177176993968</v>
      </c>
      <c r="L1156" s="19">
        <v>0.11697822823006032</v>
      </c>
      <c r="M1156" s="20">
        <v>2</v>
      </c>
      <c r="N1156" s="19">
        <v>0.45164229305950082</v>
      </c>
      <c r="O1156" s="19">
        <v>0.11608614003201832</v>
      </c>
      <c r="P1156" s="19">
        <v>0.31529333867842052</v>
      </c>
      <c r="Q1156" s="19">
        <v>4.8053716243516752E-2</v>
      </c>
      <c r="R1156" s="19">
        <v>6.3421185580488731E-2</v>
      </c>
      <c r="S1156" s="19">
        <v>5.5033264060548367E-3</v>
      </c>
      <c r="T1156" s="20">
        <v>23</v>
      </c>
      <c r="U1156" s="17">
        <v>2</v>
      </c>
      <c r="V1156" s="17">
        <v>34</v>
      </c>
    </row>
    <row r="1157" spans="1:22" x14ac:dyDescent="0.2">
      <c r="A1157" t="s">
        <v>3230</v>
      </c>
      <c r="B1157" t="s">
        <v>2719</v>
      </c>
      <c r="C1157" t="s">
        <v>2720</v>
      </c>
      <c r="D1157" t="s">
        <v>3143</v>
      </c>
      <c r="E1157" s="10" t="s">
        <v>3231</v>
      </c>
      <c r="F1157" s="10"/>
      <c r="G1157" s="10"/>
      <c r="H1157" s="10" t="s">
        <v>3231</v>
      </c>
      <c r="I1157" s="14">
        <v>76842.423981482163</v>
      </c>
      <c r="J1157" s="19">
        <v>0</v>
      </c>
      <c r="K1157" s="19">
        <v>0.75173789654943368</v>
      </c>
      <c r="L1157" s="19">
        <v>0.24826210345056629</v>
      </c>
      <c r="M1157" s="20">
        <v>2</v>
      </c>
      <c r="N1157" s="19">
        <v>0.15156968028558604</v>
      </c>
      <c r="O1157" s="19">
        <v>0.17977377769550854</v>
      </c>
      <c r="P1157" s="19">
        <v>0.42039443856833919</v>
      </c>
      <c r="Q1157" s="19">
        <v>4.3926399847750423E-2</v>
      </c>
      <c r="R1157" s="19">
        <v>0.19441686464565167</v>
      </c>
      <c r="S1157" s="19">
        <v>9.9188389571642152E-3</v>
      </c>
      <c r="T1157" s="20">
        <v>22</v>
      </c>
      <c r="U1157" s="17">
        <v>2</v>
      </c>
      <c r="V1157" s="17">
        <v>34</v>
      </c>
    </row>
    <row r="1158" spans="1:22" x14ac:dyDescent="0.2">
      <c r="A1158" t="s">
        <v>3232</v>
      </c>
      <c r="B1158" t="s">
        <v>2719</v>
      </c>
      <c r="C1158" t="s">
        <v>2720</v>
      </c>
      <c r="D1158" t="s">
        <v>3143</v>
      </c>
      <c r="E1158" s="10" t="s">
        <v>3233</v>
      </c>
      <c r="F1158" s="10"/>
      <c r="G1158" s="10"/>
      <c r="H1158" s="10" t="s">
        <v>3233</v>
      </c>
      <c r="I1158" s="14">
        <v>29273.531587605365</v>
      </c>
      <c r="J1158" s="19">
        <v>0</v>
      </c>
      <c r="K1158" s="19">
        <v>0.71197598345412128</v>
      </c>
      <c r="L1158" s="19">
        <v>0.28802401654587872</v>
      </c>
      <c r="M1158" s="20">
        <v>2</v>
      </c>
      <c r="N1158" s="19">
        <v>0</v>
      </c>
      <c r="O1158" s="19">
        <v>0.21001591271268724</v>
      </c>
      <c r="P1158" s="19">
        <v>0.50196007074143401</v>
      </c>
      <c r="Q1158" s="19">
        <v>9.3815851359194471E-2</v>
      </c>
      <c r="R1158" s="19">
        <v>0.1825701619300418</v>
      </c>
      <c r="S1158" s="19">
        <v>1.1638003256642456E-2</v>
      </c>
      <c r="T1158" s="20">
        <v>21</v>
      </c>
      <c r="U1158" s="17">
        <v>2</v>
      </c>
      <c r="V1158" s="17">
        <v>34</v>
      </c>
    </row>
    <row r="1159" spans="1:22" x14ac:dyDescent="0.2">
      <c r="A1159" t="s">
        <v>3234</v>
      </c>
      <c r="B1159" t="s">
        <v>2719</v>
      </c>
      <c r="C1159" t="s">
        <v>2720</v>
      </c>
      <c r="D1159" t="s">
        <v>3235</v>
      </c>
      <c r="E1159" s="10" t="s">
        <v>3236</v>
      </c>
      <c r="F1159" s="10"/>
      <c r="G1159" s="10"/>
      <c r="H1159" s="10" t="s">
        <v>3236</v>
      </c>
      <c r="I1159" s="14">
        <v>45882.516019547358</v>
      </c>
      <c r="J1159" s="19">
        <v>0</v>
      </c>
      <c r="K1159" s="19">
        <v>0.45083765160493083</v>
      </c>
      <c r="L1159" s="19">
        <v>0.54916234839506917</v>
      </c>
      <c r="M1159" s="20">
        <v>1</v>
      </c>
      <c r="N1159" s="19">
        <v>0</v>
      </c>
      <c r="O1159" s="19">
        <v>0.33933541359257463</v>
      </c>
      <c r="P1159" s="19">
        <v>0.11150223801235618</v>
      </c>
      <c r="Q1159" s="19">
        <v>0.25421168558313129</v>
      </c>
      <c r="R1159" s="19">
        <v>0.27335390792069592</v>
      </c>
      <c r="S1159" s="19">
        <v>2.1596754891241954E-2</v>
      </c>
      <c r="T1159" s="20">
        <v>12</v>
      </c>
      <c r="U1159" s="17">
        <v>2</v>
      </c>
      <c r="V1159" s="17">
        <v>34</v>
      </c>
    </row>
    <row r="1160" spans="1:22" x14ac:dyDescent="0.2">
      <c r="A1160" t="s">
        <v>3237</v>
      </c>
      <c r="B1160" t="s">
        <v>2719</v>
      </c>
      <c r="C1160" t="s">
        <v>2720</v>
      </c>
      <c r="D1160" t="s">
        <v>3235</v>
      </c>
      <c r="E1160" s="10" t="s">
        <v>3238</v>
      </c>
      <c r="F1160" s="10"/>
      <c r="G1160" s="10"/>
      <c r="H1160" s="10" t="s">
        <v>3238</v>
      </c>
      <c r="I1160" s="14">
        <v>40160.31996746175</v>
      </c>
      <c r="J1160" s="19">
        <v>0</v>
      </c>
      <c r="K1160" s="19">
        <v>0.5789042639889096</v>
      </c>
      <c r="L1160" s="19">
        <v>0.4210957360110904</v>
      </c>
      <c r="M1160" s="20">
        <v>2</v>
      </c>
      <c r="N1160" s="19">
        <v>0</v>
      </c>
      <c r="O1160" s="19">
        <v>0.5789042639889096</v>
      </c>
      <c r="P1160" s="19">
        <v>0</v>
      </c>
      <c r="Q1160" s="19">
        <v>0.20694914501622197</v>
      </c>
      <c r="R1160" s="19">
        <v>0.19393837198104305</v>
      </c>
      <c r="S1160" s="19">
        <v>2.0208219013825406E-2</v>
      </c>
      <c r="T1160" s="20">
        <v>22</v>
      </c>
      <c r="U1160" s="17">
        <v>2</v>
      </c>
      <c r="V1160" s="17">
        <v>34</v>
      </c>
    </row>
    <row r="1161" spans="1:22" x14ac:dyDescent="0.2">
      <c r="A1161" t="s">
        <v>3239</v>
      </c>
      <c r="B1161" t="s">
        <v>2719</v>
      </c>
      <c r="C1161" t="s">
        <v>2720</v>
      </c>
      <c r="D1161" t="s">
        <v>3235</v>
      </c>
      <c r="E1161" s="10" t="s">
        <v>3240</v>
      </c>
      <c r="F1161" s="10"/>
      <c r="G1161" s="10"/>
      <c r="H1161" s="10" t="s">
        <v>3240</v>
      </c>
      <c r="I1161" s="14">
        <v>38944.412690199912</v>
      </c>
      <c r="J1161" s="19">
        <v>0</v>
      </c>
      <c r="K1161" s="19">
        <v>0.32728016577548835</v>
      </c>
      <c r="L1161" s="19">
        <v>0.67271983422451176</v>
      </c>
      <c r="M1161" s="20">
        <v>1</v>
      </c>
      <c r="N1161" s="19">
        <v>0.15044430424927735</v>
      </c>
      <c r="O1161" s="19">
        <v>0</v>
      </c>
      <c r="P1161" s="19">
        <v>0.17683586152621097</v>
      </c>
      <c r="Q1161" s="19">
        <v>0.49219123004083387</v>
      </c>
      <c r="R1161" s="19">
        <v>0.1627261949458926</v>
      </c>
      <c r="S1161" s="19">
        <v>1.7802409237785161E-2</v>
      </c>
      <c r="T1161" s="20">
        <v>13</v>
      </c>
      <c r="U1161" s="17">
        <v>2</v>
      </c>
      <c r="V1161" s="17">
        <v>34</v>
      </c>
    </row>
    <row r="1162" spans="1:22" x14ac:dyDescent="0.2">
      <c r="A1162" t="s">
        <v>3241</v>
      </c>
      <c r="B1162" t="s">
        <v>2719</v>
      </c>
      <c r="C1162" t="s">
        <v>2720</v>
      </c>
      <c r="D1162" t="s">
        <v>3235</v>
      </c>
      <c r="E1162" s="10" t="s">
        <v>3242</v>
      </c>
      <c r="F1162" s="10"/>
      <c r="G1162" s="10"/>
      <c r="H1162" s="10" t="s">
        <v>3242</v>
      </c>
      <c r="I1162" s="14">
        <v>29802.432598907504</v>
      </c>
      <c r="J1162" s="19">
        <v>0</v>
      </c>
      <c r="K1162" s="19">
        <v>0.79738040178826974</v>
      </c>
      <c r="L1162" s="19">
        <v>0.20261959821173034</v>
      </c>
      <c r="M1162" s="20">
        <v>2</v>
      </c>
      <c r="N1162" s="19">
        <v>0.20822818187808187</v>
      </c>
      <c r="O1162" s="19">
        <v>0</v>
      </c>
      <c r="P1162" s="19">
        <v>0.58915221991018774</v>
      </c>
      <c r="Q1162" s="19">
        <v>1.9730083733552995E-2</v>
      </c>
      <c r="R1162" s="19">
        <v>0.17129060496993523</v>
      </c>
      <c r="S1162" s="19">
        <v>1.1598909508242071E-2</v>
      </c>
      <c r="T1162" s="20">
        <v>21</v>
      </c>
      <c r="U1162" s="17">
        <v>2</v>
      </c>
      <c r="V1162" s="17">
        <v>34</v>
      </c>
    </row>
    <row r="1163" spans="1:22" x14ac:dyDescent="0.2">
      <c r="A1163" t="s">
        <v>3243</v>
      </c>
      <c r="B1163" t="s">
        <v>2719</v>
      </c>
      <c r="C1163" t="s">
        <v>2720</v>
      </c>
      <c r="D1163" t="s">
        <v>3235</v>
      </c>
      <c r="E1163" s="10" t="s">
        <v>3244</v>
      </c>
      <c r="F1163" s="10"/>
      <c r="G1163" s="10"/>
      <c r="H1163" s="10" t="s">
        <v>3244</v>
      </c>
      <c r="I1163" s="14">
        <v>85556.599318535998</v>
      </c>
      <c r="J1163" s="19">
        <v>0</v>
      </c>
      <c r="K1163" s="19">
        <v>0.7731727630475026</v>
      </c>
      <c r="L1163" s="19">
        <v>0.2268272369524974</v>
      </c>
      <c r="M1163" s="20">
        <v>2</v>
      </c>
      <c r="N1163" s="19">
        <v>0.28580863753521485</v>
      </c>
      <c r="O1163" s="19">
        <v>7.4281881793608867E-2</v>
      </c>
      <c r="P1163" s="19">
        <v>0.41308224371867891</v>
      </c>
      <c r="Q1163" s="19">
        <v>8.9949572010978765E-2</v>
      </c>
      <c r="R1163" s="19">
        <v>0.12372221162653278</v>
      </c>
      <c r="S1163" s="19">
        <v>1.3155453314985877E-2</v>
      </c>
      <c r="T1163" s="20">
        <v>23</v>
      </c>
      <c r="U1163" s="17">
        <v>2</v>
      </c>
      <c r="V1163" s="17">
        <v>34</v>
      </c>
    </row>
    <row r="1164" spans="1:22" x14ac:dyDescent="0.2">
      <c r="A1164" t="s">
        <v>3245</v>
      </c>
      <c r="B1164" t="s">
        <v>2719</v>
      </c>
      <c r="C1164" t="s">
        <v>2720</v>
      </c>
      <c r="D1164" t="s">
        <v>3235</v>
      </c>
      <c r="E1164" s="10" t="s">
        <v>3246</v>
      </c>
      <c r="F1164" s="10"/>
      <c r="G1164" s="10"/>
      <c r="H1164" s="10" t="s">
        <v>3246</v>
      </c>
      <c r="I1164" s="14">
        <v>61151.933889204636</v>
      </c>
      <c r="J1164" s="19">
        <v>0</v>
      </c>
      <c r="K1164" s="19">
        <v>0.57223817850181946</v>
      </c>
      <c r="L1164" s="19">
        <v>0.42776182149818054</v>
      </c>
      <c r="M1164" s="20">
        <v>2</v>
      </c>
      <c r="N1164" s="19">
        <v>0.10886928724621586</v>
      </c>
      <c r="O1164" s="19">
        <v>0</v>
      </c>
      <c r="P1164" s="19">
        <v>0.46336889125560354</v>
      </c>
      <c r="Q1164" s="19">
        <v>0.22686913870644021</v>
      </c>
      <c r="R1164" s="19">
        <v>0.17748746921626632</v>
      </c>
      <c r="S1164" s="19">
        <v>2.3405213575474027E-2</v>
      </c>
      <c r="T1164" s="20">
        <v>23</v>
      </c>
      <c r="U1164" s="17">
        <v>2</v>
      </c>
      <c r="V1164" s="17">
        <v>34</v>
      </c>
    </row>
    <row r="1165" spans="1:22" x14ac:dyDescent="0.2">
      <c r="A1165" t="s">
        <v>3247</v>
      </c>
      <c r="B1165" t="s">
        <v>2719</v>
      </c>
      <c r="C1165" t="s">
        <v>2720</v>
      </c>
      <c r="D1165" t="s">
        <v>3235</v>
      </c>
      <c r="E1165" s="10" t="s">
        <v>3248</v>
      </c>
      <c r="F1165" s="10"/>
      <c r="G1165" s="10"/>
      <c r="H1165" s="10" t="s">
        <v>3248</v>
      </c>
      <c r="I1165" s="14">
        <v>42167.447002394125</v>
      </c>
      <c r="J1165" s="19">
        <v>0</v>
      </c>
      <c r="K1165" s="19">
        <v>0.50551796164478968</v>
      </c>
      <c r="L1165" s="19">
        <v>0.49448203835521037</v>
      </c>
      <c r="M1165" s="20">
        <v>2</v>
      </c>
      <c r="N1165" s="19">
        <v>0</v>
      </c>
      <c r="O1165" s="19">
        <v>0.1322792183676417</v>
      </c>
      <c r="P1165" s="19">
        <v>0.37323874327714796</v>
      </c>
      <c r="Q1165" s="19">
        <v>0.21386855313063233</v>
      </c>
      <c r="R1165" s="19">
        <v>0.25763307287989151</v>
      </c>
      <c r="S1165" s="19">
        <v>2.2980412344686476E-2</v>
      </c>
      <c r="T1165" s="20">
        <v>22</v>
      </c>
      <c r="U1165" s="17">
        <v>2</v>
      </c>
      <c r="V1165" s="17">
        <v>34</v>
      </c>
    </row>
    <row r="1166" spans="1:22" x14ac:dyDescent="0.2">
      <c r="A1166" t="s">
        <v>3249</v>
      </c>
      <c r="B1166" t="s">
        <v>2719</v>
      </c>
      <c r="C1166" t="s">
        <v>2720</v>
      </c>
      <c r="D1166" t="s">
        <v>3235</v>
      </c>
      <c r="E1166" s="10" t="s">
        <v>3250</v>
      </c>
      <c r="F1166" s="10"/>
      <c r="G1166" s="10"/>
      <c r="H1166" s="10" t="s">
        <v>3250</v>
      </c>
      <c r="I1166" s="14">
        <v>54933.118560191244</v>
      </c>
      <c r="J1166" s="19">
        <v>0</v>
      </c>
      <c r="K1166" s="19">
        <v>0.45998701692586663</v>
      </c>
      <c r="L1166" s="19">
        <v>0.54001298307413348</v>
      </c>
      <c r="M1166" s="20">
        <v>1</v>
      </c>
      <c r="N1166" s="19">
        <v>0.33927807848149233</v>
      </c>
      <c r="O1166" s="19">
        <v>0</v>
      </c>
      <c r="P1166" s="19">
        <v>0.12070893844437421</v>
      </c>
      <c r="Q1166" s="19">
        <v>0.25581238858711225</v>
      </c>
      <c r="R1166" s="19">
        <v>0.25450365208039538</v>
      </c>
      <c r="S1166" s="19">
        <v>2.9696942406625824E-2</v>
      </c>
      <c r="T1166" s="20">
        <v>13</v>
      </c>
      <c r="U1166" s="17">
        <v>2</v>
      </c>
      <c r="V1166" s="17">
        <v>34</v>
      </c>
    </row>
    <row r="1167" spans="1:22" x14ac:dyDescent="0.2">
      <c r="A1167" t="s">
        <v>3251</v>
      </c>
      <c r="B1167" t="s">
        <v>2719</v>
      </c>
      <c r="C1167" t="s">
        <v>2720</v>
      </c>
      <c r="D1167" t="s">
        <v>3235</v>
      </c>
      <c r="E1167" s="10" t="s">
        <v>3252</v>
      </c>
      <c r="F1167" s="10"/>
      <c r="G1167" s="10"/>
      <c r="H1167" s="10" t="s">
        <v>3252</v>
      </c>
      <c r="I1167" s="14">
        <v>45961.309093857184</v>
      </c>
      <c r="J1167" s="19">
        <v>0</v>
      </c>
      <c r="K1167" s="19">
        <v>0.52785993126609909</v>
      </c>
      <c r="L1167" s="19">
        <v>0.47214006873390091</v>
      </c>
      <c r="M1167" s="20">
        <v>2</v>
      </c>
      <c r="N1167" s="19">
        <v>0.17872458160843074</v>
      </c>
      <c r="O1167" s="19">
        <v>0</v>
      </c>
      <c r="P1167" s="19">
        <v>0.34913534965766835</v>
      </c>
      <c r="Q1167" s="19">
        <v>0.12167902187916267</v>
      </c>
      <c r="R1167" s="19">
        <v>0.33020551293662648</v>
      </c>
      <c r="S1167" s="19">
        <v>2.0255533918111784E-2</v>
      </c>
      <c r="T1167" s="20">
        <v>23</v>
      </c>
      <c r="U1167" s="17">
        <v>2</v>
      </c>
      <c r="V1167" s="17">
        <v>34</v>
      </c>
    </row>
    <row r="1168" spans="1:22" x14ac:dyDescent="0.2">
      <c r="A1168" t="s">
        <v>3253</v>
      </c>
      <c r="B1168" t="s">
        <v>2719</v>
      </c>
      <c r="C1168" t="s">
        <v>2720</v>
      </c>
      <c r="D1168" t="s">
        <v>3235</v>
      </c>
      <c r="E1168" s="10" t="s">
        <v>3254</v>
      </c>
      <c r="F1168" s="10"/>
      <c r="G1168" s="10"/>
      <c r="H1168" s="10" t="s">
        <v>3254</v>
      </c>
      <c r="I1168" s="14">
        <v>73860.658449750394</v>
      </c>
      <c r="J1168" s="19">
        <v>0</v>
      </c>
      <c r="K1168" s="19">
        <v>0.79291370561386276</v>
      </c>
      <c r="L1168" s="19">
        <v>0.20708629438613721</v>
      </c>
      <c r="M1168" s="20">
        <v>2</v>
      </c>
      <c r="N1168" s="19">
        <v>0.18653344964003457</v>
      </c>
      <c r="O1168" s="19">
        <v>0</v>
      </c>
      <c r="P1168" s="19">
        <v>0.60638025597382816</v>
      </c>
      <c r="Q1168" s="19">
        <v>7.5773528060578327E-2</v>
      </c>
      <c r="R1168" s="19">
        <v>0.11920487370377039</v>
      </c>
      <c r="S1168" s="19">
        <v>1.2107892621788487E-2</v>
      </c>
      <c r="T1168" s="20">
        <v>21</v>
      </c>
      <c r="U1168" s="17">
        <v>2</v>
      </c>
      <c r="V1168" s="17">
        <v>34</v>
      </c>
    </row>
    <row r="1169" spans="1:22" x14ac:dyDescent="0.2">
      <c r="A1169" t="s">
        <v>3255</v>
      </c>
      <c r="B1169" t="s">
        <v>2719</v>
      </c>
      <c r="C1169" t="s">
        <v>2720</v>
      </c>
      <c r="D1169" t="s">
        <v>3235</v>
      </c>
      <c r="E1169" s="10" t="s">
        <v>3256</v>
      </c>
      <c r="F1169" s="10"/>
      <c r="G1169" s="10"/>
      <c r="H1169" s="10" t="s">
        <v>3256</v>
      </c>
      <c r="I1169" s="14">
        <v>76859.860503546894</v>
      </c>
      <c r="J1169" s="19">
        <v>0</v>
      </c>
      <c r="K1169" s="19">
        <v>0.79195025059816659</v>
      </c>
      <c r="L1169" s="19">
        <v>0.20804974940183338</v>
      </c>
      <c r="M1169" s="20">
        <v>2</v>
      </c>
      <c r="N1169" s="19">
        <v>0.2056621364457179</v>
      </c>
      <c r="O1169" s="19">
        <v>1.1124291609641773E-2</v>
      </c>
      <c r="P1169" s="19">
        <v>0.57516382254280696</v>
      </c>
      <c r="Q1169" s="19">
        <v>5.7868613211304258E-2</v>
      </c>
      <c r="R1169" s="19">
        <v>0.13026192283855598</v>
      </c>
      <c r="S1169" s="19">
        <v>1.9919213351973154E-2</v>
      </c>
      <c r="T1169" s="20">
        <v>21</v>
      </c>
      <c r="U1169" s="17">
        <v>2</v>
      </c>
      <c r="V1169" s="17">
        <v>34</v>
      </c>
    </row>
    <row r="1170" spans="1:22" x14ac:dyDescent="0.2">
      <c r="A1170" t="s">
        <v>3257</v>
      </c>
      <c r="B1170" t="s">
        <v>2719</v>
      </c>
      <c r="C1170" t="s">
        <v>2720</v>
      </c>
      <c r="D1170" t="s">
        <v>3235</v>
      </c>
      <c r="E1170" s="10" t="s">
        <v>3258</v>
      </c>
      <c r="F1170" s="10"/>
      <c r="G1170" s="10"/>
      <c r="H1170" s="10" t="s">
        <v>3258</v>
      </c>
      <c r="I1170" s="14">
        <v>55027.491909077391</v>
      </c>
      <c r="J1170" s="19">
        <v>0</v>
      </c>
      <c r="K1170" s="19">
        <v>0.63245985724560694</v>
      </c>
      <c r="L1170" s="19">
        <v>0.36754014275439312</v>
      </c>
      <c r="M1170" s="20">
        <v>2</v>
      </c>
      <c r="N1170" s="19">
        <v>3.9682963480402516E-3</v>
      </c>
      <c r="O1170" s="19">
        <v>0.15542732741799559</v>
      </c>
      <c r="P1170" s="19">
        <v>0.47306423347957105</v>
      </c>
      <c r="Q1170" s="19">
        <v>0.13720946116490487</v>
      </c>
      <c r="R1170" s="19">
        <v>0.20760072916617861</v>
      </c>
      <c r="S1170" s="19">
        <v>2.2729952423309635E-2</v>
      </c>
      <c r="T1170" s="20">
        <v>22</v>
      </c>
      <c r="U1170" s="17">
        <v>2</v>
      </c>
      <c r="V1170" s="17">
        <v>34</v>
      </c>
    </row>
    <row r="1171" spans="1:22" x14ac:dyDescent="0.2">
      <c r="A1171" t="s">
        <v>3259</v>
      </c>
      <c r="B1171" t="s">
        <v>2719</v>
      </c>
      <c r="C1171" t="s">
        <v>2720</v>
      </c>
      <c r="D1171" t="s">
        <v>3235</v>
      </c>
      <c r="E1171" s="10" t="s">
        <v>3260</v>
      </c>
      <c r="F1171" s="10"/>
      <c r="G1171" s="10"/>
      <c r="H1171" s="10" t="s">
        <v>3260</v>
      </c>
      <c r="I1171" s="14">
        <v>205049.00561870635</v>
      </c>
      <c r="J1171" s="19">
        <v>0</v>
      </c>
      <c r="K1171" s="19">
        <v>0.71575646642806012</v>
      </c>
      <c r="L1171" s="19">
        <v>0.28424353357193988</v>
      </c>
      <c r="M1171" s="20">
        <v>2</v>
      </c>
      <c r="N1171" s="19">
        <v>0.27507189006020399</v>
      </c>
      <c r="O1171" s="19">
        <v>6.8485299188616983E-2</v>
      </c>
      <c r="P1171" s="19">
        <v>0.37219927717923912</v>
      </c>
      <c r="Q1171" s="19">
        <v>0.12055497916472205</v>
      </c>
      <c r="R1171" s="19">
        <v>0.14500194399866423</v>
      </c>
      <c r="S1171" s="19">
        <v>1.8686610408553687E-2</v>
      </c>
      <c r="T1171" s="20">
        <v>23</v>
      </c>
      <c r="U1171" s="17">
        <v>2</v>
      </c>
      <c r="V1171" s="17">
        <v>34</v>
      </c>
    </row>
    <row r="1172" spans="1:22" x14ac:dyDescent="0.2">
      <c r="A1172" t="s">
        <v>3261</v>
      </c>
      <c r="B1172" t="s">
        <v>2719</v>
      </c>
      <c r="C1172" t="s">
        <v>2720</v>
      </c>
      <c r="D1172" t="s">
        <v>3235</v>
      </c>
      <c r="E1172" s="10" t="s">
        <v>3262</v>
      </c>
      <c r="F1172" s="10"/>
      <c r="G1172" s="10"/>
      <c r="H1172" s="10" t="s">
        <v>3262</v>
      </c>
      <c r="I1172" s="14">
        <v>30061.169556926936</v>
      </c>
      <c r="J1172" s="19">
        <v>0</v>
      </c>
      <c r="K1172" s="19">
        <v>0.21159056528479328</v>
      </c>
      <c r="L1172" s="19">
        <v>0.78840943471520686</v>
      </c>
      <c r="M1172" s="20">
        <v>1</v>
      </c>
      <c r="N1172" s="19">
        <v>0</v>
      </c>
      <c r="O1172" s="19">
        <v>0.21159056528479328</v>
      </c>
      <c r="P1172" s="19">
        <v>0</v>
      </c>
      <c r="Q1172" s="19">
        <v>0.44663530608317475</v>
      </c>
      <c r="R1172" s="19">
        <v>0.28535968402423029</v>
      </c>
      <c r="S1172" s="19">
        <v>5.6414444607801706E-2</v>
      </c>
      <c r="T1172" s="20">
        <v>13</v>
      </c>
      <c r="U1172" s="17">
        <v>2</v>
      </c>
      <c r="V1172" s="17">
        <v>34</v>
      </c>
    </row>
    <row r="1173" spans="1:22" x14ac:dyDescent="0.2">
      <c r="A1173" t="s">
        <v>3263</v>
      </c>
      <c r="B1173" t="s">
        <v>2719</v>
      </c>
      <c r="C1173" t="s">
        <v>2720</v>
      </c>
      <c r="D1173" t="s">
        <v>3235</v>
      </c>
      <c r="E1173" s="10" t="s">
        <v>3264</v>
      </c>
      <c r="F1173" s="10"/>
      <c r="G1173" s="10"/>
      <c r="H1173" s="10" t="s">
        <v>3264</v>
      </c>
      <c r="I1173" s="14">
        <v>127469.66335509345</v>
      </c>
      <c r="J1173" s="19">
        <v>0</v>
      </c>
      <c r="K1173" s="19">
        <v>0.75153299896650527</v>
      </c>
      <c r="L1173" s="19">
        <v>0.24846700103349476</v>
      </c>
      <c r="M1173" s="20">
        <v>2</v>
      </c>
      <c r="N1173" s="19">
        <v>0.32072374777040025</v>
      </c>
      <c r="O1173" s="19">
        <v>7.4024474197451007E-2</v>
      </c>
      <c r="P1173" s="19">
        <v>0.35678477699865396</v>
      </c>
      <c r="Q1173" s="19">
        <v>0.12389741493925571</v>
      </c>
      <c r="R1173" s="19">
        <v>0.11322471676564734</v>
      </c>
      <c r="S1173" s="19">
        <v>1.1344869328591694E-2</v>
      </c>
      <c r="T1173" s="20">
        <v>23</v>
      </c>
      <c r="U1173" s="17">
        <v>2</v>
      </c>
      <c r="V1173" s="17">
        <v>34</v>
      </c>
    </row>
    <row r="1174" spans="1:22" x14ac:dyDescent="0.2">
      <c r="A1174" t="s">
        <v>3265</v>
      </c>
      <c r="B1174" t="s">
        <v>2719</v>
      </c>
      <c r="C1174" t="s">
        <v>2720</v>
      </c>
      <c r="D1174" t="s">
        <v>3235</v>
      </c>
      <c r="E1174" s="10" t="s">
        <v>3266</v>
      </c>
      <c r="F1174" s="10"/>
      <c r="G1174" s="10"/>
      <c r="H1174" s="10" t="s">
        <v>3266</v>
      </c>
      <c r="I1174" s="14">
        <v>121618.21486546099</v>
      </c>
      <c r="J1174" s="19">
        <v>0</v>
      </c>
      <c r="K1174" s="19">
        <v>0.70383552515777448</v>
      </c>
      <c r="L1174" s="19">
        <v>0.29616447484222552</v>
      </c>
      <c r="M1174" s="20">
        <v>2</v>
      </c>
      <c r="N1174" s="19">
        <v>0.38543695619171037</v>
      </c>
      <c r="O1174" s="19">
        <v>4.7504837603711145E-2</v>
      </c>
      <c r="P1174" s="19">
        <v>0.27089373136235295</v>
      </c>
      <c r="Q1174" s="19">
        <v>0.15587721493967618</v>
      </c>
      <c r="R1174" s="19">
        <v>0.12703881259749553</v>
      </c>
      <c r="S1174" s="19">
        <v>1.3248447305053807E-2</v>
      </c>
      <c r="T1174" s="20">
        <v>23</v>
      </c>
      <c r="U1174" s="17">
        <v>2</v>
      </c>
      <c r="V1174" s="17">
        <v>34</v>
      </c>
    </row>
    <row r="1175" spans="1:22" x14ac:dyDescent="0.2">
      <c r="A1175" t="s">
        <v>3267</v>
      </c>
      <c r="B1175" t="s">
        <v>2719</v>
      </c>
      <c r="C1175" t="s">
        <v>2720</v>
      </c>
      <c r="D1175" t="s">
        <v>3235</v>
      </c>
      <c r="E1175" s="10" t="s">
        <v>3268</v>
      </c>
      <c r="F1175" s="10"/>
      <c r="G1175" s="10"/>
      <c r="H1175" s="10" t="s">
        <v>3268</v>
      </c>
      <c r="I1175" s="14">
        <v>64002.119578013197</v>
      </c>
      <c r="J1175" s="19">
        <v>0</v>
      </c>
      <c r="K1175" s="19">
        <v>0.2783532417471592</v>
      </c>
      <c r="L1175" s="19">
        <v>0.72164675825284075</v>
      </c>
      <c r="M1175" s="20">
        <v>1</v>
      </c>
      <c r="N1175" s="19">
        <v>0.17481386194297305</v>
      </c>
      <c r="O1175" s="19">
        <v>0</v>
      </c>
      <c r="P1175" s="19">
        <v>0.10353937980418619</v>
      </c>
      <c r="Q1175" s="19">
        <v>0.47185169001026089</v>
      </c>
      <c r="R1175" s="19">
        <v>0.20608105633016069</v>
      </c>
      <c r="S1175" s="19">
        <v>4.3714011912419165E-2</v>
      </c>
      <c r="T1175" s="20">
        <v>13</v>
      </c>
      <c r="U1175" s="17">
        <v>2</v>
      </c>
      <c r="V1175" s="17">
        <v>34</v>
      </c>
    </row>
    <row r="1176" spans="1:22" x14ac:dyDescent="0.2">
      <c r="A1176" t="s">
        <v>3269</v>
      </c>
      <c r="B1176" t="s">
        <v>2719</v>
      </c>
      <c r="C1176" t="s">
        <v>2720</v>
      </c>
      <c r="D1176" t="s">
        <v>3235</v>
      </c>
      <c r="E1176" s="10" t="s">
        <v>3270</v>
      </c>
      <c r="F1176" s="10"/>
      <c r="G1176" s="10"/>
      <c r="H1176" s="10" t="s">
        <v>3270</v>
      </c>
      <c r="I1176" s="14">
        <v>123426.76118276548</v>
      </c>
      <c r="J1176" s="19">
        <v>0</v>
      </c>
      <c r="K1176" s="19">
        <v>0.66319625305910235</v>
      </c>
      <c r="L1176" s="19">
        <v>0.33680374694089771</v>
      </c>
      <c r="M1176" s="20">
        <v>2</v>
      </c>
      <c r="N1176" s="19">
        <v>0.24601523812253953</v>
      </c>
      <c r="O1176" s="19">
        <v>5.2530903649047209E-2</v>
      </c>
      <c r="P1176" s="19">
        <v>0.36465011128751557</v>
      </c>
      <c r="Q1176" s="19">
        <v>0.12527754903049412</v>
      </c>
      <c r="R1176" s="19">
        <v>0.19874521849781157</v>
      </c>
      <c r="S1176" s="19">
        <v>1.2780979412591983E-2</v>
      </c>
      <c r="T1176" s="20">
        <v>23</v>
      </c>
      <c r="U1176" s="17">
        <v>2</v>
      </c>
      <c r="V1176" s="17">
        <v>34</v>
      </c>
    </row>
    <row r="1177" spans="1:22" x14ac:dyDescent="0.2">
      <c r="A1177" t="s">
        <v>3271</v>
      </c>
      <c r="B1177" t="s">
        <v>2719</v>
      </c>
      <c r="C1177" t="s">
        <v>2720</v>
      </c>
      <c r="D1177" t="s">
        <v>3235</v>
      </c>
      <c r="E1177" s="10" t="s">
        <v>3272</v>
      </c>
      <c r="F1177" s="10"/>
      <c r="G1177" s="10"/>
      <c r="H1177" s="10" t="s">
        <v>3272</v>
      </c>
      <c r="I1177" s="14">
        <v>71606.005078449845</v>
      </c>
      <c r="J1177" s="19">
        <v>0</v>
      </c>
      <c r="K1177" s="19">
        <v>0.53995835550681148</v>
      </c>
      <c r="L1177" s="19">
        <v>0.46004164449318857</v>
      </c>
      <c r="M1177" s="20">
        <v>2</v>
      </c>
      <c r="N1177" s="19">
        <v>0.12326115694056899</v>
      </c>
      <c r="O1177" s="19">
        <v>0.15610276932998146</v>
      </c>
      <c r="P1177" s="19">
        <v>0.26059442923626097</v>
      </c>
      <c r="Q1177" s="19">
        <v>0.22235959565161173</v>
      </c>
      <c r="R1177" s="19">
        <v>0.2153397867572068</v>
      </c>
      <c r="S1177" s="19">
        <v>2.2342262084370044E-2</v>
      </c>
      <c r="T1177" s="20">
        <v>22</v>
      </c>
      <c r="U1177" s="17">
        <v>2</v>
      </c>
      <c r="V1177" s="17">
        <v>34</v>
      </c>
    </row>
    <row r="1178" spans="1:22" x14ac:dyDescent="0.2">
      <c r="A1178" t="s">
        <v>3273</v>
      </c>
      <c r="B1178" t="s">
        <v>2719</v>
      </c>
      <c r="C1178" t="s">
        <v>2720</v>
      </c>
      <c r="D1178" t="s">
        <v>3235</v>
      </c>
      <c r="E1178" s="10" t="s">
        <v>3274</v>
      </c>
      <c r="F1178" s="10"/>
      <c r="G1178" s="10"/>
      <c r="H1178" s="10" t="s">
        <v>3274</v>
      </c>
      <c r="I1178" s="14">
        <v>38642.883300533518</v>
      </c>
      <c r="J1178" s="19">
        <v>0</v>
      </c>
      <c r="K1178" s="19">
        <v>0.53771942387360394</v>
      </c>
      <c r="L1178" s="19">
        <v>0.462280576126396</v>
      </c>
      <c r="M1178" s="20">
        <v>2</v>
      </c>
      <c r="N1178" s="19">
        <v>0.3355298046188912</v>
      </c>
      <c r="O1178" s="19">
        <v>0</v>
      </c>
      <c r="P1178" s="19">
        <v>0.20218961925471271</v>
      </c>
      <c r="Q1178" s="19">
        <v>0.20286443822909506</v>
      </c>
      <c r="R1178" s="19">
        <v>0.21861560744964273</v>
      </c>
      <c r="S1178" s="19">
        <v>4.0800530447658294E-2</v>
      </c>
      <c r="T1178" s="20">
        <v>23</v>
      </c>
      <c r="U1178" s="17">
        <v>2</v>
      </c>
      <c r="V1178" s="17">
        <v>34</v>
      </c>
    </row>
    <row r="1179" spans="1:22" x14ac:dyDescent="0.2">
      <c r="A1179" t="s">
        <v>3275</v>
      </c>
      <c r="B1179" t="s">
        <v>2719</v>
      </c>
      <c r="C1179" t="s">
        <v>2720</v>
      </c>
      <c r="D1179" t="s">
        <v>3235</v>
      </c>
      <c r="E1179" s="10" t="s">
        <v>3276</v>
      </c>
      <c r="F1179" s="10"/>
      <c r="G1179" s="10"/>
      <c r="H1179" s="10" t="s">
        <v>3276</v>
      </c>
      <c r="I1179" s="14">
        <v>109215.10695060808</v>
      </c>
      <c r="J1179" s="19">
        <v>0</v>
      </c>
      <c r="K1179" s="19">
        <v>0.42121226917571986</v>
      </c>
      <c r="L1179" s="19">
        <v>0.57878773082428014</v>
      </c>
      <c r="M1179" s="20">
        <v>1</v>
      </c>
      <c r="N1179" s="19">
        <v>0.11557795445984412</v>
      </c>
      <c r="O1179" s="19">
        <v>8.400354098220715E-2</v>
      </c>
      <c r="P1179" s="19">
        <v>0.22163077373366857</v>
      </c>
      <c r="Q1179" s="19">
        <v>0.34512603202456171</v>
      </c>
      <c r="R1179" s="19">
        <v>0.21543505904454835</v>
      </c>
      <c r="S1179" s="19">
        <v>1.822663975517011E-2</v>
      </c>
      <c r="T1179" s="20">
        <v>13</v>
      </c>
      <c r="U1179" s="17">
        <v>2</v>
      </c>
      <c r="V1179" s="17">
        <v>34</v>
      </c>
    </row>
    <row r="1180" spans="1:22" x14ac:dyDescent="0.2">
      <c r="A1180" t="s">
        <v>3277</v>
      </c>
      <c r="B1180" t="s">
        <v>2719</v>
      </c>
      <c r="C1180" t="s">
        <v>2720</v>
      </c>
      <c r="D1180" t="s">
        <v>3235</v>
      </c>
      <c r="E1180" s="10" t="s">
        <v>3278</v>
      </c>
      <c r="F1180" s="10"/>
      <c r="G1180" s="10"/>
      <c r="H1180" s="10" t="s">
        <v>3278</v>
      </c>
      <c r="I1180" s="14">
        <v>256613.19858868513</v>
      </c>
      <c r="J1180" s="19">
        <v>0.37583080191435003</v>
      </c>
      <c r="K1180" s="19">
        <v>0.42554154627778273</v>
      </c>
      <c r="L1180" s="19">
        <v>0.19862765180786718</v>
      </c>
      <c r="M1180" s="20">
        <v>2</v>
      </c>
      <c r="N1180" s="19">
        <v>5.3395974671324661E-2</v>
      </c>
      <c r="O1180" s="19">
        <v>1.5720504247530149E-2</v>
      </c>
      <c r="P1180" s="19">
        <v>0.35642506735892798</v>
      </c>
      <c r="Q1180" s="19">
        <v>9.0619077830458958E-2</v>
      </c>
      <c r="R1180" s="19">
        <v>9.6885948752323786E-2</v>
      </c>
      <c r="S1180" s="19">
        <v>1.1122625225084419E-2</v>
      </c>
      <c r="T1180" s="20">
        <v>23</v>
      </c>
      <c r="U1180" s="17">
        <v>2</v>
      </c>
      <c r="V1180" s="17">
        <v>34</v>
      </c>
    </row>
    <row r="1181" spans="1:22" x14ac:dyDescent="0.2">
      <c r="A1181" t="s">
        <v>3279</v>
      </c>
      <c r="B1181" t="s">
        <v>2719</v>
      </c>
      <c r="C1181" t="s">
        <v>2720</v>
      </c>
      <c r="D1181" t="s">
        <v>3280</v>
      </c>
      <c r="E1181" s="10" t="s">
        <v>3281</v>
      </c>
      <c r="F1181" s="10"/>
      <c r="G1181" s="10"/>
      <c r="H1181" s="10" t="s">
        <v>3281</v>
      </c>
      <c r="I1181" s="14">
        <v>66860.159933194285</v>
      </c>
      <c r="J1181" s="19">
        <v>4.7647142916544018E-3</v>
      </c>
      <c r="K1181" s="19">
        <v>0.97454382123669903</v>
      </c>
      <c r="L1181" s="19">
        <v>2.0691464471646541E-2</v>
      </c>
      <c r="M1181" s="20">
        <v>2</v>
      </c>
      <c r="N1181" s="19">
        <v>0.50001574986427699</v>
      </c>
      <c r="O1181" s="19">
        <v>0</v>
      </c>
      <c r="P1181" s="19">
        <v>0.47452807137242198</v>
      </c>
      <c r="Q1181" s="19">
        <v>0</v>
      </c>
      <c r="R1181" s="19">
        <v>2.0691464471646541E-2</v>
      </c>
      <c r="S1181" s="19">
        <v>0</v>
      </c>
      <c r="T1181" s="20">
        <v>23</v>
      </c>
      <c r="U1181" s="17">
        <v>2</v>
      </c>
      <c r="V1181" s="17">
        <v>34</v>
      </c>
    </row>
    <row r="1182" spans="1:22" x14ac:dyDescent="0.2">
      <c r="A1182" t="s">
        <v>3282</v>
      </c>
      <c r="B1182" t="s">
        <v>2719</v>
      </c>
      <c r="C1182" t="s">
        <v>2720</v>
      </c>
      <c r="D1182" t="s">
        <v>3280</v>
      </c>
      <c r="E1182" s="10" t="s">
        <v>3283</v>
      </c>
      <c r="F1182" s="10"/>
      <c r="G1182" s="10"/>
      <c r="H1182" s="10" t="s">
        <v>3283</v>
      </c>
      <c r="I1182" s="14">
        <v>76693.595491474611</v>
      </c>
      <c r="J1182" s="19">
        <v>1</v>
      </c>
      <c r="K1182" s="19">
        <v>0</v>
      </c>
      <c r="L1182" s="19">
        <v>0</v>
      </c>
      <c r="M1182" s="20">
        <v>3</v>
      </c>
      <c r="N1182" s="19">
        <v>0</v>
      </c>
      <c r="O1182" s="19">
        <v>0</v>
      </c>
      <c r="P1182" s="19">
        <v>0</v>
      </c>
      <c r="Q1182" s="19">
        <v>0</v>
      </c>
      <c r="R1182" s="19">
        <v>0</v>
      </c>
      <c r="S1182" s="19">
        <v>0</v>
      </c>
      <c r="T1182" s="20">
        <v>30</v>
      </c>
      <c r="U1182" s="17">
        <v>2</v>
      </c>
      <c r="V1182" s="17">
        <v>34</v>
      </c>
    </row>
    <row r="1183" spans="1:22" x14ac:dyDescent="0.2">
      <c r="A1183" t="s">
        <v>3284</v>
      </c>
      <c r="B1183" t="s">
        <v>2719</v>
      </c>
      <c r="C1183" t="s">
        <v>2720</v>
      </c>
      <c r="D1183" t="s">
        <v>3280</v>
      </c>
      <c r="E1183" s="10" t="s">
        <v>3285</v>
      </c>
      <c r="F1183" s="10"/>
      <c r="G1183" s="10"/>
      <c r="H1183" s="10" t="s">
        <v>3285</v>
      </c>
      <c r="I1183" s="14">
        <v>169671.70793314837</v>
      </c>
      <c r="J1183" s="19">
        <v>0.93511996648932805</v>
      </c>
      <c r="K1183" s="19">
        <v>6.3596773310166804E-2</v>
      </c>
      <c r="L1183" s="19">
        <v>1.2832602005051921E-3</v>
      </c>
      <c r="M1183" s="20">
        <v>3</v>
      </c>
      <c r="N1183" s="19">
        <v>0</v>
      </c>
      <c r="O1183" s="19">
        <v>0</v>
      </c>
      <c r="P1183" s="19">
        <v>6.3596773310166804E-2</v>
      </c>
      <c r="Q1183" s="19">
        <v>0</v>
      </c>
      <c r="R1183" s="19">
        <v>1.2832602005051921E-3</v>
      </c>
      <c r="S1183" s="19">
        <v>0</v>
      </c>
      <c r="T1183" s="20">
        <v>30</v>
      </c>
      <c r="U1183" s="17">
        <v>2</v>
      </c>
      <c r="V1183" s="17">
        <v>34</v>
      </c>
    </row>
    <row r="1184" spans="1:22" x14ac:dyDescent="0.2">
      <c r="A1184" t="s">
        <v>3286</v>
      </c>
      <c r="B1184" t="s">
        <v>2719</v>
      </c>
      <c r="C1184" t="s">
        <v>2720</v>
      </c>
      <c r="D1184" t="s">
        <v>3280</v>
      </c>
      <c r="E1184" s="10" t="s">
        <v>3287</v>
      </c>
      <c r="F1184" s="10"/>
      <c r="G1184" s="10"/>
      <c r="H1184" s="10" t="s">
        <v>3287</v>
      </c>
      <c r="I1184" s="14">
        <v>118117.37096036505</v>
      </c>
      <c r="J1184" s="19">
        <v>1</v>
      </c>
      <c r="K1184" s="19">
        <v>0</v>
      </c>
      <c r="L1184" s="19">
        <v>0</v>
      </c>
      <c r="M1184" s="20">
        <v>3</v>
      </c>
      <c r="N1184" s="19">
        <v>0</v>
      </c>
      <c r="O1184" s="19">
        <v>0</v>
      </c>
      <c r="P1184" s="19">
        <v>0</v>
      </c>
      <c r="Q1184" s="19">
        <v>0</v>
      </c>
      <c r="R1184" s="19">
        <v>0</v>
      </c>
      <c r="S1184" s="19">
        <v>0</v>
      </c>
      <c r="T1184" s="20">
        <v>30</v>
      </c>
      <c r="U1184" s="17">
        <v>2</v>
      </c>
      <c r="V1184" s="17">
        <v>34</v>
      </c>
    </row>
    <row r="1185" spans="1:22" x14ac:dyDescent="0.2">
      <c r="A1185" t="s">
        <v>3288</v>
      </c>
      <c r="B1185" t="s">
        <v>2719</v>
      </c>
      <c r="C1185" t="s">
        <v>2720</v>
      </c>
      <c r="D1185" t="s">
        <v>3280</v>
      </c>
      <c r="E1185" s="10" t="s">
        <v>3280</v>
      </c>
      <c r="F1185" s="10"/>
      <c r="G1185" s="10"/>
      <c r="H1185" s="10" t="s">
        <v>3280</v>
      </c>
      <c r="I1185" s="14">
        <v>80022.633630456869</v>
      </c>
      <c r="J1185" s="19">
        <v>0.98383806494010662</v>
      </c>
      <c r="K1185" s="19">
        <v>1.138913893704855E-2</v>
      </c>
      <c r="L1185" s="19">
        <v>4.7727961228448031E-3</v>
      </c>
      <c r="M1185" s="20">
        <v>3</v>
      </c>
      <c r="N1185" s="19">
        <v>0</v>
      </c>
      <c r="O1185" s="19">
        <v>0</v>
      </c>
      <c r="P1185" s="19">
        <v>1.138913893704855E-2</v>
      </c>
      <c r="Q1185" s="19">
        <v>0</v>
      </c>
      <c r="R1185" s="19">
        <v>3.7782620758429193E-3</v>
      </c>
      <c r="S1185" s="19">
        <v>9.9453404700188355E-4</v>
      </c>
      <c r="T1185" s="20">
        <v>30</v>
      </c>
      <c r="U1185" s="17">
        <v>2</v>
      </c>
      <c r="V1185" s="17">
        <v>34</v>
      </c>
    </row>
    <row r="1186" spans="1:22" x14ac:dyDescent="0.2">
      <c r="A1186" t="s">
        <v>3289</v>
      </c>
      <c r="B1186" t="s">
        <v>2719</v>
      </c>
      <c r="C1186" t="s">
        <v>2720</v>
      </c>
      <c r="D1186" t="s">
        <v>3280</v>
      </c>
      <c r="E1186" s="10" t="s">
        <v>3290</v>
      </c>
      <c r="F1186" s="10"/>
      <c r="G1186" s="10"/>
      <c r="H1186" s="10" t="s">
        <v>3290</v>
      </c>
      <c r="I1186" s="14">
        <v>72617.54627264943</v>
      </c>
      <c r="J1186" s="19">
        <v>0.73866932383396799</v>
      </c>
      <c r="K1186" s="19">
        <v>0.25042454668657915</v>
      </c>
      <c r="L1186" s="19">
        <v>1.0906129479452848E-2</v>
      </c>
      <c r="M1186" s="20">
        <v>3</v>
      </c>
      <c r="N1186" s="19">
        <v>2.1739859617561767E-3</v>
      </c>
      <c r="O1186" s="19">
        <v>0</v>
      </c>
      <c r="P1186" s="19">
        <v>0.24825056072482299</v>
      </c>
      <c r="Q1186" s="19">
        <v>0</v>
      </c>
      <c r="R1186" s="19">
        <v>1.0906129479452849E-2</v>
      </c>
      <c r="S1186" s="19">
        <v>0</v>
      </c>
      <c r="T1186" s="20">
        <v>30</v>
      </c>
      <c r="U1186" s="17">
        <v>2</v>
      </c>
      <c r="V1186" s="17">
        <v>34</v>
      </c>
    </row>
    <row r="1187" spans="1:22" x14ac:dyDescent="0.2">
      <c r="A1187" t="s">
        <v>3291</v>
      </c>
      <c r="B1187" t="s">
        <v>2719</v>
      </c>
      <c r="C1187" t="s">
        <v>2720</v>
      </c>
      <c r="D1187" t="s">
        <v>3280</v>
      </c>
      <c r="E1187" s="10" t="s">
        <v>3292</v>
      </c>
      <c r="F1187" s="10"/>
      <c r="G1187" s="10"/>
      <c r="H1187" s="10" t="s">
        <v>3292</v>
      </c>
      <c r="I1187" s="14">
        <v>117275.87993897147</v>
      </c>
      <c r="J1187" s="19">
        <v>1</v>
      </c>
      <c r="K1187" s="19">
        <v>0</v>
      </c>
      <c r="L1187" s="19">
        <v>0</v>
      </c>
      <c r="M1187" s="20">
        <v>3</v>
      </c>
      <c r="N1187" s="19">
        <v>0</v>
      </c>
      <c r="O1187" s="19">
        <v>0</v>
      </c>
      <c r="P1187" s="19">
        <v>0</v>
      </c>
      <c r="Q1187" s="19">
        <v>0</v>
      </c>
      <c r="R1187" s="19">
        <v>0</v>
      </c>
      <c r="S1187" s="19">
        <v>0</v>
      </c>
      <c r="T1187" s="20">
        <v>30</v>
      </c>
      <c r="U1187" s="17">
        <v>2</v>
      </c>
      <c r="V1187" s="17">
        <v>34</v>
      </c>
    </row>
    <row r="1188" spans="1:22" x14ac:dyDescent="0.2">
      <c r="A1188" t="s">
        <v>3293</v>
      </c>
      <c r="B1188" t="s">
        <v>2719</v>
      </c>
      <c r="C1188" t="s">
        <v>2720</v>
      </c>
      <c r="D1188" t="s">
        <v>3280</v>
      </c>
      <c r="E1188" s="10" t="s">
        <v>3294</v>
      </c>
      <c r="F1188" s="10"/>
      <c r="G1188" s="10"/>
      <c r="H1188" s="10" t="s">
        <v>3294</v>
      </c>
      <c r="I1188" s="14">
        <v>23118.696217924356</v>
      </c>
      <c r="J1188" s="19">
        <v>0</v>
      </c>
      <c r="K1188" s="19">
        <v>0.31499527798643695</v>
      </c>
      <c r="L1188" s="19">
        <v>0.68500472201356322</v>
      </c>
      <c r="M1188" s="20">
        <v>1</v>
      </c>
      <c r="N1188" s="19">
        <v>0</v>
      </c>
      <c r="O1188" s="19">
        <v>0</v>
      </c>
      <c r="P1188" s="19">
        <v>0.31499527798643695</v>
      </c>
      <c r="Q1188" s="19">
        <v>0.39813099366478444</v>
      </c>
      <c r="R1188" s="19">
        <v>0.25125820679269367</v>
      </c>
      <c r="S1188" s="19">
        <v>3.5615521556084939E-2</v>
      </c>
      <c r="T1188" s="20">
        <v>13</v>
      </c>
      <c r="U1188" s="17">
        <v>2</v>
      </c>
      <c r="V1188" s="17">
        <v>34</v>
      </c>
    </row>
    <row r="1189" spans="1:22" x14ac:dyDescent="0.2">
      <c r="A1189" t="s">
        <v>3295</v>
      </c>
      <c r="B1189" t="s">
        <v>2719</v>
      </c>
      <c r="C1189" t="s">
        <v>2720</v>
      </c>
      <c r="D1189" t="s">
        <v>3280</v>
      </c>
      <c r="E1189" s="10" t="s">
        <v>3296</v>
      </c>
      <c r="F1189" s="10"/>
      <c r="G1189" s="10"/>
      <c r="H1189" s="10" t="s">
        <v>3296</v>
      </c>
      <c r="I1189" s="14">
        <v>104421.39682281902</v>
      </c>
      <c r="J1189" s="19">
        <v>1</v>
      </c>
      <c r="K1189" s="19">
        <v>0</v>
      </c>
      <c r="L1189" s="19">
        <v>0</v>
      </c>
      <c r="M1189" s="20">
        <v>3</v>
      </c>
      <c r="N1189" s="19">
        <v>0</v>
      </c>
      <c r="O1189" s="19">
        <v>0</v>
      </c>
      <c r="P1189" s="19">
        <v>0</v>
      </c>
      <c r="Q1189" s="19">
        <v>0</v>
      </c>
      <c r="R1189" s="19">
        <v>0</v>
      </c>
      <c r="S1189" s="19">
        <v>0</v>
      </c>
      <c r="T1189" s="20">
        <v>30</v>
      </c>
      <c r="U1189" s="17">
        <v>2</v>
      </c>
      <c r="V1189" s="17">
        <v>34</v>
      </c>
    </row>
    <row r="1190" spans="1:22" x14ac:dyDescent="0.2">
      <c r="A1190" t="s">
        <v>3297</v>
      </c>
      <c r="B1190" t="s">
        <v>2719</v>
      </c>
      <c r="C1190" t="s">
        <v>2720</v>
      </c>
      <c r="D1190" t="s">
        <v>3280</v>
      </c>
      <c r="E1190" s="10" t="s">
        <v>3298</v>
      </c>
      <c r="F1190" s="10"/>
      <c r="G1190" s="10"/>
      <c r="H1190" s="10" t="s">
        <v>3298</v>
      </c>
      <c r="I1190" s="14">
        <v>141728.26985617587</v>
      </c>
      <c r="J1190" s="19">
        <v>1</v>
      </c>
      <c r="K1190" s="19">
        <v>0</v>
      </c>
      <c r="L1190" s="19">
        <v>0</v>
      </c>
      <c r="M1190" s="20">
        <v>3</v>
      </c>
      <c r="N1190" s="19">
        <v>0</v>
      </c>
      <c r="O1190" s="19">
        <v>0</v>
      </c>
      <c r="P1190" s="19">
        <v>0</v>
      </c>
      <c r="Q1190" s="19">
        <v>0</v>
      </c>
      <c r="R1190" s="19">
        <v>0</v>
      </c>
      <c r="S1190" s="19">
        <v>0</v>
      </c>
      <c r="T1190" s="20">
        <v>30</v>
      </c>
      <c r="U1190" s="17">
        <v>2</v>
      </c>
      <c r="V1190" s="17">
        <v>34</v>
      </c>
    </row>
    <row r="1191" spans="1:22" x14ac:dyDescent="0.2">
      <c r="A1191" t="s">
        <v>3299</v>
      </c>
      <c r="B1191" t="s">
        <v>2719</v>
      </c>
      <c r="C1191" t="s">
        <v>2720</v>
      </c>
      <c r="D1191" t="s">
        <v>3280</v>
      </c>
      <c r="E1191" s="10" t="s">
        <v>3300</v>
      </c>
      <c r="F1191" s="10"/>
      <c r="G1191" s="10"/>
      <c r="H1191" s="10" t="s">
        <v>3300</v>
      </c>
      <c r="I1191" s="14">
        <v>276455.74043408409</v>
      </c>
      <c r="J1191" s="19">
        <v>0.97293859453770437</v>
      </c>
      <c r="K1191" s="19">
        <v>2.6071097835514576E-2</v>
      </c>
      <c r="L1191" s="19">
        <v>9.9030762678103176E-4</v>
      </c>
      <c r="M1191" s="20">
        <v>3</v>
      </c>
      <c r="N1191" s="19">
        <v>1.7854968678350427E-2</v>
      </c>
      <c r="O1191" s="19">
        <v>0</v>
      </c>
      <c r="P1191" s="19">
        <v>8.2161291571641471E-3</v>
      </c>
      <c r="Q1191" s="19">
        <v>0</v>
      </c>
      <c r="R1191" s="19">
        <v>8.9718659865491038E-4</v>
      </c>
      <c r="S1191" s="19">
        <v>9.3121028126121391E-5</v>
      </c>
      <c r="T1191" s="20">
        <v>30</v>
      </c>
      <c r="U1191" s="17">
        <v>2</v>
      </c>
      <c r="V1191" s="17">
        <v>34</v>
      </c>
    </row>
    <row r="1192" spans="1:22" x14ac:dyDescent="0.2">
      <c r="A1192" t="s">
        <v>3301</v>
      </c>
      <c r="B1192" t="s">
        <v>2719</v>
      </c>
      <c r="C1192" t="s">
        <v>2720</v>
      </c>
      <c r="D1192" t="s">
        <v>3280</v>
      </c>
      <c r="E1192" s="10" t="s">
        <v>3302</v>
      </c>
      <c r="F1192" s="10"/>
      <c r="G1192" s="10"/>
      <c r="H1192" s="10" t="s">
        <v>3302</v>
      </c>
      <c r="I1192" s="14">
        <v>245837.271116419</v>
      </c>
      <c r="J1192" s="19">
        <v>1</v>
      </c>
      <c r="K1192" s="19">
        <v>0</v>
      </c>
      <c r="L1192" s="19">
        <v>0</v>
      </c>
      <c r="M1192" s="20">
        <v>3</v>
      </c>
      <c r="N1192" s="19">
        <v>0</v>
      </c>
      <c r="O1192" s="19">
        <v>0</v>
      </c>
      <c r="P1192" s="19">
        <v>0</v>
      </c>
      <c r="Q1192" s="19">
        <v>0</v>
      </c>
      <c r="R1192" s="19">
        <v>0</v>
      </c>
      <c r="S1192" s="19">
        <v>0</v>
      </c>
      <c r="T1192" s="20">
        <v>30</v>
      </c>
      <c r="U1192" s="17">
        <v>2</v>
      </c>
      <c r="V1192" s="17">
        <v>34</v>
      </c>
    </row>
    <row r="1193" spans="1:22" x14ac:dyDescent="0.2">
      <c r="A1193" t="s">
        <v>3303</v>
      </c>
      <c r="B1193" t="s">
        <v>2719</v>
      </c>
      <c r="C1193" t="s">
        <v>2720</v>
      </c>
      <c r="D1193" t="s">
        <v>3280</v>
      </c>
      <c r="E1193" s="10" t="s">
        <v>3304</v>
      </c>
      <c r="F1193" s="10"/>
      <c r="G1193" s="10"/>
      <c r="H1193" s="10" t="s">
        <v>3304</v>
      </c>
      <c r="I1193" s="14">
        <v>228864.39316339837</v>
      </c>
      <c r="J1193" s="19">
        <v>1</v>
      </c>
      <c r="K1193" s="19">
        <v>0</v>
      </c>
      <c r="L1193" s="19">
        <v>0</v>
      </c>
      <c r="M1193" s="20">
        <v>3</v>
      </c>
      <c r="N1193" s="19">
        <v>0</v>
      </c>
      <c r="O1193" s="19">
        <v>0</v>
      </c>
      <c r="P1193" s="19">
        <v>0</v>
      </c>
      <c r="Q1193" s="19">
        <v>0</v>
      </c>
      <c r="R1193" s="19">
        <v>0</v>
      </c>
      <c r="S1193" s="19">
        <v>0</v>
      </c>
      <c r="T1193" s="20">
        <v>30</v>
      </c>
      <c r="U1193" s="17">
        <v>2</v>
      </c>
      <c r="V1193" s="17">
        <v>34</v>
      </c>
    </row>
    <row r="1194" spans="1:22" x14ac:dyDescent="0.2">
      <c r="A1194" t="s">
        <v>3305</v>
      </c>
      <c r="B1194" t="s">
        <v>2719</v>
      </c>
      <c r="C1194" t="s">
        <v>2720</v>
      </c>
      <c r="D1194" t="s">
        <v>3280</v>
      </c>
      <c r="E1194" s="10" t="s">
        <v>3306</v>
      </c>
      <c r="F1194" s="10"/>
      <c r="G1194" s="10"/>
      <c r="H1194" s="10" t="s">
        <v>3306</v>
      </c>
      <c r="I1194" s="14">
        <v>112811.78801435139</v>
      </c>
      <c r="J1194" s="19">
        <v>0.48773867474096422</v>
      </c>
      <c r="K1194" s="19">
        <v>0.47373550753383742</v>
      </c>
      <c r="L1194" s="19">
        <v>3.8525817725198315E-2</v>
      </c>
      <c r="M1194" s="20">
        <v>2</v>
      </c>
      <c r="N1194" s="19">
        <v>0.33230913944501905</v>
      </c>
      <c r="O1194" s="19">
        <v>0</v>
      </c>
      <c r="P1194" s="19">
        <v>0.14142636808881837</v>
      </c>
      <c r="Q1194" s="19">
        <v>0</v>
      </c>
      <c r="R1194" s="19">
        <v>3.3545499152596081E-2</v>
      </c>
      <c r="S1194" s="19">
        <v>4.9803185726022357E-3</v>
      </c>
      <c r="T1194" s="20">
        <v>23</v>
      </c>
      <c r="U1194" s="17">
        <v>2</v>
      </c>
      <c r="V1194" s="17">
        <v>34</v>
      </c>
    </row>
    <row r="1195" spans="1:22" x14ac:dyDescent="0.2">
      <c r="A1195" t="s">
        <v>3307</v>
      </c>
      <c r="B1195" t="s">
        <v>2719</v>
      </c>
      <c r="C1195" t="s">
        <v>2720</v>
      </c>
      <c r="D1195" t="s">
        <v>3280</v>
      </c>
      <c r="E1195" s="10" t="s">
        <v>3308</v>
      </c>
      <c r="F1195" s="10"/>
      <c r="G1195" s="10"/>
      <c r="H1195" s="10" t="s">
        <v>3308</v>
      </c>
      <c r="I1195" s="14">
        <v>72282.235672613606</v>
      </c>
      <c r="J1195" s="19">
        <v>1</v>
      </c>
      <c r="K1195" s="19">
        <v>0</v>
      </c>
      <c r="L1195" s="19">
        <v>0</v>
      </c>
      <c r="M1195" s="20">
        <v>3</v>
      </c>
      <c r="N1195" s="19">
        <v>0</v>
      </c>
      <c r="O1195" s="19">
        <v>0</v>
      </c>
      <c r="P1195" s="19">
        <v>0</v>
      </c>
      <c r="Q1195" s="19">
        <v>0</v>
      </c>
      <c r="R1195" s="19">
        <v>0</v>
      </c>
      <c r="S1195" s="19">
        <v>0</v>
      </c>
      <c r="T1195" s="20">
        <v>30</v>
      </c>
      <c r="U1195" s="17">
        <v>2</v>
      </c>
      <c r="V1195" s="17">
        <v>34</v>
      </c>
    </row>
    <row r="1196" spans="1:22" x14ac:dyDescent="0.2">
      <c r="A1196" t="s">
        <v>3309</v>
      </c>
      <c r="B1196" t="s">
        <v>2719</v>
      </c>
      <c r="C1196" t="s">
        <v>2720</v>
      </c>
      <c r="D1196" t="s">
        <v>3280</v>
      </c>
      <c r="E1196" s="10" t="s">
        <v>3310</v>
      </c>
      <c r="F1196" s="10"/>
      <c r="G1196" s="10"/>
      <c r="H1196" s="10" t="s">
        <v>3310</v>
      </c>
      <c r="I1196" s="14">
        <v>83507.226497689029</v>
      </c>
      <c r="J1196" s="19">
        <v>0.81625965615468044</v>
      </c>
      <c r="K1196" s="19">
        <v>0.18359412739595121</v>
      </c>
      <c r="L1196" s="19">
        <v>1.4621644936830012E-4</v>
      </c>
      <c r="M1196" s="20">
        <v>3</v>
      </c>
      <c r="N1196" s="19">
        <v>6.9772495130611983E-2</v>
      </c>
      <c r="O1196" s="19">
        <v>0</v>
      </c>
      <c r="P1196" s="19">
        <v>0.11382163226533923</v>
      </c>
      <c r="Q1196" s="19">
        <v>0</v>
      </c>
      <c r="R1196" s="19">
        <v>1.4621644936830012E-4</v>
      </c>
      <c r="S1196" s="19">
        <v>0</v>
      </c>
      <c r="T1196" s="20">
        <v>30</v>
      </c>
      <c r="U1196" s="17">
        <v>2</v>
      </c>
      <c r="V1196" s="17">
        <v>34</v>
      </c>
    </row>
    <row r="1197" spans="1:22" x14ac:dyDescent="0.2">
      <c r="A1197" t="s">
        <v>3311</v>
      </c>
      <c r="B1197" t="s">
        <v>2719</v>
      </c>
      <c r="C1197" t="s">
        <v>2720</v>
      </c>
      <c r="D1197" t="s">
        <v>3280</v>
      </c>
      <c r="E1197" s="10" t="s">
        <v>3312</v>
      </c>
      <c r="F1197" s="10"/>
      <c r="G1197" s="10"/>
      <c r="H1197" s="10" t="s">
        <v>3312</v>
      </c>
      <c r="I1197" s="14">
        <v>56681.601751848124</v>
      </c>
      <c r="J1197" s="19">
        <v>0.91205996787522003</v>
      </c>
      <c r="K1197" s="19">
        <v>8.7545388109399921E-2</v>
      </c>
      <c r="L1197" s="19">
        <v>3.946440153800252E-4</v>
      </c>
      <c r="M1197" s="20">
        <v>3</v>
      </c>
      <c r="N1197" s="19">
        <v>2.7978074451752368E-3</v>
      </c>
      <c r="O1197" s="19">
        <v>0</v>
      </c>
      <c r="P1197" s="19">
        <v>8.4747580664224664E-2</v>
      </c>
      <c r="Q1197" s="19">
        <v>0</v>
      </c>
      <c r="R1197" s="19">
        <v>1.6993188733012077E-4</v>
      </c>
      <c r="S1197" s="19">
        <v>2.2471212804990446E-4</v>
      </c>
      <c r="T1197" s="20">
        <v>30</v>
      </c>
      <c r="U1197" s="17">
        <v>2</v>
      </c>
      <c r="V1197" s="17">
        <v>34</v>
      </c>
    </row>
    <row r="1198" spans="1:22" x14ac:dyDescent="0.2">
      <c r="A1198" t="s">
        <v>3313</v>
      </c>
      <c r="B1198" t="s">
        <v>2719</v>
      </c>
      <c r="C1198" t="s">
        <v>2720</v>
      </c>
      <c r="D1198" t="s">
        <v>3280</v>
      </c>
      <c r="E1198" s="10" t="s">
        <v>3314</v>
      </c>
      <c r="F1198" s="10"/>
      <c r="G1198" s="10"/>
      <c r="H1198" s="10" t="s">
        <v>3314</v>
      </c>
      <c r="I1198" s="14">
        <v>118914.35409473279</v>
      </c>
      <c r="J1198" s="19">
        <v>0.92992877902638549</v>
      </c>
      <c r="K1198" s="19">
        <v>7.007122097361454E-2</v>
      </c>
      <c r="L1198" s="19">
        <v>0</v>
      </c>
      <c r="M1198" s="20">
        <v>3</v>
      </c>
      <c r="N1198" s="19">
        <v>2.8343321293399306E-2</v>
      </c>
      <c r="O1198" s="19">
        <v>0</v>
      </c>
      <c r="P1198" s="19">
        <v>4.1727899680215237E-2</v>
      </c>
      <c r="Q1198" s="19">
        <v>0</v>
      </c>
      <c r="R1198" s="19">
        <v>0</v>
      </c>
      <c r="S1198" s="19">
        <v>0</v>
      </c>
      <c r="T1198" s="20">
        <v>30</v>
      </c>
      <c r="U1198" s="17">
        <v>2</v>
      </c>
      <c r="V1198" s="17">
        <v>34</v>
      </c>
    </row>
    <row r="1199" spans="1:22" x14ac:dyDescent="0.2">
      <c r="A1199" t="s">
        <v>3315</v>
      </c>
      <c r="B1199" t="s">
        <v>2719</v>
      </c>
      <c r="C1199" t="s">
        <v>2720</v>
      </c>
      <c r="D1199" t="s">
        <v>3280</v>
      </c>
      <c r="E1199" s="10" t="s">
        <v>3316</v>
      </c>
      <c r="F1199" s="10"/>
      <c r="G1199" s="10"/>
      <c r="H1199" s="10" t="s">
        <v>3316</v>
      </c>
      <c r="I1199" s="14">
        <v>97692.965675711632</v>
      </c>
      <c r="J1199" s="19">
        <v>0.81045888840787839</v>
      </c>
      <c r="K1199" s="19">
        <v>0.18621955627786049</v>
      </c>
      <c r="L1199" s="19">
        <v>3.3215553142610906E-3</v>
      </c>
      <c r="M1199" s="20">
        <v>3</v>
      </c>
      <c r="N1199" s="19">
        <v>0.11409337921328867</v>
      </c>
      <c r="O1199" s="19">
        <v>0</v>
      </c>
      <c r="P1199" s="19">
        <v>7.2126177064571834E-2</v>
      </c>
      <c r="Q1199" s="19">
        <v>0</v>
      </c>
      <c r="R1199" s="19">
        <v>2.4243378523747931E-3</v>
      </c>
      <c r="S1199" s="19">
        <v>8.972174618862975E-4</v>
      </c>
      <c r="T1199" s="20">
        <v>30</v>
      </c>
      <c r="U1199" s="17">
        <v>2</v>
      </c>
      <c r="V1199" s="17">
        <v>34</v>
      </c>
    </row>
    <row r="1200" spans="1:22" x14ac:dyDescent="0.2">
      <c r="A1200" t="s">
        <v>3317</v>
      </c>
      <c r="B1200" t="s">
        <v>2719</v>
      </c>
      <c r="C1200" t="s">
        <v>2720</v>
      </c>
      <c r="D1200" t="s">
        <v>3280</v>
      </c>
      <c r="E1200" s="10" t="s">
        <v>3318</v>
      </c>
      <c r="F1200" s="10"/>
      <c r="G1200" s="10"/>
      <c r="H1200" s="10" t="s">
        <v>3318</v>
      </c>
      <c r="I1200" s="14">
        <v>108713.16112285944</v>
      </c>
      <c r="J1200" s="19">
        <v>0</v>
      </c>
      <c r="K1200" s="19">
        <v>0.94973775740926447</v>
      </c>
      <c r="L1200" s="19">
        <v>5.0262242590735667E-2</v>
      </c>
      <c r="M1200" s="20">
        <v>2</v>
      </c>
      <c r="N1200" s="19">
        <v>0.21337280326564537</v>
      </c>
      <c r="O1200" s="19">
        <v>0</v>
      </c>
      <c r="P1200" s="19">
        <v>0.73636495414361913</v>
      </c>
      <c r="Q1200" s="19">
        <v>7.8358231907829385E-3</v>
      </c>
      <c r="R1200" s="19">
        <v>4.1018220978233697E-2</v>
      </c>
      <c r="S1200" s="19">
        <v>1.4081984217190291E-3</v>
      </c>
      <c r="T1200" s="20">
        <v>21</v>
      </c>
      <c r="U1200" s="17">
        <v>2</v>
      </c>
      <c r="V1200" s="17">
        <v>34</v>
      </c>
    </row>
    <row r="1201" spans="1:22" x14ac:dyDescent="0.2">
      <c r="A1201" t="s">
        <v>3319</v>
      </c>
      <c r="B1201" t="s">
        <v>2719</v>
      </c>
      <c r="C1201" t="s">
        <v>2720</v>
      </c>
      <c r="D1201" t="s">
        <v>3280</v>
      </c>
      <c r="E1201" s="10" t="s">
        <v>3320</v>
      </c>
      <c r="F1201" s="10"/>
      <c r="G1201" s="10"/>
      <c r="H1201" s="10" t="s">
        <v>3320</v>
      </c>
      <c r="I1201" s="14">
        <v>621987.35594615457</v>
      </c>
      <c r="J1201" s="19">
        <v>0.96567687571024552</v>
      </c>
      <c r="K1201" s="19">
        <v>3.1737211888393291E-2</v>
      </c>
      <c r="L1201" s="19">
        <v>2.5859124013611606E-3</v>
      </c>
      <c r="M1201" s="20">
        <v>3</v>
      </c>
      <c r="N1201" s="19">
        <v>0</v>
      </c>
      <c r="O1201" s="19">
        <v>0</v>
      </c>
      <c r="P1201" s="19">
        <v>3.1737211888393291E-2</v>
      </c>
      <c r="Q1201" s="19">
        <v>0</v>
      </c>
      <c r="R1201" s="19">
        <v>2.3336135770064535E-3</v>
      </c>
      <c r="S1201" s="19">
        <v>2.5229882435470719E-4</v>
      </c>
      <c r="T1201" s="20">
        <v>30</v>
      </c>
      <c r="U1201" s="17">
        <v>2</v>
      </c>
      <c r="V1201" s="17">
        <v>34</v>
      </c>
    </row>
    <row r="1202" spans="1:22" x14ac:dyDescent="0.2">
      <c r="A1202" t="s">
        <v>3321</v>
      </c>
      <c r="B1202" t="s">
        <v>2719</v>
      </c>
      <c r="C1202" t="s">
        <v>2720</v>
      </c>
      <c r="D1202" t="s">
        <v>3280</v>
      </c>
      <c r="E1202" s="10" t="s">
        <v>3215</v>
      </c>
      <c r="F1202" s="10"/>
      <c r="G1202" s="10"/>
      <c r="H1202" s="10" t="s">
        <v>3215</v>
      </c>
      <c r="I1202" s="14">
        <v>165604.18646471109</v>
      </c>
      <c r="J1202" s="19">
        <v>0</v>
      </c>
      <c r="K1202" s="19">
        <v>0.91401685529728338</v>
      </c>
      <c r="L1202" s="19">
        <v>8.5983144702716605E-2</v>
      </c>
      <c r="M1202" s="20">
        <v>2</v>
      </c>
      <c r="N1202" s="19">
        <v>0.38724359346123066</v>
      </c>
      <c r="O1202" s="19">
        <v>0</v>
      </c>
      <c r="P1202" s="19">
        <v>0.52677326183605278</v>
      </c>
      <c r="Q1202" s="19">
        <v>0</v>
      </c>
      <c r="R1202" s="19">
        <v>8.0283234572223514E-2</v>
      </c>
      <c r="S1202" s="19">
        <v>5.6999101304930902E-3</v>
      </c>
      <c r="T1202" s="20">
        <v>21</v>
      </c>
      <c r="U1202" s="17">
        <v>2</v>
      </c>
      <c r="V1202" s="17">
        <v>34</v>
      </c>
    </row>
    <row r="1203" spans="1:22" x14ac:dyDescent="0.2">
      <c r="A1203" t="s">
        <v>3322</v>
      </c>
      <c r="B1203" t="s">
        <v>2719</v>
      </c>
      <c r="C1203" t="s">
        <v>2720</v>
      </c>
      <c r="D1203" t="s">
        <v>3280</v>
      </c>
      <c r="E1203" s="10" t="s">
        <v>3323</v>
      </c>
      <c r="F1203" s="10"/>
      <c r="G1203" s="10"/>
      <c r="H1203" s="10" t="s">
        <v>3323</v>
      </c>
      <c r="I1203" s="14">
        <v>95962.703086614143</v>
      </c>
      <c r="J1203" s="19">
        <v>0.17998660986192647</v>
      </c>
      <c r="K1203" s="19">
        <v>0.76962284263724634</v>
      </c>
      <c r="L1203" s="19">
        <v>5.0390547500827193E-2</v>
      </c>
      <c r="M1203" s="20">
        <v>2</v>
      </c>
      <c r="N1203" s="19">
        <v>0.28225907877289275</v>
      </c>
      <c r="O1203" s="19">
        <v>0</v>
      </c>
      <c r="P1203" s="19">
        <v>0.48736376386435354</v>
      </c>
      <c r="Q1203" s="19">
        <v>1.4061777609604702E-3</v>
      </c>
      <c r="R1203" s="19">
        <v>4.6702884446794976E-2</v>
      </c>
      <c r="S1203" s="19">
        <v>2.2814852930717459E-3</v>
      </c>
      <c r="T1203" s="20">
        <v>23</v>
      </c>
      <c r="U1203" s="17">
        <v>2</v>
      </c>
      <c r="V1203" s="17">
        <v>34</v>
      </c>
    </row>
    <row r="1204" spans="1:22" x14ac:dyDescent="0.2">
      <c r="A1204" t="s">
        <v>3324</v>
      </c>
      <c r="B1204" t="s">
        <v>2719</v>
      </c>
      <c r="C1204" t="s">
        <v>2720</v>
      </c>
      <c r="D1204" t="s">
        <v>3280</v>
      </c>
      <c r="E1204" s="10" t="s">
        <v>3325</v>
      </c>
      <c r="F1204" s="10"/>
      <c r="G1204" s="10"/>
      <c r="H1204" s="10" t="s">
        <v>3325</v>
      </c>
      <c r="I1204" s="14">
        <v>265546.42305933719</v>
      </c>
      <c r="J1204" s="19">
        <v>0.97973195936625557</v>
      </c>
      <c r="K1204" s="19">
        <v>1.8585444003722886E-2</v>
      </c>
      <c r="L1204" s="19">
        <v>1.6825966300215024E-3</v>
      </c>
      <c r="M1204" s="20">
        <v>3</v>
      </c>
      <c r="N1204" s="19">
        <v>2.2692460326089164E-3</v>
      </c>
      <c r="O1204" s="19">
        <v>0</v>
      </c>
      <c r="P1204" s="19">
        <v>1.6316197971113972E-2</v>
      </c>
      <c r="Q1204" s="19">
        <v>0</v>
      </c>
      <c r="R1204" s="19">
        <v>1.675982107886433E-3</v>
      </c>
      <c r="S1204" s="19">
        <v>6.6145221350691267E-6</v>
      </c>
      <c r="T1204" s="20">
        <v>30</v>
      </c>
      <c r="U1204" s="17">
        <v>2</v>
      </c>
      <c r="V1204" s="17">
        <v>34</v>
      </c>
    </row>
    <row r="1205" spans="1:22" x14ac:dyDescent="0.2">
      <c r="A1205" t="s">
        <v>3326</v>
      </c>
      <c r="B1205" t="s">
        <v>2719</v>
      </c>
      <c r="C1205" t="s">
        <v>2720</v>
      </c>
      <c r="D1205" t="s">
        <v>3327</v>
      </c>
      <c r="E1205" s="10" t="s">
        <v>3328</v>
      </c>
      <c r="F1205" s="10"/>
      <c r="G1205" s="10"/>
      <c r="H1205" s="10" t="s">
        <v>3328</v>
      </c>
      <c r="I1205" s="14">
        <v>36276.217093329877</v>
      </c>
      <c r="J1205" s="19">
        <v>0</v>
      </c>
      <c r="K1205" s="19">
        <v>0.55220874372291784</v>
      </c>
      <c r="L1205" s="19">
        <v>0.44779125627708211</v>
      </c>
      <c r="M1205" s="20">
        <v>2</v>
      </c>
      <c r="N1205" s="19">
        <v>0</v>
      </c>
      <c r="O1205" s="19">
        <v>0.35363364684205334</v>
      </c>
      <c r="P1205" s="19">
        <v>0.19857509688086455</v>
      </c>
      <c r="Q1205" s="19">
        <v>0.23127170751003254</v>
      </c>
      <c r="R1205" s="19">
        <v>0.2020622052596068</v>
      </c>
      <c r="S1205" s="19">
        <v>1.4457343507442776E-2</v>
      </c>
      <c r="T1205" s="20">
        <v>22</v>
      </c>
      <c r="U1205" s="17">
        <v>2</v>
      </c>
      <c r="V1205" s="17">
        <v>34</v>
      </c>
    </row>
    <row r="1206" spans="1:22" x14ac:dyDescent="0.2">
      <c r="A1206" t="s">
        <v>3329</v>
      </c>
      <c r="B1206" t="s">
        <v>2719</v>
      </c>
      <c r="C1206" t="s">
        <v>2720</v>
      </c>
      <c r="D1206" t="s">
        <v>3327</v>
      </c>
      <c r="E1206" s="10" t="s">
        <v>3330</v>
      </c>
      <c r="F1206" s="10"/>
      <c r="G1206" s="10"/>
      <c r="H1206" s="10" t="s">
        <v>3330</v>
      </c>
      <c r="I1206" s="14">
        <v>46549.759961022522</v>
      </c>
      <c r="J1206" s="19">
        <v>0</v>
      </c>
      <c r="K1206" s="19">
        <v>0.90650717876739706</v>
      </c>
      <c r="L1206" s="19">
        <v>9.3492821232603079E-2</v>
      </c>
      <c r="M1206" s="20">
        <v>2</v>
      </c>
      <c r="N1206" s="19">
        <v>0</v>
      </c>
      <c r="O1206" s="19">
        <v>0.90650717876739706</v>
      </c>
      <c r="P1206" s="19">
        <v>0</v>
      </c>
      <c r="Q1206" s="19">
        <v>0</v>
      </c>
      <c r="R1206" s="19">
        <v>8.4892353801580694E-2</v>
      </c>
      <c r="S1206" s="19">
        <v>8.600467431022385E-3</v>
      </c>
      <c r="T1206" s="20">
        <v>22</v>
      </c>
      <c r="U1206" s="17">
        <v>2</v>
      </c>
      <c r="V1206" s="17">
        <v>34</v>
      </c>
    </row>
    <row r="1207" spans="1:22" x14ac:dyDescent="0.2">
      <c r="A1207" t="s">
        <v>3331</v>
      </c>
      <c r="B1207" t="s">
        <v>2719</v>
      </c>
      <c r="C1207" t="s">
        <v>2720</v>
      </c>
      <c r="D1207" t="s">
        <v>3327</v>
      </c>
      <c r="E1207" s="10" t="s">
        <v>3332</v>
      </c>
      <c r="F1207" s="10"/>
      <c r="G1207" s="10"/>
      <c r="H1207" s="10" t="s">
        <v>3332</v>
      </c>
      <c r="I1207" s="14">
        <v>38907.042375912773</v>
      </c>
      <c r="J1207" s="19">
        <v>0</v>
      </c>
      <c r="K1207" s="19">
        <v>0.43859897773161255</v>
      </c>
      <c r="L1207" s="19">
        <v>0.56140102226838751</v>
      </c>
      <c r="M1207" s="20">
        <v>1</v>
      </c>
      <c r="N1207" s="19">
        <v>0</v>
      </c>
      <c r="O1207" s="19">
        <v>0.38557538021100612</v>
      </c>
      <c r="P1207" s="19">
        <v>5.3023597520606425E-2</v>
      </c>
      <c r="Q1207" s="19">
        <v>0.20723359889100143</v>
      </c>
      <c r="R1207" s="19">
        <v>0.31528897154725183</v>
      </c>
      <c r="S1207" s="19">
        <v>3.8878451830134234E-2</v>
      </c>
      <c r="T1207" s="20">
        <v>12</v>
      </c>
      <c r="U1207" s="17">
        <v>2</v>
      </c>
      <c r="V1207" s="17">
        <v>34</v>
      </c>
    </row>
    <row r="1208" spans="1:22" x14ac:dyDescent="0.2">
      <c r="A1208" t="s">
        <v>3333</v>
      </c>
      <c r="B1208" t="s">
        <v>2719</v>
      </c>
      <c r="C1208" t="s">
        <v>2720</v>
      </c>
      <c r="D1208" t="s">
        <v>3327</v>
      </c>
      <c r="E1208" s="10" t="s">
        <v>3334</v>
      </c>
      <c r="F1208" s="10"/>
      <c r="G1208" s="10"/>
      <c r="H1208" s="10" t="s">
        <v>3334</v>
      </c>
      <c r="I1208" s="14">
        <v>52954.325338604322</v>
      </c>
      <c r="J1208" s="19">
        <v>0</v>
      </c>
      <c r="K1208" s="19">
        <v>0.7781023463399892</v>
      </c>
      <c r="L1208" s="19">
        <v>0.22189765366001071</v>
      </c>
      <c r="M1208" s="20">
        <v>2</v>
      </c>
      <c r="N1208" s="19">
        <v>0</v>
      </c>
      <c r="O1208" s="19">
        <v>0.72007609940259454</v>
      </c>
      <c r="P1208" s="19">
        <v>5.8026246937394735E-2</v>
      </c>
      <c r="Q1208" s="19">
        <v>1.144833067149989E-2</v>
      </c>
      <c r="R1208" s="19">
        <v>0.1962236942002035</v>
      </c>
      <c r="S1208" s="19">
        <v>1.4225628788307363E-2</v>
      </c>
      <c r="T1208" s="20">
        <v>22</v>
      </c>
      <c r="U1208" s="17">
        <v>2</v>
      </c>
      <c r="V1208" s="17">
        <v>34</v>
      </c>
    </row>
    <row r="1209" spans="1:22" x14ac:dyDescent="0.2">
      <c r="A1209" t="s">
        <v>3335</v>
      </c>
      <c r="B1209" t="s">
        <v>2719</v>
      </c>
      <c r="C1209" t="s">
        <v>2720</v>
      </c>
      <c r="D1209" t="s">
        <v>3327</v>
      </c>
      <c r="E1209" s="10" t="s">
        <v>3336</v>
      </c>
      <c r="F1209" s="10"/>
      <c r="G1209" s="10"/>
      <c r="H1209" s="10" t="s">
        <v>3336</v>
      </c>
      <c r="I1209" s="14">
        <v>69158.009522209875</v>
      </c>
      <c r="J1209" s="19">
        <v>0</v>
      </c>
      <c r="K1209" s="19">
        <v>0.84807564637107502</v>
      </c>
      <c r="L1209" s="19">
        <v>0.15192435362892498</v>
      </c>
      <c r="M1209" s="20">
        <v>2</v>
      </c>
      <c r="N1209" s="19">
        <v>0.40765510160772683</v>
      </c>
      <c r="O1209" s="19">
        <v>8.072819884202799E-2</v>
      </c>
      <c r="P1209" s="19">
        <v>0.35969234592132016</v>
      </c>
      <c r="Q1209" s="19">
        <v>5.2148306546521292E-2</v>
      </c>
      <c r="R1209" s="19">
        <v>9.03594773343675E-2</v>
      </c>
      <c r="S1209" s="19">
        <v>9.4165697480361951E-3</v>
      </c>
      <c r="T1209" s="20">
        <v>23</v>
      </c>
      <c r="U1209" s="17">
        <v>2</v>
      </c>
      <c r="V1209" s="17">
        <v>34</v>
      </c>
    </row>
    <row r="1210" spans="1:22" x14ac:dyDescent="0.2">
      <c r="A1210" t="s">
        <v>3337</v>
      </c>
      <c r="B1210" t="s">
        <v>2719</v>
      </c>
      <c r="C1210" t="s">
        <v>2720</v>
      </c>
      <c r="D1210" t="s">
        <v>3327</v>
      </c>
      <c r="E1210" s="10" t="s">
        <v>3338</v>
      </c>
      <c r="F1210" s="10"/>
      <c r="G1210" s="10"/>
      <c r="H1210" s="10" t="s">
        <v>3338</v>
      </c>
      <c r="I1210" s="14">
        <v>97037.439187083859</v>
      </c>
      <c r="J1210" s="19">
        <v>0</v>
      </c>
      <c r="K1210" s="19">
        <v>0.55794837187263613</v>
      </c>
      <c r="L1210" s="19">
        <v>0.44205162812736382</v>
      </c>
      <c r="M1210" s="20">
        <v>2</v>
      </c>
      <c r="N1210" s="19">
        <v>0</v>
      </c>
      <c r="O1210" s="19">
        <v>0.55794837187263613</v>
      </c>
      <c r="P1210" s="19">
        <v>0</v>
      </c>
      <c r="Q1210" s="19">
        <v>0.15471053808996141</v>
      </c>
      <c r="R1210" s="19">
        <v>0.25141289678708834</v>
      </c>
      <c r="S1210" s="19">
        <v>3.5928193250314065E-2</v>
      </c>
      <c r="T1210" s="20">
        <v>22</v>
      </c>
      <c r="U1210" s="17">
        <v>2</v>
      </c>
      <c r="V1210" s="17">
        <v>34</v>
      </c>
    </row>
    <row r="1211" spans="1:22" x14ac:dyDescent="0.2">
      <c r="A1211" t="s">
        <v>3339</v>
      </c>
      <c r="B1211" t="s">
        <v>2719</v>
      </c>
      <c r="C1211" t="s">
        <v>2720</v>
      </c>
      <c r="D1211" t="s">
        <v>3327</v>
      </c>
      <c r="E1211" s="10" t="s">
        <v>3340</v>
      </c>
      <c r="F1211" s="10"/>
      <c r="G1211" s="10"/>
      <c r="H1211" s="10" t="s">
        <v>3340</v>
      </c>
      <c r="I1211" s="14">
        <v>38614.836601308547</v>
      </c>
      <c r="J1211" s="19">
        <v>0</v>
      </c>
      <c r="K1211" s="19">
        <v>0.57160305602862904</v>
      </c>
      <c r="L1211" s="19">
        <v>0.42839694397137101</v>
      </c>
      <c r="M1211" s="20">
        <v>2</v>
      </c>
      <c r="N1211" s="19">
        <v>0.25349538734118321</v>
      </c>
      <c r="O1211" s="19">
        <v>4.4902940923643116E-5</v>
      </c>
      <c r="P1211" s="19">
        <v>0.31806276574652215</v>
      </c>
      <c r="Q1211" s="19">
        <v>0.31156954595517161</v>
      </c>
      <c r="R1211" s="19">
        <v>0.10297473620734883</v>
      </c>
      <c r="S1211" s="19">
        <v>1.3852661808850518E-2</v>
      </c>
      <c r="T1211" s="20">
        <v>23</v>
      </c>
      <c r="U1211" s="17">
        <v>2</v>
      </c>
      <c r="V1211" s="17">
        <v>34</v>
      </c>
    </row>
    <row r="1212" spans="1:22" x14ac:dyDescent="0.2">
      <c r="A1212" t="s">
        <v>3341</v>
      </c>
      <c r="B1212" t="s">
        <v>2719</v>
      </c>
      <c r="C1212" t="s">
        <v>2720</v>
      </c>
      <c r="D1212" t="s">
        <v>3327</v>
      </c>
      <c r="E1212" s="10" t="s">
        <v>3342</v>
      </c>
      <c r="F1212" s="10"/>
      <c r="G1212" s="10"/>
      <c r="H1212" s="10" t="s">
        <v>3342</v>
      </c>
      <c r="I1212" s="14">
        <v>32932.283980676671</v>
      </c>
      <c r="J1212" s="19">
        <v>0</v>
      </c>
      <c r="K1212" s="19">
        <v>0.6717759223668226</v>
      </c>
      <c r="L1212" s="19">
        <v>0.32822407763317735</v>
      </c>
      <c r="M1212" s="20">
        <v>2</v>
      </c>
      <c r="N1212" s="19">
        <v>0</v>
      </c>
      <c r="O1212" s="19">
        <v>0.23035716672881423</v>
      </c>
      <c r="P1212" s="19">
        <v>0.44141875563800842</v>
      </c>
      <c r="Q1212" s="19">
        <v>0.10875231924686782</v>
      </c>
      <c r="R1212" s="19">
        <v>0.21120292130553545</v>
      </c>
      <c r="S1212" s="19">
        <v>8.2688370807741073E-3</v>
      </c>
      <c r="T1212" s="20">
        <v>22</v>
      </c>
      <c r="U1212" s="17">
        <v>2</v>
      </c>
      <c r="V1212" s="17">
        <v>34</v>
      </c>
    </row>
    <row r="1213" spans="1:22" x14ac:dyDescent="0.2">
      <c r="A1213" t="s">
        <v>3343</v>
      </c>
      <c r="B1213" t="s">
        <v>2719</v>
      </c>
      <c r="C1213" t="s">
        <v>2720</v>
      </c>
      <c r="D1213" t="s">
        <v>3327</v>
      </c>
      <c r="E1213" s="10" t="s">
        <v>3344</v>
      </c>
      <c r="F1213" s="10"/>
      <c r="G1213" s="10"/>
      <c r="H1213" s="10" t="s">
        <v>3344</v>
      </c>
      <c r="I1213" s="14">
        <v>17745.493435437791</v>
      </c>
      <c r="J1213" s="19">
        <v>0</v>
      </c>
      <c r="K1213" s="19">
        <v>0</v>
      </c>
      <c r="L1213" s="19">
        <v>1</v>
      </c>
      <c r="M1213" s="20">
        <v>1</v>
      </c>
      <c r="N1213" s="19">
        <v>0</v>
      </c>
      <c r="O1213" s="19">
        <v>0</v>
      </c>
      <c r="P1213" s="19">
        <v>0</v>
      </c>
      <c r="Q1213" s="19">
        <v>0.46381850902891064</v>
      </c>
      <c r="R1213" s="19">
        <v>0.43710527904684049</v>
      </c>
      <c r="S1213" s="19">
        <v>9.9076211924248883E-2</v>
      </c>
      <c r="T1213" s="20">
        <v>13</v>
      </c>
      <c r="U1213" s="17">
        <v>2</v>
      </c>
      <c r="V1213" s="17">
        <v>34</v>
      </c>
    </row>
    <row r="1214" spans="1:22" x14ac:dyDescent="0.2">
      <c r="A1214" t="s">
        <v>3345</v>
      </c>
      <c r="B1214" t="s">
        <v>2719</v>
      </c>
      <c r="C1214" t="s">
        <v>2720</v>
      </c>
      <c r="D1214" t="s">
        <v>3327</v>
      </c>
      <c r="E1214" s="10" t="s">
        <v>3346</v>
      </c>
      <c r="F1214" s="10"/>
      <c r="G1214" s="10"/>
      <c r="H1214" s="10" t="s">
        <v>3346</v>
      </c>
      <c r="I1214" s="14">
        <v>28061.860061157495</v>
      </c>
      <c r="J1214" s="19">
        <v>0</v>
      </c>
      <c r="K1214" s="19">
        <v>0.82793062007576013</v>
      </c>
      <c r="L1214" s="19">
        <v>0.17206937992423987</v>
      </c>
      <c r="M1214" s="20">
        <v>2</v>
      </c>
      <c r="N1214" s="19">
        <v>0.19797075522181126</v>
      </c>
      <c r="O1214" s="19">
        <v>0</v>
      </c>
      <c r="P1214" s="19">
        <v>0.62995986485394884</v>
      </c>
      <c r="Q1214" s="19">
        <v>8.7767988252838131E-2</v>
      </c>
      <c r="R1214" s="19">
        <v>7.8849386449279205E-2</v>
      </c>
      <c r="S1214" s="19">
        <v>5.4520052221225428E-3</v>
      </c>
      <c r="T1214" s="20">
        <v>21</v>
      </c>
      <c r="U1214" s="17">
        <v>2</v>
      </c>
      <c r="V1214" s="17">
        <v>34</v>
      </c>
    </row>
    <row r="1215" spans="1:22" x14ac:dyDescent="0.2">
      <c r="A1215" t="s">
        <v>3347</v>
      </c>
      <c r="B1215" t="s">
        <v>2719</v>
      </c>
      <c r="C1215" t="s">
        <v>2720</v>
      </c>
      <c r="D1215" t="s">
        <v>3327</v>
      </c>
      <c r="E1215" s="10" t="s">
        <v>3348</v>
      </c>
      <c r="F1215" s="10"/>
      <c r="G1215" s="10"/>
      <c r="H1215" s="10" t="s">
        <v>3348</v>
      </c>
      <c r="I1215" s="14">
        <v>35150.756306446157</v>
      </c>
      <c r="J1215" s="19">
        <v>0</v>
      </c>
      <c r="K1215" s="19">
        <v>0.72987722623658402</v>
      </c>
      <c r="L1215" s="19">
        <v>0.27012277376341592</v>
      </c>
      <c r="M1215" s="20">
        <v>2</v>
      </c>
      <c r="N1215" s="19">
        <v>0.31698872837493342</v>
      </c>
      <c r="O1215" s="19">
        <v>6.0974239764268093E-2</v>
      </c>
      <c r="P1215" s="19">
        <v>0.35191425809738258</v>
      </c>
      <c r="Q1215" s="19">
        <v>5.3361613960715919E-2</v>
      </c>
      <c r="R1215" s="19">
        <v>0.19303973339942712</v>
      </c>
      <c r="S1215" s="19">
        <v>2.3721426403272877E-2</v>
      </c>
      <c r="T1215" s="20">
        <v>23</v>
      </c>
      <c r="U1215" s="17">
        <v>2</v>
      </c>
      <c r="V1215" s="17">
        <v>34</v>
      </c>
    </row>
    <row r="1216" spans="1:22" x14ac:dyDescent="0.2">
      <c r="A1216" t="s">
        <v>3349</v>
      </c>
      <c r="B1216" t="s">
        <v>2719</v>
      </c>
      <c r="C1216" t="s">
        <v>2720</v>
      </c>
      <c r="D1216" t="s">
        <v>3327</v>
      </c>
      <c r="E1216" s="10" t="s">
        <v>3350</v>
      </c>
      <c r="F1216" s="10"/>
      <c r="G1216" s="10"/>
      <c r="H1216" s="10" t="s">
        <v>3350</v>
      </c>
      <c r="I1216" s="14">
        <v>41534.080183633603</v>
      </c>
      <c r="J1216" s="19">
        <v>0</v>
      </c>
      <c r="K1216" s="19">
        <v>0.76482755846327721</v>
      </c>
      <c r="L1216" s="19">
        <v>0.23517244153672273</v>
      </c>
      <c r="M1216" s="20">
        <v>2</v>
      </c>
      <c r="N1216" s="19">
        <v>0.15018686038385631</v>
      </c>
      <c r="O1216" s="19">
        <v>0</v>
      </c>
      <c r="P1216" s="19">
        <v>0.6146406980794209</v>
      </c>
      <c r="Q1216" s="19">
        <v>0.13973340105746404</v>
      </c>
      <c r="R1216" s="19">
        <v>8.0136418018109667E-2</v>
      </c>
      <c r="S1216" s="19">
        <v>1.5302622461149036E-2</v>
      </c>
      <c r="T1216" s="20">
        <v>21</v>
      </c>
      <c r="U1216" s="17">
        <v>2</v>
      </c>
      <c r="V1216" s="17">
        <v>34</v>
      </c>
    </row>
    <row r="1217" spans="1:22" x14ac:dyDescent="0.2">
      <c r="A1217" t="s">
        <v>3351</v>
      </c>
      <c r="B1217" t="s">
        <v>2719</v>
      </c>
      <c r="C1217" t="s">
        <v>2720</v>
      </c>
      <c r="D1217" t="s">
        <v>3327</v>
      </c>
      <c r="E1217" s="10" t="s">
        <v>3352</v>
      </c>
      <c r="F1217" s="10"/>
      <c r="G1217" s="10"/>
      <c r="H1217" s="10" t="s">
        <v>3352</v>
      </c>
      <c r="I1217" s="14">
        <v>69386.887901928276</v>
      </c>
      <c r="J1217" s="19">
        <v>0</v>
      </c>
      <c r="K1217" s="19">
        <v>0.66704431099136119</v>
      </c>
      <c r="L1217" s="19">
        <v>0.33295568900863887</v>
      </c>
      <c r="M1217" s="20">
        <v>2</v>
      </c>
      <c r="N1217" s="19">
        <v>0</v>
      </c>
      <c r="O1217" s="19">
        <v>0.37715978757803464</v>
      </c>
      <c r="P1217" s="19">
        <v>0.28988452341332654</v>
      </c>
      <c r="Q1217" s="19">
        <v>0.15375286091089746</v>
      </c>
      <c r="R1217" s="19">
        <v>0.15895556080282672</v>
      </c>
      <c r="S1217" s="19">
        <v>2.0247267294914623E-2</v>
      </c>
      <c r="T1217" s="20">
        <v>22</v>
      </c>
      <c r="U1217" s="17">
        <v>2</v>
      </c>
      <c r="V1217" s="17">
        <v>34</v>
      </c>
    </row>
    <row r="1218" spans="1:22" x14ac:dyDescent="0.2">
      <c r="A1218" t="s">
        <v>3353</v>
      </c>
      <c r="B1218" t="s">
        <v>2719</v>
      </c>
      <c r="C1218" t="s">
        <v>2720</v>
      </c>
      <c r="D1218" t="s">
        <v>3327</v>
      </c>
      <c r="E1218" s="10" t="s">
        <v>3354</v>
      </c>
      <c r="F1218" s="10"/>
      <c r="G1218" s="10"/>
      <c r="H1218" s="10" t="s">
        <v>3354</v>
      </c>
      <c r="I1218" s="14">
        <v>42736.705319127999</v>
      </c>
      <c r="J1218" s="19">
        <v>0</v>
      </c>
      <c r="K1218" s="19">
        <v>0.7741923203274067</v>
      </c>
      <c r="L1218" s="19">
        <v>0.22580767967259333</v>
      </c>
      <c r="M1218" s="20">
        <v>2</v>
      </c>
      <c r="N1218" s="19">
        <v>0.16997783376614001</v>
      </c>
      <c r="O1218" s="19">
        <v>0</v>
      </c>
      <c r="P1218" s="19">
        <v>0.60421448656126664</v>
      </c>
      <c r="Q1218" s="19">
        <v>4.6251105371184049E-2</v>
      </c>
      <c r="R1218" s="19">
        <v>0.15974151011434246</v>
      </c>
      <c r="S1218" s="19">
        <v>1.9815064187066845E-2</v>
      </c>
      <c r="T1218" s="20">
        <v>21</v>
      </c>
      <c r="U1218" s="17">
        <v>2</v>
      </c>
      <c r="V1218" s="17">
        <v>34</v>
      </c>
    </row>
    <row r="1219" spans="1:22" x14ac:dyDescent="0.2">
      <c r="A1219" t="s">
        <v>3355</v>
      </c>
      <c r="B1219" t="s">
        <v>2719</v>
      </c>
      <c r="C1219" t="s">
        <v>2720</v>
      </c>
      <c r="D1219" t="s">
        <v>3327</v>
      </c>
      <c r="E1219" s="10" t="s">
        <v>3356</v>
      </c>
      <c r="F1219" s="10"/>
      <c r="G1219" s="10"/>
      <c r="H1219" s="10" t="s">
        <v>3356</v>
      </c>
      <c r="I1219" s="14">
        <v>28403.012938760916</v>
      </c>
      <c r="J1219" s="19">
        <v>0</v>
      </c>
      <c r="K1219" s="19">
        <v>0.90429091647256399</v>
      </c>
      <c r="L1219" s="19">
        <v>9.5709083527436109E-2</v>
      </c>
      <c r="M1219" s="20">
        <v>2</v>
      </c>
      <c r="N1219" s="19">
        <v>8.6813597312294571E-2</v>
      </c>
      <c r="O1219" s="19">
        <v>0</v>
      </c>
      <c r="P1219" s="19">
        <v>0.81747731916026944</v>
      </c>
      <c r="Q1219" s="19">
        <v>1.1057146925799328E-2</v>
      </c>
      <c r="R1219" s="19">
        <v>7.6155144105876496E-2</v>
      </c>
      <c r="S1219" s="19">
        <v>8.49679249576029E-3</v>
      </c>
      <c r="T1219" s="20">
        <v>21</v>
      </c>
      <c r="U1219" s="17">
        <v>2</v>
      </c>
      <c r="V1219" s="17">
        <v>34</v>
      </c>
    </row>
    <row r="1220" spans="1:22" x14ac:dyDescent="0.2">
      <c r="A1220" t="s">
        <v>3357</v>
      </c>
      <c r="B1220" t="s">
        <v>2719</v>
      </c>
      <c r="C1220" t="s">
        <v>2720</v>
      </c>
      <c r="D1220" t="s">
        <v>3327</v>
      </c>
      <c r="E1220" s="10" t="s">
        <v>3358</v>
      </c>
      <c r="F1220" s="10"/>
      <c r="G1220" s="10"/>
      <c r="H1220" s="10" t="s">
        <v>3358</v>
      </c>
      <c r="I1220" s="14">
        <v>50258.152131830808</v>
      </c>
      <c r="J1220" s="19">
        <v>0</v>
      </c>
      <c r="K1220" s="19">
        <v>0.62178756119278733</v>
      </c>
      <c r="L1220" s="19">
        <v>0.37821243880721261</v>
      </c>
      <c r="M1220" s="20">
        <v>2</v>
      </c>
      <c r="N1220" s="19">
        <v>0.13372411217425478</v>
      </c>
      <c r="O1220" s="19">
        <v>4.804271630862587E-5</v>
      </c>
      <c r="P1220" s="19">
        <v>0.48801540630222395</v>
      </c>
      <c r="Q1220" s="19">
        <v>0.18352043691052272</v>
      </c>
      <c r="R1220" s="19">
        <v>0.17483251843538614</v>
      </c>
      <c r="S1220" s="19">
        <v>1.985948346130377E-2</v>
      </c>
      <c r="T1220" s="20">
        <v>23</v>
      </c>
      <c r="U1220" s="17">
        <v>2</v>
      </c>
      <c r="V1220" s="17">
        <v>34</v>
      </c>
    </row>
    <row r="1221" spans="1:22" x14ac:dyDescent="0.2">
      <c r="A1221" t="s">
        <v>3359</v>
      </c>
      <c r="B1221" t="s">
        <v>2719</v>
      </c>
      <c r="C1221" t="s">
        <v>2720</v>
      </c>
      <c r="D1221" t="s">
        <v>3327</v>
      </c>
      <c r="E1221" s="10" t="s">
        <v>3360</v>
      </c>
      <c r="F1221" s="10"/>
      <c r="G1221" s="10"/>
      <c r="H1221" s="10" t="s">
        <v>3360</v>
      </c>
      <c r="I1221" s="14">
        <v>43218.30790561391</v>
      </c>
      <c r="J1221" s="19">
        <v>0</v>
      </c>
      <c r="K1221" s="19">
        <v>0.82341863031521934</v>
      </c>
      <c r="L1221" s="19">
        <v>0.17658136968478069</v>
      </c>
      <c r="M1221" s="20">
        <v>2</v>
      </c>
      <c r="N1221" s="19">
        <v>0</v>
      </c>
      <c r="O1221" s="19">
        <v>0</v>
      </c>
      <c r="P1221" s="19">
        <v>0.82341863031521934</v>
      </c>
      <c r="Q1221" s="19">
        <v>0</v>
      </c>
      <c r="R1221" s="19">
        <v>0.16180686133035782</v>
      </c>
      <c r="S1221" s="19">
        <v>1.4774508354422896E-2</v>
      </c>
      <c r="T1221" s="20">
        <v>21</v>
      </c>
      <c r="U1221" s="17">
        <v>2</v>
      </c>
      <c r="V1221" s="17">
        <v>34</v>
      </c>
    </row>
    <row r="1222" spans="1:22" x14ac:dyDescent="0.2">
      <c r="A1222" t="s">
        <v>3361</v>
      </c>
      <c r="B1222" t="s">
        <v>2719</v>
      </c>
      <c r="C1222" t="s">
        <v>2720</v>
      </c>
      <c r="D1222" t="s">
        <v>3327</v>
      </c>
      <c r="E1222" s="10" t="s">
        <v>3362</v>
      </c>
      <c r="F1222" s="10"/>
      <c r="G1222" s="10"/>
      <c r="H1222" s="10" t="s">
        <v>3362</v>
      </c>
      <c r="I1222" s="14">
        <v>28559.621660640463</v>
      </c>
      <c r="J1222" s="19">
        <v>0</v>
      </c>
      <c r="K1222" s="19">
        <v>0.61173110625439397</v>
      </c>
      <c r="L1222" s="19">
        <v>0.38826889374560591</v>
      </c>
      <c r="M1222" s="20">
        <v>2</v>
      </c>
      <c r="N1222" s="19">
        <v>0</v>
      </c>
      <c r="O1222" s="19">
        <v>0.61173110625439397</v>
      </c>
      <c r="P1222" s="19">
        <v>0</v>
      </c>
      <c r="Q1222" s="19">
        <v>0.21169454152380324</v>
      </c>
      <c r="R1222" s="19">
        <v>0.15563695673132982</v>
      </c>
      <c r="S1222" s="19">
        <v>2.0937395490472927E-2</v>
      </c>
      <c r="T1222" s="20">
        <v>22</v>
      </c>
      <c r="U1222" s="17">
        <v>2</v>
      </c>
      <c r="V1222" s="17">
        <v>34</v>
      </c>
    </row>
    <row r="1223" spans="1:22" x14ac:dyDescent="0.2">
      <c r="A1223" t="s">
        <v>3363</v>
      </c>
      <c r="B1223" t="s">
        <v>2719</v>
      </c>
      <c r="C1223" t="s">
        <v>2720</v>
      </c>
      <c r="D1223" t="s">
        <v>3327</v>
      </c>
      <c r="E1223" s="10" t="s">
        <v>3364</v>
      </c>
      <c r="F1223" s="10"/>
      <c r="G1223" s="10"/>
      <c r="H1223" s="10" t="s">
        <v>3364</v>
      </c>
      <c r="I1223" s="14">
        <v>52244.433513786877</v>
      </c>
      <c r="J1223" s="19">
        <v>0</v>
      </c>
      <c r="K1223" s="19">
        <v>0.59485230680724277</v>
      </c>
      <c r="L1223" s="19">
        <v>0.40514769319275729</v>
      </c>
      <c r="M1223" s="20">
        <v>2</v>
      </c>
      <c r="N1223" s="19">
        <v>0</v>
      </c>
      <c r="O1223" s="19">
        <v>9.6849775339118413E-2</v>
      </c>
      <c r="P1223" s="19">
        <v>0.49800253146812429</v>
      </c>
      <c r="Q1223" s="19">
        <v>0.17236993411236867</v>
      </c>
      <c r="R1223" s="19">
        <v>0.19604576018513106</v>
      </c>
      <c r="S1223" s="19">
        <v>3.673199889525753E-2</v>
      </c>
      <c r="T1223" s="20">
        <v>22</v>
      </c>
      <c r="U1223" s="17">
        <v>2</v>
      </c>
      <c r="V1223" s="17">
        <v>34</v>
      </c>
    </row>
    <row r="1224" spans="1:22" x14ac:dyDescent="0.2">
      <c r="A1224" t="s">
        <v>3365</v>
      </c>
      <c r="B1224" t="s">
        <v>2719</v>
      </c>
      <c r="C1224" t="s">
        <v>2720</v>
      </c>
      <c r="D1224" t="s">
        <v>3327</v>
      </c>
      <c r="E1224" s="10" t="s">
        <v>3366</v>
      </c>
      <c r="F1224" s="10"/>
      <c r="G1224" s="10"/>
      <c r="H1224" s="10" t="s">
        <v>3366</v>
      </c>
      <c r="I1224" s="14">
        <v>27191.928480535746</v>
      </c>
      <c r="J1224" s="19">
        <v>0</v>
      </c>
      <c r="K1224" s="19">
        <v>0.74186222192211992</v>
      </c>
      <c r="L1224" s="19">
        <v>0.25813777807788008</v>
      </c>
      <c r="M1224" s="20">
        <v>2</v>
      </c>
      <c r="N1224" s="19">
        <v>0</v>
      </c>
      <c r="O1224" s="19">
        <v>0.36239544820354153</v>
      </c>
      <c r="P1224" s="19">
        <v>0.37946677371857834</v>
      </c>
      <c r="Q1224" s="19">
        <v>6.3378036662571788E-2</v>
      </c>
      <c r="R1224" s="19">
        <v>0.17747542852939624</v>
      </c>
      <c r="S1224" s="19">
        <v>1.72843128859121E-2</v>
      </c>
      <c r="T1224" s="20">
        <v>22</v>
      </c>
      <c r="U1224" s="17">
        <v>2</v>
      </c>
      <c r="V1224" s="17">
        <v>34</v>
      </c>
    </row>
    <row r="1225" spans="1:22" x14ac:dyDescent="0.2">
      <c r="A1225" t="s">
        <v>3367</v>
      </c>
      <c r="B1225" t="s">
        <v>2719</v>
      </c>
      <c r="C1225" t="s">
        <v>2720</v>
      </c>
      <c r="D1225" t="s">
        <v>3327</v>
      </c>
      <c r="E1225" s="10" t="s">
        <v>3368</v>
      </c>
      <c r="F1225" s="10"/>
      <c r="G1225" s="10"/>
      <c r="H1225" s="10" t="s">
        <v>3368</v>
      </c>
      <c r="I1225" s="14">
        <v>23970.979463736527</v>
      </c>
      <c r="J1225" s="19">
        <v>0</v>
      </c>
      <c r="K1225" s="19">
        <v>1.4507533463273256E-2</v>
      </c>
      <c r="L1225" s="19">
        <v>0.98549246653672673</v>
      </c>
      <c r="M1225" s="20">
        <v>1</v>
      </c>
      <c r="N1225" s="19">
        <v>0</v>
      </c>
      <c r="O1225" s="19">
        <v>1.4503750730547358E-2</v>
      </c>
      <c r="P1225" s="19">
        <v>3.7827327258987348E-6</v>
      </c>
      <c r="Q1225" s="19">
        <v>0.73026145305020085</v>
      </c>
      <c r="R1225" s="19">
        <v>0.22273283438433039</v>
      </c>
      <c r="S1225" s="19">
        <v>3.2498179102195456E-2</v>
      </c>
      <c r="T1225" s="20">
        <v>13</v>
      </c>
      <c r="U1225" s="17">
        <v>2</v>
      </c>
      <c r="V1225" s="17">
        <v>34</v>
      </c>
    </row>
    <row r="1226" spans="1:22" x14ac:dyDescent="0.2">
      <c r="A1226" t="s">
        <v>3369</v>
      </c>
      <c r="B1226" t="s">
        <v>2719</v>
      </c>
      <c r="C1226" t="s">
        <v>2720</v>
      </c>
      <c r="D1226" t="s">
        <v>3327</v>
      </c>
      <c r="E1226" s="10" t="s">
        <v>3370</v>
      </c>
      <c r="F1226" s="10"/>
      <c r="G1226" s="10"/>
      <c r="H1226" s="10" t="s">
        <v>3370</v>
      </c>
      <c r="I1226" s="14">
        <v>26930.239011468831</v>
      </c>
      <c r="J1226" s="19">
        <v>0</v>
      </c>
      <c r="K1226" s="19">
        <v>0.91936716110187122</v>
      </c>
      <c r="L1226" s="19">
        <v>8.063283889812882E-2</v>
      </c>
      <c r="M1226" s="20">
        <v>2</v>
      </c>
      <c r="N1226" s="19">
        <v>0</v>
      </c>
      <c r="O1226" s="19">
        <v>0.91936716110187122</v>
      </c>
      <c r="P1226" s="19">
        <v>0</v>
      </c>
      <c r="Q1226" s="19">
        <v>0</v>
      </c>
      <c r="R1226" s="19">
        <v>5.9394075709596247E-2</v>
      </c>
      <c r="S1226" s="19">
        <v>2.1238763188532562E-2</v>
      </c>
      <c r="T1226" s="20">
        <v>22</v>
      </c>
      <c r="U1226" s="17">
        <v>2</v>
      </c>
      <c r="V1226" s="17">
        <v>34</v>
      </c>
    </row>
    <row r="1227" spans="1:22" x14ac:dyDescent="0.2">
      <c r="A1227" t="s">
        <v>3371</v>
      </c>
      <c r="B1227" t="s">
        <v>2719</v>
      </c>
      <c r="C1227" t="s">
        <v>2720</v>
      </c>
      <c r="D1227" t="s">
        <v>3327</v>
      </c>
      <c r="E1227" s="10" t="s">
        <v>3372</v>
      </c>
      <c r="F1227" s="10"/>
      <c r="G1227" s="10"/>
      <c r="H1227" s="10" t="s">
        <v>3372</v>
      </c>
      <c r="I1227" s="14">
        <v>41393.157648723572</v>
      </c>
      <c r="J1227" s="19">
        <v>0</v>
      </c>
      <c r="K1227" s="19">
        <v>0.83228531694944308</v>
      </c>
      <c r="L1227" s="19">
        <v>0.16771468305055695</v>
      </c>
      <c r="M1227" s="20">
        <v>2</v>
      </c>
      <c r="N1227" s="19">
        <v>0.49563004064976007</v>
      </c>
      <c r="O1227" s="19">
        <v>0</v>
      </c>
      <c r="P1227" s="19">
        <v>0.33665527629968295</v>
      </c>
      <c r="Q1227" s="19">
        <v>3.1631391522891926E-2</v>
      </c>
      <c r="R1227" s="19">
        <v>0.12017167955705714</v>
      </c>
      <c r="S1227" s="19">
        <v>1.5911611970607878E-2</v>
      </c>
      <c r="T1227" s="20">
        <v>23</v>
      </c>
      <c r="U1227" s="17">
        <v>2</v>
      </c>
      <c r="V1227" s="17">
        <v>34</v>
      </c>
    </row>
    <row r="1228" spans="1:22" x14ac:dyDescent="0.2">
      <c r="A1228" t="s">
        <v>3373</v>
      </c>
      <c r="B1228" t="s">
        <v>2719</v>
      </c>
      <c r="C1228" t="s">
        <v>2720</v>
      </c>
      <c r="D1228" t="s">
        <v>3327</v>
      </c>
      <c r="E1228" s="10" t="s">
        <v>3374</v>
      </c>
      <c r="F1228" s="10"/>
      <c r="G1228" s="10"/>
      <c r="H1228" s="10" t="s">
        <v>3374</v>
      </c>
      <c r="I1228" s="14">
        <v>4596.4779354631901</v>
      </c>
      <c r="J1228" s="19">
        <v>0</v>
      </c>
      <c r="K1228" s="19">
        <v>4.9791413239708123E-3</v>
      </c>
      <c r="L1228" s="19">
        <v>0.99502085867602919</v>
      </c>
      <c r="M1228" s="20">
        <v>1</v>
      </c>
      <c r="N1228" s="19">
        <v>0</v>
      </c>
      <c r="O1228" s="19">
        <v>0</v>
      </c>
      <c r="P1228" s="19">
        <v>4.9791413239708123E-3</v>
      </c>
      <c r="Q1228" s="19">
        <v>0.76162126553336784</v>
      </c>
      <c r="R1228" s="19">
        <v>0.20087839944176133</v>
      </c>
      <c r="S1228" s="19">
        <v>3.2521193700900008E-2</v>
      </c>
      <c r="T1228" s="20">
        <v>13</v>
      </c>
      <c r="U1228" s="17">
        <v>2</v>
      </c>
      <c r="V1228" s="17">
        <v>34</v>
      </c>
    </row>
    <row r="1229" spans="1:22" x14ac:dyDescent="0.2">
      <c r="A1229" t="s">
        <v>3375</v>
      </c>
      <c r="B1229" t="s">
        <v>2719</v>
      </c>
      <c r="C1229" t="s">
        <v>2720</v>
      </c>
      <c r="D1229" t="s">
        <v>3327</v>
      </c>
      <c r="E1229" s="10" t="s">
        <v>3080</v>
      </c>
      <c r="F1229" s="10"/>
      <c r="G1229" s="10"/>
      <c r="H1229" s="10" t="s">
        <v>3080</v>
      </c>
      <c r="I1229" s="14">
        <v>21808.406637661159</v>
      </c>
      <c r="J1229" s="19">
        <v>0</v>
      </c>
      <c r="K1229" s="19">
        <v>0.85614906471984176</v>
      </c>
      <c r="L1229" s="19">
        <v>0.14385093528015827</v>
      </c>
      <c r="M1229" s="20">
        <v>2</v>
      </c>
      <c r="N1229" s="19">
        <v>0.27012078740515716</v>
      </c>
      <c r="O1229" s="19">
        <v>0</v>
      </c>
      <c r="P1229" s="19">
        <v>0.58602827731468454</v>
      </c>
      <c r="Q1229" s="19">
        <v>0</v>
      </c>
      <c r="R1229" s="19">
        <v>0.13919716492277814</v>
      </c>
      <c r="S1229" s="19">
        <v>4.6537703573801296E-3</v>
      </c>
      <c r="T1229" s="20">
        <v>21</v>
      </c>
      <c r="U1229" s="17">
        <v>2</v>
      </c>
      <c r="V1229" s="17">
        <v>34</v>
      </c>
    </row>
    <row r="1230" spans="1:22" x14ac:dyDescent="0.2">
      <c r="A1230" t="s">
        <v>3376</v>
      </c>
      <c r="B1230" t="s">
        <v>2719</v>
      </c>
      <c r="C1230" t="s">
        <v>2720</v>
      </c>
      <c r="D1230" t="s">
        <v>3327</v>
      </c>
      <c r="E1230" s="10" t="s">
        <v>3377</v>
      </c>
      <c r="F1230" s="10"/>
      <c r="G1230" s="10"/>
      <c r="H1230" s="10" t="s">
        <v>3377</v>
      </c>
      <c r="I1230" s="14">
        <v>30723.709742589392</v>
      </c>
      <c r="J1230" s="19">
        <v>0</v>
      </c>
      <c r="K1230" s="19">
        <v>0.70179037763333274</v>
      </c>
      <c r="L1230" s="19">
        <v>0.29820962236666715</v>
      </c>
      <c r="M1230" s="20">
        <v>2</v>
      </c>
      <c r="N1230" s="19">
        <v>0</v>
      </c>
      <c r="O1230" s="19">
        <v>0.25814244805205905</v>
      </c>
      <c r="P1230" s="19">
        <v>0.44364792958127364</v>
      </c>
      <c r="Q1230" s="19">
        <v>4.3613397035361635E-2</v>
      </c>
      <c r="R1230" s="19">
        <v>0.23258848847586616</v>
      </c>
      <c r="S1230" s="19">
        <v>2.2007736855439362E-2</v>
      </c>
      <c r="T1230" s="20">
        <v>22</v>
      </c>
      <c r="U1230" s="17">
        <v>2</v>
      </c>
      <c r="V1230" s="17">
        <v>34</v>
      </c>
    </row>
    <row r="1231" spans="1:22" x14ac:dyDescent="0.2">
      <c r="A1231" t="s">
        <v>3378</v>
      </c>
      <c r="B1231" t="s">
        <v>2719</v>
      </c>
      <c r="C1231" t="s">
        <v>2720</v>
      </c>
      <c r="D1231" t="s">
        <v>3327</v>
      </c>
      <c r="E1231" s="10" t="s">
        <v>3379</v>
      </c>
      <c r="F1231" s="10"/>
      <c r="G1231" s="10"/>
      <c r="H1231" s="10" t="s">
        <v>3379</v>
      </c>
      <c r="I1231" s="14">
        <v>95427.513895286014</v>
      </c>
      <c r="J1231" s="19">
        <v>0</v>
      </c>
      <c r="K1231" s="19">
        <v>0.75865516323737936</v>
      </c>
      <c r="L1231" s="19">
        <v>0.24134483676262067</v>
      </c>
      <c r="M1231" s="20">
        <v>2</v>
      </c>
      <c r="N1231" s="19">
        <v>0.23366311008859769</v>
      </c>
      <c r="O1231" s="19">
        <v>0.20358124045100279</v>
      </c>
      <c r="P1231" s="19">
        <v>0.32141081269777888</v>
      </c>
      <c r="Q1231" s="19">
        <v>0.15393870784485417</v>
      </c>
      <c r="R1231" s="19">
        <v>7.8701479814844238E-2</v>
      </c>
      <c r="S1231" s="19">
        <v>8.7046491029222663E-3</v>
      </c>
      <c r="T1231" s="20">
        <v>23</v>
      </c>
      <c r="U1231" s="17">
        <v>2</v>
      </c>
      <c r="V1231" s="17">
        <v>34</v>
      </c>
    </row>
    <row r="1232" spans="1:22" x14ac:dyDescent="0.2">
      <c r="A1232" t="s">
        <v>3380</v>
      </c>
      <c r="B1232" t="s">
        <v>2719</v>
      </c>
      <c r="C1232" t="s">
        <v>2720</v>
      </c>
      <c r="D1232" t="s">
        <v>3327</v>
      </c>
      <c r="E1232" s="10" t="s">
        <v>3381</v>
      </c>
      <c r="F1232" s="10"/>
      <c r="G1232" s="10"/>
      <c r="H1232" s="10" t="s">
        <v>3381</v>
      </c>
      <c r="I1232" s="14">
        <v>66760.476759180601</v>
      </c>
      <c r="J1232" s="19">
        <v>0</v>
      </c>
      <c r="K1232" s="19">
        <v>0.77633437372740077</v>
      </c>
      <c r="L1232" s="19">
        <v>0.2236656262725992</v>
      </c>
      <c r="M1232" s="20">
        <v>2</v>
      </c>
      <c r="N1232" s="19">
        <v>0.19311678214394568</v>
      </c>
      <c r="O1232" s="19">
        <v>0.24766242697331114</v>
      </c>
      <c r="P1232" s="19">
        <v>0.33555516461014395</v>
      </c>
      <c r="Q1232" s="19">
        <v>0.12508847878371818</v>
      </c>
      <c r="R1232" s="19">
        <v>9.1741000990352831E-2</v>
      </c>
      <c r="S1232" s="19">
        <v>6.8361464985281974E-3</v>
      </c>
      <c r="T1232" s="20">
        <v>22</v>
      </c>
      <c r="U1232" s="17">
        <v>2</v>
      </c>
      <c r="V1232" s="17">
        <v>34</v>
      </c>
    </row>
    <row r="1233" spans="1:22" x14ac:dyDescent="0.2">
      <c r="A1233" t="s">
        <v>3382</v>
      </c>
      <c r="B1233" t="s">
        <v>2719</v>
      </c>
      <c r="C1233" t="s">
        <v>2720</v>
      </c>
      <c r="D1233" t="s">
        <v>3327</v>
      </c>
      <c r="E1233" s="10" t="s">
        <v>3383</v>
      </c>
      <c r="F1233" s="10"/>
      <c r="G1233" s="10"/>
      <c r="H1233" s="10" t="s">
        <v>3383</v>
      </c>
      <c r="I1233" s="14">
        <v>172817.88006831962</v>
      </c>
      <c r="J1233" s="19">
        <v>0.79009526482737702</v>
      </c>
      <c r="K1233" s="19">
        <v>0.17818408601038893</v>
      </c>
      <c r="L1233" s="19">
        <v>3.1720649162234098E-2</v>
      </c>
      <c r="M1233" s="20">
        <v>3</v>
      </c>
      <c r="N1233" s="19">
        <v>3.9811375372722078E-2</v>
      </c>
      <c r="O1233" s="19">
        <v>0</v>
      </c>
      <c r="P1233" s="19">
        <v>0.13837271063766687</v>
      </c>
      <c r="Q1233" s="19">
        <v>5.8584401584355298E-3</v>
      </c>
      <c r="R1233" s="19">
        <v>2.3247538718025974E-2</v>
      </c>
      <c r="S1233" s="19">
        <v>2.6146702857725935E-3</v>
      </c>
      <c r="T1233" s="20">
        <v>30</v>
      </c>
      <c r="U1233" s="17">
        <v>2</v>
      </c>
      <c r="V1233" s="17">
        <v>34</v>
      </c>
    </row>
    <row r="1234" spans="1:22" x14ac:dyDescent="0.2">
      <c r="A1234" t="s">
        <v>3384</v>
      </c>
      <c r="B1234" t="s">
        <v>2719</v>
      </c>
      <c r="C1234" t="s">
        <v>2720</v>
      </c>
      <c r="D1234" t="s">
        <v>3385</v>
      </c>
      <c r="E1234" s="10" t="s">
        <v>3386</v>
      </c>
      <c r="F1234" s="10"/>
      <c r="G1234" s="10"/>
      <c r="H1234" s="10" t="s">
        <v>3386</v>
      </c>
      <c r="I1234" s="14">
        <v>46413.185055661947</v>
      </c>
      <c r="J1234" s="19">
        <v>0</v>
      </c>
      <c r="K1234" s="19">
        <v>0.74401170312070053</v>
      </c>
      <c r="L1234" s="19">
        <v>0.25598829687929947</v>
      </c>
      <c r="M1234" s="20">
        <v>2</v>
      </c>
      <c r="N1234" s="19">
        <v>0.13152665086983287</v>
      </c>
      <c r="O1234" s="19">
        <v>0</v>
      </c>
      <c r="P1234" s="19">
        <v>0.61248505225086758</v>
      </c>
      <c r="Q1234" s="19">
        <v>0.13577119194824833</v>
      </c>
      <c r="R1234" s="19">
        <v>0.1082486363886406</v>
      </c>
      <c r="S1234" s="19">
        <v>1.1968468542410552E-2</v>
      </c>
      <c r="T1234" s="20">
        <v>21</v>
      </c>
      <c r="U1234" s="17">
        <v>2</v>
      </c>
      <c r="V1234" s="17">
        <v>34</v>
      </c>
    </row>
    <row r="1235" spans="1:22" x14ac:dyDescent="0.2">
      <c r="A1235" t="s">
        <v>3387</v>
      </c>
      <c r="B1235" t="s">
        <v>2719</v>
      </c>
      <c r="C1235" t="s">
        <v>2720</v>
      </c>
      <c r="D1235" t="s">
        <v>3385</v>
      </c>
      <c r="E1235" s="10" t="s">
        <v>3388</v>
      </c>
      <c r="F1235" s="10"/>
      <c r="G1235" s="10"/>
      <c r="H1235" s="10" t="s">
        <v>3388</v>
      </c>
      <c r="I1235" s="14">
        <v>38586.967686313379</v>
      </c>
      <c r="J1235" s="19">
        <v>0</v>
      </c>
      <c r="K1235" s="19">
        <v>0.54374012809087979</v>
      </c>
      <c r="L1235" s="19">
        <v>0.45625987190912021</v>
      </c>
      <c r="M1235" s="20">
        <v>2</v>
      </c>
      <c r="N1235" s="19">
        <v>0.18997486884281659</v>
      </c>
      <c r="O1235" s="19">
        <v>0.19386101819324961</v>
      </c>
      <c r="P1235" s="19">
        <v>0.15990424105481363</v>
      </c>
      <c r="Q1235" s="19">
        <v>0.32355449458715108</v>
      </c>
      <c r="R1235" s="19">
        <v>0.11548387636707433</v>
      </c>
      <c r="S1235" s="19">
        <v>1.7221500954894782E-2</v>
      </c>
      <c r="T1235" s="20">
        <v>22</v>
      </c>
      <c r="U1235" s="17">
        <v>2</v>
      </c>
      <c r="V1235" s="17">
        <v>34</v>
      </c>
    </row>
    <row r="1236" spans="1:22" x14ac:dyDescent="0.2">
      <c r="A1236" t="s">
        <v>3389</v>
      </c>
      <c r="B1236" t="s">
        <v>2719</v>
      </c>
      <c r="C1236" t="s">
        <v>2720</v>
      </c>
      <c r="D1236" t="s">
        <v>3385</v>
      </c>
      <c r="E1236" s="10" t="s">
        <v>3390</v>
      </c>
      <c r="F1236" s="10"/>
      <c r="G1236" s="10"/>
      <c r="H1236" s="10" t="s">
        <v>3390</v>
      </c>
      <c r="I1236" s="14">
        <v>113266.66970356461</v>
      </c>
      <c r="J1236" s="19">
        <v>0.82442079096574949</v>
      </c>
      <c r="K1236" s="19">
        <v>0.16795340301152761</v>
      </c>
      <c r="L1236" s="19">
        <v>7.6258060227229387E-3</v>
      </c>
      <c r="M1236" s="20">
        <v>3</v>
      </c>
      <c r="N1236" s="19">
        <v>6.8235903868979098E-2</v>
      </c>
      <c r="O1236" s="19">
        <v>0</v>
      </c>
      <c r="P1236" s="19">
        <v>9.9717499142548516E-2</v>
      </c>
      <c r="Q1236" s="19">
        <v>0</v>
      </c>
      <c r="R1236" s="19">
        <v>7.4653020563775919E-3</v>
      </c>
      <c r="S1236" s="19">
        <v>1.6050396634534559E-4</v>
      </c>
      <c r="T1236" s="20">
        <v>30</v>
      </c>
      <c r="U1236" s="17">
        <v>2</v>
      </c>
      <c r="V1236" s="17">
        <v>34</v>
      </c>
    </row>
    <row r="1237" spans="1:22" x14ac:dyDescent="0.2">
      <c r="A1237" t="s">
        <v>3391</v>
      </c>
      <c r="B1237" t="s">
        <v>2719</v>
      </c>
      <c r="C1237" t="s">
        <v>2720</v>
      </c>
      <c r="D1237" t="s">
        <v>3385</v>
      </c>
      <c r="E1237" s="10" t="s">
        <v>3392</v>
      </c>
      <c r="F1237" s="10"/>
      <c r="G1237" s="10"/>
      <c r="H1237" s="10" t="s">
        <v>3392</v>
      </c>
      <c r="I1237" s="14">
        <v>73437.353486133739</v>
      </c>
      <c r="J1237" s="19">
        <v>0</v>
      </c>
      <c r="K1237" s="19">
        <v>0.83202700510949912</v>
      </c>
      <c r="L1237" s="19">
        <v>0.16797299489050085</v>
      </c>
      <c r="M1237" s="20">
        <v>2</v>
      </c>
      <c r="N1237" s="19">
        <v>0.50944024235491636</v>
      </c>
      <c r="O1237" s="19">
        <v>4.3224887300750969E-4</v>
      </c>
      <c r="P1237" s="19">
        <v>0.32215451388157529</v>
      </c>
      <c r="Q1237" s="19">
        <v>7.2121826010386803E-2</v>
      </c>
      <c r="R1237" s="19">
        <v>8.7272206983094749E-2</v>
      </c>
      <c r="S1237" s="19">
        <v>8.5789618970192986E-3</v>
      </c>
      <c r="T1237" s="20">
        <v>23</v>
      </c>
      <c r="U1237" s="17">
        <v>2</v>
      </c>
      <c r="V1237" s="17">
        <v>34</v>
      </c>
    </row>
    <row r="1238" spans="1:22" x14ac:dyDescent="0.2">
      <c r="A1238" t="s">
        <v>3393</v>
      </c>
      <c r="B1238" t="s">
        <v>2719</v>
      </c>
      <c r="C1238" t="s">
        <v>2720</v>
      </c>
      <c r="D1238" t="s">
        <v>3385</v>
      </c>
      <c r="E1238" s="10" t="s">
        <v>3394</v>
      </c>
      <c r="F1238" s="10"/>
      <c r="G1238" s="10"/>
      <c r="H1238" s="10" t="s">
        <v>3394</v>
      </c>
      <c r="I1238" s="14">
        <v>113143.47004089598</v>
      </c>
      <c r="J1238" s="19">
        <v>0</v>
      </c>
      <c r="K1238" s="19">
        <v>0.63248449176171295</v>
      </c>
      <c r="L1238" s="19">
        <v>0.3675155082382871</v>
      </c>
      <c r="M1238" s="20">
        <v>2</v>
      </c>
      <c r="N1238" s="19">
        <v>0.15837708705712447</v>
      </c>
      <c r="O1238" s="19">
        <v>0.2503696561904219</v>
      </c>
      <c r="P1238" s="19">
        <v>0.22373774851416661</v>
      </c>
      <c r="Q1238" s="19">
        <v>0.21676067182250161</v>
      </c>
      <c r="R1238" s="19">
        <v>0.13810593115587022</v>
      </c>
      <c r="S1238" s="19">
        <v>1.2648905259915176E-2</v>
      </c>
      <c r="T1238" s="20">
        <v>22</v>
      </c>
      <c r="U1238" s="17">
        <v>2</v>
      </c>
      <c r="V1238" s="17">
        <v>34</v>
      </c>
    </row>
    <row r="1239" spans="1:22" x14ac:dyDescent="0.2">
      <c r="A1239" t="s">
        <v>3395</v>
      </c>
      <c r="B1239" t="s">
        <v>2719</v>
      </c>
      <c r="C1239" t="s">
        <v>2720</v>
      </c>
      <c r="D1239" t="s">
        <v>3385</v>
      </c>
      <c r="E1239" s="10" t="s">
        <v>3396</v>
      </c>
      <c r="F1239" s="10"/>
      <c r="G1239" s="10"/>
      <c r="H1239" s="10" t="s">
        <v>3396</v>
      </c>
      <c r="I1239" s="14">
        <v>57980.252899203442</v>
      </c>
      <c r="J1239" s="19">
        <v>0.5751980516912345</v>
      </c>
      <c r="K1239" s="19">
        <v>0.17503072196212296</v>
      </c>
      <c r="L1239" s="19">
        <v>0.2497712263466427</v>
      </c>
      <c r="M1239" s="20">
        <v>3</v>
      </c>
      <c r="N1239" s="19">
        <v>0</v>
      </c>
      <c r="O1239" s="19">
        <v>0</v>
      </c>
      <c r="P1239" s="19">
        <v>0.17503072196212296</v>
      </c>
      <c r="Q1239" s="19">
        <v>0.21019446781809217</v>
      </c>
      <c r="R1239" s="19">
        <v>3.5817232961523143E-2</v>
      </c>
      <c r="S1239" s="19">
        <v>3.7595255670273601E-3</v>
      </c>
      <c r="T1239" s="20">
        <v>30</v>
      </c>
      <c r="U1239" s="17">
        <v>2</v>
      </c>
      <c r="V1239" s="17">
        <v>34</v>
      </c>
    </row>
    <row r="1240" spans="1:22" x14ac:dyDescent="0.2">
      <c r="A1240" t="s">
        <v>3397</v>
      </c>
      <c r="B1240" t="s">
        <v>2719</v>
      </c>
      <c r="C1240" t="s">
        <v>2720</v>
      </c>
      <c r="D1240" t="s">
        <v>3385</v>
      </c>
      <c r="E1240" s="10" t="s">
        <v>3398</v>
      </c>
      <c r="F1240" s="10"/>
      <c r="G1240" s="10"/>
      <c r="H1240" s="10" t="s">
        <v>3398</v>
      </c>
      <c r="I1240" s="14">
        <v>70464.622115617618</v>
      </c>
      <c r="J1240" s="19">
        <v>0</v>
      </c>
      <c r="K1240" s="19">
        <v>0.91159021391796102</v>
      </c>
      <c r="L1240" s="19">
        <v>8.8409786082038935E-2</v>
      </c>
      <c r="M1240" s="20">
        <v>2</v>
      </c>
      <c r="N1240" s="19">
        <v>0.32068597770377727</v>
      </c>
      <c r="O1240" s="19">
        <v>0.10366840766977936</v>
      </c>
      <c r="P1240" s="19">
        <v>0.48723582854440445</v>
      </c>
      <c r="Q1240" s="19">
        <v>0</v>
      </c>
      <c r="R1240" s="19">
        <v>7.4908102965280485E-2</v>
      </c>
      <c r="S1240" s="19">
        <v>1.3501683116758466E-2</v>
      </c>
      <c r="T1240" s="20">
        <v>23</v>
      </c>
      <c r="U1240" s="17">
        <v>2</v>
      </c>
      <c r="V1240" s="17">
        <v>34</v>
      </c>
    </row>
    <row r="1241" spans="1:22" x14ac:dyDescent="0.2">
      <c r="A1241" t="s">
        <v>3399</v>
      </c>
      <c r="B1241" t="s">
        <v>2719</v>
      </c>
      <c r="C1241" t="s">
        <v>2720</v>
      </c>
      <c r="D1241" t="s">
        <v>3385</v>
      </c>
      <c r="E1241" s="10" t="s">
        <v>3400</v>
      </c>
      <c r="F1241" s="10"/>
      <c r="G1241" s="10"/>
      <c r="H1241" s="10" t="s">
        <v>3400</v>
      </c>
      <c r="I1241" s="14">
        <v>15154.921030100437</v>
      </c>
      <c r="J1241" s="19">
        <v>0</v>
      </c>
      <c r="K1241" s="19">
        <v>0.5760676930757459</v>
      </c>
      <c r="L1241" s="19">
        <v>0.42393230692425393</v>
      </c>
      <c r="M1241" s="20">
        <v>2</v>
      </c>
      <c r="N1241" s="19">
        <v>0</v>
      </c>
      <c r="O1241" s="19">
        <v>0.39687732194133202</v>
      </c>
      <c r="P1241" s="19">
        <v>0.17919037113441394</v>
      </c>
      <c r="Q1241" s="19">
        <v>0.18960483638480233</v>
      </c>
      <c r="R1241" s="19">
        <v>0.20877550162109501</v>
      </c>
      <c r="S1241" s="19">
        <v>2.5551968918356618E-2</v>
      </c>
      <c r="T1241" s="20">
        <v>22</v>
      </c>
      <c r="U1241" s="17">
        <v>2</v>
      </c>
      <c r="V1241" s="17">
        <v>34</v>
      </c>
    </row>
    <row r="1242" spans="1:22" x14ac:dyDescent="0.2">
      <c r="A1242" t="s">
        <v>3401</v>
      </c>
      <c r="B1242" t="s">
        <v>2719</v>
      </c>
      <c r="C1242" t="s">
        <v>2720</v>
      </c>
      <c r="D1242" t="s">
        <v>3385</v>
      </c>
      <c r="E1242" s="10" t="s">
        <v>3402</v>
      </c>
      <c r="F1242" s="10"/>
      <c r="G1242" s="10"/>
      <c r="H1242" s="10" t="s">
        <v>3402</v>
      </c>
      <c r="I1242" s="14">
        <v>12522.832438337617</v>
      </c>
      <c r="J1242" s="19">
        <v>0</v>
      </c>
      <c r="K1242" s="19">
        <v>0.62654958245884207</v>
      </c>
      <c r="L1242" s="19">
        <v>0.37345041754115793</v>
      </c>
      <c r="M1242" s="20">
        <v>2</v>
      </c>
      <c r="N1242" s="19">
        <v>0</v>
      </c>
      <c r="O1242" s="19">
        <v>0</v>
      </c>
      <c r="P1242" s="19">
        <v>0.62654958245884207</v>
      </c>
      <c r="Q1242" s="19">
        <v>0.24343554849695373</v>
      </c>
      <c r="R1242" s="19">
        <v>0.11688030930138545</v>
      </c>
      <c r="S1242" s="19">
        <v>1.3134559742818713E-2</v>
      </c>
      <c r="T1242" s="20">
        <v>21</v>
      </c>
      <c r="U1242" s="17">
        <v>2</v>
      </c>
      <c r="V1242" s="17">
        <v>34</v>
      </c>
    </row>
    <row r="1243" spans="1:22" x14ac:dyDescent="0.2">
      <c r="A1243" t="s">
        <v>3403</v>
      </c>
      <c r="B1243" t="s">
        <v>2719</v>
      </c>
      <c r="C1243" t="s">
        <v>2720</v>
      </c>
      <c r="D1243" t="s">
        <v>3385</v>
      </c>
      <c r="E1243" s="10" t="s">
        <v>3404</v>
      </c>
      <c r="F1243" s="10"/>
      <c r="G1243" s="10"/>
      <c r="H1243" s="10" t="s">
        <v>3404</v>
      </c>
      <c r="I1243" s="14">
        <v>48199.507703335948</v>
      </c>
      <c r="J1243" s="19">
        <v>0</v>
      </c>
      <c r="K1243" s="19">
        <v>0.48370208740671561</v>
      </c>
      <c r="L1243" s="19">
        <v>0.51629791259328461</v>
      </c>
      <c r="M1243" s="20">
        <v>1</v>
      </c>
      <c r="N1243" s="19">
        <v>0.32816489141255561</v>
      </c>
      <c r="O1243" s="19">
        <v>2.8076257441365816E-2</v>
      </c>
      <c r="P1243" s="19">
        <v>0.12746093855279417</v>
      </c>
      <c r="Q1243" s="19">
        <v>0.35049651379689789</v>
      </c>
      <c r="R1243" s="19">
        <v>0.14943933148367156</v>
      </c>
      <c r="S1243" s="19">
        <v>1.6362067312715074E-2</v>
      </c>
      <c r="T1243" s="20">
        <v>13</v>
      </c>
      <c r="U1243" s="17">
        <v>2</v>
      </c>
      <c r="V1243" s="17">
        <v>34</v>
      </c>
    </row>
    <row r="1244" spans="1:22" x14ac:dyDescent="0.2">
      <c r="A1244" t="s">
        <v>3405</v>
      </c>
      <c r="B1244" t="s">
        <v>2719</v>
      </c>
      <c r="C1244" t="s">
        <v>2720</v>
      </c>
      <c r="D1244" t="s">
        <v>3385</v>
      </c>
      <c r="E1244" s="10" t="s">
        <v>3088</v>
      </c>
      <c r="F1244" s="10"/>
      <c r="G1244" s="10"/>
      <c r="H1244" s="10" t="s">
        <v>3088</v>
      </c>
      <c r="I1244" s="14">
        <v>29035.595370829105</v>
      </c>
      <c r="J1244" s="19">
        <v>3.1292189889502844E-2</v>
      </c>
      <c r="K1244" s="19">
        <v>0.93189143911242367</v>
      </c>
      <c r="L1244" s="19">
        <v>3.6816370998073458E-2</v>
      </c>
      <c r="M1244" s="20">
        <v>2</v>
      </c>
      <c r="N1244" s="19">
        <v>0.23123144062344486</v>
      </c>
      <c r="O1244" s="19">
        <v>0</v>
      </c>
      <c r="P1244" s="19">
        <v>0.70065999848897886</v>
      </c>
      <c r="Q1244" s="19">
        <v>0</v>
      </c>
      <c r="R1244" s="19">
        <v>3.6198670301949169E-2</v>
      </c>
      <c r="S1244" s="19">
        <v>6.177006961242869E-4</v>
      </c>
      <c r="T1244" s="20">
        <v>21</v>
      </c>
      <c r="U1244" s="17">
        <v>2</v>
      </c>
      <c r="V1244" s="17">
        <v>34</v>
      </c>
    </row>
    <row r="1245" spans="1:22" x14ac:dyDescent="0.2">
      <c r="A1245" t="s">
        <v>3406</v>
      </c>
      <c r="B1245" t="s">
        <v>2719</v>
      </c>
      <c r="C1245" t="s">
        <v>2720</v>
      </c>
      <c r="D1245" t="s">
        <v>3385</v>
      </c>
      <c r="E1245" s="10" t="s">
        <v>3407</v>
      </c>
      <c r="F1245" s="10"/>
      <c r="G1245" s="10"/>
      <c r="H1245" s="10" t="s">
        <v>3407</v>
      </c>
      <c r="I1245" s="14">
        <v>50654.605124530382</v>
      </c>
      <c r="J1245" s="19">
        <v>0</v>
      </c>
      <c r="K1245" s="19">
        <v>0.80008734799207515</v>
      </c>
      <c r="L1245" s="19">
        <v>0.19991265200792491</v>
      </c>
      <c r="M1245" s="20">
        <v>2</v>
      </c>
      <c r="N1245" s="19">
        <v>0.28940553442658623</v>
      </c>
      <c r="O1245" s="19">
        <v>0</v>
      </c>
      <c r="P1245" s="19">
        <v>0.51068181356548892</v>
      </c>
      <c r="Q1245" s="19">
        <v>0.12141035866100935</v>
      </c>
      <c r="R1245" s="19">
        <v>7.2516612620150633E-2</v>
      </c>
      <c r="S1245" s="19">
        <v>5.9856807267649036E-3</v>
      </c>
      <c r="T1245" s="20">
        <v>21</v>
      </c>
      <c r="U1245" s="17">
        <v>2</v>
      </c>
      <c r="V1245" s="17">
        <v>34</v>
      </c>
    </row>
    <row r="1246" spans="1:22" x14ac:dyDescent="0.2">
      <c r="A1246" t="s">
        <v>3408</v>
      </c>
      <c r="B1246" t="s">
        <v>2719</v>
      </c>
      <c r="C1246" t="s">
        <v>2720</v>
      </c>
      <c r="D1246" t="s">
        <v>3409</v>
      </c>
      <c r="E1246" s="10" t="s">
        <v>3410</v>
      </c>
      <c r="F1246" s="10"/>
      <c r="G1246" s="10"/>
      <c r="H1246" s="10" t="s">
        <v>3410</v>
      </c>
      <c r="I1246" s="14">
        <v>70461.501116110012</v>
      </c>
      <c r="J1246" s="19">
        <v>0.64190318839880045</v>
      </c>
      <c r="K1246" s="19">
        <v>0.27544624333267215</v>
      </c>
      <c r="L1246" s="19">
        <v>8.2650568268527402E-2</v>
      </c>
      <c r="M1246" s="20">
        <v>3</v>
      </c>
      <c r="N1246" s="19">
        <v>4.6174979319838286E-2</v>
      </c>
      <c r="O1246" s="19">
        <v>0</v>
      </c>
      <c r="P1246" s="19">
        <v>0.22927126401283385</v>
      </c>
      <c r="Q1246" s="19">
        <v>1.0608893599937032E-2</v>
      </c>
      <c r="R1246" s="19">
        <v>6.9570859616487971E-2</v>
      </c>
      <c r="S1246" s="19">
        <v>2.4708150521024043E-3</v>
      </c>
      <c r="T1246" s="20">
        <v>30</v>
      </c>
      <c r="U1246" s="17">
        <v>2</v>
      </c>
      <c r="V1246" s="17">
        <v>34</v>
      </c>
    </row>
    <row r="1247" spans="1:22" x14ac:dyDescent="0.2">
      <c r="A1247" t="s">
        <v>3411</v>
      </c>
      <c r="B1247" t="s">
        <v>2719</v>
      </c>
      <c r="C1247" t="s">
        <v>2720</v>
      </c>
      <c r="D1247" t="s">
        <v>3409</v>
      </c>
      <c r="E1247" s="10" t="s">
        <v>3412</v>
      </c>
      <c r="F1247" s="10"/>
      <c r="G1247" s="10"/>
      <c r="H1247" s="10" t="s">
        <v>3412</v>
      </c>
      <c r="I1247" s="14">
        <v>38256.470952893607</v>
      </c>
      <c r="J1247" s="19">
        <v>0</v>
      </c>
      <c r="K1247" s="19">
        <v>0.90311798510953212</v>
      </c>
      <c r="L1247" s="19">
        <v>9.6882014890467841E-2</v>
      </c>
      <c r="M1247" s="20">
        <v>2</v>
      </c>
      <c r="N1247" s="19">
        <v>0.50303000159844369</v>
      </c>
      <c r="O1247" s="19">
        <v>0</v>
      </c>
      <c r="P1247" s="19">
        <v>0.40008798351108837</v>
      </c>
      <c r="Q1247" s="19">
        <v>2.8514849913789411E-2</v>
      </c>
      <c r="R1247" s="19">
        <v>6.292987268291074E-2</v>
      </c>
      <c r="S1247" s="19">
        <v>5.4372922937677105E-3</v>
      </c>
      <c r="T1247" s="20">
        <v>23</v>
      </c>
      <c r="U1247" s="17">
        <v>2</v>
      </c>
      <c r="V1247" s="17">
        <v>34</v>
      </c>
    </row>
    <row r="1248" spans="1:22" x14ac:dyDescent="0.2">
      <c r="A1248" t="s">
        <v>3413</v>
      </c>
      <c r="B1248" t="s">
        <v>2719</v>
      </c>
      <c r="C1248" t="s">
        <v>2720</v>
      </c>
      <c r="D1248" t="s">
        <v>3409</v>
      </c>
      <c r="E1248" s="10" t="s">
        <v>3414</v>
      </c>
      <c r="F1248" s="10"/>
      <c r="G1248" s="10"/>
      <c r="H1248" s="10" t="s">
        <v>3414</v>
      </c>
      <c r="I1248" s="14">
        <v>64156.508972577758</v>
      </c>
      <c r="J1248" s="19">
        <v>0</v>
      </c>
      <c r="K1248" s="19">
        <v>0.94276642590505821</v>
      </c>
      <c r="L1248" s="19">
        <v>5.7233574094941717E-2</v>
      </c>
      <c r="M1248" s="20">
        <v>2</v>
      </c>
      <c r="N1248" s="19">
        <v>0.4765996550906681</v>
      </c>
      <c r="O1248" s="19">
        <v>0</v>
      </c>
      <c r="P1248" s="19">
        <v>0.46616677081439012</v>
      </c>
      <c r="Q1248" s="19">
        <v>6.1025557533135261E-3</v>
      </c>
      <c r="R1248" s="19">
        <v>4.6409050989686229E-2</v>
      </c>
      <c r="S1248" s="19">
        <v>4.7219673519419587E-3</v>
      </c>
      <c r="T1248" s="20">
        <v>23</v>
      </c>
      <c r="U1248" s="17">
        <v>2</v>
      </c>
      <c r="V1248" s="17">
        <v>34</v>
      </c>
    </row>
    <row r="1249" spans="1:22" x14ac:dyDescent="0.2">
      <c r="A1249" t="s">
        <v>3415</v>
      </c>
      <c r="B1249" t="s">
        <v>2719</v>
      </c>
      <c r="C1249" t="s">
        <v>2720</v>
      </c>
      <c r="D1249" t="s">
        <v>3409</v>
      </c>
      <c r="E1249" s="10" t="s">
        <v>2869</v>
      </c>
      <c r="F1249" s="10"/>
      <c r="G1249" s="10"/>
      <c r="H1249" s="10" t="s">
        <v>2869</v>
      </c>
      <c r="I1249" s="14">
        <v>0</v>
      </c>
      <c r="J1249" s="19">
        <v>0</v>
      </c>
      <c r="K1249" s="19">
        <v>0</v>
      </c>
      <c r="L1249" s="19">
        <v>0</v>
      </c>
      <c r="M1249" s="20">
        <v>1</v>
      </c>
      <c r="N1249" s="19">
        <v>0</v>
      </c>
      <c r="O1249" s="19">
        <v>0</v>
      </c>
      <c r="P1249" s="19">
        <v>0</v>
      </c>
      <c r="Q1249" s="19">
        <v>0</v>
      </c>
      <c r="R1249" s="19">
        <v>0</v>
      </c>
      <c r="S1249" s="19">
        <v>0</v>
      </c>
      <c r="T1249" s="20">
        <v>11</v>
      </c>
      <c r="U1249" s="17">
        <v>2</v>
      </c>
      <c r="V1249" s="17">
        <v>34</v>
      </c>
    </row>
    <row r="1250" spans="1:22" x14ac:dyDescent="0.2">
      <c r="A1250" t="s">
        <v>3416</v>
      </c>
      <c r="B1250" t="s">
        <v>2719</v>
      </c>
      <c r="C1250" t="s">
        <v>2720</v>
      </c>
      <c r="D1250" t="s">
        <v>3409</v>
      </c>
      <c r="E1250" s="10" t="s">
        <v>3417</v>
      </c>
      <c r="F1250" s="10"/>
      <c r="G1250" s="10"/>
      <c r="H1250" s="10" t="s">
        <v>3417</v>
      </c>
      <c r="I1250" s="14">
        <v>20924.755497828126</v>
      </c>
      <c r="J1250" s="19">
        <v>0.28552925447879418</v>
      </c>
      <c r="K1250" s="19">
        <v>0.60756114858852817</v>
      </c>
      <c r="L1250" s="19">
        <v>0.1069095969326776</v>
      </c>
      <c r="M1250" s="20">
        <v>2</v>
      </c>
      <c r="N1250" s="19">
        <v>0.27809212824440804</v>
      </c>
      <c r="O1250" s="19">
        <v>0</v>
      </c>
      <c r="P1250" s="19">
        <v>0.32946902034412023</v>
      </c>
      <c r="Q1250" s="19">
        <v>0</v>
      </c>
      <c r="R1250" s="19">
        <v>0.10384220410717537</v>
      </c>
      <c r="S1250" s="19">
        <v>3.0673928255022251E-3</v>
      </c>
      <c r="T1250" s="20">
        <v>23</v>
      </c>
      <c r="U1250" s="17">
        <v>2</v>
      </c>
      <c r="V1250" s="17">
        <v>34</v>
      </c>
    </row>
    <row r="1251" spans="1:22" x14ac:dyDescent="0.2">
      <c r="A1251" t="s">
        <v>3418</v>
      </c>
      <c r="B1251" t="s">
        <v>2719</v>
      </c>
      <c r="C1251" t="s">
        <v>2720</v>
      </c>
      <c r="D1251" t="s">
        <v>3409</v>
      </c>
      <c r="E1251" s="10" t="s">
        <v>3419</v>
      </c>
      <c r="F1251" s="10"/>
      <c r="G1251" s="10"/>
      <c r="H1251" s="10" t="s">
        <v>3419</v>
      </c>
      <c r="I1251" s="14">
        <v>90817.117722809315</v>
      </c>
      <c r="J1251" s="19">
        <v>4.3471233878164444E-3</v>
      </c>
      <c r="K1251" s="19">
        <v>0.93226508453094881</v>
      </c>
      <c r="L1251" s="19">
        <v>6.3387792081234753E-2</v>
      </c>
      <c r="M1251" s="20">
        <v>2</v>
      </c>
      <c r="N1251" s="19">
        <v>0.32290300634860075</v>
      </c>
      <c r="O1251" s="19">
        <v>0</v>
      </c>
      <c r="P1251" s="19">
        <v>0.609362078182348</v>
      </c>
      <c r="Q1251" s="19">
        <v>0</v>
      </c>
      <c r="R1251" s="19">
        <v>5.873187194617141E-2</v>
      </c>
      <c r="S1251" s="19">
        <v>4.6559201350633416E-3</v>
      </c>
      <c r="T1251" s="20">
        <v>21</v>
      </c>
      <c r="U1251" s="17">
        <v>2</v>
      </c>
      <c r="V1251" s="17">
        <v>34</v>
      </c>
    </row>
    <row r="1252" spans="1:22" x14ac:dyDescent="0.2">
      <c r="A1252" t="s">
        <v>3420</v>
      </c>
      <c r="B1252" t="s">
        <v>2719</v>
      </c>
      <c r="C1252" t="s">
        <v>2720</v>
      </c>
      <c r="D1252" t="s">
        <v>3409</v>
      </c>
      <c r="E1252" s="10" t="s">
        <v>3421</v>
      </c>
      <c r="F1252" s="10"/>
      <c r="G1252" s="10"/>
      <c r="H1252" s="10" t="s">
        <v>3421</v>
      </c>
      <c r="I1252" s="14">
        <v>3421.8264683075249</v>
      </c>
      <c r="J1252" s="19">
        <v>0</v>
      </c>
      <c r="K1252" s="19">
        <v>0.97415232161744769</v>
      </c>
      <c r="L1252" s="19">
        <v>2.5847678382552138E-2</v>
      </c>
      <c r="M1252" s="20">
        <v>2</v>
      </c>
      <c r="N1252" s="19">
        <v>0</v>
      </c>
      <c r="O1252" s="19">
        <v>0</v>
      </c>
      <c r="P1252" s="19">
        <v>0.9741523216174478</v>
      </c>
      <c r="Q1252" s="19">
        <v>0</v>
      </c>
      <c r="R1252" s="19">
        <v>1.2338581658323664E-2</v>
      </c>
      <c r="S1252" s="19">
        <v>1.3509096724228476E-2</v>
      </c>
      <c r="T1252" s="20">
        <v>21</v>
      </c>
      <c r="U1252" s="17">
        <v>2</v>
      </c>
      <c r="V1252" s="17">
        <v>34</v>
      </c>
    </row>
    <row r="1253" spans="1:22" x14ac:dyDescent="0.2">
      <c r="A1253" t="s">
        <v>3422</v>
      </c>
      <c r="B1253" t="s">
        <v>2719</v>
      </c>
      <c r="C1253" t="s">
        <v>2720</v>
      </c>
      <c r="D1253" t="s">
        <v>3409</v>
      </c>
      <c r="E1253" s="10" t="s">
        <v>3423</v>
      </c>
      <c r="F1253" s="10"/>
      <c r="G1253" s="10"/>
      <c r="H1253" s="10" t="s">
        <v>3423</v>
      </c>
      <c r="I1253" s="14">
        <v>90967.249656790867</v>
      </c>
      <c r="J1253" s="19">
        <v>0</v>
      </c>
      <c r="K1253" s="19">
        <v>0.81504035720517565</v>
      </c>
      <c r="L1253" s="19">
        <v>0.18495964279482441</v>
      </c>
      <c r="M1253" s="20">
        <v>2</v>
      </c>
      <c r="N1253" s="19">
        <v>0.29326827066524985</v>
      </c>
      <c r="O1253" s="19">
        <v>0</v>
      </c>
      <c r="P1253" s="19">
        <v>0.52177208653992568</v>
      </c>
      <c r="Q1253" s="19">
        <v>0.10302463957968409</v>
      </c>
      <c r="R1253" s="19">
        <v>7.5326726772996871E-2</v>
      </c>
      <c r="S1253" s="19">
        <v>6.6082764421434587E-3</v>
      </c>
      <c r="T1253" s="20">
        <v>21</v>
      </c>
      <c r="U1253" s="17">
        <v>2</v>
      </c>
      <c r="V1253" s="17">
        <v>34</v>
      </c>
    </row>
    <row r="1254" spans="1:22" x14ac:dyDescent="0.2">
      <c r="A1254" t="s">
        <v>3424</v>
      </c>
      <c r="B1254" t="s">
        <v>2719</v>
      </c>
      <c r="C1254" t="s">
        <v>2720</v>
      </c>
      <c r="D1254" t="s">
        <v>3409</v>
      </c>
      <c r="E1254" s="10" t="s">
        <v>3425</v>
      </c>
      <c r="F1254" s="10"/>
      <c r="G1254" s="10"/>
      <c r="H1254" s="10" t="s">
        <v>3425</v>
      </c>
      <c r="I1254" s="14">
        <v>22679.384493328631</v>
      </c>
      <c r="J1254" s="19">
        <v>0</v>
      </c>
      <c r="K1254" s="19">
        <v>0.80962096858738852</v>
      </c>
      <c r="L1254" s="19">
        <v>0.19037903141261153</v>
      </c>
      <c r="M1254" s="20">
        <v>2</v>
      </c>
      <c r="N1254" s="19">
        <v>0.4360110565183471</v>
      </c>
      <c r="O1254" s="19">
        <v>0</v>
      </c>
      <c r="P1254" s="19">
        <v>0.37360991206904137</v>
      </c>
      <c r="Q1254" s="19">
        <v>0.11212831785746895</v>
      </c>
      <c r="R1254" s="19">
        <v>7.2499425570387813E-2</v>
      </c>
      <c r="S1254" s="19">
        <v>5.7512879847547672E-3</v>
      </c>
      <c r="T1254" s="20">
        <v>23</v>
      </c>
      <c r="U1254" s="17">
        <v>2</v>
      </c>
      <c r="V1254" s="17">
        <v>34</v>
      </c>
    </row>
    <row r="1255" spans="1:22" x14ac:dyDescent="0.2">
      <c r="A1255" t="s">
        <v>3426</v>
      </c>
      <c r="B1255" t="s">
        <v>2719</v>
      </c>
      <c r="C1255" t="s">
        <v>2720</v>
      </c>
      <c r="D1255" t="s">
        <v>3409</v>
      </c>
      <c r="E1255" s="10" t="s">
        <v>3427</v>
      </c>
      <c r="F1255" s="10"/>
      <c r="G1255" s="10"/>
      <c r="H1255" s="10" t="s">
        <v>3427</v>
      </c>
      <c r="I1255" s="14">
        <v>101658.98094242811</v>
      </c>
      <c r="J1255" s="19">
        <v>0</v>
      </c>
      <c r="K1255" s="19">
        <v>0.93528182811684235</v>
      </c>
      <c r="L1255" s="19">
        <v>6.4718171883157705E-2</v>
      </c>
      <c r="M1255" s="20">
        <v>2</v>
      </c>
      <c r="N1255" s="19">
        <v>0.45234521868456562</v>
      </c>
      <c r="O1255" s="19">
        <v>7.3509866901563137E-2</v>
      </c>
      <c r="P1255" s="19">
        <v>0.40942674253071354</v>
      </c>
      <c r="Q1255" s="19">
        <v>0</v>
      </c>
      <c r="R1255" s="19">
        <v>6.0756122899851495E-2</v>
      </c>
      <c r="S1255" s="19">
        <v>3.9620489833062048E-3</v>
      </c>
      <c r="T1255" s="20">
        <v>23</v>
      </c>
      <c r="U1255" s="17">
        <v>2</v>
      </c>
      <c r="V1255" s="17">
        <v>34</v>
      </c>
    </row>
    <row r="1256" spans="1:22" x14ac:dyDescent="0.2">
      <c r="A1256" t="s">
        <v>3428</v>
      </c>
      <c r="B1256" t="s">
        <v>2719</v>
      </c>
      <c r="C1256" t="s">
        <v>2720</v>
      </c>
      <c r="D1256" t="s">
        <v>3409</v>
      </c>
      <c r="E1256" s="10" t="s">
        <v>3429</v>
      </c>
      <c r="F1256" s="10"/>
      <c r="G1256" s="10"/>
      <c r="H1256" s="10" t="s">
        <v>3429</v>
      </c>
      <c r="I1256" s="14">
        <v>29251.439983632416</v>
      </c>
      <c r="J1256" s="19">
        <v>1</v>
      </c>
      <c r="K1256" s="19">
        <v>0</v>
      </c>
      <c r="L1256" s="19">
        <v>0</v>
      </c>
      <c r="M1256" s="20">
        <v>3</v>
      </c>
      <c r="N1256" s="19">
        <v>0</v>
      </c>
      <c r="O1256" s="19">
        <v>0</v>
      </c>
      <c r="P1256" s="19">
        <v>0</v>
      </c>
      <c r="Q1256" s="19">
        <v>0</v>
      </c>
      <c r="R1256" s="19">
        <v>0</v>
      </c>
      <c r="S1256" s="19">
        <v>0</v>
      </c>
      <c r="T1256" s="20">
        <v>30</v>
      </c>
      <c r="U1256" s="17">
        <v>2</v>
      </c>
      <c r="V1256" s="17">
        <v>34</v>
      </c>
    </row>
    <row r="1257" spans="1:22" x14ac:dyDescent="0.2">
      <c r="A1257" t="s">
        <v>3430</v>
      </c>
      <c r="B1257" t="s">
        <v>2719</v>
      </c>
      <c r="C1257" t="s">
        <v>2720</v>
      </c>
      <c r="D1257" t="s">
        <v>3409</v>
      </c>
      <c r="E1257" s="10" t="s">
        <v>3431</v>
      </c>
      <c r="F1257" s="10"/>
      <c r="G1257" s="10"/>
      <c r="H1257" s="10" t="s">
        <v>3431</v>
      </c>
      <c r="I1257" s="14">
        <v>40440.633094025776</v>
      </c>
      <c r="J1257" s="19">
        <v>0.78833836178432093</v>
      </c>
      <c r="K1257" s="19">
        <v>0.17630030905715646</v>
      </c>
      <c r="L1257" s="19">
        <v>3.5361329158522629E-2</v>
      </c>
      <c r="M1257" s="20">
        <v>3</v>
      </c>
      <c r="N1257" s="19">
        <v>0</v>
      </c>
      <c r="O1257" s="19">
        <v>0</v>
      </c>
      <c r="P1257" s="19">
        <v>0.17630030905715646</v>
      </c>
      <c r="Q1257" s="19">
        <v>0</v>
      </c>
      <c r="R1257" s="19">
        <v>3.3649815554141572E-2</v>
      </c>
      <c r="S1257" s="19">
        <v>1.7115136043810576E-3</v>
      </c>
      <c r="T1257" s="20">
        <v>30</v>
      </c>
      <c r="U1257" s="17">
        <v>2</v>
      </c>
      <c r="V1257" s="17">
        <v>34</v>
      </c>
    </row>
    <row r="1258" spans="1:22" x14ac:dyDescent="0.2">
      <c r="A1258" t="s">
        <v>3432</v>
      </c>
      <c r="B1258" t="s">
        <v>2719</v>
      </c>
      <c r="C1258" t="s">
        <v>2720</v>
      </c>
      <c r="D1258" t="s">
        <v>3409</v>
      </c>
      <c r="E1258" s="10" t="s">
        <v>3433</v>
      </c>
      <c r="F1258" s="10"/>
      <c r="G1258" s="10"/>
      <c r="H1258" s="10" t="s">
        <v>3433</v>
      </c>
      <c r="I1258" s="14">
        <v>59076.295310698442</v>
      </c>
      <c r="J1258" s="19">
        <v>0</v>
      </c>
      <c r="K1258" s="19">
        <v>0.45857645232583033</v>
      </c>
      <c r="L1258" s="19">
        <v>0.54142354767416989</v>
      </c>
      <c r="M1258" s="20">
        <v>1</v>
      </c>
      <c r="N1258" s="19">
        <v>0</v>
      </c>
      <c r="O1258" s="19">
        <v>0.45857645232583033</v>
      </c>
      <c r="P1258" s="19">
        <v>0</v>
      </c>
      <c r="Q1258" s="19">
        <v>0.39477827457435644</v>
      </c>
      <c r="R1258" s="19">
        <v>0.13823549048319136</v>
      </c>
      <c r="S1258" s="19">
        <v>8.4097826166220444E-3</v>
      </c>
      <c r="T1258" s="20">
        <v>13</v>
      </c>
      <c r="U1258" s="17">
        <v>2</v>
      </c>
      <c r="V1258" s="17">
        <v>34</v>
      </c>
    </row>
    <row r="1259" spans="1:22" x14ac:dyDescent="0.2">
      <c r="A1259" t="s">
        <v>3434</v>
      </c>
      <c r="B1259" t="s">
        <v>2719</v>
      </c>
      <c r="C1259" t="s">
        <v>2720</v>
      </c>
      <c r="D1259" t="s">
        <v>3409</v>
      </c>
      <c r="E1259" s="10" t="s">
        <v>3435</v>
      </c>
      <c r="F1259" s="10"/>
      <c r="G1259" s="10"/>
      <c r="H1259" s="10" t="s">
        <v>3435</v>
      </c>
      <c r="I1259" s="14">
        <v>30350.041306145489</v>
      </c>
      <c r="J1259" s="19">
        <v>0</v>
      </c>
      <c r="K1259" s="19">
        <v>0.5093775316392386</v>
      </c>
      <c r="L1259" s="19">
        <v>0.49062246836076134</v>
      </c>
      <c r="M1259" s="20">
        <v>2</v>
      </c>
      <c r="N1259" s="19">
        <v>0.23919575399451867</v>
      </c>
      <c r="O1259" s="19">
        <v>0</v>
      </c>
      <c r="P1259" s="19">
        <v>0.27018177764471996</v>
      </c>
      <c r="Q1259" s="19">
        <v>0.25039897113420995</v>
      </c>
      <c r="R1259" s="19">
        <v>0.22227031384973134</v>
      </c>
      <c r="S1259" s="19">
        <v>1.7953183376820062E-2</v>
      </c>
      <c r="T1259" s="20">
        <v>23</v>
      </c>
      <c r="U1259" s="17">
        <v>2</v>
      </c>
      <c r="V1259" s="17">
        <v>34</v>
      </c>
    </row>
    <row r="1260" spans="1:22" x14ac:dyDescent="0.2">
      <c r="A1260" t="s">
        <v>3436</v>
      </c>
      <c r="B1260" t="s">
        <v>2719</v>
      </c>
      <c r="C1260" t="s">
        <v>2720</v>
      </c>
      <c r="D1260" t="s">
        <v>3409</v>
      </c>
      <c r="E1260" s="10" t="s">
        <v>3437</v>
      </c>
      <c r="F1260" s="10"/>
      <c r="G1260" s="10"/>
      <c r="H1260" s="10" t="s">
        <v>3437</v>
      </c>
      <c r="I1260" s="14">
        <v>14025.428898178041</v>
      </c>
      <c r="J1260" s="19">
        <v>0.70195439762204115</v>
      </c>
      <c r="K1260" s="19">
        <v>0.28059507629082675</v>
      </c>
      <c r="L1260" s="19">
        <v>1.7450526087132077E-2</v>
      </c>
      <c r="M1260" s="20">
        <v>3</v>
      </c>
      <c r="N1260" s="19">
        <v>0</v>
      </c>
      <c r="O1260" s="19">
        <v>0</v>
      </c>
      <c r="P1260" s="19">
        <v>0.28059507629082675</v>
      </c>
      <c r="Q1260" s="19">
        <v>0</v>
      </c>
      <c r="R1260" s="19">
        <v>1.7450526087132077E-2</v>
      </c>
      <c r="S1260" s="19">
        <v>0</v>
      </c>
      <c r="T1260" s="20">
        <v>30</v>
      </c>
      <c r="U1260" s="17">
        <v>2</v>
      </c>
      <c r="V1260" s="17">
        <v>34</v>
      </c>
    </row>
    <row r="1261" spans="1:22" x14ac:dyDescent="0.2">
      <c r="A1261" t="s">
        <v>3438</v>
      </c>
      <c r="B1261" t="s">
        <v>2719</v>
      </c>
      <c r="C1261" t="s">
        <v>2720</v>
      </c>
      <c r="D1261" t="s">
        <v>3409</v>
      </c>
      <c r="E1261" s="10" t="s">
        <v>3439</v>
      </c>
      <c r="F1261" s="10"/>
      <c r="G1261" s="10"/>
      <c r="H1261" s="10" t="s">
        <v>3439</v>
      </c>
      <c r="I1261" s="14">
        <v>29651.309717621658</v>
      </c>
      <c r="J1261" s="19">
        <v>0</v>
      </c>
      <c r="K1261" s="19">
        <v>0.25206666640067121</v>
      </c>
      <c r="L1261" s="19">
        <v>0.74793333359932879</v>
      </c>
      <c r="M1261" s="20">
        <v>1</v>
      </c>
      <c r="N1261" s="19">
        <v>0.19245940285383092</v>
      </c>
      <c r="O1261" s="19">
        <v>0</v>
      </c>
      <c r="P1261" s="19">
        <v>5.9607263546840317E-2</v>
      </c>
      <c r="Q1261" s="19">
        <v>0.59958918092704772</v>
      </c>
      <c r="R1261" s="19">
        <v>0.1141285690606972</v>
      </c>
      <c r="S1261" s="19">
        <v>3.4215583611583757E-2</v>
      </c>
      <c r="T1261" s="20">
        <v>13</v>
      </c>
      <c r="U1261" s="17">
        <v>2</v>
      </c>
      <c r="V1261" s="17">
        <v>34</v>
      </c>
    </row>
    <row r="1262" spans="1:22" x14ac:dyDescent="0.2">
      <c r="A1262" t="s">
        <v>3440</v>
      </c>
      <c r="B1262" t="s">
        <v>2719</v>
      </c>
      <c r="C1262" t="s">
        <v>2720</v>
      </c>
      <c r="D1262" t="s">
        <v>3409</v>
      </c>
      <c r="E1262" s="10" t="s">
        <v>3441</v>
      </c>
      <c r="F1262" s="10"/>
      <c r="G1262" s="10"/>
      <c r="H1262" s="10" t="s">
        <v>3441</v>
      </c>
      <c r="I1262" s="14">
        <v>77629.579369775951</v>
      </c>
      <c r="J1262" s="19">
        <v>0.44824384002332668</v>
      </c>
      <c r="K1262" s="19">
        <v>0.36942306208565079</v>
      </c>
      <c r="L1262" s="19">
        <v>0.18233309789102251</v>
      </c>
      <c r="M1262" s="20">
        <v>2</v>
      </c>
      <c r="N1262" s="19">
        <v>0</v>
      </c>
      <c r="O1262" s="19">
        <v>8.7035763672648966E-2</v>
      </c>
      <c r="P1262" s="19">
        <v>0.28238729841300186</v>
      </c>
      <c r="Q1262" s="19">
        <v>6.5080808936180692E-2</v>
      </c>
      <c r="R1262" s="19">
        <v>0.10036727700356103</v>
      </c>
      <c r="S1262" s="19">
        <v>1.6885011951280789E-2</v>
      </c>
      <c r="T1262" s="20">
        <v>22</v>
      </c>
      <c r="U1262" s="17">
        <v>2</v>
      </c>
      <c r="V1262" s="17">
        <v>34</v>
      </c>
    </row>
    <row r="1263" spans="1:22" x14ac:dyDescent="0.2">
      <c r="A1263" t="s">
        <v>3442</v>
      </c>
      <c r="B1263" t="s">
        <v>2719</v>
      </c>
      <c r="C1263" t="s">
        <v>2720</v>
      </c>
      <c r="D1263" t="s">
        <v>3409</v>
      </c>
      <c r="E1263" s="10" t="s">
        <v>3443</v>
      </c>
      <c r="F1263" s="10"/>
      <c r="G1263" s="10"/>
      <c r="H1263" s="10" t="s">
        <v>3443</v>
      </c>
      <c r="I1263" s="14">
        <v>142563.74199149013</v>
      </c>
      <c r="J1263" s="19">
        <v>0.56083764102361033</v>
      </c>
      <c r="K1263" s="19">
        <v>0.41003275489633034</v>
      </c>
      <c r="L1263" s="19">
        <v>2.9129604080059344E-2</v>
      </c>
      <c r="M1263" s="20">
        <v>3</v>
      </c>
      <c r="N1263" s="19">
        <v>2.8836262268626539E-2</v>
      </c>
      <c r="O1263" s="19">
        <v>0</v>
      </c>
      <c r="P1263" s="19">
        <v>0.38119649262770383</v>
      </c>
      <c r="Q1263" s="19">
        <v>0</v>
      </c>
      <c r="R1263" s="19">
        <v>2.7599614690026007E-2</v>
      </c>
      <c r="S1263" s="19">
        <v>1.5299893900333384E-3</v>
      </c>
      <c r="T1263" s="20">
        <v>30</v>
      </c>
      <c r="U1263" s="17">
        <v>2</v>
      </c>
      <c r="V1263" s="17">
        <v>34</v>
      </c>
    </row>
    <row r="1264" spans="1:22" x14ac:dyDescent="0.2">
      <c r="A1264" t="s">
        <v>3444</v>
      </c>
      <c r="B1264" t="s">
        <v>2719</v>
      </c>
      <c r="C1264" t="s">
        <v>2720</v>
      </c>
      <c r="D1264" t="s">
        <v>3409</v>
      </c>
      <c r="E1264" s="10" t="s">
        <v>3445</v>
      </c>
      <c r="F1264" s="10"/>
      <c r="G1264" s="10"/>
      <c r="H1264" s="10" t="s">
        <v>3445</v>
      </c>
      <c r="I1264" s="14">
        <v>69770.204889442772</v>
      </c>
      <c r="J1264" s="19">
        <v>0</v>
      </c>
      <c r="K1264" s="19">
        <v>0.76798659405229275</v>
      </c>
      <c r="L1264" s="19">
        <v>0.23201340594770728</v>
      </c>
      <c r="M1264" s="20">
        <v>2</v>
      </c>
      <c r="N1264" s="19">
        <v>0.51347473664821919</v>
      </c>
      <c r="O1264" s="19">
        <v>0</v>
      </c>
      <c r="P1264" s="19">
        <v>0.25451185740407356</v>
      </c>
      <c r="Q1264" s="19">
        <v>0.14463887883295104</v>
      </c>
      <c r="R1264" s="19">
        <v>7.4958921288484748E-2</v>
      </c>
      <c r="S1264" s="19">
        <v>1.2415605826271462E-2</v>
      </c>
      <c r="T1264" s="20">
        <v>23</v>
      </c>
      <c r="U1264" s="17">
        <v>2</v>
      </c>
      <c r="V1264" s="17">
        <v>34</v>
      </c>
    </row>
    <row r="1265" spans="1:22" x14ac:dyDescent="0.2">
      <c r="A1265" t="s">
        <v>3446</v>
      </c>
      <c r="B1265" t="s">
        <v>2719</v>
      </c>
      <c r="C1265" t="s">
        <v>2720</v>
      </c>
      <c r="D1265" t="s">
        <v>3409</v>
      </c>
      <c r="E1265" s="10" t="s">
        <v>3447</v>
      </c>
      <c r="F1265" s="10"/>
      <c r="G1265" s="10"/>
      <c r="H1265" s="10" t="s">
        <v>3447</v>
      </c>
      <c r="I1265" s="14">
        <v>131486.80277872831</v>
      </c>
      <c r="J1265" s="19">
        <v>0</v>
      </c>
      <c r="K1265" s="19">
        <v>0.75129853458554863</v>
      </c>
      <c r="L1265" s="19">
        <v>0.24870146541445134</v>
      </c>
      <c r="M1265" s="20">
        <v>2</v>
      </c>
      <c r="N1265" s="19">
        <v>0.2154682312140202</v>
      </c>
      <c r="O1265" s="19">
        <v>0</v>
      </c>
      <c r="P1265" s="19">
        <v>0.53583030337152837</v>
      </c>
      <c r="Q1265" s="19">
        <v>0.1325531361199577</v>
      </c>
      <c r="R1265" s="19">
        <v>0.10804290152092959</v>
      </c>
      <c r="S1265" s="19">
        <v>8.1054277735640654E-3</v>
      </c>
      <c r="T1265" s="20">
        <v>21</v>
      </c>
      <c r="U1265" s="17">
        <v>2</v>
      </c>
      <c r="V1265" s="17">
        <v>34</v>
      </c>
    </row>
    <row r="1266" spans="1:22" x14ac:dyDescent="0.2">
      <c r="A1266" t="s">
        <v>3448</v>
      </c>
      <c r="B1266" t="s">
        <v>2719</v>
      </c>
      <c r="C1266" t="s">
        <v>2720</v>
      </c>
      <c r="D1266" t="s">
        <v>3409</v>
      </c>
      <c r="E1266" s="10" t="s">
        <v>3449</v>
      </c>
      <c r="F1266" s="10"/>
      <c r="G1266" s="10"/>
      <c r="H1266" s="10" t="s">
        <v>3449</v>
      </c>
      <c r="I1266" s="14">
        <v>40140.07921042107</v>
      </c>
      <c r="J1266" s="19">
        <v>0</v>
      </c>
      <c r="K1266" s="19">
        <v>0.57257994402296597</v>
      </c>
      <c r="L1266" s="19">
        <v>0.42742005597703397</v>
      </c>
      <c r="M1266" s="20">
        <v>2</v>
      </c>
      <c r="N1266" s="19">
        <v>0</v>
      </c>
      <c r="O1266" s="19">
        <v>0.20404611322721217</v>
      </c>
      <c r="P1266" s="19">
        <v>0.36853383079575386</v>
      </c>
      <c r="Q1266" s="19">
        <v>0.22426532418331052</v>
      </c>
      <c r="R1266" s="19">
        <v>0.18340773390823717</v>
      </c>
      <c r="S1266" s="19">
        <v>1.9746997885486294E-2</v>
      </c>
      <c r="T1266" s="20">
        <v>22</v>
      </c>
      <c r="U1266" s="17">
        <v>2</v>
      </c>
      <c r="V1266" s="17">
        <v>34</v>
      </c>
    </row>
    <row r="1267" spans="1:22" x14ac:dyDescent="0.2">
      <c r="A1267" t="s">
        <v>3450</v>
      </c>
      <c r="B1267" t="s">
        <v>2719</v>
      </c>
      <c r="C1267" t="s">
        <v>2720</v>
      </c>
      <c r="D1267" t="s">
        <v>3409</v>
      </c>
      <c r="E1267" s="10" t="s">
        <v>3451</v>
      </c>
      <c r="F1267" s="10"/>
      <c r="G1267" s="10"/>
      <c r="H1267" s="10" t="s">
        <v>3451</v>
      </c>
      <c r="I1267" s="14">
        <v>32139.477089807388</v>
      </c>
      <c r="J1267" s="19">
        <v>0.65130454568276908</v>
      </c>
      <c r="K1267" s="19">
        <v>0.27959683014552611</v>
      </c>
      <c r="L1267" s="19">
        <v>6.9098624171704912E-2</v>
      </c>
      <c r="M1267" s="20">
        <v>3</v>
      </c>
      <c r="N1267" s="19">
        <v>0</v>
      </c>
      <c r="O1267" s="19">
        <v>0</v>
      </c>
      <c r="P1267" s="19">
        <v>0.27959683014552611</v>
      </c>
      <c r="Q1267" s="19">
        <v>0</v>
      </c>
      <c r="R1267" s="19">
        <v>6.7643860012710125E-2</v>
      </c>
      <c r="S1267" s="19">
        <v>1.4547641589947773E-3</v>
      </c>
      <c r="T1267" s="20">
        <v>30</v>
      </c>
      <c r="U1267" s="17">
        <v>2</v>
      </c>
      <c r="V1267" s="17">
        <v>34</v>
      </c>
    </row>
    <row r="1268" spans="1:22" x14ac:dyDescent="0.2">
      <c r="A1268" t="s">
        <v>3452</v>
      </c>
      <c r="B1268" t="s">
        <v>2719</v>
      </c>
      <c r="C1268" t="s">
        <v>2720</v>
      </c>
      <c r="D1268" t="s">
        <v>3409</v>
      </c>
      <c r="E1268" s="10" t="s">
        <v>3453</v>
      </c>
      <c r="F1268" s="10"/>
      <c r="G1268" s="10"/>
      <c r="H1268" s="10" t="s">
        <v>3453</v>
      </c>
      <c r="I1268" s="14">
        <v>37032.233333417214</v>
      </c>
      <c r="J1268" s="19">
        <v>0.63899079925427738</v>
      </c>
      <c r="K1268" s="19">
        <v>0.34841339071519922</v>
      </c>
      <c r="L1268" s="19">
        <v>1.2595810030523463E-2</v>
      </c>
      <c r="M1268" s="20">
        <v>3</v>
      </c>
      <c r="N1268" s="19">
        <v>0</v>
      </c>
      <c r="O1268" s="19">
        <v>0</v>
      </c>
      <c r="P1268" s="19">
        <v>0.34841339071519922</v>
      </c>
      <c r="Q1268" s="19">
        <v>0</v>
      </c>
      <c r="R1268" s="19">
        <v>1.2360875625052845E-2</v>
      </c>
      <c r="S1268" s="19">
        <v>2.3493440547061722E-4</v>
      </c>
      <c r="T1268" s="20">
        <v>30</v>
      </c>
      <c r="U1268" s="17">
        <v>2</v>
      </c>
      <c r="V1268" s="17">
        <v>34</v>
      </c>
    </row>
    <row r="1269" spans="1:22" x14ac:dyDescent="0.2">
      <c r="A1269" t="s">
        <v>3454</v>
      </c>
      <c r="B1269" t="s">
        <v>2719</v>
      </c>
      <c r="C1269" t="s">
        <v>2720</v>
      </c>
      <c r="D1269" t="s">
        <v>3409</v>
      </c>
      <c r="E1269" s="10" t="s">
        <v>3455</v>
      </c>
      <c r="F1269" s="10"/>
      <c r="G1269" s="10"/>
      <c r="H1269" s="10" t="s">
        <v>3455</v>
      </c>
      <c r="I1269" s="14">
        <v>64614.695420654498</v>
      </c>
      <c r="J1269" s="19">
        <v>0</v>
      </c>
      <c r="K1269" s="19">
        <v>0.92734704031975368</v>
      </c>
      <c r="L1269" s="19">
        <v>7.2652959680246335E-2</v>
      </c>
      <c r="M1269" s="20">
        <v>2</v>
      </c>
      <c r="N1269" s="19">
        <v>0.18705735717314262</v>
      </c>
      <c r="O1269" s="19">
        <v>0</v>
      </c>
      <c r="P1269" s="19">
        <v>0.74028968314661103</v>
      </c>
      <c r="Q1269" s="19">
        <v>0</v>
      </c>
      <c r="R1269" s="19">
        <v>6.3537990434765518E-2</v>
      </c>
      <c r="S1269" s="19">
        <v>9.1149692454808081E-3</v>
      </c>
      <c r="T1269" s="20">
        <v>21</v>
      </c>
      <c r="U1269" s="17">
        <v>2</v>
      </c>
      <c r="V1269" s="17">
        <v>34</v>
      </c>
    </row>
    <row r="1270" spans="1:22" x14ac:dyDescent="0.2">
      <c r="A1270" t="s">
        <v>3456</v>
      </c>
      <c r="B1270" t="s">
        <v>2719</v>
      </c>
      <c r="C1270" t="s">
        <v>2720</v>
      </c>
      <c r="D1270" t="s">
        <v>3409</v>
      </c>
      <c r="E1270" s="10" t="s">
        <v>3457</v>
      </c>
      <c r="F1270" s="10"/>
      <c r="G1270" s="10"/>
      <c r="H1270" s="10" t="s">
        <v>3457</v>
      </c>
      <c r="I1270" s="14">
        <v>101540.15926191583</v>
      </c>
      <c r="J1270" s="19">
        <v>0.20648474597592759</v>
      </c>
      <c r="K1270" s="19">
        <v>0.77087996046130858</v>
      </c>
      <c r="L1270" s="19">
        <v>2.2635293562763878E-2</v>
      </c>
      <c r="M1270" s="20">
        <v>2</v>
      </c>
      <c r="N1270" s="19">
        <v>0.34668692096211895</v>
      </c>
      <c r="O1270" s="19">
        <v>0</v>
      </c>
      <c r="P1270" s="19">
        <v>0.42419303949918957</v>
      </c>
      <c r="Q1270" s="19">
        <v>0</v>
      </c>
      <c r="R1270" s="19">
        <v>2.2091041204564066E-2</v>
      </c>
      <c r="S1270" s="19">
        <v>5.4425235819980722E-4</v>
      </c>
      <c r="T1270" s="20">
        <v>23</v>
      </c>
      <c r="U1270" s="17">
        <v>2</v>
      </c>
      <c r="V1270" s="17">
        <v>34</v>
      </c>
    </row>
    <row r="1271" spans="1:22" x14ac:dyDescent="0.2">
      <c r="A1271" t="s">
        <v>3458</v>
      </c>
      <c r="B1271" t="s">
        <v>2719</v>
      </c>
      <c r="C1271" t="s">
        <v>2720</v>
      </c>
      <c r="D1271" t="s">
        <v>3409</v>
      </c>
      <c r="E1271" s="10" t="s">
        <v>3459</v>
      </c>
      <c r="F1271" s="10"/>
      <c r="G1271" s="10"/>
      <c r="H1271" s="10" t="s">
        <v>3459</v>
      </c>
      <c r="I1271" s="14">
        <v>233469.89338400261</v>
      </c>
      <c r="J1271" s="19">
        <v>0.85188545412119421</v>
      </c>
      <c r="K1271" s="19">
        <v>0.13655437354100045</v>
      </c>
      <c r="L1271" s="19">
        <v>1.1560172337805366E-2</v>
      </c>
      <c r="M1271" s="20">
        <v>3</v>
      </c>
      <c r="N1271" s="19">
        <v>2.4884706430468105E-2</v>
      </c>
      <c r="O1271" s="19">
        <v>0</v>
      </c>
      <c r="P1271" s="19">
        <v>0.11166966711053235</v>
      </c>
      <c r="Q1271" s="19">
        <v>0</v>
      </c>
      <c r="R1271" s="19">
        <v>1.1305185604032835E-2</v>
      </c>
      <c r="S1271" s="19">
        <v>2.5498673377253054E-4</v>
      </c>
      <c r="T1271" s="20">
        <v>30</v>
      </c>
      <c r="U1271" s="17">
        <v>2</v>
      </c>
      <c r="V1271" s="17">
        <v>34</v>
      </c>
    </row>
    <row r="1272" spans="1:22" x14ac:dyDescent="0.2">
      <c r="A1272" t="s">
        <v>3460</v>
      </c>
      <c r="B1272" t="s">
        <v>2719</v>
      </c>
      <c r="C1272" t="s">
        <v>2720</v>
      </c>
      <c r="D1272" t="s">
        <v>3409</v>
      </c>
      <c r="E1272" s="10" t="s">
        <v>3461</v>
      </c>
      <c r="F1272" s="10"/>
      <c r="G1272" s="10"/>
      <c r="H1272" s="10" t="s">
        <v>3461</v>
      </c>
      <c r="I1272" s="14">
        <v>58207.32347019016</v>
      </c>
      <c r="J1272" s="19">
        <v>0</v>
      </c>
      <c r="K1272" s="19">
        <v>0.8177740227287621</v>
      </c>
      <c r="L1272" s="19">
        <v>0.1822259772712381</v>
      </c>
      <c r="M1272" s="20">
        <v>2</v>
      </c>
      <c r="N1272" s="19">
        <v>0.237978116846458</v>
      </c>
      <c r="O1272" s="19">
        <v>0</v>
      </c>
      <c r="P1272" s="19">
        <v>0.57979590588230401</v>
      </c>
      <c r="Q1272" s="19">
        <v>3.5875156704263493E-2</v>
      </c>
      <c r="R1272" s="19">
        <v>0.13989406226544487</v>
      </c>
      <c r="S1272" s="19">
        <v>6.45675830152971E-3</v>
      </c>
      <c r="T1272" s="20">
        <v>21</v>
      </c>
      <c r="U1272" s="17">
        <v>2</v>
      </c>
      <c r="V1272" s="17">
        <v>34</v>
      </c>
    </row>
    <row r="1273" spans="1:22" x14ac:dyDescent="0.2">
      <c r="A1273" t="s">
        <v>3462</v>
      </c>
      <c r="B1273" t="s">
        <v>2719</v>
      </c>
      <c r="C1273" t="s">
        <v>2720</v>
      </c>
      <c r="D1273" t="s">
        <v>3409</v>
      </c>
      <c r="E1273" s="10" t="s">
        <v>3362</v>
      </c>
      <c r="F1273" s="10"/>
      <c r="G1273" s="10"/>
      <c r="H1273" s="10" t="s">
        <v>3362</v>
      </c>
      <c r="I1273" s="14">
        <v>45644.361727062613</v>
      </c>
      <c r="J1273" s="19">
        <v>0</v>
      </c>
      <c r="K1273" s="19">
        <v>0.93700880377591167</v>
      </c>
      <c r="L1273" s="19">
        <v>6.2991196224088317E-2</v>
      </c>
      <c r="M1273" s="20">
        <v>2</v>
      </c>
      <c r="N1273" s="19">
        <v>0.45073914144305394</v>
      </c>
      <c r="O1273" s="19">
        <v>0</v>
      </c>
      <c r="P1273" s="19">
        <v>0.48626966233285773</v>
      </c>
      <c r="Q1273" s="19">
        <v>0</v>
      </c>
      <c r="R1273" s="19">
        <v>5.84506290942131E-2</v>
      </c>
      <c r="S1273" s="19">
        <v>4.540567129875217E-3</v>
      </c>
      <c r="T1273" s="20">
        <v>23</v>
      </c>
      <c r="U1273" s="17">
        <v>2</v>
      </c>
      <c r="V1273" s="17">
        <v>34</v>
      </c>
    </row>
    <row r="1274" spans="1:22" x14ac:dyDescent="0.2">
      <c r="A1274" t="s">
        <v>3463</v>
      </c>
      <c r="B1274" t="s">
        <v>2719</v>
      </c>
      <c r="C1274" t="s">
        <v>2720</v>
      </c>
      <c r="D1274" t="s">
        <v>3409</v>
      </c>
      <c r="E1274" s="10" t="s">
        <v>3464</v>
      </c>
      <c r="F1274" s="10"/>
      <c r="G1274" s="10"/>
      <c r="H1274" s="10" t="s">
        <v>3464</v>
      </c>
      <c r="I1274" s="14">
        <v>61626.20969549939</v>
      </c>
      <c r="J1274" s="19">
        <v>0</v>
      </c>
      <c r="K1274" s="19">
        <v>0.75892215447237743</v>
      </c>
      <c r="L1274" s="19">
        <v>0.24107784552762254</v>
      </c>
      <c r="M1274" s="20">
        <v>2</v>
      </c>
      <c r="N1274" s="19">
        <v>0.42935773237465907</v>
      </c>
      <c r="O1274" s="19">
        <v>8.4391703538811993E-2</v>
      </c>
      <c r="P1274" s="19">
        <v>0.24517271855890649</v>
      </c>
      <c r="Q1274" s="19">
        <v>0.17912484794459491</v>
      </c>
      <c r="R1274" s="19">
        <v>5.2367083625863203E-2</v>
      </c>
      <c r="S1274" s="19">
        <v>9.5859139571644308E-3</v>
      </c>
      <c r="T1274" s="20">
        <v>23</v>
      </c>
      <c r="U1274" s="17">
        <v>2</v>
      </c>
      <c r="V1274" s="17">
        <v>34</v>
      </c>
    </row>
    <row r="1275" spans="1:22" x14ac:dyDescent="0.2">
      <c r="A1275" t="s">
        <v>3465</v>
      </c>
      <c r="B1275" t="s">
        <v>2719</v>
      </c>
      <c r="C1275" t="s">
        <v>2720</v>
      </c>
      <c r="D1275" t="s">
        <v>3409</v>
      </c>
      <c r="E1275" s="10" t="s">
        <v>3466</v>
      </c>
      <c r="F1275" s="10"/>
      <c r="G1275" s="10"/>
      <c r="H1275" s="10" t="s">
        <v>3466</v>
      </c>
      <c r="I1275" s="14">
        <v>109358.99415631266</v>
      </c>
      <c r="J1275" s="19">
        <v>8.167054428780067E-3</v>
      </c>
      <c r="K1275" s="19">
        <v>0.95776929950216971</v>
      </c>
      <c r="L1275" s="19">
        <v>3.4063646069050192E-2</v>
      </c>
      <c r="M1275" s="20">
        <v>2</v>
      </c>
      <c r="N1275" s="19">
        <v>0.3890568292076535</v>
      </c>
      <c r="O1275" s="19">
        <v>0</v>
      </c>
      <c r="P1275" s="19">
        <v>0.56871247029451621</v>
      </c>
      <c r="Q1275" s="19">
        <v>0</v>
      </c>
      <c r="R1275" s="19">
        <v>3.1056523041804222E-2</v>
      </c>
      <c r="S1275" s="19">
        <v>3.0071230272459728E-3</v>
      </c>
      <c r="T1275" s="20">
        <v>21</v>
      </c>
      <c r="U1275" s="17">
        <v>2</v>
      </c>
      <c r="V1275" s="17">
        <v>34</v>
      </c>
    </row>
    <row r="1276" spans="1:22" x14ac:dyDescent="0.2">
      <c r="A1276" t="s">
        <v>3467</v>
      </c>
      <c r="B1276" t="s">
        <v>2719</v>
      </c>
      <c r="C1276" t="s">
        <v>2720</v>
      </c>
      <c r="D1276" t="s">
        <v>3409</v>
      </c>
      <c r="E1276" s="10" t="s">
        <v>3468</v>
      </c>
      <c r="F1276" s="10"/>
      <c r="G1276" s="10"/>
      <c r="H1276" s="10" t="s">
        <v>3468</v>
      </c>
      <c r="I1276" s="14">
        <v>23602.471083560959</v>
      </c>
      <c r="J1276" s="19">
        <v>0</v>
      </c>
      <c r="K1276" s="19">
        <v>0.4965734182710993</v>
      </c>
      <c r="L1276" s="19">
        <v>0.50342658172890065</v>
      </c>
      <c r="M1276" s="20">
        <v>1</v>
      </c>
      <c r="N1276" s="19">
        <v>0.25878713077047577</v>
      </c>
      <c r="O1276" s="19">
        <v>0</v>
      </c>
      <c r="P1276" s="19">
        <v>0.23778628750062353</v>
      </c>
      <c r="Q1276" s="19">
        <v>0.41907263647337128</v>
      </c>
      <c r="R1276" s="19">
        <v>7.2083433273712985E-2</v>
      </c>
      <c r="S1276" s="19">
        <v>1.2270511981816402E-2</v>
      </c>
      <c r="T1276" s="20">
        <v>13</v>
      </c>
      <c r="U1276" s="17">
        <v>2</v>
      </c>
      <c r="V1276" s="17">
        <v>34</v>
      </c>
    </row>
    <row r="1277" spans="1:22" x14ac:dyDescent="0.2">
      <c r="A1277" t="s">
        <v>3469</v>
      </c>
      <c r="B1277" t="s">
        <v>2719</v>
      </c>
      <c r="C1277" t="s">
        <v>2720</v>
      </c>
      <c r="D1277" t="s">
        <v>3409</v>
      </c>
      <c r="E1277" s="10" t="s">
        <v>3470</v>
      </c>
      <c r="F1277" s="10"/>
      <c r="G1277" s="10"/>
      <c r="H1277" s="10" t="s">
        <v>3470</v>
      </c>
      <c r="I1277" s="14">
        <v>70485.372658059001</v>
      </c>
      <c r="J1277" s="19">
        <v>0</v>
      </c>
      <c r="K1277" s="19">
        <v>0.55145332776155842</v>
      </c>
      <c r="L1277" s="19">
        <v>0.44854667223844158</v>
      </c>
      <c r="M1277" s="20">
        <v>2</v>
      </c>
      <c r="N1277" s="19">
        <v>0.20438340322231022</v>
      </c>
      <c r="O1277" s="19">
        <v>7.6105129460495663E-2</v>
      </c>
      <c r="P1277" s="19">
        <v>0.27096479507875249</v>
      </c>
      <c r="Q1277" s="19">
        <v>0.2623812669283625</v>
      </c>
      <c r="R1277" s="19">
        <v>0.17081277400654385</v>
      </c>
      <c r="S1277" s="19">
        <v>1.5352631303535253E-2</v>
      </c>
      <c r="T1277" s="20">
        <v>23</v>
      </c>
      <c r="U1277" s="17">
        <v>2</v>
      </c>
      <c r="V1277" s="17">
        <v>34</v>
      </c>
    </row>
    <row r="1278" spans="1:22" x14ac:dyDescent="0.2">
      <c r="A1278" t="s">
        <v>3471</v>
      </c>
      <c r="B1278" t="s">
        <v>2719</v>
      </c>
      <c r="C1278" t="s">
        <v>2720</v>
      </c>
      <c r="D1278" t="s">
        <v>3409</v>
      </c>
      <c r="E1278" s="10" t="s">
        <v>3472</v>
      </c>
      <c r="F1278" s="10"/>
      <c r="G1278" s="10"/>
      <c r="H1278" s="10" t="s">
        <v>3472</v>
      </c>
      <c r="I1278" s="14">
        <v>39946.339770276099</v>
      </c>
      <c r="J1278" s="19">
        <v>0</v>
      </c>
      <c r="K1278" s="19">
        <v>0.86244755196991341</v>
      </c>
      <c r="L1278" s="19">
        <v>0.13755244803008662</v>
      </c>
      <c r="M1278" s="20">
        <v>2</v>
      </c>
      <c r="N1278" s="19">
        <v>0.34734654600443415</v>
      </c>
      <c r="O1278" s="19">
        <v>0</v>
      </c>
      <c r="P1278" s="19">
        <v>0.51510100596547925</v>
      </c>
      <c r="Q1278" s="19">
        <v>5.672268954898993E-2</v>
      </c>
      <c r="R1278" s="19">
        <v>7.5034288281630959E-2</v>
      </c>
      <c r="S1278" s="19">
        <v>5.7954701994657387E-3</v>
      </c>
      <c r="T1278" s="20">
        <v>21</v>
      </c>
      <c r="U1278" s="17">
        <v>2</v>
      </c>
      <c r="V1278" s="17">
        <v>34</v>
      </c>
    </row>
    <row r="1279" spans="1:22" x14ac:dyDescent="0.2">
      <c r="A1279" t="s">
        <v>3473</v>
      </c>
      <c r="B1279" t="s">
        <v>2719</v>
      </c>
      <c r="C1279" t="s">
        <v>2720</v>
      </c>
      <c r="D1279" t="s">
        <v>3409</v>
      </c>
      <c r="E1279" s="10" t="s">
        <v>3272</v>
      </c>
      <c r="F1279" s="10"/>
      <c r="G1279" s="10"/>
      <c r="H1279" s="10" t="s">
        <v>3272</v>
      </c>
      <c r="I1279" s="14">
        <v>44269.610033821315</v>
      </c>
      <c r="J1279" s="19">
        <v>0</v>
      </c>
      <c r="K1279" s="19">
        <v>0.97779149179423874</v>
      </c>
      <c r="L1279" s="19">
        <v>2.2208508205761285E-2</v>
      </c>
      <c r="M1279" s="20">
        <v>2</v>
      </c>
      <c r="N1279" s="19">
        <v>0.4682001003205109</v>
      </c>
      <c r="O1279" s="19">
        <v>0.10558459374653567</v>
      </c>
      <c r="P1279" s="19">
        <v>0.40400679772719211</v>
      </c>
      <c r="Q1279" s="19">
        <v>0</v>
      </c>
      <c r="R1279" s="19">
        <v>1.7377178824272962E-2</v>
      </c>
      <c r="S1279" s="19">
        <v>4.8313293814883215E-3</v>
      </c>
      <c r="T1279" s="20">
        <v>23</v>
      </c>
      <c r="U1279" s="17">
        <v>2</v>
      </c>
      <c r="V1279" s="17">
        <v>34</v>
      </c>
    </row>
    <row r="1280" spans="1:22" x14ac:dyDescent="0.2">
      <c r="A1280" t="s">
        <v>3474</v>
      </c>
      <c r="B1280" t="s">
        <v>2719</v>
      </c>
      <c r="C1280" t="s">
        <v>2720</v>
      </c>
      <c r="D1280" t="s">
        <v>3409</v>
      </c>
      <c r="E1280" s="10" t="s">
        <v>2927</v>
      </c>
      <c r="F1280" s="10"/>
      <c r="G1280" s="10"/>
      <c r="H1280" s="10" t="s">
        <v>2927</v>
      </c>
      <c r="I1280" s="14">
        <v>50490.389221902937</v>
      </c>
      <c r="J1280" s="19">
        <v>0.16824930870960303</v>
      </c>
      <c r="K1280" s="19">
        <v>0.81985809298934242</v>
      </c>
      <c r="L1280" s="19">
        <v>1.1892598301054536E-2</v>
      </c>
      <c r="M1280" s="20">
        <v>2</v>
      </c>
      <c r="N1280" s="19">
        <v>0.2859262308689961</v>
      </c>
      <c r="O1280" s="19">
        <v>0</v>
      </c>
      <c r="P1280" s="19">
        <v>0.53393186212034638</v>
      </c>
      <c r="Q1280" s="19">
        <v>0</v>
      </c>
      <c r="R1280" s="19">
        <v>1.0968605840608032E-2</v>
      </c>
      <c r="S1280" s="19">
        <v>9.2399246044650449E-4</v>
      </c>
      <c r="T1280" s="20">
        <v>21</v>
      </c>
      <c r="U1280" s="17">
        <v>2</v>
      </c>
      <c r="V1280" s="17">
        <v>34</v>
      </c>
    </row>
    <row r="1281" spans="1:22" x14ac:dyDescent="0.2">
      <c r="A1281" t="s">
        <v>3475</v>
      </c>
      <c r="B1281" t="s">
        <v>2719</v>
      </c>
      <c r="C1281" t="s">
        <v>2720</v>
      </c>
      <c r="D1281" t="s">
        <v>3409</v>
      </c>
      <c r="E1281" s="10" t="s">
        <v>3476</v>
      </c>
      <c r="F1281" s="10"/>
      <c r="G1281" s="10"/>
      <c r="H1281" s="10" t="s">
        <v>3476</v>
      </c>
      <c r="I1281" s="14">
        <v>86850.50038420409</v>
      </c>
      <c r="J1281" s="19">
        <v>0</v>
      </c>
      <c r="K1281" s="19">
        <v>0.63588010960822261</v>
      </c>
      <c r="L1281" s="19">
        <v>0.36411989039177733</v>
      </c>
      <c r="M1281" s="20">
        <v>2</v>
      </c>
      <c r="N1281" s="19">
        <v>0.259517267241549</v>
      </c>
      <c r="O1281" s="19">
        <v>0.12109045696714245</v>
      </c>
      <c r="P1281" s="19">
        <v>0.25527238539953118</v>
      </c>
      <c r="Q1281" s="19">
        <v>0.24199472235700342</v>
      </c>
      <c r="R1281" s="19">
        <v>0.11294255283233634</v>
      </c>
      <c r="S1281" s="19">
        <v>9.1826152024375909E-3</v>
      </c>
      <c r="T1281" s="20">
        <v>23</v>
      </c>
      <c r="U1281" s="17">
        <v>2</v>
      </c>
      <c r="V1281" s="17">
        <v>34</v>
      </c>
    </row>
    <row r="1282" spans="1:22" x14ac:dyDescent="0.2">
      <c r="A1282" t="s">
        <v>3477</v>
      </c>
      <c r="B1282" t="s">
        <v>2719</v>
      </c>
      <c r="C1282" t="s">
        <v>2720</v>
      </c>
      <c r="D1282" t="s">
        <v>3409</v>
      </c>
      <c r="E1282" s="10" t="s">
        <v>3478</v>
      </c>
      <c r="F1282" s="10"/>
      <c r="G1282" s="10"/>
      <c r="H1282" s="10" t="s">
        <v>3478</v>
      </c>
      <c r="I1282" s="14">
        <v>20231.338497584686</v>
      </c>
      <c r="J1282" s="19">
        <v>0</v>
      </c>
      <c r="K1282" s="19">
        <v>0</v>
      </c>
      <c r="L1282" s="19">
        <v>1</v>
      </c>
      <c r="M1282" s="20">
        <v>1</v>
      </c>
      <c r="N1282" s="19">
        <v>0</v>
      </c>
      <c r="O1282" s="19">
        <v>0</v>
      </c>
      <c r="P1282" s="19">
        <v>0</v>
      </c>
      <c r="Q1282" s="19">
        <v>0.78212136305835467</v>
      </c>
      <c r="R1282" s="19">
        <v>0.18523304697310597</v>
      </c>
      <c r="S1282" s="19">
        <v>3.2645589968539487E-2</v>
      </c>
      <c r="T1282" s="20">
        <v>13</v>
      </c>
      <c r="U1282" s="17">
        <v>2</v>
      </c>
      <c r="V1282" s="17">
        <v>34</v>
      </c>
    </row>
    <row r="1283" spans="1:22" x14ac:dyDescent="0.2">
      <c r="A1283" t="s">
        <v>3479</v>
      </c>
      <c r="B1283" t="s">
        <v>2719</v>
      </c>
      <c r="C1283" t="s">
        <v>2720</v>
      </c>
      <c r="D1283" t="s">
        <v>3409</v>
      </c>
      <c r="E1283" s="10" t="s">
        <v>3480</v>
      </c>
      <c r="F1283" s="10"/>
      <c r="G1283" s="10"/>
      <c r="H1283" s="10" t="s">
        <v>3480</v>
      </c>
      <c r="I1283" s="14">
        <v>63407.731941983104</v>
      </c>
      <c r="J1283" s="19">
        <v>0.42839987971578958</v>
      </c>
      <c r="K1283" s="19">
        <v>0.49553816311135362</v>
      </c>
      <c r="L1283" s="19">
        <v>7.6061957172856715E-2</v>
      </c>
      <c r="M1283" s="20">
        <v>2</v>
      </c>
      <c r="N1283" s="19">
        <v>2.7482205439580305E-2</v>
      </c>
      <c r="O1283" s="19">
        <v>0</v>
      </c>
      <c r="P1283" s="19">
        <v>0.46805595767177338</v>
      </c>
      <c r="Q1283" s="19">
        <v>2.5943889580610568E-2</v>
      </c>
      <c r="R1283" s="19">
        <v>4.7617579683401676E-2</v>
      </c>
      <c r="S1283" s="19">
        <v>2.5004879088444711E-3</v>
      </c>
      <c r="T1283" s="20">
        <v>23</v>
      </c>
      <c r="U1283" s="17">
        <v>2</v>
      </c>
      <c r="V1283" s="17">
        <v>34</v>
      </c>
    </row>
    <row r="1284" spans="1:22" x14ac:dyDescent="0.2">
      <c r="A1284" t="s">
        <v>3481</v>
      </c>
      <c r="B1284" t="s">
        <v>2719</v>
      </c>
      <c r="C1284" t="s">
        <v>2720</v>
      </c>
      <c r="D1284" t="s">
        <v>3409</v>
      </c>
      <c r="E1284" s="10" t="s">
        <v>3482</v>
      </c>
      <c r="F1284" s="10"/>
      <c r="G1284" s="10"/>
      <c r="H1284" s="10" t="s">
        <v>3482</v>
      </c>
      <c r="I1284" s="14">
        <v>79743.491222355515</v>
      </c>
      <c r="J1284" s="19">
        <v>0</v>
      </c>
      <c r="K1284" s="19">
        <v>0.54569871554471283</v>
      </c>
      <c r="L1284" s="19">
        <v>0.45430128445528711</v>
      </c>
      <c r="M1284" s="20">
        <v>2</v>
      </c>
      <c r="N1284" s="19">
        <v>0.26974599967979479</v>
      </c>
      <c r="O1284" s="19">
        <v>0.1036252546371229</v>
      </c>
      <c r="P1284" s="19">
        <v>0.17232746122779519</v>
      </c>
      <c r="Q1284" s="19">
        <v>0.3735069636655548</v>
      </c>
      <c r="R1284" s="19">
        <v>7.1957922168483027E-2</v>
      </c>
      <c r="S1284" s="19">
        <v>8.8363986212492904E-3</v>
      </c>
      <c r="T1284" s="20">
        <v>23</v>
      </c>
      <c r="U1284" s="17">
        <v>2</v>
      </c>
      <c r="V1284" s="17">
        <v>34</v>
      </c>
    </row>
    <row r="1285" spans="1:22" x14ac:dyDescent="0.2">
      <c r="A1285" t="s">
        <v>3483</v>
      </c>
      <c r="B1285" t="s">
        <v>2719</v>
      </c>
      <c r="C1285" t="s">
        <v>2720</v>
      </c>
      <c r="D1285" t="s">
        <v>3484</v>
      </c>
      <c r="E1285" s="10" t="s">
        <v>3485</v>
      </c>
      <c r="F1285" s="10"/>
      <c r="G1285" s="10"/>
      <c r="H1285" s="10" t="s">
        <v>3485</v>
      </c>
      <c r="I1285" s="14">
        <v>18582.822658028454</v>
      </c>
      <c r="J1285" s="19">
        <v>0</v>
      </c>
      <c r="K1285" s="19">
        <v>0.87716848322892915</v>
      </c>
      <c r="L1285" s="19">
        <v>0.12283151677107092</v>
      </c>
      <c r="M1285" s="20">
        <v>2</v>
      </c>
      <c r="N1285" s="19">
        <v>0</v>
      </c>
      <c r="O1285" s="19">
        <v>0</v>
      </c>
      <c r="P1285" s="19">
        <v>0.87716848322892915</v>
      </c>
      <c r="Q1285" s="19">
        <v>0</v>
      </c>
      <c r="R1285" s="19">
        <v>0.11273613238026586</v>
      </c>
      <c r="S1285" s="19">
        <v>1.0095384390805059E-2</v>
      </c>
      <c r="T1285" s="20">
        <v>21</v>
      </c>
      <c r="U1285" s="17">
        <v>2</v>
      </c>
      <c r="V1285" s="17">
        <v>34</v>
      </c>
    </row>
    <row r="1286" spans="1:22" x14ac:dyDescent="0.2">
      <c r="A1286" t="s">
        <v>3486</v>
      </c>
      <c r="B1286" t="s">
        <v>2719</v>
      </c>
      <c r="C1286" t="s">
        <v>2720</v>
      </c>
      <c r="D1286" t="s">
        <v>3484</v>
      </c>
      <c r="E1286" s="10" t="s">
        <v>3487</v>
      </c>
      <c r="F1286" s="10"/>
      <c r="G1286" s="10"/>
      <c r="H1286" s="10" t="s">
        <v>3487</v>
      </c>
      <c r="I1286" s="14">
        <v>6212.0367239713669</v>
      </c>
      <c r="J1286" s="19">
        <v>0</v>
      </c>
      <c r="K1286" s="19">
        <v>0.90048691085100485</v>
      </c>
      <c r="L1286" s="19">
        <v>9.9513089148995149E-2</v>
      </c>
      <c r="M1286" s="20">
        <v>2</v>
      </c>
      <c r="N1286" s="19">
        <v>0</v>
      </c>
      <c r="O1286" s="19">
        <v>0</v>
      </c>
      <c r="P1286" s="19">
        <v>0.90048691085100485</v>
      </c>
      <c r="Q1286" s="19">
        <v>0</v>
      </c>
      <c r="R1286" s="19">
        <v>8.0442227152872234E-2</v>
      </c>
      <c r="S1286" s="19">
        <v>1.9070861996122908E-2</v>
      </c>
      <c r="T1286" s="20">
        <v>21</v>
      </c>
      <c r="U1286" s="17">
        <v>2</v>
      </c>
      <c r="V1286" s="17">
        <v>34</v>
      </c>
    </row>
    <row r="1287" spans="1:22" x14ac:dyDescent="0.2">
      <c r="A1287" t="s">
        <v>3488</v>
      </c>
      <c r="B1287" t="s">
        <v>2719</v>
      </c>
      <c r="C1287" t="s">
        <v>2720</v>
      </c>
      <c r="D1287" t="s">
        <v>3484</v>
      </c>
      <c r="E1287" s="10" t="s">
        <v>3489</v>
      </c>
      <c r="F1287" s="10"/>
      <c r="G1287" s="10"/>
      <c r="H1287" s="10" t="s">
        <v>3489</v>
      </c>
      <c r="I1287" s="14">
        <v>15480.044835022187</v>
      </c>
      <c r="J1287" s="19">
        <v>0</v>
      </c>
      <c r="K1287" s="19">
        <v>0.85355699132688778</v>
      </c>
      <c r="L1287" s="19">
        <v>0.14644300867311216</v>
      </c>
      <c r="M1287" s="20">
        <v>2</v>
      </c>
      <c r="N1287" s="19">
        <v>0.33312125365752038</v>
      </c>
      <c r="O1287" s="19">
        <v>0</v>
      </c>
      <c r="P1287" s="19">
        <v>0.52043573766936735</v>
      </c>
      <c r="Q1287" s="19">
        <v>4.4558774048755571E-2</v>
      </c>
      <c r="R1287" s="19">
        <v>0.10141754684840366</v>
      </c>
      <c r="S1287" s="19">
        <v>4.6668777595293838E-4</v>
      </c>
      <c r="T1287" s="20">
        <v>21</v>
      </c>
      <c r="U1287" s="17">
        <v>2</v>
      </c>
      <c r="V1287" s="17">
        <v>34</v>
      </c>
    </row>
    <row r="1288" spans="1:22" x14ac:dyDescent="0.2">
      <c r="A1288" t="s">
        <v>3490</v>
      </c>
      <c r="B1288" t="s">
        <v>2719</v>
      </c>
      <c r="C1288" t="s">
        <v>2720</v>
      </c>
      <c r="D1288" t="s">
        <v>3484</v>
      </c>
      <c r="E1288" s="10" t="s">
        <v>3491</v>
      </c>
      <c r="F1288" s="10"/>
      <c r="G1288" s="10"/>
      <c r="H1288" s="10" t="s">
        <v>3491</v>
      </c>
      <c r="I1288" s="14">
        <v>41247.637783718295</v>
      </c>
      <c r="J1288" s="19">
        <v>0</v>
      </c>
      <c r="K1288" s="19">
        <v>0.93044195692572673</v>
      </c>
      <c r="L1288" s="19">
        <v>6.9558043074273226E-2</v>
      </c>
      <c r="M1288" s="20">
        <v>2</v>
      </c>
      <c r="N1288" s="19">
        <v>0.45324412089323418</v>
      </c>
      <c r="O1288" s="19">
        <v>0</v>
      </c>
      <c r="P1288" s="19">
        <v>0.47719783603249261</v>
      </c>
      <c r="Q1288" s="19">
        <v>0</v>
      </c>
      <c r="R1288" s="19">
        <v>6.7034726729792909E-2</v>
      </c>
      <c r="S1288" s="19">
        <v>2.5233163444803195E-3</v>
      </c>
      <c r="T1288" s="20">
        <v>23</v>
      </c>
      <c r="U1288" s="17">
        <v>2</v>
      </c>
      <c r="V1288" s="17">
        <v>34</v>
      </c>
    </row>
    <row r="1289" spans="1:22" x14ac:dyDescent="0.2">
      <c r="A1289" t="s">
        <v>3492</v>
      </c>
      <c r="B1289" t="s">
        <v>2719</v>
      </c>
      <c r="C1289" t="s">
        <v>2720</v>
      </c>
      <c r="D1289" t="s">
        <v>3484</v>
      </c>
      <c r="E1289" s="10" t="s">
        <v>3493</v>
      </c>
      <c r="F1289" s="10"/>
      <c r="G1289" s="10"/>
      <c r="H1289" s="10" t="s">
        <v>3493</v>
      </c>
      <c r="I1289" s="14">
        <v>13831.156727397814</v>
      </c>
      <c r="J1289" s="19">
        <v>0</v>
      </c>
      <c r="K1289" s="19">
        <v>0.86819469977705255</v>
      </c>
      <c r="L1289" s="19">
        <v>0.13180530022294731</v>
      </c>
      <c r="M1289" s="20">
        <v>2</v>
      </c>
      <c r="N1289" s="19">
        <v>0.47710292179059877</v>
      </c>
      <c r="O1289" s="19">
        <v>0</v>
      </c>
      <c r="P1289" s="19">
        <v>0.39109177798645389</v>
      </c>
      <c r="Q1289" s="19">
        <v>0</v>
      </c>
      <c r="R1289" s="19">
        <v>0.11953141173260058</v>
      </c>
      <c r="S1289" s="19">
        <v>1.2273888490346723E-2</v>
      </c>
      <c r="T1289" s="20">
        <v>23</v>
      </c>
      <c r="U1289" s="17">
        <v>2</v>
      </c>
      <c r="V1289" s="17">
        <v>34</v>
      </c>
    </row>
    <row r="1290" spans="1:22" x14ac:dyDescent="0.2">
      <c r="A1290" t="s">
        <v>3494</v>
      </c>
      <c r="B1290" t="s">
        <v>2719</v>
      </c>
      <c r="C1290" t="s">
        <v>2720</v>
      </c>
      <c r="D1290" t="s">
        <v>3495</v>
      </c>
      <c r="E1290" s="10" t="s">
        <v>3496</v>
      </c>
      <c r="F1290" s="10"/>
      <c r="G1290" s="10"/>
      <c r="H1290" s="10" t="s">
        <v>3496</v>
      </c>
      <c r="I1290" s="14">
        <v>28213.696527071301</v>
      </c>
      <c r="J1290" s="19">
        <v>0</v>
      </c>
      <c r="K1290" s="19">
        <v>0.46855130326176475</v>
      </c>
      <c r="L1290" s="19">
        <v>0.53144869673823514</v>
      </c>
      <c r="M1290" s="20">
        <v>1</v>
      </c>
      <c r="N1290" s="19">
        <v>0</v>
      </c>
      <c r="O1290" s="19">
        <v>0</v>
      </c>
      <c r="P1290" s="19">
        <v>0.46855130326176475</v>
      </c>
      <c r="Q1290" s="19">
        <v>0.23009030756282864</v>
      </c>
      <c r="R1290" s="19">
        <v>0.28564100382931523</v>
      </c>
      <c r="S1290" s="19">
        <v>1.5717385346091243E-2</v>
      </c>
      <c r="T1290" s="20">
        <v>12</v>
      </c>
      <c r="U1290" s="17">
        <v>2</v>
      </c>
      <c r="V1290" s="17">
        <v>34</v>
      </c>
    </row>
    <row r="1291" spans="1:22" x14ac:dyDescent="0.2">
      <c r="A1291" t="s">
        <v>3497</v>
      </c>
      <c r="B1291" t="s">
        <v>2719</v>
      </c>
      <c r="C1291" t="s">
        <v>2720</v>
      </c>
      <c r="D1291" t="s">
        <v>3495</v>
      </c>
      <c r="E1291" s="10" t="s">
        <v>3498</v>
      </c>
      <c r="F1291" s="10"/>
      <c r="G1291" s="10"/>
      <c r="H1291" s="10" t="s">
        <v>3498</v>
      </c>
      <c r="I1291" s="14">
        <v>35447.974258445203</v>
      </c>
      <c r="J1291" s="19">
        <v>0</v>
      </c>
      <c r="K1291" s="19">
        <v>0.87884808649100365</v>
      </c>
      <c r="L1291" s="19">
        <v>0.12115191350899629</v>
      </c>
      <c r="M1291" s="20">
        <v>2</v>
      </c>
      <c r="N1291" s="19">
        <v>0.16481226164075694</v>
      </c>
      <c r="O1291" s="19">
        <v>0</v>
      </c>
      <c r="P1291" s="19">
        <v>0.71403582485024675</v>
      </c>
      <c r="Q1291" s="19">
        <v>0</v>
      </c>
      <c r="R1291" s="19">
        <v>0.12038692239500676</v>
      </c>
      <c r="S1291" s="19">
        <v>7.6499111398952899E-4</v>
      </c>
      <c r="T1291" s="20">
        <v>21</v>
      </c>
      <c r="U1291" s="17">
        <v>2</v>
      </c>
      <c r="V1291" s="17">
        <v>34</v>
      </c>
    </row>
    <row r="1292" spans="1:22" x14ac:dyDescent="0.2">
      <c r="A1292" t="s">
        <v>3499</v>
      </c>
      <c r="B1292" t="s">
        <v>2719</v>
      </c>
      <c r="C1292" t="s">
        <v>2720</v>
      </c>
      <c r="D1292" t="s">
        <v>3495</v>
      </c>
      <c r="E1292" s="10" t="s">
        <v>3500</v>
      </c>
      <c r="F1292" s="10"/>
      <c r="G1292" s="10"/>
      <c r="H1292" s="10" t="s">
        <v>3500</v>
      </c>
      <c r="I1292" s="14">
        <v>32982.974032253958</v>
      </c>
      <c r="J1292" s="19">
        <v>0</v>
      </c>
      <c r="K1292" s="19">
        <v>0.78170221219557834</v>
      </c>
      <c r="L1292" s="19">
        <v>0.21829778780442166</v>
      </c>
      <c r="M1292" s="20">
        <v>2</v>
      </c>
      <c r="N1292" s="19">
        <v>0</v>
      </c>
      <c r="O1292" s="19">
        <v>0</v>
      </c>
      <c r="P1292" s="19">
        <v>0.78170221219557834</v>
      </c>
      <c r="Q1292" s="19">
        <v>3.7941615447242907E-2</v>
      </c>
      <c r="R1292" s="19">
        <v>0.16634422238174906</v>
      </c>
      <c r="S1292" s="19">
        <v>1.401194997542967E-2</v>
      </c>
      <c r="T1292" s="20">
        <v>21</v>
      </c>
      <c r="U1292" s="17">
        <v>2</v>
      </c>
      <c r="V1292" s="17">
        <v>34</v>
      </c>
    </row>
    <row r="1293" spans="1:22" x14ac:dyDescent="0.2">
      <c r="A1293" t="s">
        <v>3501</v>
      </c>
      <c r="B1293" t="s">
        <v>2719</v>
      </c>
      <c r="C1293" t="s">
        <v>2720</v>
      </c>
      <c r="D1293" t="s">
        <v>3495</v>
      </c>
      <c r="E1293" s="10" t="s">
        <v>3502</v>
      </c>
      <c r="F1293" s="10"/>
      <c r="G1293" s="10"/>
      <c r="H1293" s="10" t="s">
        <v>3502</v>
      </c>
      <c r="I1293" s="14">
        <v>50168.703645326197</v>
      </c>
      <c r="J1293" s="19">
        <v>0</v>
      </c>
      <c r="K1293" s="19">
        <v>0.41138793622133479</v>
      </c>
      <c r="L1293" s="19">
        <v>0.58861206377866526</v>
      </c>
      <c r="M1293" s="20">
        <v>1</v>
      </c>
      <c r="N1293" s="19">
        <v>0</v>
      </c>
      <c r="O1293" s="19">
        <v>4.0640532071722524E-2</v>
      </c>
      <c r="P1293" s="19">
        <v>0.37074740414961227</v>
      </c>
      <c r="Q1293" s="19">
        <v>0.2030121287417806</v>
      </c>
      <c r="R1293" s="19">
        <v>0.36068450678557412</v>
      </c>
      <c r="S1293" s="19">
        <v>2.4915428251310497E-2</v>
      </c>
      <c r="T1293" s="20">
        <v>12</v>
      </c>
      <c r="U1293" s="17">
        <v>2</v>
      </c>
      <c r="V1293" s="17">
        <v>34</v>
      </c>
    </row>
    <row r="1294" spans="1:22" x14ac:dyDescent="0.2">
      <c r="A1294" t="s">
        <v>3503</v>
      </c>
      <c r="B1294" t="s">
        <v>2719</v>
      </c>
      <c r="C1294" t="s">
        <v>2720</v>
      </c>
      <c r="D1294" t="s">
        <v>3495</v>
      </c>
      <c r="E1294" s="10" t="s">
        <v>3504</v>
      </c>
      <c r="F1294" s="10"/>
      <c r="G1294" s="10"/>
      <c r="H1294" s="10" t="s">
        <v>3504</v>
      </c>
      <c r="I1294" s="14">
        <v>29793.97199534066</v>
      </c>
      <c r="J1294" s="19">
        <v>0</v>
      </c>
      <c r="K1294" s="19">
        <v>0.94034928137273499</v>
      </c>
      <c r="L1294" s="19">
        <v>5.9650718627264988E-2</v>
      </c>
      <c r="M1294" s="20">
        <v>2</v>
      </c>
      <c r="N1294" s="19">
        <v>0</v>
      </c>
      <c r="O1294" s="19">
        <v>0</v>
      </c>
      <c r="P1294" s="19">
        <v>0.94034928137273499</v>
      </c>
      <c r="Q1294" s="19">
        <v>0</v>
      </c>
      <c r="R1294" s="19">
        <v>5.4136568946742285E-2</v>
      </c>
      <c r="S1294" s="19">
        <v>5.5141496805227062E-3</v>
      </c>
      <c r="T1294" s="20">
        <v>21</v>
      </c>
      <c r="U1294" s="17">
        <v>2</v>
      </c>
      <c r="V1294" s="17">
        <v>34</v>
      </c>
    </row>
    <row r="1295" spans="1:22" x14ac:dyDescent="0.2">
      <c r="A1295" t="s">
        <v>3505</v>
      </c>
      <c r="B1295" t="s">
        <v>2719</v>
      </c>
      <c r="C1295" t="s">
        <v>2720</v>
      </c>
      <c r="D1295" t="s">
        <v>3495</v>
      </c>
      <c r="E1295" s="10" t="s">
        <v>3506</v>
      </c>
      <c r="F1295" s="10"/>
      <c r="G1295" s="10"/>
      <c r="H1295" s="10" t="s">
        <v>3506</v>
      </c>
      <c r="I1295" s="14">
        <v>38715.508341675159</v>
      </c>
      <c r="J1295" s="19">
        <v>0</v>
      </c>
      <c r="K1295" s="19">
        <v>0.38909837400222774</v>
      </c>
      <c r="L1295" s="19">
        <v>0.6109016259977722</v>
      </c>
      <c r="M1295" s="20">
        <v>1</v>
      </c>
      <c r="N1295" s="19">
        <v>0</v>
      </c>
      <c r="O1295" s="19">
        <v>0.2866304528558295</v>
      </c>
      <c r="P1295" s="19">
        <v>0.10246792114639826</v>
      </c>
      <c r="Q1295" s="19">
        <v>0.11253559782837189</v>
      </c>
      <c r="R1295" s="19">
        <v>0.42918699208675709</v>
      </c>
      <c r="S1295" s="19">
        <v>6.9179036082643267E-2</v>
      </c>
      <c r="T1295" s="20">
        <v>12</v>
      </c>
      <c r="U1295" s="17">
        <v>2</v>
      </c>
      <c r="V1295" s="17">
        <v>34</v>
      </c>
    </row>
    <row r="1296" spans="1:22" x14ac:dyDescent="0.2">
      <c r="A1296" t="s">
        <v>3507</v>
      </c>
      <c r="B1296" t="s">
        <v>2719</v>
      </c>
      <c r="C1296" t="s">
        <v>2720</v>
      </c>
      <c r="D1296" t="s">
        <v>3495</v>
      </c>
      <c r="E1296" s="10" t="s">
        <v>3508</v>
      </c>
      <c r="F1296" s="10"/>
      <c r="G1296" s="10"/>
      <c r="H1296" s="10" t="s">
        <v>3508</v>
      </c>
      <c r="I1296" s="14">
        <v>41223.127234176733</v>
      </c>
      <c r="J1296" s="19">
        <v>0</v>
      </c>
      <c r="K1296" s="19">
        <v>0.43929786671511928</v>
      </c>
      <c r="L1296" s="19">
        <v>0.56070213328488072</v>
      </c>
      <c r="M1296" s="20">
        <v>1</v>
      </c>
      <c r="N1296" s="19">
        <v>0</v>
      </c>
      <c r="O1296" s="19">
        <v>0</v>
      </c>
      <c r="P1296" s="19">
        <v>0.43929786671511928</v>
      </c>
      <c r="Q1296" s="19">
        <v>0.24922365036252311</v>
      </c>
      <c r="R1296" s="19">
        <v>0.29455856366889754</v>
      </c>
      <c r="S1296" s="19">
        <v>1.6919919253460064E-2</v>
      </c>
      <c r="T1296" s="20">
        <v>12</v>
      </c>
      <c r="U1296" s="17">
        <v>2</v>
      </c>
      <c r="V1296" s="17">
        <v>34</v>
      </c>
    </row>
    <row r="1297" spans="1:22" x14ac:dyDescent="0.2">
      <c r="A1297" t="s">
        <v>3509</v>
      </c>
      <c r="B1297" t="s">
        <v>2719</v>
      </c>
      <c r="C1297" t="s">
        <v>2720</v>
      </c>
      <c r="D1297" t="s">
        <v>3495</v>
      </c>
      <c r="E1297" s="10" t="s">
        <v>3510</v>
      </c>
      <c r="F1297" s="10"/>
      <c r="G1297" s="10"/>
      <c r="H1297" s="10" t="s">
        <v>3510</v>
      </c>
      <c r="I1297" s="14">
        <v>41740.476710277144</v>
      </c>
      <c r="J1297" s="19">
        <v>0</v>
      </c>
      <c r="K1297" s="19">
        <v>0.8178144075484014</v>
      </c>
      <c r="L1297" s="19">
        <v>0.18218559245159863</v>
      </c>
      <c r="M1297" s="20">
        <v>2</v>
      </c>
      <c r="N1297" s="19">
        <v>0.19752616441095741</v>
      </c>
      <c r="O1297" s="19">
        <v>0</v>
      </c>
      <c r="P1297" s="19">
        <v>0.62028824313744402</v>
      </c>
      <c r="Q1297" s="19">
        <v>5.4738362032339484E-2</v>
      </c>
      <c r="R1297" s="19">
        <v>0.11495717468751464</v>
      </c>
      <c r="S1297" s="19">
        <v>1.2490055731744465E-2</v>
      </c>
      <c r="T1297" s="20">
        <v>21</v>
      </c>
      <c r="U1297" s="17">
        <v>2</v>
      </c>
      <c r="V1297" s="17">
        <v>34</v>
      </c>
    </row>
    <row r="1298" spans="1:22" x14ac:dyDescent="0.2">
      <c r="A1298" t="s">
        <v>3511</v>
      </c>
      <c r="B1298" t="s">
        <v>2719</v>
      </c>
      <c r="C1298" t="s">
        <v>2720</v>
      </c>
      <c r="D1298" t="s">
        <v>3495</v>
      </c>
      <c r="E1298" s="10" t="s">
        <v>3512</v>
      </c>
      <c r="F1298" s="10"/>
      <c r="G1298" s="10"/>
      <c r="H1298" s="10" t="s">
        <v>3512</v>
      </c>
      <c r="I1298" s="14">
        <v>48700.193569175899</v>
      </c>
      <c r="J1298" s="19">
        <v>4.0562962707425876E-2</v>
      </c>
      <c r="K1298" s="19">
        <v>0.74746691055689041</v>
      </c>
      <c r="L1298" s="19">
        <v>0.21197012673568369</v>
      </c>
      <c r="M1298" s="20">
        <v>2</v>
      </c>
      <c r="N1298" s="19">
        <v>0.11280920482824543</v>
      </c>
      <c r="O1298" s="19">
        <v>0</v>
      </c>
      <c r="P1298" s="19">
        <v>0.63465770572864499</v>
      </c>
      <c r="Q1298" s="19">
        <v>0.14380166022970473</v>
      </c>
      <c r="R1298" s="19">
        <v>6.3103125753505379E-2</v>
      </c>
      <c r="S1298" s="19">
        <v>5.0653407524735919E-3</v>
      </c>
      <c r="T1298" s="20">
        <v>21</v>
      </c>
      <c r="U1298" s="17">
        <v>2</v>
      </c>
      <c r="V1298" s="17">
        <v>34</v>
      </c>
    </row>
    <row r="1299" spans="1:22" x14ac:dyDescent="0.2">
      <c r="A1299" t="s">
        <v>3513</v>
      </c>
      <c r="B1299" t="s">
        <v>2719</v>
      </c>
      <c r="C1299" t="s">
        <v>2720</v>
      </c>
      <c r="D1299" t="s">
        <v>3495</v>
      </c>
      <c r="E1299" s="10" t="s">
        <v>3514</v>
      </c>
      <c r="F1299" s="10"/>
      <c r="G1299" s="10"/>
      <c r="H1299" s="10" t="s">
        <v>3514</v>
      </c>
      <c r="I1299" s="14">
        <v>40769.705726934597</v>
      </c>
      <c r="J1299" s="19">
        <v>0</v>
      </c>
      <c r="K1299" s="19">
        <v>0.80172527991958908</v>
      </c>
      <c r="L1299" s="19">
        <v>0.198274720080411</v>
      </c>
      <c r="M1299" s="20">
        <v>2</v>
      </c>
      <c r="N1299" s="19">
        <v>0.12855948736998546</v>
      </c>
      <c r="O1299" s="19">
        <v>0</v>
      </c>
      <c r="P1299" s="19">
        <v>0.67316579254960351</v>
      </c>
      <c r="Q1299" s="19">
        <v>0</v>
      </c>
      <c r="R1299" s="19">
        <v>0.1971506592979797</v>
      </c>
      <c r="S1299" s="19">
        <v>1.1240607824312828E-3</v>
      </c>
      <c r="T1299" s="20">
        <v>21</v>
      </c>
      <c r="U1299" s="17">
        <v>2</v>
      </c>
      <c r="V1299" s="17">
        <v>34</v>
      </c>
    </row>
    <row r="1300" spans="1:22" x14ac:dyDescent="0.2">
      <c r="A1300" t="s">
        <v>3515</v>
      </c>
      <c r="B1300" t="s">
        <v>2719</v>
      </c>
      <c r="C1300" t="s">
        <v>2720</v>
      </c>
      <c r="D1300" t="s">
        <v>3495</v>
      </c>
      <c r="E1300" s="10" t="s">
        <v>2758</v>
      </c>
      <c r="F1300" s="10"/>
      <c r="G1300" s="10"/>
      <c r="H1300" s="10" t="s">
        <v>2758</v>
      </c>
      <c r="I1300" s="14">
        <v>46341.865843389183</v>
      </c>
      <c r="J1300" s="19">
        <v>0</v>
      </c>
      <c r="K1300" s="19">
        <v>0.82246390751660725</v>
      </c>
      <c r="L1300" s="19">
        <v>0.17753609248339269</v>
      </c>
      <c r="M1300" s="20">
        <v>2</v>
      </c>
      <c r="N1300" s="19">
        <v>0.12971698249230806</v>
      </c>
      <c r="O1300" s="19">
        <v>0</v>
      </c>
      <c r="P1300" s="19">
        <v>0.69274692502429924</v>
      </c>
      <c r="Q1300" s="19">
        <v>7.1644159604761282E-2</v>
      </c>
      <c r="R1300" s="19">
        <v>0.10462431841979816</v>
      </c>
      <c r="S1300" s="19">
        <v>1.267614458833267E-3</v>
      </c>
      <c r="T1300" s="20">
        <v>21</v>
      </c>
      <c r="U1300" s="17">
        <v>2</v>
      </c>
      <c r="V1300" s="17">
        <v>34</v>
      </c>
    </row>
    <row r="1301" spans="1:22" x14ac:dyDescent="0.2">
      <c r="A1301" t="s">
        <v>3516</v>
      </c>
      <c r="B1301" t="s">
        <v>2719</v>
      </c>
      <c r="C1301" t="s">
        <v>2720</v>
      </c>
      <c r="D1301" t="s">
        <v>3495</v>
      </c>
      <c r="E1301" s="10" t="s">
        <v>3517</v>
      </c>
      <c r="F1301" s="10"/>
      <c r="G1301" s="10"/>
      <c r="H1301" s="10" t="s">
        <v>3517</v>
      </c>
      <c r="I1301" s="14">
        <v>49545.566041406244</v>
      </c>
      <c r="J1301" s="19">
        <v>0</v>
      </c>
      <c r="K1301" s="19">
        <v>0.90387920035299441</v>
      </c>
      <c r="L1301" s="19">
        <v>9.6120799647005553E-2</v>
      </c>
      <c r="M1301" s="20">
        <v>2</v>
      </c>
      <c r="N1301" s="19">
        <v>0.35987780005368819</v>
      </c>
      <c r="O1301" s="19">
        <v>0</v>
      </c>
      <c r="P1301" s="19">
        <v>0.54400140029930633</v>
      </c>
      <c r="Q1301" s="19">
        <v>2.7181453444361386E-2</v>
      </c>
      <c r="R1301" s="19">
        <v>6.4480551036932524E-2</v>
      </c>
      <c r="S1301" s="19">
        <v>4.4587951657116369E-3</v>
      </c>
      <c r="T1301" s="20">
        <v>21</v>
      </c>
      <c r="U1301" s="17">
        <v>2</v>
      </c>
      <c r="V1301" s="17">
        <v>34</v>
      </c>
    </row>
    <row r="1302" spans="1:22" x14ac:dyDescent="0.2">
      <c r="A1302" t="s">
        <v>3518</v>
      </c>
      <c r="B1302" t="s">
        <v>2719</v>
      </c>
      <c r="C1302" t="s">
        <v>2720</v>
      </c>
      <c r="D1302" t="s">
        <v>3495</v>
      </c>
      <c r="E1302" s="10" t="s">
        <v>3519</v>
      </c>
      <c r="F1302" s="10"/>
      <c r="G1302" s="10"/>
      <c r="H1302" s="10" t="s">
        <v>3519</v>
      </c>
      <c r="I1302" s="14">
        <v>31276.413328404069</v>
      </c>
      <c r="J1302" s="19">
        <v>0</v>
      </c>
      <c r="K1302" s="19">
        <v>0.86998189565073203</v>
      </c>
      <c r="L1302" s="19">
        <v>0.13001810434926803</v>
      </c>
      <c r="M1302" s="20">
        <v>2</v>
      </c>
      <c r="N1302" s="19">
        <v>0.48323426999835933</v>
      </c>
      <c r="O1302" s="19">
        <v>0</v>
      </c>
      <c r="P1302" s="19">
        <v>0.38674762565237275</v>
      </c>
      <c r="Q1302" s="19">
        <v>6.7832795433765636E-2</v>
      </c>
      <c r="R1302" s="19">
        <v>5.1975338377025143E-2</v>
      </c>
      <c r="S1302" s="19">
        <v>1.0209970538477248E-2</v>
      </c>
      <c r="T1302" s="20">
        <v>23</v>
      </c>
      <c r="U1302" s="17">
        <v>2</v>
      </c>
      <c r="V1302" s="17">
        <v>34</v>
      </c>
    </row>
    <row r="1303" spans="1:22" x14ac:dyDescent="0.2">
      <c r="A1303" t="s">
        <v>3520</v>
      </c>
      <c r="B1303" t="s">
        <v>2719</v>
      </c>
      <c r="C1303" t="s">
        <v>2720</v>
      </c>
      <c r="D1303" t="s">
        <v>3495</v>
      </c>
      <c r="E1303" s="10" t="s">
        <v>3521</v>
      </c>
      <c r="F1303" s="10"/>
      <c r="G1303" s="10"/>
      <c r="H1303" s="10" t="s">
        <v>3521</v>
      </c>
      <c r="I1303" s="14">
        <v>181067.97976339702</v>
      </c>
      <c r="J1303" s="19">
        <v>0.72167046983967864</v>
      </c>
      <c r="K1303" s="19">
        <v>0.26856176892563544</v>
      </c>
      <c r="L1303" s="19">
        <v>9.7677612346859025E-3</v>
      </c>
      <c r="M1303" s="20">
        <v>3</v>
      </c>
      <c r="N1303" s="19">
        <v>8.7589231577972826E-2</v>
      </c>
      <c r="O1303" s="19">
        <v>0</v>
      </c>
      <c r="P1303" s="19">
        <v>0.18097253734766261</v>
      </c>
      <c r="Q1303" s="19">
        <v>4.1706741030972695E-3</v>
      </c>
      <c r="R1303" s="19">
        <v>5.2701002782169883E-3</v>
      </c>
      <c r="S1303" s="19">
        <v>3.2698685337164535E-4</v>
      </c>
      <c r="T1303" s="20">
        <v>30</v>
      </c>
      <c r="U1303" s="17">
        <v>2</v>
      </c>
      <c r="V1303" s="17">
        <v>34</v>
      </c>
    </row>
    <row r="1304" spans="1:22" x14ac:dyDescent="0.2">
      <c r="A1304" t="s">
        <v>3522</v>
      </c>
      <c r="B1304" t="s">
        <v>2719</v>
      </c>
      <c r="C1304" t="s">
        <v>2720</v>
      </c>
      <c r="D1304" t="s">
        <v>3495</v>
      </c>
      <c r="E1304" s="10" t="s">
        <v>3523</v>
      </c>
      <c r="F1304" s="10"/>
      <c r="G1304" s="10"/>
      <c r="H1304" s="10" t="s">
        <v>3523</v>
      </c>
      <c r="I1304" s="14">
        <v>28901.654059557244</v>
      </c>
      <c r="J1304" s="19">
        <v>0</v>
      </c>
      <c r="K1304" s="19">
        <v>0.91142721974352403</v>
      </c>
      <c r="L1304" s="19">
        <v>8.8572780256475969E-2</v>
      </c>
      <c r="M1304" s="20">
        <v>2</v>
      </c>
      <c r="N1304" s="19">
        <v>0</v>
      </c>
      <c r="O1304" s="19">
        <v>0</v>
      </c>
      <c r="P1304" s="19">
        <v>0.91142721974352403</v>
      </c>
      <c r="Q1304" s="19">
        <v>0</v>
      </c>
      <c r="R1304" s="19">
        <v>8.1639605599941781E-2</v>
      </c>
      <c r="S1304" s="19">
        <v>6.9331746565341832E-3</v>
      </c>
      <c r="T1304" s="20">
        <v>21</v>
      </c>
      <c r="U1304" s="17">
        <v>2</v>
      </c>
      <c r="V1304" s="17">
        <v>34</v>
      </c>
    </row>
    <row r="1305" spans="1:22" x14ac:dyDescent="0.2">
      <c r="A1305" t="s">
        <v>3524</v>
      </c>
      <c r="B1305" t="s">
        <v>2719</v>
      </c>
      <c r="C1305" t="s">
        <v>2720</v>
      </c>
      <c r="D1305" t="s">
        <v>3495</v>
      </c>
      <c r="E1305" s="10" t="s">
        <v>3525</v>
      </c>
      <c r="F1305" s="10"/>
      <c r="G1305" s="10"/>
      <c r="H1305" s="10" t="s">
        <v>3525</v>
      </c>
      <c r="I1305" s="14">
        <v>32871.773241941817</v>
      </c>
      <c r="J1305" s="19">
        <v>0</v>
      </c>
      <c r="K1305" s="19">
        <v>0.58103011414275096</v>
      </c>
      <c r="L1305" s="19">
        <v>0.41896988585724898</v>
      </c>
      <c r="M1305" s="20">
        <v>2</v>
      </c>
      <c r="N1305" s="19">
        <v>0</v>
      </c>
      <c r="O1305" s="19">
        <v>0</v>
      </c>
      <c r="P1305" s="19">
        <v>0.58103011414275096</v>
      </c>
      <c r="Q1305" s="19">
        <v>0.17049158450395774</v>
      </c>
      <c r="R1305" s="19">
        <v>0.23825260434150416</v>
      </c>
      <c r="S1305" s="19">
        <v>1.0225697011787117E-2</v>
      </c>
      <c r="T1305" s="20">
        <v>21</v>
      </c>
      <c r="U1305" s="17">
        <v>2</v>
      </c>
      <c r="V1305" s="17">
        <v>34</v>
      </c>
    </row>
    <row r="1306" spans="1:22" x14ac:dyDescent="0.2">
      <c r="A1306" t="s">
        <v>3526</v>
      </c>
      <c r="B1306" t="s">
        <v>2719</v>
      </c>
      <c r="C1306" t="s">
        <v>2720</v>
      </c>
      <c r="D1306" t="s">
        <v>3495</v>
      </c>
      <c r="E1306" s="10" t="s">
        <v>3527</v>
      </c>
      <c r="F1306" s="10"/>
      <c r="G1306" s="10"/>
      <c r="H1306" s="10" t="s">
        <v>3527</v>
      </c>
      <c r="I1306" s="14">
        <v>54250.486858750686</v>
      </c>
      <c r="J1306" s="19">
        <v>0</v>
      </c>
      <c r="K1306" s="19">
        <v>0.47517952495231414</v>
      </c>
      <c r="L1306" s="19">
        <v>0.52482047504768614</v>
      </c>
      <c r="M1306" s="20">
        <v>1</v>
      </c>
      <c r="N1306" s="19">
        <v>0</v>
      </c>
      <c r="O1306" s="19">
        <v>0</v>
      </c>
      <c r="P1306" s="19">
        <v>0.47517952495231414</v>
      </c>
      <c r="Q1306" s="19">
        <v>8.4425477526403184E-2</v>
      </c>
      <c r="R1306" s="19">
        <v>0.39851619884719547</v>
      </c>
      <c r="S1306" s="19">
        <v>4.1878798674087378E-2</v>
      </c>
      <c r="T1306" s="20">
        <v>12</v>
      </c>
      <c r="U1306" s="17">
        <v>2</v>
      </c>
      <c r="V1306" s="17">
        <v>34</v>
      </c>
    </row>
    <row r="1307" spans="1:22" x14ac:dyDescent="0.2">
      <c r="A1307" t="s">
        <v>3528</v>
      </c>
      <c r="B1307" t="s">
        <v>2719</v>
      </c>
      <c r="C1307" t="s">
        <v>2720</v>
      </c>
      <c r="D1307" t="s">
        <v>3529</v>
      </c>
      <c r="E1307" s="10" t="s">
        <v>3530</v>
      </c>
      <c r="F1307" s="10"/>
      <c r="G1307" s="10"/>
      <c r="H1307" s="10" t="s">
        <v>3530</v>
      </c>
      <c r="I1307" s="14">
        <v>14965.788752587512</v>
      </c>
      <c r="J1307" s="19">
        <v>0</v>
      </c>
      <c r="K1307" s="19">
        <v>0.45368949653935386</v>
      </c>
      <c r="L1307" s="19">
        <v>0.54631050346064614</v>
      </c>
      <c r="M1307" s="20">
        <v>1</v>
      </c>
      <c r="N1307" s="19">
        <v>0</v>
      </c>
      <c r="O1307" s="19">
        <v>0.45368949653935386</v>
      </c>
      <c r="P1307" s="19">
        <v>0</v>
      </c>
      <c r="Q1307" s="19">
        <v>0.334942968793978</v>
      </c>
      <c r="R1307" s="19">
        <v>0.17415276658232617</v>
      </c>
      <c r="S1307" s="19">
        <v>3.7214768084341834E-2</v>
      </c>
      <c r="T1307" s="20">
        <v>13</v>
      </c>
      <c r="U1307" s="17">
        <v>2</v>
      </c>
      <c r="V1307" s="17">
        <v>34</v>
      </c>
    </row>
    <row r="1308" spans="1:22" x14ac:dyDescent="0.2">
      <c r="A1308" t="s">
        <v>3531</v>
      </c>
      <c r="B1308" t="s">
        <v>2719</v>
      </c>
      <c r="C1308" t="s">
        <v>2720</v>
      </c>
      <c r="D1308" t="s">
        <v>3529</v>
      </c>
      <c r="E1308" s="10" t="s">
        <v>3532</v>
      </c>
      <c r="F1308" s="10"/>
      <c r="G1308" s="10"/>
      <c r="H1308" s="10" t="s">
        <v>3532</v>
      </c>
      <c r="I1308" s="14">
        <v>14887.48968494311</v>
      </c>
      <c r="J1308" s="19">
        <v>0</v>
      </c>
      <c r="K1308" s="19">
        <v>0.53820310695298335</v>
      </c>
      <c r="L1308" s="19">
        <v>0.46179689304701665</v>
      </c>
      <c r="M1308" s="20">
        <v>2</v>
      </c>
      <c r="N1308" s="19">
        <v>0</v>
      </c>
      <c r="O1308" s="19">
        <v>0.5240686693106672</v>
      </c>
      <c r="P1308" s="19">
        <v>1.4134437642316177E-2</v>
      </c>
      <c r="Q1308" s="19">
        <v>0.29891801945462909</v>
      </c>
      <c r="R1308" s="19">
        <v>0.15150265883633779</v>
      </c>
      <c r="S1308" s="19">
        <v>1.1376214756049845E-2</v>
      </c>
      <c r="T1308" s="20">
        <v>22</v>
      </c>
      <c r="U1308" s="17">
        <v>2</v>
      </c>
      <c r="V1308" s="17">
        <v>34</v>
      </c>
    </row>
    <row r="1309" spans="1:22" x14ac:dyDescent="0.2">
      <c r="A1309" t="s">
        <v>3533</v>
      </c>
      <c r="B1309" t="s">
        <v>2719</v>
      </c>
      <c r="C1309" t="s">
        <v>2720</v>
      </c>
      <c r="D1309" t="s">
        <v>3529</v>
      </c>
      <c r="E1309" s="10" t="s">
        <v>3414</v>
      </c>
      <c r="F1309" s="10"/>
      <c r="G1309" s="10"/>
      <c r="H1309" s="10" t="s">
        <v>3414</v>
      </c>
      <c r="I1309" s="14">
        <v>25138.795752188191</v>
      </c>
      <c r="J1309" s="19">
        <v>0.4493456365034349</v>
      </c>
      <c r="K1309" s="19">
        <v>0.43142918478642794</v>
      </c>
      <c r="L1309" s="19">
        <v>0.11922517871013716</v>
      </c>
      <c r="M1309" s="20">
        <v>2</v>
      </c>
      <c r="N1309" s="19">
        <v>0</v>
      </c>
      <c r="O1309" s="19">
        <v>0</v>
      </c>
      <c r="P1309" s="19">
        <v>0.43142918478642794</v>
      </c>
      <c r="Q1309" s="19">
        <v>9.0393234219900573E-2</v>
      </c>
      <c r="R1309" s="19">
        <v>2.7698400395522748E-2</v>
      </c>
      <c r="S1309" s="19">
        <v>1.1335440947138364E-3</v>
      </c>
      <c r="T1309" s="20">
        <v>23</v>
      </c>
      <c r="U1309" s="17">
        <v>2</v>
      </c>
      <c r="V1309" s="17">
        <v>34</v>
      </c>
    </row>
    <row r="1310" spans="1:22" x14ac:dyDescent="0.2">
      <c r="A1310" t="s">
        <v>3534</v>
      </c>
      <c r="B1310" t="s">
        <v>2719</v>
      </c>
      <c r="C1310" t="s">
        <v>2720</v>
      </c>
      <c r="D1310" t="s">
        <v>3529</v>
      </c>
      <c r="E1310" s="10" t="s">
        <v>3535</v>
      </c>
      <c r="F1310" s="10"/>
      <c r="G1310" s="10"/>
      <c r="H1310" s="10" t="s">
        <v>3535</v>
      </c>
      <c r="I1310" s="14">
        <v>35928.670706026256</v>
      </c>
      <c r="J1310" s="19">
        <v>0</v>
      </c>
      <c r="K1310" s="19">
        <v>0.66098512170503587</v>
      </c>
      <c r="L1310" s="19">
        <v>0.33901487829496413</v>
      </c>
      <c r="M1310" s="20">
        <v>2</v>
      </c>
      <c r="N1310" s="19">
        <v>0.15626268335166887</v>
      </c>
      <c r="O1310" s="19">
        <v>0.40009457472611898</v>
      </c>
      <c r="P1310" s="19">
        <v>0.10462786362724796</v>
      </c>
      <c r="Q1310" s="19">
        <v>0.24259513624427989</v>
      </c>
      <c r="R1310" s="19">
        <v>8.1153207139080835E-2</v>
      </c>
      <c r="S1310" s="19">
        <v>1.5266534911603407E-2</v>
      </c>
      <c r="T1310" s="20">
        <v>22</v>
      </c>
      <c r="U1310" s="17">
        <v>2</v>
      </c>
      <c r="V1310" s="17">
        <v>34</v>
      </c>
    </row>
    <row r="1311" spans="1:22" x14ac:dyDescent="0.2">
      <c r="A1311" t="s">
        <v>3536</v>
      </c>
      <c r="B1311" t="s">
        <v>2719</v>
      </c>
      <c r="C1311" t="s">
        <v>2720</v>
      </c>
      <c r="D1311" t="s">
        <v>3529</v>
      </c>
      <c r="E1311" s="10" t="s">
        <v>3537</v>
      </c>
      <c r="F1311" s="10"/>
      <c r="G1311" s="10"/>
      <c r="H1311" s="10" t="s">
        <v>3537</v>
      </c>
      <c r="I1311" s="14">
        <v>9891.8714649491012</v>
      </c>
      <c r="J1311" s="19">
        <v>0</v>
      </c>
      <c r="K1311" s="19">
        <v>0.74361088711991186</v>
      </c>
      <c r="L1311" s="19">
        <v>0.25638911288008809</v>
      </c>
      <c r="M1311" s="20">
        <v>2</v>
      </c>
      <c r="N1311" s="19">
        <v>0</v>
      </c>
      <c r="O1311" s="19">
        <v>0.74361088711991186</v>
      </c>
      <c r="P1311" s="19">
        <v>0</v>
      </c>
      <c r="Q1311" s="19">
        <v>0.17381078771927846</v>
      </c>
      <c r="R1311" s="19">
        <v>7.2339929162384908E-2</v>
      </c>
      <c r="S1311" s="19">
        <v>1.0238395998424696E-2</v>
      </c>
      <c r="T1311" s="20">
        <v>22</v>
      </c>
      <c r="U1311" s="17">
        <v>2</v>
      </c>
      <c r="V1311" s="17">
        <v>34</v>
      </c>
    </row>
    <row r="1312" spans="1:22" x14ac:dyDescent="0.2">
      <c r="A1312" t="s">
        <v>3538</v>
      </c>
      <c r="B1312" t="s">
        <v>2719</v>
      </c>
      <c r="C1312" t="s">
        <v>2720</v>
      </c>
      <c r="D1312" t="s">
        <v>3529</v>
      </c>
      <c r="E1312" s="10" t="s">
        <v>2923</v>
      </c>
      <c r="F1312" s="10"/>
      <c r="G1312" s="10"/>
      <c r="H1312" s="10" t="s">
        <v>2923</v>
      </c>
      <c r="I1312" s="14">
        <v>23028.708894133568</v>
      </c>
      <c r="J1312" s="19">
        <v>0</v>
      </c>
      <c r="K1312" s="19">
        <v>0.5732641486230996</v>
      </c>
      <c r="L1312" s="19">
        <v>0.42673585137690034</v>
      </c>
      <c r="M1312" s="20">
        <v>2</v>
      </c>
      <c r="N1312" s="19">
        <v>0</v>
      </c>
      <c r="O1312" s="19">
        <v>0.5387796906029807</v>
      </c>
      <c r="P1312" s="19">
        <v>3.4484458020118944E-2</v>
      </c>
      <c r="Q1312" s="19">
        <v>0.19466438761930865</v>
      </c>
      <c r="R1312" s="19">
        <v>0.21676647097873689</v>
      </c>
      <c r="S1312" s="19">
        <v>1.5304992778854819E-2</v>
      </c>
      <c r="T1312" s="20">
        <v>22</v>
      </c>
      <c r="U1312" s="17">
        <v>2</v>
      </c>
      <c r="V1312" s="17">
        <v>34</v>
      </c>
    </row>
    <row r="1313" spans="1:22" x14ac:dyDescent="0.2">
      <c r="A1313" t="s">
        <v>3539</v>
      </c>
      <c r="B1313" t="s">
        <v>2719</v>
      </c>
      <c r="C1313" t="s">
        <v>2720</v>
      </c>
      <c r="D1313" t="s">
        <v>3529</v>
      </c>
      <c r="E1313" s="10" t="s">
        <v>3540</v>
      </c>
      <c r="F1313" s="10"/>
      <c r="G1313" s="10"/>
      <c r="H1313" s="10" t="s">
        <v>3540</v>
      </c>
      <c r="I1313" s="14">
        <v>12035.029157109559</v>
      </c>
      <c r="J1313" s="19">
        <v>0</v>
      </c>
      <c r="K1313" s="19">
        <v>0.64990336465196874</v>
      </c>
      <c r="L1313" s="19">
        <v>0.35009663534803137</v>
      </c>
      <c r="M1313" s="20">
        <v>2</v>
      </c>
      <c r="N1313" s="19">
        <v>0</v>
      </c>
      <c r="O1313" s="19">
        <v>0.64990336465196874</v>
      </c>
      <c r="P1313" s="19">
        <v>0</v>
      </c>
      <c r="Q1313" s="19">
        <v>0.16942459414022357</v>
      </c>
      <c r="R1313" s="19">
        <v>0.15474835670702955</v>
      </c>
      <c r="S1313" s="19">
        <v>2.5923684500778241E-2</v>
      </c>
      <c r="T1313" s="20">
        <v>22</v>
      </c>
      <c r="U1313" s="17">
        <v>2</v>
      </c>
      <c r="V1313" s="17">
        <v>34</v>
      </c>
    </row>
    <row r="1314" spans="1:22" x14ac:dyDescent="0.2">
      <c r="A1314" t="s">
        <v>3541</v>
      </c>
      <c r="B1314" t="s">
        <v>2719</v>
      </c>
      <c r="C1314" t="s">
        <v>2720</v>
      </c>
      <c r="D1314" t="s">
        <v>3529</v>
      </c>
      <c r="E1314" s="10" t="s">
        <v>3542</v>
      </c>
      <c r="F1314" s="10"/>
      <c r="G1314" s="10"/>
      <c r="H1314" s="10" t="s">
        <v>3542</v>
      </c>
      <c r="I1314" s="14">
        <v>43927.660085305572</v>
      </c>
      <c r="J1314" s="19">
        <v>0</v>
      </c>
      <c r="K1314" s="19">
        <v>0.68685032149735203</v>
      </c>
      <c r="L1314" s="19">
        <v>0.31314967850264791</v>
      </c>
      <c r="M1314" s="20">
        <v>2</v>
      </c>
      <c r="N1314" s="19">
        <v>0.31702527747975606</v>
      </c>
      <c r="O1314" s="19">
        <v>0</v>
      </c>
      <c r="P1314" s="19">
        <v>0.36982504401759603</v>
      </c>
      <c r="Q1314" s="19">
        <v>0.26420921137237807</v>
      </c>
      <c r="R1314" s="19">
        <v>4.4628480019837005E-2</v>
      </c>
      <c r="S1314" s="19">
        <v>4.3119871104328241E-3</v>
      </c>
      <c r="T1314" s="20">
        <v>23</v>
      </c>
      <c r="U1314" s="17">
        <v>2</v>
      </c>
      <c r="V1314" s="17">
        <v>34</v>
      </c>
    </row>
    <row r="1315" spans="1:22" x14ac:dyDescent="0.2">
      <c r="A1315" t="s">
        <v>3543</v>
      </c>
      <c r="B1315" t="s">
        <v>2719</v>
      </c>
      <c r="C1315" t="s">
        <v>2720</v>
      </c>
      <c r="D1315" t="s">
        <v>3529</v>
      </c>
      <c r="E1315" s="10" t="s">
        <v>3215</v>
      </c>
      <c r="F1315" s="10"/>
      <c r="G1315" s="10"/>
      <c r="H1315" s="10" t="s">
        <v>3215</v>
      </c>
      <c r="I1315" s="14">
        <v>18168.238502223045</v>
      </c>
      <c r="J1315" s="19">
        <v>0</v>
      </c>
      <c r="K1315" s="19">
        <v>0.28531882902912398</v>
      </c>
      <c r="L1315" s="19">
        <v>0.71468117097087602</v>
      </c>
      <c r="M1315" s="20">
        <v>1</v>
      </c>
      <c r="N1315" s="19">
        <v>0</v>
      </c>
      <c r="O1315" s="19">
        <v>0</v>
      </c>
      <c r="P1315" s="19">
        <v>0.28531882902912398</v>
      </c>
      <c r="Q1315" s="19">
        <v>0.58577182991416843</v>
      </c>
      <c r="R1315" s="19">
        <v>0.10298654996441932</v>
      </c>
      <c r="S1315" s="19">
        <v>2.5922791092288223E-2</v>
      </c>
      <c r="T1315" s="20">
        <v>13</v>
      </c>
      <c r="U1315" s="17">
        <v>2</v>
      </c>
      <c r="V1315" s="17">
        <v>34</v>
      </c>
    </row>
    <row r="1316" spans="1:22" x14ac:dyDescent="0.2">
      <c r="A1316" t="s">
        <v>3544</v>
      </c>
      <c r="B1316" t="s">
        <v>2719</v>
      </c>
      <c r="C1316" t="s">
        <v>2720</v>
      </c>
      <c r="D1316" t="s">
        <v>3529</v>
      </c>
      <c r="E1316" s="10" t="s">
        <v>3545</v>
      </c>
      <c r="F1316" s="10"/>
      <c r="G1316" s="10"/>
      <c r="H1316" s="10" t="s">
        <v>3545</v>
      </c>
      <c r="I1316" s="14">
        <v>26135.690566387959</v>
      </c>
      <c r="J1316" s="19">
        <v>0</v>
      </c>
      <c r="K1316" s="19">
        <v>0.61274533704142986</v>
      </c>
      <c r="L1316" s="19">
        <v>0.38725466295857008</v>
      </c>
      <c r="M1316" s="20">
        <v>2</v>
      </c>
      <c r="N1316" s="19">
        <v>0</v>
      </c>
      <c r="O1316" s="19">
        <v>0.61274533704142986</v>
      </c>
      <c r="P1316" s="19">
        <v>0</v>
      </c>
      <c r="Q1316" s="19">
        <v>0.25979198622814859</v>
      </c>
      <c r="R1316" s="19">
        <v>0.11294886397064874</v>
      </c>
      <c r="S1316" s="19">
        <v>1.4513812759772775E-2</v>
      </c>
      <c r="T1316" s="20">
        <v>22</v>
      </c>
      <c r="U1316" s="17">
        <v>2</v>
      </c>
      <c r="V1316" s="17">
        <v>34</v>
      </c>
    </row>
    <row r="1317" spans="1:22" x14ac:dyDescent="0.2">
      <c r="A1317" t="s">
        <v>3546</v>
      </c>
      <c r="B1317" t="s">
        <v>2719</v>
      </c>
      <c r="C1317" t="s">
        <v>2720</v>
      </c>
      <c r="D1317" t="s">
        <v>3529</v>
      </c>
      <c r="E1317" s="10" t="s">
        <v>3547</v>
      </c>
      <c r="F1317" s="10"/>
      <c r="G1317" s="10"/>
      <c r="H1317" s="10" t="s">
        <v>3547</v>
      </c>
      <c r="I1317" s="14">
        <v>80676.258896099404</v>
      </c>
      <c r="J1317" s="19">
        <v>0.56696729625490927</v>
      </c>
      <c r="K1317" s="19">
        <v>0.35499170276080677</v>
      </c>
      <c r="L1317" s="19">
        <v>7.8041000984283959E-2</v>
      </c>
      <c r="M1317" s="20">
        <v>3</v>
      </c>
      <c r="N1317" s="19">
        <v>0</v>
      </c>
      <c r="O1317" s="19">
        <v>0</v>
      </c>
      <c r="P1317" s="19">
        <v>0.35499170276080677</v>
      </c>
      <c r="Q1317" s="19">
        <v>2.5997154500196944E-2</v>
      </c>
      <c r="R1317" s="19">
        <v>4.9594630721792203E-2</v>
      </c>
      <c r="S1317" s="19">
        <v>2.4492157622948065E-3</v>
      </c>
      <c r="T1317" s="20">
        <v>30</v>
      </c>
      <c r="U1317" s="17">
        <v>2</v>
      </c>
      <c r="V1317" s="17">
        <v>34</v>
      </c>
    </row>
    <row r="1318" spans="1:22" x14ac:dyDescent="0.2">
      <c r="A1318" t="s">
        <v>3548</v>
      </c>
      <c r="B1318" t="s">
        <v>2719</v>
      </c>
      <c r="C1318" t="s">
        <v>2720</v>
      </c>
      <c r="D1318" t="s">
        <v>3549</v>
      </c>
      <c r="E1318" s="10" t="s">
        <v>3550</v>
      </c>
      <c r="F1318" s="10"/>
      <c r="G1318" s="10"/>
      <c r="H1318" s="10" t="s">
        <v>3550</v>
      </c>
      <c r="I1318" s="14">
        <v>60443.156892925501</v>
      </c>
      <c r="J1318" s="19">
        <v>0</v>
      </c>
      <c r="K1318" s="19">
        <v>0.99344048575100807</v>
      </c>
      <c r="L1318" s="19">
        <v>6.5595142489919588E-3</v>
      </c>
      <c r="M1318" s="20">
        <v>2</v>
      </c>
      <c r="N1318" s="19">
        <v>0.29577174353003527</v>
      </c>
      <c r="O1318" s="19">
        <v>0</v>
      </c>
      <c r="P1318" s="19">
        <v>0.69766874222097275</v>
      </c>
      <c r="Q1318" s="19">
        <v>0</v>
      </c>
      <c r="R1318" s="19">
        <v>5.5340552924954206E-3</v>
      </c>
      <c r="S1318" s="19">
        <v>1.0254589564965381E-3</v>
      </c>
      <c r="T1318" s="20">
        <v>21</v>
      </c>
      <c r="U1318" s="17">
        <v>2</v>
      </c>
      <c r="V1318" s="17">
        <v>34</v>
      </c>
    </row>
    <row r="1319" spans="1:22" x14ac:dyDescent="0.2">
      <c r="A1319" t="s">
        <v>3551</v>
      </c>
      <c r="B1319" t="s">
        <v>2719</v>
      </c>
      <c r="C1319" t="s">
        <v>2720</v>
      </c>
      <c r="D1319" t="s">
        <v>3549</v>
      </c>
      <c r="E1319" s="10" t="s">
        <v>3552</v>
      </c>
      <c r="F1319" s="10"/>
      <c r="G1319" s="10"/>
      <c r="H1319" s="10" t="s">
        <v>3552</v>
      </c>
      <c r="I1319" s="14">
        <v>43833.137872337364</v>
      </c>
      <c r="J1319" s="19">
        <v>6.6738555981182693E-5</v>
      </c>
      <c r="K1319" s="19">
        <v>0.96660226880350297</v>
      </c>
      <c r="L1319" s="19">
        <v>3.333099264051579E-2</v>
      </c>
      <c r="M1319" s="20">
        <v>2</v>
      </c>
      <c r="N1319" s="19">
        <v>0.37802820433770484</v>
      </c>
      <c r="O1319" s="19">
        <v>0</v>
      </c>
      <c r="P1319" s="19">
        <v>0.58857406446579819</v>
      </c>
      <c r="Q1319" s="19">
        <v>0</v>
      </c>
      <c r="R1319" s="19">
        <v>3.333099264051579E-2</v>
      </c>
      <c r="S1319" s="19">
        <v>0</v>
      </c>
      <c r="T1319" s="20">
        <v>21</v>
      </c>
      <c r="U1319" s="17">
        <v>2</v>
      </c>
      <c r="V1319" s="17">
        <v>34</v>
      </c>
    </row>
    <row r="1320" spans="1:22" x14ac:dyDescent="0.2">
      <c r="A1320" t="s">
        <v>3553</v>
      </c>
      <c r="B1320" t="s">
        <v>2719</v>
      </c>
      <c r="C1320" t="s">
        <v>2720</v>
      </c>
      <c r="D1320" t="s">
        <v>3549</v>
      </c>
      <c r="E1320" s="10" t="s">
        <v>3554</v>
      </c>
      <c r="F1320" s="10"/>
      <c r="G1320" s="10"/>
      <c r="H1320" s="10" t="s">
        <v>3554</v>
      </c>
      <c r="I1320" s="14">
        <v>723094.35513449588</v>
      </c>
      <c r="J1320" s="19">
        <v>1</v>
      </c>
      <c r="K1320" s="19">
        <v>0</v>
      </c>
      <c r="L1320" s="19">
        <v>0</v>
      </c>
      <c r="M1320" s="20">
        <v>3</v>
      </c>
      <c r="N1320" s="19">
        <v>0</v>
      </c>
      <c r="O1320" s="19">
        <v>0</v>
      </c>
      <c r="P1320" s="19">
        <v>0</v>
      </c>
      <c r="Q1320" s="19">
        <v>0</v>
      </c>
      <c r="R1320" s="19">
        <v>0</v>
      </c>
      <c r="S1320" s="19">
        <v>0</v>
      </c>
      <c r="T1320" s="20">
        <v>30</v>
      </c>
      <c r="U1320" s="17">
        <v>2</v>
      </c>
      <c r="V1320" s="17">
        <v>34</v>
      </c>
    </row>
    <row r="1321" spans="1:22" x14ac:dyDescent="0.2">
      <c r="A1321" t="s">
        <v>3555</v>
      </c>
      <c r="B1321" t="s">
        <v>2719</v>
      </c>
      <c r="C1321" t="s">
        <v>2720</v>
      </c>
      <c r="D1321" t="s">
        <v>3549</v>
      </c>
      <c r="E1321" s="10" t="s">
        <v>3556</v>
      </c>
      <c r="F1321" s="10"/>
      <c r="G1321" s="10"/>
      <c r="H1321" s="10" t="s">
        <v>3556</v>
      </c>
      <c r="I1321" s="14">
        <v>104945.74256753363</v>
      </c>
      <c r="J1321" s="19">
        <v>1</v>
      </c>
      <c r="K1321" s="19">
        <v>0</v>
      </c>
      <c r="L1321" s="19">
        <v>0</v>
      </c>
      <c r="M1321" s="20">
        <v>3</v>
      </c>
      <c r="N1321" s="19">
        <v>0</v>
      </c>
      <c r="O1321" s="19">
        <v>0</v>
      </c>
      <c r="P1321" s="19">
        <v>0</v>
      </c>
      <c r="Q1321" s="19">
        <v>0</v>
      </c>
      <c r="R1321" s="19">
        <v>0</v>
      </c>
      <c r="S1321" s="19">
        <v>0</v>
      </c>
      <c r="T1321" s="20">
        <v>30</v>
      </c>
      <c r="U1321" s="17">
        <v>2</v>
      </c>
      <c r="V1321" s="17">
        <v>34</v>
      </c>
    </row>
    <row r="1322" spans="1:22" x14ac:dyDescent="0.2">
      <c r="A1322" t="s">
        <v>3557</v>
      </c>
      <c r="B1322" t="s">
        <v>2719</v>
      </c>
      <c r="C1322" t="s">
        <v>2720</v>
      </c>
      <c r="D1322" t="s">
        <v>3549</v>
      </c>
      <c r="E1322" s="10" t="s">
        <v>3558</v>
      </c>
      <c r="F1322" s="10"/>
      <c r="G1322" s="10"/>
      <c r="H1322" s="10" t="s">
        <v>3558</v>
      </c>
      <c r="I1322" s="14">
        <v>117656.76308891037</v>
      </c>
      <c r="J1322" s="19">
        <v>0.99138645458133734</v>
      </c>
      <c r="K1322" s="19">
        <v>8.5911753898360744E-3</v>
      </c>
      <c r="L1322" s="19">
        <v>2.2370028826593291E-5</v>
      </c>
      <c r="M1322" s="20">
        <v>3</v>
      </c>
      <c r="N1322" s="19">
        <v>0</v>
      </c>
      <c r="O1322" s="19">
        <v>0</v>
      </c>
      <c r="P1322" s="19">
        <v>8.5911753898360744E-3</v>
      </c>
      <c r="Q1322" s="19">
        <v>0</v>
      </c>
      <c r="R1322" s="19">
        <v>2.5354532223091062E-7</v>
      </c>
      <c r="S1322" s="19">
        <v>2.2116483504362378E-5</v>
      </c>
      <c r="T1322" s="20">
        <v>30</v>
      </c>
      <c r="U1322" s="17">
        <v>2</v>
      </c>
      <c r="V1322" s="17">
        <v>34</v>
      </c>
    </row>
    <row r="1323" spans="1:22" x14ac:dyDescent="0.2">
      <c r="A1323" t="s">
        <v>3559</v>
      </c>
      <c r="B1323" t="s">
        <v>2719</v>
      </c>
      <c r="C1323" t="s">
        <v>2720</v>
      </c>
      <c r="D1323" t="s">
        <v>3549</v>
      </c>
      <c r="E1323" s="10" t="s">
        <v>3560</v>
      </c>
      <c r="F1323" s="10"/>
      <c r="G1323" s="10"/>
      <c r="H1323" s="10" t="s">
        <v>3560</v>
      </c>
      <c r="I1323" s="14">
        <v>587445.72885547928</v>
      </c>
      <c r="J1323" s="19">
        <v>1</v>
      </c>
      <c r="K1323" s="19">
        <v>0</v>
      </c>
      <c r="L1323" s="19">
        <v>0</v>
      </c>
      <c r="M1323" s="20">
        <v>3</v>
      </c>
      <c r="N1323" s="19">
        <v>0</v>
      </c>
      <c r="O1323" s="19">
        <v>0</v>
      </c>
      <c r="P1323" s="19">
        <v>0</v>
      </c>
      <c r="Q1323" s="19">
        <v>0</v>
      </c>
      <c r="R1323" s="19">
        <v>0</v>
      </c>
      <c r="S1323" s="19">
        <v>0</v>
      </c>
      <c r="T1323" s="20">
        <v>30</v>
      </c>
      <c r="U1323" s="17">
        <v>2</v>
      </c>
      <c r="V1323" s="17">
        <v>34</v>
      </c>
    </row>
    <row r="1324" spans="1:22" x14ac:dyDescent="0.2">
      <c r="A1324" t="s">
        <v>3561</v>
      </c>
      <c r="B1324" t="s">
        <v>2719</v>
      </c>
      <c r="C1324" t="s">
        <v>2720</v>
      </c>
      <c r="D1324" t="s">
        <v>3549</v>
      </c>
      <c r="E1324" s="10" t="s">
        <v>3562</v>
      </c>
      <c r="F1324" s="10"/>
      <c r="G1324" s="10"/>
      <c r="H1324" s="10" t="s">
        <v>3562</v>
      </c>
      <c r="I1324" s="14">
        <v>21179.353733090684</v>
      </c>
      <c r="J1324" s="19">
        <v>0</v>
      </c>
      <c r="K1324" s="19">
        <v>0.883631609666643</v>
      </c>
      <c r="L1324" s="19">
        <v>0.11636839033335701</v>
      </c>
      <c r="M1324" s="20">
        <v>2</v>
      </c>
      <c r="N1324" s="19">
        <v>0.32560732838581979</v>
      </c>
      <c r="O1324" s="19">
        <v>0</v>
      </c>
      <c r="P1324" s="19">
        <v>0.55802428128082315</v>
      </c>
      <c r="Q1324" s="19">
        <v>1.9279822349236173E-2</v>
      </c>
      <c r="R1324" s="19">
        <v>9.2813303415661116E-2</v>
      </c>
      <c r="S1324" s="19">
        <v>4.2752645684597046E-3</v>
      </c>
      <c r="T1324" s="20">
        <v>21</v>
      </c>
      <c r="U1324" s="17">
        <v>2</v>
      </c>
      <c r="V1324" s="17">
        <v>34</v>
      </c>
    </row>
    <row r="1325" spans="1:22" x14ac:dyDescent="0.2">
      <c r="A1325" t="s">
        <v>3563</v>
      </c>
      <c r="B1325" t="s">
        <v>2719</v>
      </c>
      <c r="C1325" t="s">
        <v>2720</v>
      </c>
      <c r="D1325" t="s">
        <v>3549</v>
      </c>
      <c r="E1325" s="10" t="s">
        <v>3564</v>
      </c>
      <c r="F1325" s="10"/>
      <c r="G1325" s="10"/>
      <c r="H1325" s="10" t="s">
        <v>3564</v>
      </c>
      <c r="I1325" s="14">
        <v>170240.26658086013</v>
      </c>
      <c r="J1325" s="19">
        <v>1</v>
      </c>
      <c r="K1325" s="19">
        <v>0</v>
      </c>
      <c r="L1325" s="19">
        <v>0</v>
      </c>
      <c r="M1325" s="20">
        <v>3</v>
      </c>
      <c r="N1325" s="19">
        <v>0</v>
      </c>
      <c r="O1325" s="19">
        <v>0</v>
      </c>
      <c r="P1325" s="19">
        <v>0</v>
      </c>
      <c r="Q1325" s="19">
        <v>0</v>
      </c>
      <c r="R1325" s="19">
        <v>0</v>
      </c>
      <c r="S1325" s="19">
        <v>0</v>
      </c>
      <c r="T1325" s="20">
        <v>30</v>
      </c>
      <c r="U1325" s="17">
        <v>2</v>
      </c>
      <c r="V1325" s="17">
        <v>34</v>
      </c>
    </row>
    <row r="1326" spans="1:22" x14ac:dyDescent="0.2">
      <c r="A1326" t="s">
        <v>3565</v>
      </c>
      <c r="B1326" t="s">
        <v>2719</v>
      </c>
      <c r="C1326" t="s">
        <v>2720</v>
      </c>
      <c r="D1326" t="s">
        <v>3549</v>
      </c>
      <c r="E1326" s="10" t="s">
        <v>3566</v>
      </c>
      <c r="F1326" s="10"/>
      <c r="G1326" s="10"/>
      <c r="H1326" s="10" t="s">
        <v>3566</v>
      </c>
      <c r="I1326" s="14">
        <v>257202.15698001743</v>
      </c>
      <c r="J1326" s="19">
        <v>0.92990480603645354</v>
      </c>
      <c r="K1326" s="19">
        <v>6.4741467668643193E-2</v>
      </c>
      <c r="L1326" s="19">
        <v>5.3537262949033106E-3</v>
      </c>
      <c r="M1326" s="20">
        <v>3</v>
      </c>
      <c r="N1326" s="19">
        <v>0</v>
      </c>
      <c r="O1326" s="19">
        <v>0</v>
      </c>
      <c r="P1326" s="19">
        <v>6.4741467668643193E-2</v>
      </c>
      <c r="Q1326" s="19">
        <v>0</v>
      </c>
      <c r="R1326" s="19">
        <v>5.2262091102683924E-3</v>
      </c>
      <c r="S1326" s="19">
        <v>1.2751718463491774E-4</v>
      </c>
      <c r="T1326" s="20">
        <v>30</v>
      </c>
      <c r="U1326" s="17">
        <v>2</v>
      </c>
      <c r="V1326" s="17">
        <v>34</v>
      </c>
    </row>
    <row r="1327" spans="1:22" x14ac:dyDescent="0.2">
      <c r="A1327" t="s">
        <v>3567</v>
      </c>
      <c r="B1327" t="s">
        <v>2719</v>
      </c>
      <c r="C1327" t="s">
        <v>2720</v>
      </c>
      <c r="D1327" t="s">
        <v>3549</v>
      </c>
      <c r="E1327" s="10" t="s">
        <v>3568</v>
      </c>
      <c r="F1327" s="10"/>
      <c r="G1327" s="10"/>
      <c r="H1327" s="10" t="s">
        <v>3568</v>
      </c>
      <c r="I1327" s="14">
        <v>551029.77874958329</v>
      </c>
      <c r="J1327" s="19">
        <v>1</v>
      </c>
      <c r="K1327" s="19">
        <v>0</v>
      </c>
      <c r="L1327" s="19">
        <v>0</v>
      </c>
      <c r="M1327" s="20">
        <v>3</v>
      </c>
      <c r="N1327" s="19">
        <v>0</v>
      </c>
      <c r="O1327" s="19">
        <v>0</v>
      </c>
      <c r="P1327" s="19">
        <v>0</v>
      </c>
      <c r="Q1327" s="19">
        <v>0</v>
      </c>
      <c r="R1327" s="19">
        <v>0</v>
      </c>
      <c r="S1327" s="19">
        <v>0</v>
      </c>
      <c r="T1327" s="20">
        <v>30</v>
      </c>
      <c r="U1327" s="17">
        <v>2</v>
      </c>
      <c r="V1327" s="17">
        <v>34</v>
      </c>
    </row>
    <row r="1328" spans="1:22" x14ac:dyDescent="0.2">
      <c r="A1328" t="s">
        <v>3569</v>
      </c>
      <c r="B1328" t="s">
        <v>2719</v>
      </c>
      <c r="C1328" t="s">
        <v>2720</v>
      </c>
      <c r="D1328" t="s">
        <v>3549</v>
      </c>
      <c r="E1328" s="10" t="s">
        <v>3570</v>
      </c>
      <c r="F1328" s="10"/>
      <c r="G1328" s="10"/>
      <c r="H1328" s="10" t="s">
        <v>3570</v>
      </c>
      <c r="I1328" s="14">
        <v>78032.798470663838</v>
      </c>
      <c r="J1328" s="19">
        <v>0</v>
      </c>
      <c r="K1328" s="19">
        <v>0.96520461850911421</v>
      </c>
      <c r="L1328" s="19">
        <v>3.4795381490885825E-2</v>
      </c>
      <c r="M1328" s="20">
        <v>2</v>
      </c>
      <c r="N1328" s="19">
        <v>0.33245374738605571</v>
      </c>
      <c r="O1328" s="19">
        <v>0</v>
      </c>
      <c r="P1328" s="19">
        <v>0.6327508711230585</v>
      </c>
      <c r="Q1328" s="19">
        <v>0</v>
      </c>
      <c r="R1328" s="19">
        <v>3.3466480619340745E-2</v>
      </c>
      <c r="S1328" s="19">
        <v>1.3289008715450818E-3</v>
      </c>
      <c r="T1328" s="20">
        <v>21</v>
      </c>
      <c r="U1328" s="17">
        <v>2</v>
      </c>
      <c r="V1328" s="17">
        <v>34</v>
      </c>
    </row>
    <row r="1329" spans="1:22" x14ac:dyDescent="0.2">
      <c r="A1329" t="s">
        <v>3571</v>
      </c>
      <c r="B1329" t="s">
        <v>2719</v>
      </c>
      <c r="C1329" t="s">
        <v>2720</v>
      </c>
      <c r="D1329" t="s">
        <v>3549</v>
      </c>
      <c r="E1329" s="10" t="s">
        <v>3572</v>
      </c>
      <c r="F1329" s="10"/>
      <c r="G1329" s="10"/>
      <c r="H1329" s="10" t="s">
        <v>3572</v>
      </c>
      <c r="I1329" s="14">
        <v>97005.935161765665</v>
      </c>
      <c r="J1329" s="19">
        <v>1</v>
      </c>
      <c r="K1329" s="19">
        <v>0</v>
      </c>
      <c r="L1329" s="19">
        <v>0</v>
      </c>
      <c r="M1329" s="20">
        <v>3</v>
      </c>
      <c r="N1329" s="19">
        <v>0</v>
      </c>
      <c r="O1329" s="19">
        <v>0</v>
      </c>
      <c r="P1329" s="19">
        <v>0</v>
      </c>
      <c r="Q1329" s="19">
        <v>0</v>
      </c>
      <c r="R1329" s="19">
        <v>0</v>
      </c>
      <c r="S1329" s="19">
        <v>0</v>
      </c>
      <c r="T1329" s="20">
        <v>30</v>
      </c>
      <c r="U1329" s="17">
        <v>2</v>
      </c>
      <c r="V1329" s="17">
        <v>34</v>
      </c>
    </row>
    <row r="1330" spans="1:22" x14ac:dyDescent="0.2">
      <c r="A1330" t="s">
        <v>3573</v>
      </c>
      <c r="B1330" t="s">
        <v>2719</v>
      </c>
      <c r="C1330" t="s">
        <v>2720</v>
      </c>
      <c r="D1330" t="s">
        <v>3549</v>
      </c>
      <c r="E1330" s="10" t="s">
        <v>2791</v>
      </c>
      <c r="F1330" s="10"/>
      <c r="G1330" s="10"/>
      <c r="H1330" s="10" t="s">
        <v>2791</v>
      </c>
      <c r="I1330" s="14">
        <v>29630.063114440065</v>
      </c>
      <c r="J1330" s="19">
        <v>0</v>
      </c>
      <c r="K1330" s="19">
        <v>0.87550998183524875</v>
      </c>
      <c r="L1330" s="19">
        <v>0.12449001816475136</v>
      </c>
      <c r="M1330" s="20">
        <v>2</v>
      </c>
      <c r="N1330" s="19">
        <v>0.23983741642521608</v>
      </c>
      <c r="O1330" s="19">
        <v>0</v>
      </c>
      <c r="P1330" s="19">
        <v>0.6356725654100327</v>
      </c>
      <c r="Q1330" s="19">
        <v>0</v>
      </c>
      <c r="R1330" s="19">
        <v>0.10650651508494945</v>
      </c>
      <c r="S1330" s="19">
        <v>1.7983503079801906E-2</v>
      </c>
      <c r="T1330" s="20">
        <v>21</v>
      </c>
      <c r="U1330" s="17">
        <v>2</v>
      </c>
      <c r="V1330" s="17">
        <v>34</v>
      </c>
    </row>
    <row r="1331" spans="1:22" x14ac:dyDescent="0.2">
      <c r="A1331" t="s">
        <v>3574</v>
      </c>
      <c r="B1331" t="s">
        <v>2719</v>
      </c>
      <c r="C1331" t="s">
        <v>2720</v>
      </c>
      <c r="D1331" t="s">
        <v>3549</v>
      </c>
      <c r="E1331" s="10" t="s">
        <v>3575</v>
      </c>
      <c r="F1331" s="10"/>
      <c r="G1331" s="10"/>
      <c r="H1331" s="10" t="s">
        <v>3575</v>
      </c>
      <c r="I1331" s="14">
        <v>46013.850159317721</v>
      </c>
      <c r="J1331" s="19">
        <v>0</v>
      </c>
      <c r="K1331" s="19">
        <v>0.79469201865511818</v>
      </c>
      <c r="L1331" s="19">
        <v>0.20530798134488187</v>
      </c>
      <c r="M1331" s="20">
        <v>2</v>
      </c>
      <c r="N1331" s="19">
        <v>0.53945595147233427</v>
      </c>
      <c r="O1331" s="19">
        <v>0</v>
      </c>
      <c r="P1331" s="19">
        <v>0.2552360671827838</v>
      </c>
      <c r="Q1331" s="19">
        <v>0.12913952464032485</v>
      </c>
      <c r="R1331" s="19">
        <v>6.6638565745565412E-2</v>
      </c>
      <c r="S1331" s="19">
        <v>9.5298909589915954E-3</v>
      </c>
      <c r="T1331" s="20">
        <v>23</v>
      </c>
      <c r="U1331" s="17">
        <v>2</v>
      </c>
      <c r="V1331" s="17">
        <v>34</v>
      </c>
    </row>
    <row r="1332" spans="1:22" x14ac:dyDescent="0.2">
      <c r="A1332" t="s">
        <v>3576</v>
      </c>
      <c r="B1332" t="s">
        <v>2719</v>
      </c>
      <c r="C1332" t="s">
        <v>2720</v>
      </c>
      <c r="D1332" t="s">
        <v>3549</v>
      </c>
      <c r="E1332" s="10" t="s">
        <v>3577</v>
      </c>
      <c r="F1332" s="10"/>
      <c r="G1332" s="10"/>
      <c r="H1332" s="10" t="s">
        <v>3577</v>
      </c>
      <c r="I1332" s="14">
        <v>37690.882924653823</v>
      </c>
      <c r="J1332" s="19">
        <v>0</v>
      </c>
      <c r="K1332" s="19">
        <v>0.99588919634824402</v>
      </c>
      <c r="L1332" s="19">
        <v>4.1108036517559831E-3</v>
      </c>
      <c r="M1332" s="20">
        <v>2</v>
      </c>
      <c r="N1332" s="19">
        <v>0.66526081372376789</v>
      </c>
      <c r="O1332" s="19">
        <v>0</v>
      </c>
      <c r="P1332" s="19">
        <v>0.33062838262447619</v>
      </c>
      <c r="Q1332" s="19">
        <v>0</v>
      </c>
      <c r="R1332" s="19">
        <v>4.1108036517559831E-3</v>
      </c>
      <c r="S1332" s="19">
        <v>0</v>
      </c>
      <c r="T1332" s="20">
        <v>23</v>
      </c>
      <c r="U1332" s="17">
        <v>2</v>
      </c>
      <c r="V1332" s="17">
        <v>34</v>
      </c>
    </row>
    <row r="1333" spans="1:22" x14ac:dyDescent="0.2">
      <c r="A1333" t="s">
        <v>3578</v>
      </c>
      <c r="B1333" t="s">
        <v>2719</v>
      </c>
      <c r="C1333" t="s">
        <v>2720</v>
      </c>
      <c r="D1333" t="s">
        <v>3549</v>
      </c>
      <c r="E1333" s="10" t="s">
        <v>3579</v>
      </c>
      <c r="F1333" s="10"/>
      <c r="G1333" s="10"/>
      <c r="H1333" s="10" t="s">
        <v>3579</v>
      </c>
      <c r="I1333" s="14">
        <v>108192.31722667953</v>
      </c>
      <c r="J1333" s="19">
        <v>0.71616139179359717</v>
      </c>
      <c r="K1333" s="19">
        <v>0.25620275289607303</v>
      </c>
      <c r="L1333" s="19">
        <v>2.7635855310329811E-2</v>
      </c>
      <c r="M1333" s="20">
        <v>3</v>
      </c>
      <c r="N1333" s="19">
        <v>1.8452768618988685E-2</v>
      </c>
      <c r="O1333" s="19">
        <v>0</v>
      </c>
      <c r="P1333" s="19">
        <v>0.23774998427708435</v>
      </c>
      <c r="Q1333" s="19">
        <v>0</v>
      </c>
      <c r="R1333" s="19">
        <v>2.5918522197141518E-2</v>
      </c>
      <c r="S1333" s="19">
        <v>1.717333113188292E-3</v>
      </c>
      <c r="T1333" s="20">
        <v>30</v>
      </c>
      <c r="U1333" s="17">
        <v>2</v>
      </c>
      <c r="V1333" s="17">
        <v>34</v>
      </c>
    </row>
    <row r="1334" spans="1:22" x14ac:dyDescent="0.2">
      <c r="A1334" t="s">
        <v>3580</v>
      </c>
      <c r="B1334" t="s">
        <v>2719</v>
      </c>
      <c r="C1334" t="s">
        <v>2720</v>
      </c>
      <c r="D1334" t="s">
        <v>3549</v>
      </c>
      <c r="E1334" s="10" t="s">
        <v>3581</v>
      </c>
      <c r="F1334" s="10"/>
      <c r="G1334" s="10"/>
      <c r="H1334" s="10" t="s">
        <v>3581</v>
      </c>
      <c r="I1334" s="14">
        <v>54697.535837845877</v>
      </c>
      <c r="J1334" s="19">
        <v>1</v>
      </c>
      <c r="K1334" s="19">
        <v>0</v>
      </c>
      <c r="L1334" s="19">
        <v>0</v>
      </c>
      <c r="M1334" s="20">
        <v>3</v>
      </c>
      <c r="N1334" s="19">
        <v>0</v>
      </c>
      <c r="O1334" s="19">
        <v>0</v>
      </c>
      <c r="P1334" s="19">
        <v>0</v>
      </c>
      <c r="Q1334" s="19">
        <v>0</v>
      </c>
      <c r="R1334" s="19">
        <v>0</v>
      </c>
      <c r="S1334" s="19">
        <v>0</v>
      </c>
      <c r="T1334" s="20">
        <v>30</v>
      </c>
      <c r="U1334" s="17">
        <v>2</v>
      </c>
      <c r="V1334" s="17">
        <v>34</v>
      </c>
    </row>
    <row r="1335" spans="1:22" x14ac:dyDescent="0.2">
      <c r="A1335" t="s">
        <v>3582</v>
      </c>
      <c r="B1335" t="s">
        <v>2719</v>
      </c>
      <c r="C1335" t="s">
        <v>2720</v>
      </c>
      <c r="D1335" t="s">
        <v>3549</v>
      </c>
      <c r="E1335" s="10" t="s">
        <v>2815</v>
      </c>
      <c r="F1335" s="10"/>
      <c r="G1335" s="10"/>
      <c r="H1335" s="10" t="s">
        <v>2815</v>
      </c>
      <c r="I1335" s="14">
        <v>105877.12866688147</v>
      </c>
      <c r="J1335" s="19">
        <v>1</v>
      </c>
      <c r="K1335" s="19">
        <v>0</v>
      </c>
      <c r="L1335" s="19">
        <v>0</v>
      </c>
      <c r="M1335" s="20">
        <v>3</v>
      </c>
      <c r="N1335" s="19">
        <v>0</v>
      </c>
      <c r="O1335" s="19">
        <v>0</v>
      </c>
      <c r="P1335" s="19">
        <v>0</v>
      </c>
      <c r="Q1335" s="19">
        <v>0</v>
      </c>
      <c r="R1335" s="19">
        <v>0</v>
      </c>
      <c r="S1335" s="19">
        <v>0</v>
      </c>
      <c r="T1335" s="20">
        <v>30</v>
      </c>
      <c r="U1335" s="17">
        <v>2</v>
      </c>
      <c r="V1335" s="17">
        <v>34</v>
      </c>
    </row>
    <row r="1336" spans="1:22" x14ac:dyDescent="0.2">
      <c r="A1336" t="s">
        <v>3583</v>
      </c>
      <c r="B1336" t="s">
        <v>2719</v>
      </c>
      <c r="C1336" t="s">
        <v>2720</v>
      </c>
      <c r="D1336" t="s">
        <v>3549</v>
      </c>
      <c r="E1336" s="10" t="s">
        <v>3584</v>
      </c>
      <c r="F1336" s="10"/>
      <c r="G1336" s="10"/>
      <c r="H1336" s="10" t="s">
        <v>3584</v>
      </c>
      <c r="I1336" s="14">
        <v>281666.2051788033</v>
      </c>
      <c r="J1336" s="19">
        <v>0.58388922203936577</v>
      </c>
      <c r="K1336" s="19">
        <v>0.40008701728113338</v>
      </c>
      <c r="L1336" s="19">
        <v>1.6023760679500829E-2</v>
      </c>
      <c r="M1336" s="20">
        <v>3</v>
      </c>
      <c r="N1336" s="19">
        <v>0.13696975027853256</v>
      </c>
      <c r="O1336" s="19">
        <v>0</v>
      </c>
      <c r="P1336" s="19">
        <v>0.2631172670026008</v>
      </c>
      <c r="Q1336" s="19">
        <v>0</v>
      </c>
      <c r="R1336" s="19">
        <v>1.5641804139597128E-2</v>
      </c>
      <c r="S1336" s="19">
        <v>3.81956539903698E-4</v>
      </c>
      <c r="T1336" s="20">
        <v>30</v>
      </c>
      <c r="U1336" s="17">
        <v>2</v>
      </c>
      <c r="V1336" s="17">
        <v>34</v>
      </c>
    </row>
    <row r="1337" spans="1:22" x14ac:dyDescent="0.2">
      <c r="A1337" t="s">
        <v>3585</v>
      </c>
      <c r="B1337" t="s">
        <v>2719</v>
      </c>
      <c r="C1337" t="s">
        <v>2720</v>
      </c>
      <c r="D1337" t="s">
        <v>3549</v>
      </c>
      <c r="E1337" s="10" t="s">
        <v>3586</v>
      </c>
      <c r="F1337" s="10"/>
      <c r="G1337" s="10"/>
      <c r="H1337" s="10" t="s">
        <v>3586</v>
      </c>
      <c r="I1337" s="14">
        <v>76865.894529501209</v>
      </c>
      <c r="J1337" s="19">
        <v>0</v>
      </c>
      <c r="K1337" s="19">
        <v>0.98417946438600046</v>
      </c>
      <c r="L1337" s="19">
        <v>1.5820535613999563E-2</v>
      </c>
      <c r="M1337" s="20">
        <v>2</v>
      </c>
      <c r="N1337" s="19">
        <v>0.63097981171106698</v>
      </c>
      <c r="O1337" s="19">
        <v>0</v>
      </c>
      <c r="P1337" s="19">
        <v>0.35319965267493342</v>
      </c>
      <c r="Q1337" s="19">
        <v>0</v>
      </c>
      <c r="R1337" s="19">
        <v>1.5318799090508588E-2</v>
      </c>
      <c r="S1337" s="19">
        <v>5.017365234909739E-4</v>
      </c>
      <c r="T1337" s="20">
        <v>23</v>
      </c>
      <c r="U1337" s="17">
        <v>2</v>
      </c>
      <c r="V1337" s="17">
        <v>34</v>
      </c>
    </row>
    <row r="1338" spans="1:22" x14ac:dyDescent="0.2">
      <c r="A1338" t="s">
        <v>3587</v>
      </c>
      <c r="B1338" t="s">
        <v>2719</v>
      </c>
      <c r="C1338" t="s">
        <v>2720</v>
      </c>
      <c r="D1338" t="s">
        <v>3549</v>
      </c>
      <c r="E1338" s="10" t="s">
        <v>3588</v>
      </c>
      <c r="F1338" s="10"/>
      <c r="G1338" s="10"/>
      <c r="H1338" s="10" t="s">
        <v>3588</v>
      </c>
      <c r="I1338" s="14">
        <v>256924.99823546919</v>
      </c>
      <c r="J1338" s="19">
        <v>0.96868906390132958</v>
      </c>
      <c r="K1338" s="19">
        <v>2.6578584435582413E-2</v>
      </c>
      <c r="L1338" s="19">
        <v>4.7323516630880802E-3</v>
      </c>
      <c r="M1338" s="20">
        <v>3</v>
      </c>
      <c r="N1338" s="19">
        <v>0</v>
      </c>
      <c r="O1338" s="19">
        <v>0</v>
      </c>
      <c r="P1338" s="19">
        <v>2.6578584435582413E-2</v>
      </c>
      <c r="Q1338" s="19">
        <v>0</v>
      </c>
      <c r="R1338" s="19">
        <v>4.279034328319449E-3</v>
      </c>
      <c r="S1338" s="19">
        <v>4.5331733476863166E-4</v>
      </c>
      <c r="T1338" s="20">
        <v>30</v>
      </c>
      <c r="U1338" s="17">
        <v>2</v>
      </c>
      <c r="V1338" s="17">
        <v>34</v>
      </c>
    </row>
    <row r="1339" spans="1:22" x14ac:dyDescent="0.2">
      <c r="A1339" t="s">
        <v>3589</v>
      </c>
      <c r="B1339" t="s">
        <v>2719</v>
      </c>
      <c r="C1339" t="s">
        <v>2720</v>
      </c>
      <c r="D1339" t="s">
        <v>3549</v>
      </c>
      <c r="E1339" s="10" t="s">
        <v>1407</v>
      </c>
      <c r="F1339" s="10"/>
      <c r="G1339" s="10"/>
      <c r="H1339" s="10" t="s">
        <v>1407</v>
      </c>
      <c r="I1339" s="14">
        <v>21674.93663845817</v>
      </c>
      <c r="J1339" s="19">
        <v>2.6473046838619077E-3</v>
      </c>
      <c r="K1339" s="19">
        <v>0.95439527578009709</v>
      </c>
      <c r="L1339" s="19">
        <v>4.2957419536040861E-2</v>
      </c>
      <c r="M1339" s="20">
        <v>2</v>
      </c>
      <c r="N1339" s="19">
        <v>0.70063270581848425</v>
      </c>
      <c r="O1339" s="19">
        <v>0</v>
      </c>
      <c r="P1339" s="19">
        <v>0.25376256996161284</v>
      </c>
      <c r="Q1339" s="19">
        <v>0</v>
      </c>
      <c r="R1339" s="19">
        <v>3.623552867662317E-2</v>
      </c>
      <c r="S1339" s="19">
        <v>6.7218908594176858E-3</v>
      </c>
      <c r="T1339" s="20">
        <v>23</v>
      </c>
      <c r="U1339" s="17">
        <v>2</v>
      </c>
      <c r="V1339" s="17">
        <v>34</v>
      </c>
    </row>
    <row r="1340" spans="1:22" x14ac:dyDescent="0.2">
      <c r="A1340" t="s">
        <v>3590</v>
      </c>
      <c r="B1340" t="s">
        <v>2719</v>
      </c>
      <c r="C1340" t="s">
        <v>2720</v>
      </c>
      <c r="D1340" t="s">
        <v>3549</v>
      </c>
      <c r="E1340" s="10" t="s">
        <v>3591</v>
      </c>
      <c r="F1340" s="10"/>
      <c r="G1340" s="10"/>
      <c r="H1340" s="10" t="s">
        <v>3591</v>
      </c>
      <c r="I1340" s="14">
        <v>150757.4467347227</v>
      </c>
      <c r="J1340" s="19">
        <v>0.91018861760812653</v>
      </c>
      <c r="K1340" s="19">
        <v>8.7834960080965641E-2</v>
      </c>
      <c r="L1340" s="19">
        <v>1.9764223109078275E-3</v>
      </c>
      <c r="M1340" s="20">
        <v>3</v>
      </c>
      <c r="N1340" s="19">
        <v>0</v>
      </c>
      <c r="O1340" s="19">
        <v>0</v>
      </c>
      <c r="P1340" s="19">
        <v>8.7834960080965641E-2</v>
      </c>
      <c r="Q1340" s="19">
        <v>0</v>
      </c>
      <c r="R1340" s="19">
        <v>1.7359567741404638E-3</v>
      </c>
      <c r="S1340" s="19">
        <v>2.4046553676736372E-4</v>
      </c>
      <c r="T1340" s="20">
        <v>30</v>
      </c>
      <c r="U1340" s="17">
        <v>2</v>
      </c>
      <c r="V1340" s="17">
        <v>34</v>
      </c>
    </row>
    <row r="1341" spans="1:22" x14ac:dyDescent="0.2">
      <c r="A1341" t="s">
        <v>3592</v>
      </c>
      <c r="B1341" t="s">
        <v>2719</v>
      </c>
      <c r="C1341" t="s">
        <v>2720</v>
      </c>
      <c r="D1341" t="s">
        <v>3593</v>
      </c>
      <c r="E1341" s="10" t="s">
        <v>3594</v>
      </c>
      <c r="F1341" s="10"/>
      <c r="G1341" s="10"/>
      <c r="H1341" s="10" t="s">
        <v>3594</v>
      </c>
      <c r="I1341" s="14">
        <v>17134.889765722677</v>
      </c>
      <c r="J1341" s="19">
        <v>0</v>
      </c>
      <c r="K1341" s="19">
        <v>0.73597797506246743</v>
      </c>
      <c r="L1341" s="19">
        <v>0.26402202493753268</v>
      </c>
      <c r="M1341" s="20">
        <v>2</v>
      </c>
      <c r="N1341" s="19">
        <v>0.49189419977661075</v>
      </c>
      <c r="O1341" s="19">
        <v>0</v>
      </c>
      <c r="P1341" s="19">
        <v>0.24408377528585659</v>
      </c>
      <c r="Q1341" s="19">
        <v>3.1330208175456925E-2</v>
      </c>
      <c r="R1341" s="19">
        <v>0.23166953784520355</v>
      </c>
      <c r="S1341" s="19">
        <v>1.0222789168721394E-3</v>
      </c>
      <c r="T1341" s="20">
        <v>23</v>
      </c>
      <c r="U1341" s="17">
        <v>2</v>
      </c>
      <c r="V1341" s="17">
        <v>34</v>
      </c>
    </row>
    <row r="1342" spans="1:22" x14ac:dyDescent="0.2">
      <c r="A1342" t="s">
        <v>3595</v>
      </c>
      <c r="B1342" t="s">
        <v>2719</v>
      </c>
      <c r="C1342" t="s">
        <v>2720</v>
      </c>
      <c r="D1342" t="s">
        <v>3593</v>
      </c>
      <c r="E1342" s="10" t="s">
        <v>3596</v>
      </c>
      <c r="F1342" s="10"/>
      <c r="G1342" s="10"/>
      <c r="H1342" s="10" t="s">
        <v>3596</v>
      </c>
      <c r="I1342" s="14">
        <v>17907.269959313795</v>
      </c>
      <c r="J1342" s="19">
        <v>0</v>
      </c>
      <c r="K1342" s="19">
        <v>0.77377539763122782</v>
      </c>
      <c r="L1342" s="19">
        <v>0.22622460236877212</v>
      </c>
      <c r="M1342" s="20">
        <v>2</v>
      </c>
      <c r="N1342" s="19">
        <v>0.13020586225211542</v>
      </c>
      <c r="O1342" s="19">
        <v>0.14324972737740699</v>
      </c>
      <c r="P1342" s="19">
        <v>0.5003198080017055</v>
      </c>
      <c r="Q1342" s="19">
        <v>8.6865281919891214E-3</v>
      </c>
      <c r="R1342" s="19">
        <v>0.20205900750026198</v>
      </c>
      <c r="S1342" s="19">
        <v>1.5479066676521026E-2</v>
      </c>
      <c r="T1342" s="20">
        <v>21</v>
      </c>
      <c r="U1342" s="17">
        <v>2</v>
      </c>
      <c r="V1342" s="17">
        <v>34</v>
      </c>
    </row>
    <row r="1343" spans="1:22" x14ac:dyDescent="0.2">
      <c r="A1343" t="s">
        <v>3597</v>
      </c>
      <c r="B1343" t="s">
        <v>2719</v>
      </c>
      <c r="C1343" t="s">
        <v>2720</v>
      </c>
      <c r="D1343" t="s">
        <v>3593</v>
      </c>
      <c r="E1343" s="10" t="s">
        <v>3598</v>
      </c>
      <c r="F1343" s="10"/>
      <c r="G1343" s="10"/>
      <c r="H1343" s="10" t="s">
        <v>3598</v>
      </c>
      <c r="I1343" s="14">
        <v>27037.86038908083</v>
      </c>
      <c r="J1343" s="19">
        <v>0</v>
      </c>
      <c r="K1343" s="19">
        <v>0.59410864426118692</v>
      </c>
      <c r="L1343" s="19">
        <v>0.40589135573881308</v>
      </c>
      <c r="M1343" s="20">
        <v>2</v>
      </c>
      <c r="N1343" s="19">
        <v>0</v>
      </c>
      <c r="O1343" s="19">
        <v>9.2071214038522295E-2</v>
      </c>
      <c r="P1343" s="19">
        <v>0.50203743022266456</v>
      </c>
      <c r="Q1343" s="19">
        <v>0.1342903481720219</v>
      </c>
      <c r="R1343" s="19">
        <v>0.25513137478655867</v>
      </c>
      <c r="S1343" s="19">
        <v>1.6469632780232512E-2</v>
      </c>
      <c r="T1343" s="20">
        <v>21</v>
      </c>
      <c r="U1343" s="17">
        <v>2</v>
      </c>
      <c r="V1343" s="17">
        <v>34</v>
      </c>
    </row>
    <row r="1344" spans="1:22" x14ac:dyDescent="0.2">
      <c r="A1344" t="s">
        <v>3599</v>
      </c>
      <c r="B1344" t="s">
        <v>2719</v>
      </c>
      <c r="C1344" t="s">
        <v>2720</v>
      </c>
      <c r="D1344" t="s">
        <v>3593</v>
      </c>
      <c r="E1344" s="10" t="s">
        <v>3600</v>
      </c>
      <c r="F1344" s="10"/>
      <c r="G1344" s="10"/>
      <c r="H1344" s="10" t="s">
        <v>3600</v>
      </c>
      <c r="I1344" s="14">
        <v>35356.500165075064</v>
      </c>
      <c r="J1344" s="19">
        <v>0</v>
      </c>
      <c r="K1344" s="19">
        <v>0.87714429859693377</v>
      </c>
      <c r="L1344" s="19">
        <v>0.12285570140306629</v>
      </c>
      <c r="M1344" s="20">
        <v>2</v>
      </c>
      <c r="N1344" s="19">
        <v>0.2932794358160431</v>
      </c>
      <c r="O1344" s="19">
        <v>0</v>
      </c>
      <c r="P1344" s="19">
        <v>0.58386486278089056</v>
      </c>
      <c r="Q1344" s="19">
        <v>0</v>
      </c>
      <c r="R1344" s="19">
        <v>0.11951200679955278</v>
      </c>
      <c r="S1344" s="19">
        <v>3.3436946035135082E-3</v>
      </c>
      <c r="T1344" s="20">
        <v>21</v>
      </c>
      <c r="U1344" s="17">
        <v>2</v>
      </c>
      <c r="V1344" s="17">
        <v>34</v>
      </c>
    </row>
    <row r="1345" spans="1:22" x14ac:dyDescent="0.2">
      <c r="A1345" t="s">
        <v>3601</v>
      </c>
      <c r="B1345" t="s">
        <v>2719</v>
      </c>
      <c r="C1345" t="s">
        <v>2720</v>
      </c>
      <c r="D1345" t="s">
        <v>3593</v>
      </c>
      <c r="E1345" s="10" t="s">
        <v>3602</v>
      </c>
      <c r="F1345" s="10"/>
      <c r="G1345" s="10"/>
      <c r="H1345" s="10" t="s">
        <v>3602</v>
      </c>
      <c r="I1345" s="14">
        <v>94421.621137582697</v>
      </c>
      <c r="J1345" s="19">
        <v>0</v>
      </c>
      <c r="K1345" s="19">
        <v>0.79194967622992152</v>
      </c>
      <c r="L1345" s="19">
        <v>0.20805032377007848</v>
      </c>
      <c r="M1345" s="20">
        <v>2</v>
      </c>
      <c r="N1345" s="19">
        <v>0.29672020254006576</v>
      </c>
      <c r="O1345" s="19">
        <v>7.6243258525188609E-2</v>
      </c>
      <c r="P1345" s="19">
        <v>0.41898621516466711</v>
      </c>
      <c r="Q1345" s="19">
        <v>6.8312323683101708E-2</v>
      </c>
      <c r="R1345" s="19">
        <v>0.13176898628517075</v>
      </c>
      <c r="S1345" s="19">
        <v>7.9690138018060092E-3</v>
      </c>
      <c r="T1345" s="20">
        <v>23</v>
      </c>
      <c r="U1345" s="17">
        <v>2</v>
      </c>
      <c r="V1345" s="17">
        <v>34</v>
      </c>
    </row>
    <row r="1346" spans="1:22" x14ac:dyDescent="0.2">
      <c r="A1346" t="s">
        <v>3603</v>
      </c>
      <c r="B1346" t="s">
        <v>2719</v>
      </c>
      <c r="C1346" t="s">
        <v>2720</v>
      </c>
      <c r="D1346" t="s">
        <v>3593</v>
      </c>
      <c r="E1346" s="10" t="s">
        <v>3604</v>
      </c>
      <c r="F1346" s="10"/>
      <c r="G1346" s="10"/>
      <c r="H1346" s="10" t="s">
        <v>3604</v>
      </c>
      <c r="I1346" s="14">
        <v>58601.915597121231</v>
      </c>
      <c r="J1346" s="19">
        <v>0</v>
      </c>
      <c r="K1346" s="19">
        <v>0.69101425614377998</v>
      </c>
      <c r="L1346" s="19">
        <v>0.30898574385621996</v>
      </c>
      <c r="M1346" s="20">
        <v>2</v>
      </c>
      <c r="N1346" s="19">
        <v>0.39517117441135508</v>
      </c>
      <c r="O1346" s="19">
        <v>0</v>
      </c>
      <c r="P1346" s="19">
        <v>0.29584308173242496</v>
      </c>
      <c r="Q1346" s="19">
        <v>0.12254973662838156</v>
      </c>
      <c r="R1346" s="19">
        <v>0.16602790374631432</v>
      </c>
      <c r="S1346" s="19">
        <v>2.0408103481524095E-2</v>
      </c>
      <c r="T1346" s="20">
        <v>23</v>
      </c>
      <c r="U1346" s="17">
        <v>2</v>
      </c>
      <c r="V1346" s="17">
        <v>34</v>
      </c>
    </row>
    <row r="1347" spans="1:22" x14ac:dyDescent="0.2">
      <c r="A1347" t="s">
        <v>3605</v>
      </c>
      <c r="B1347" t="s">
        <v>2719</v>
      </c>
      <c r="C1347" t="s">
        <v>2720</v>
      </c>
      <c r="D1347" t="s">
        <v>3593</v>
      </c>
      <c r="E1347" s="10" t="s">
        <v>3606</v>
      </c>
      <c r="F1347" s="10"/>
      <c r="G1347" s="10"/>
      <c r="H1347" s="10" t="s">
        <v>3606</v>
      </c>
      <c r="I1347" s="14">
        <v>48040.612062469118</v>
      </c>
      <c r="J1347" s="19">
        <v>0</v>
      </c>
      <c r="K1347" s="19">
        <v>0.88557595787758814</v>
      </c>
      <c r="L1347" s="19">
        <v>0.11442404212241203</v>
      </c>
      <c r="M1347" s="20">
        <v>2</v>
      </c>
      <c r="N1347" s="19">
        <v>0.38275177661303744</v>
      </c>
      <c r="O1347" s="19">
        <v>0</v>
      </c>
      <c r="P1347" s="19">
        <v>0.50282418126455064</v>
      </c>
      <c r="Q1347" s="19">
        <v>1.3188351519044426E-3</v>
      </c>
      <c r="R1347" s="19">
        <v>0.11046273703575724</v>
      </c>
      <c r="S1347" s="19">
        <v>2.6424699347503467E-3</v>
      </c>
      <c r="T1347" s="20">
        <v>21</v>
      </c>
      <c r="U1347" s="17">
        <v>2</v>
      </c>
      <c r="V1347" s="17">
        <v>34</v>
      </c>
    </row>
    <row r="1348" spans="1:22" x14ac:dyDescent="0.2">
      <c r="A1348" t="s">
        <v>3607</v>
      </c>
      <c r="B1348" t="s">
        <v>2719</v>
      </c>
      <c r="C1348" t="s">
        <v>2720</v>
      </c>
      <c r="D1348" t="s">
        <v>3593</v>
      </c>
      <c r="E1348" s="10" t="s">
        <v>3608</v>
      </c>
      <c r="F1348" s="10"/>
      <c r="G1348" s="10"/>
      <c r="H1348" s="10" t="s">
        <v>3608</v>
      </c>
      <c r="I1348" s="14">
        <v>90756.795311575755</v>
      </c>
      <c r="J1348" s="19">
        <v>0.15170822067805315</v>
      </c>
      <c r="K1348" s="19">
        <v>0.63051673204597558</v>
      </c>
      <c r="L1348" s="19">
        <v>0.21777504727597133</v>
      </c>
      <c r="M1348" s="20">
        <v>2</v>
      </c>
      <c r="N1348" s="19">
        <v>0.37800659834770828</v>
      </c>
      <c r="O1348" s="19">
        <v>5.143498624232537E-2</v>
      </c>
      <c r="P1348" s="19">
        <v>0.20107514745594185</v>
      </c>
      <c r="Q1348" s="19">
        <v>9.4380400273019402E-2</v>
      </c>
      <c r="R1348" s="19">
        <v>0.11515291963022349</v>
      </c>
      <c r="S1348" s="19">
        <v>8.2417273727284426E-3</v>
      </c>
      <c r="T1348" s="20">
        <v>23</v>
      </c>
      <c r="U1348" s="17">
        <v>2</v>
      </c>
      <c r="V1348" s="17">
        <v>34</v>
      </c>
    </row>
    <row r="1349" spans="1:22" x14ac:dyDescent="0.2">
      <c r="A1349" t="s">
        <v>3609</v>
      </c>
      <c r="B1349" t="s">
        <v>2719</v>
      </c>
      <c r="C1349" t="s">
        <v>2720</v>
      </c>
      <c r="D1349" t="s">
        <v>3593</v>
      </c>
      <c r="E1349" s="10" t="s">
        <v>3610</v>
      </c>
      <c r="F1349" s="10"/>
      <c r="G1349" s="10"/>
      <c r="H1349" s="10" t="s">
        <v>3610</v>
      </c>
      <c r="I1349" s="14">
        <v>91275.460410970729</v>
      </c>
      <c r="J1349" s="19">
        <v>0</v>
      </c>
      <c r="K1349" s="19">
        <v>0.94225297762738891</v>
      </c>
      <c r="L1349" s="19">
        <v>5.7747022372611111E-2</v>
      </c>
      <c r="M1349" s="20">
        <v>2</v>
      </c>
      <c r="N1349" s="19">
        <v>0.36986244765187593</v>
      </c>
      <c r="O1349" s="19">
        <v>0.11746996323699203</v>
      </c>
      <c r="P1349" s="19">
        <v>0.45492056673852088</v>
      </c>
      <c r="Q1349" s="19">
        <v>3.4509410421333715E-2</v>
      </c>
      <c r="R1349" s="19">
        <v>2.2310951408176734E-2</v>
      </c>
      <c r="S1349" s="19">
        <v>9.2666054310066301E-4</v>
      </c>
      <c r="T1349" s="20">
        <v>23</v>
      </c>
      <c r="U1349" s="17">
        <v>2</v>
      </c>
      <c r="V1349" s="17">
        <v>34</v>
      </c>
    </row>
    <row r="1350" spans="1:22" x14ac:dyDescent="0.2">
      <c r="A1350" t="s">
        <v>3611</v>
      </c>
      <c r="B1350" t="s">
        <v>2719</v>
      </c>
      <c r="C1350" t="s">
        <v>2720</v>
      </c>
      <c r="D1350" t="s">
        <v>3593</v>
      </c>
      <c r="E1350" s="10" t="s">
        <v>3612</v>
      </c>
      <c r="F1350" s="10"/>
      <c r="G1350" s="10"/>
      <c r="H1350" s="10" t="s">
        <v>3612</v>
      </c>
      <c r="I1350" s="14">
        <v>86477.550830652937</v>
      </c>
      <c r="J1350" s="19">
        <v>0</v>
      </c>
      <c r="K1350" s="19">
        <v>0.93292941951822828</v>
      </c>
      <c r="L1350" s="19">
        <v>6.7070580481771711E-2</v>
      </c>
      <c r="M1350" s="20">
        <v>2</v>
      </c>
      <c r="N1350" s="19">
        <v>0.25120080772023684</v>
      </c>
      <c r="O1350" s="19">
        <v>0</v>
      </c>
      <c r="P1350" s="19">
        <v>0.68172861179799149</v>
      </c>
      <c r="Q1350" s="19">
        <v>0</v>
      </c>
      <c r="R1350" s="19">
        <v>6.3648792854953951E-2</v>
      </c>
      <c r="S1350" s="19">
        <v>3.4217876268177638E-3</v>
      </c>
      <c r="T1350" s="20">
        <v>21</v>
      </c>
      <c r="U1350" s="17">
        <v>2</v>
      </c>
      <c r="V1350" s="17">
        <v>34</v>
      </c>
    </row>
    <row r="1351" spans="1:22" x14ac:dyDescent="0.2">
      <c r="A1351" t="s">
        <v>3613</v>
      </c>
      <c r="B1351" t="s">
        <v>2719</v>
      </c>
      <c r="C1351" t="s">
        <v>2720</v>
      </c>
      <c r="D1351" t="s">
        <v>3593</v>
      </c>
      <c r="E1351" s="10" t="s">
        <v>3614</v>
      </c>
      <c r="F1351" s="10"/>
      <c r="G1351" s="10"/>
      <c r="H1351" s="10" t="s">
        <v>3614</v>
      </c>
      <c r="I1351" s="14">
        <v>85022.811713921838</v>
      </c>
      <c r="J1351" s="19">
        <v>0</v>
      </c>
      <c r="K1351" s="19">
        <v>0.95990152797660233</v>
      </c>
      <c r="L1351" s="19">
        <v>4.0098472023397697E-2</v>
      </c>
      <c r="M1351" s="20">
        <v>2</v>
      </c>
      <c r="N1351" s="19">
        <v>0.41335208388256406</v>
      </c>
      <c r="O1351" s="19">
        <v>0</v>
      </c>
      <c r="P1351" s="19">
        <v>0.54654944409403827</v>
      </c>
      <c r="Q1351" s="19">
        <v>0</v>
      </c>
      <c r="R1351" s="19">
        <v>4.0098472023397697E-2</v>
      </c>
      <c r="S1351" s="19">
        <v>0</v>
      </c>
      <c r="T1351" s="20">
        <v>21</v>
      </c>
      <c r="U1351" s="17">
        <v>2</v>
      </c>
      <c r="V1351" s="17">
        <v>34</v>
      </c>
    </row>
    <row r="1352" spans="1:22" x14ac:dyDescent="0.2">
      <c r="A1352" t="s">
        <v>3615</v>
      </c>
      <c r="B1352" t="s">
        <v>2719</v>
      </c>
      <c r="C1352" t="s">
        <v>2720</v>
      </c>
      <c r="D1352" t="s">
        <v>3593</v>
      </c>
      <c r="E1352" s="10" t="s">
        <v>3616</v>
      </c>
      <c r="F1352" s="10"/>
      <c r="G1352" s="10"/>
      <c r="H1352" s="10" t="s">
        <v>3616</v>
      </c>
      <c r="I1352" s="14">
        <v>17839.042816150934</v>
      </c>
      <c r="J1352" s="19">
        <v>0</v>
      </c>
      <c r="K1352" s="19">
        <v>0.66133494410006022</v>
      </c>
      <c r="L1352" s="19">
        <v>0.33866505589993978</v>
      </c>
      <c r="M1352" s="20">
        <v>2</v>
      </c>
      <c r="N1352" s="19">
        <v>0.27578348394546431</v>
      </c>
      <c r="O1352" s="19">
        <v>0</v>
      </c>
      <c r="P1352" s="19">
        <v>0.3855514601545959</v>
      </c>
      <c r="Q1352" s="19">
        <v>5.1233453673245027E-2</v>
      </c>
      <c r="R1352" s="19">
        <v>0.26428143258761733</v>
      </c>
      <c r="S1352" s="19">
        <v>2.3150169639077404E-2</v>
      </c>
      <c r="T1352" s="20">
        <v>23</v>
      </c>
      <c r="U1352" s="17">
        <v>2</v>
      </c>
      <c r="V1352" s="17">
        <v>34</v>
      </c>
    </row>
    <row r="1353" spans="1:22" x14ac:dyDescent="0.2">
      <c r="A1353" t="s">
        <v>3617</v>
      </c>
      <c r="B1353" t="s">
        <v>2719</v>
      </c>
      <c r="C1353" t="s">
        <v>2720</v>
      </c>
      <c r="D1353" t="s">
        <v>3593</v>
      </c>
      <c r="E1353" s="10" t="s">
        <v>3618</v>
      </c>
      <c r="F1353" s="10"/>
      <c r="G1353" s="10"/>
      <c r="H1353" s="10" t="s">
        <v>3618</v>
      </c>
      <c r="I1353" s="14">
        <v>37393.576790450141</v>
      </c>
      <c r="J1353" s="19">
        <v>0</v>
      </c>
      <c r="K1353" s="19">
        <v>0.7839915993133908</v>
      </c>
      <c r="L1353" s="19">
        <v>0.21600840068660923</v>
      </c>
      <c r="M1353" s="20">
        <v>2</v>
      </c>
      <c r="N1353" s="19">
        <v>0.15726959872978188</v>
      </c>
      <c r="O1353" s="19">
        <v>0</v>
      </c>
      <c r="P1353" s="19">
        <v>0.62672200058360894</v>
      </c>
      <c r="Q1353" s="19">
        <v>1.4392357018113464E-2</v>
      </c>
      <c r="R1353" s="19">
        <v>0.19282184074780881</v>
      </c>
      <c r="S1353" s="19">
        <v>8.794202920686894E-3</v>
      </c>
      <c r="T1353" s="20">
        <v>21</v>
      </c>
      <c r="U1353" s="17">
        <v>2</v>
      </c>
      <c r="V1353" s="17">
        <v>34</v>
      </c>
    </row>
    <row r="1354" spans="1:22" x14ac:dyDescent="0.2">
      <c r="A1354" t="s">
        <v>3619</v>
      </c>
      <c r="B1354" t="s">
        <v>2719</v>
      </c>
      <c r="C1354" t="s">
        <v>2720</v>
      </c>
      <c r="D1354" t="s">
        <v>3593</v>
      </c>
      <c r="E1354" s="10" t="s">
        <v>3620</v>
      </c>
      <c r="F1354" s="10"/>
      <c r="G1354" s="10"/>
      <c r="H1354" s="10" t="s">
        <v>3620</v>
      </c>
      <c r="I1354" s="14">
        <v>139096.35262612253</v>
      </c>
      <c r="J1354" s="19">
        <v>0.63662130861377852</v>
      </c>
      <c r="K1354" s="19">
        <v>0.35218315152247193</v>
      </c>
      <c r="L1354" s="19">
        <v>1.1195539863749713E-2</v>
      </c>
      <c r="M1354" s="20">
        <v>3</v>
      </c>
      <c r="N1354" s="19">
        <v>4.3640509520444702E-2</v>
      </c>
      <c r="O1354" s="19">
        <v>0</v>
      </c>
      <c r="P1354" s="19">
        <v>0.30854264200202719</v>
      </c>
      <c r="Q1354" s="19">
        <v>0</v>
      </c>
      <c r="R1354" s="19">
        <v>1.1129912665435003E-2</v>
      </c>
      <c r="S1354" s="19">
        <v>6.5627198314712796E-5</v>
      </c>
      <c r="T1354" s="20">
        <v>30</v>
      </c>
      <c r="U1354" s="17">
        <v>2</v>
      </c>
      <c r="V1354" s="17">
        <v>34</v>
      </c>
    </row>
    <row r="1355" spans="1:22" x14ac:dyDescent="0.2">
      <c r="A1355" t="s">
        <v>3621</v>
      </c>
      <c r="B1355" t="s">
        <v>2719</v>
      </c>
      <c r="C1355" t="s">
        <v>2720</v>
      </c>
      <c r="D1355" t="s">
        <v>3593</v>
      </c>
      <c r="E1355" s="10" t="s">
        <v>2783</v>
      </c>
      <c r="F1355" s="10"/>
      <c r="G1355" s="10"/>
      <c r="H1355" s="10" t="s">
        <v>2783</v>
      </c>
      <c r="I1355" s="14">
        <v>58603.425719167106</v>
      </c>
      <c r="J1355" s="19">
        <v>4.0916432172341075E-2</v>
      </c>
      <c r="K1355" s="19">
        <v>0.93418213004412665</v>
      </c>
      <c r="L1355" s="19">
        <v>2.4901437783532206E-2</v>
      </c>
      <c r="M1355" s="20">
        <v>2</v>
      </c>
      <c r="N1355" s="19">
        <v>0.55222447257066665</v>
      </c>
      <c r="O1355" s="19">
        <v>0</v>
      </c>
      <c r="P1355" s="19">
        <v>0.38195765747346011</v>
      </c>
      <c r="Q1355" s="19">
        <v>0</v>
      </c>
      <c r="R1355" s="19">
        <v>2.3755788142799453E-2</v>
      </c>
      <c r="S1355" s="19">
        <v>1.1456496407327552E-3</v>
      </c>
      <c r="T1355" s="20">
        <v>23</v>
      </c>
      <c r="U1355" s="17">
        <v>2</v>
      </c>
      <c r="V1355" s="17">
        <v>34</v>
      </c>
    </row>
    <row r="1356" spans="1:22" x14ac:dyDescent="0.2">
      <c r="A1356" t="s">
        <v>3622</v>
      </c>
      <c r="B1356" t="s">
        <v>2719</v>
      </c>
      <c r="C1356" t="s">
        <v>2720</v>
      </c>
      <c r="D1356" t="s">
        <v>3593</v>
      </c>
      <c r="E1356" s="10" t="s">
        <v>3623</v>
      </c>
      <c r="F1356" s="10"/>
      <c r="G1356" s="10"/>
      <c r="H1356" s="10" t="s">
        <v>3623</v>
      </c>
      <c r="I1356" s="14">
        <v>34503.155752666295</v>
      </c>
      <c r="J1356" s="19">
        <v>0</v>
      </c>
      <c r="K1356" s="19">
        <v>0.70740043612090686</v>
      </c>
      <c r="L1356" s="19">
        <v>0.29259956387909314</v>
      </c>
      <c r="M1356" s="20">
        <v>2</v>
      </c>
      <c r="N1356" s="19">
        <v>0.33404065449982046</v>
      </c>
      <c r="O1356" s="19">
        <v>0</v>
      </c>
      <c r="P1356" s="19">
        <v>0.37335978162108646</v>
      </c>
      <c r="Q1356" s="19">
        <v>0.15480295184116427</v>
      </c>
      <c r="R1356" s="19">
        <v>0.12852598880539645</v>
      </c>
      <c r="S1356" s="19">
        <v>9.270623232532367E-3</v>
      </c>
      <c r="T1356" s="20">
        <v>23</v>
      </c>
      <c r="U1356" s="17">
        <v>2</v>
      </c>
      <c r="V1356" s="17">
        <v>34</v>
      </c>
    </row>
    <row r="1357" spans="1:22" x14ac:dyDescent="0.2">
      <c r="A1357" t="s">
        <v>3624</v>
      </c>
      <c r="B1357" t="s">
        <v>2719</v>
      </c>
      <c r="C1357" t="s">
        <v>2720</v>
      </c>
      <c r="D1357" t="s">
        <v>3593</v>
      </c>
      <c r="E1357" s="10" t="s">
        <v>3625</v>
      </c>
      <c r="F1357" s="10"/>
      <c r="G1357" s="10"/>
      <c r="H1357" s="10" t="s">
        <v>3625</v>
      </c>
      <c r="I1357" s="14">
        <v>1034345.7006167164</v>
      </c>
      <c r="J1357" s="19">
        <v>0.92184862403400236</v>
      </c>
      <c r="K1357" s="19">
        <v>6.62286926057995E-2</v>
      </c>
      <c r="L1357" s="19">
        <v>1.1922683360198088E-2</v>
      </c>
      <c r="M1357" s="20">
        <v>3</v>
      </c>
      <c r="N1357" s="19">
        <v>5.1645255814836082E-5</v>
      </c>
      <c r="O1357" s="19">
        <v>9.17310722064015E-3</v>
      </c>
      <c r="P1357" s="19">
        <v>5.7003940129344517E-2</v>
      </c>
      <c r="Q1357" s="19">
        <v>1.5936036488586347E-3</v>
      </c>
      <c r="R1357" s="19">
        <v>9.7554963044248384E-3</v>
      </c>
      <c r="S1357" s="19">
        <v>5.7358340691461085E-4</v>
      </c>
      <c r="T1357" s="20">
        <v>30</v>
      </c>
      <c r="U1357" s="17">
        <v>2</v>
      </c>
      <c r="V1357" s="17">
        <v>34</v>
      </c>
    </row>
    <row r="1358" spans="1:22" x14ac:dyDescent="0.2">
      <c r="A1358" t="s">
        <v>3626</v>
      </c>
      <c r="B1358" t="s">
        <v>2719</v>
      </c>
      <c r="C1358" t="s">
        <v>2720</v>
      </c>
      <c r="D1358" t="s">
        <v>3593</v>
      </c>
      <c r="E1358" s="10" t="s">
        <v>3627</v>
      </c>
      <c r="F1358" s="10"/>
      <c r="G1358" s="10"/>
      <c r="H1358" s="10" t="s">
        <v>3627</v>
      </c>
      <c r="I1358" s="14">
        <v>56328.221292056143</v>
      </c>
      <c r="J1358" s="19">
        <v>0.62479277577989634</v>
      </c>
      <c r="K1358" s="19">
        <v>0.32596683580901076</v>
      </c>
      <c r="L1358" s="19">
        <v>4.9240388411092934E-2</v>
      </c>
      <c r="M1358" s="20">
        <v>3</v>
      </c>
      <c r="N1358" s="19">
        <v>0</v>
      </c>
      <c r="O1358" s="19">
        <v>0</v>
      </c>
      <c r="P1358" s="19">
        <v>0.32596683580901076</v>
      </c>
      <c r="Q1358" s="19">
        <v>1.174836400556591E-2</v>
      </c>
      <c r="R1358" s="19">
        <v>3.7114634989926135E-2</v>
      </c>
      <c r="S1358" s="19">
        <v>3.7738941560090178E-4</v>
      </c>
      <c r="T1358" s="20">
        <v>30</v>
      </c>
      <c r="U1358" s="17">
        <v>2</v>
      </c>
      <c r="V1358" s="17">
        <v>34</v>
      </c>
    </row>
    <row r="1359" spans="1:22" x14ac:dyDescent="0.2">
      <c r="A1359" t="s">
        <v>3628</v>
      </c>
      <c r="B1359" t="s">
        <v>2719</v>
      </c>
      <c r="C1359" t="s">
        <v>2720</v>
      </c>
      <c r="D1359" t="s">
        <v>3593</v>
      </c>
      <c r="E1359" s="10" t="s">
        <v>3629</v>
      </c>
      <c r="F1359" s="10"/>
      <c r="G1359" s="10"/>
      <c r="H1359" s="10" t="s">
        <v>3629</v>
      </c>
      <c r="I1359" s="14">
        <v>157686.8262344962</v>
      </c>
      <c r="J1359" s="19">
        <v>0.90013390281152639</v>
      </c>
      <c r="K1359" s="19">
        <v>9.9836855284671955E-2</v>
      </c>
      <c r="L1359" s="19">
        <v>2.9241903801671568E-5</v>
      </c>
      <c r="M1359" s="20">
        <v>3</v>
      </c>
      <c r="N1359" s="19">
        <v>0</v>
      </c>
      <c r="O1359" s="19">
        <v>0</v>
      </c>
      <c r="P1359" s="19">
        <v>9.9836855284671955E-2</v>
      </c>
      <c r="Q1359" s="19">
        <v>0</v>
      </c>
      <c r="R1359" s="19">
        <v>0</v>
      </c>
      <c r="S1359" s="19">
        <v>2.9241903801671572E-5</v>
      </c>
      <c r="T1359" s="20">
        <v>30</v>
      </c>
      <c r="U1359" s="17">
        <v>2</v>
      </c>
      <c r="V1359" s="17">
        <v>34</v>
      </c>
    </row>
    <row r="1360" spans="1:22" x14ac:dyDescent="0.2">
      <c r="A1360" t="s">
        <v>3630</v>
      </c>
      <c r="B1360" t="s">
        <v>2719</v>
      </c>
      <c r="C1360" t="s">
        <v>2720</v>
      </c>
      <c r="D1360" t="s">
        <v>3593</v>
      </c>
      <c r="E1360" s="10" t="s">
        <v>3631</v>
      </c>
      <c r="F1360" s="10"/>
      <c r="G1360" s="10"/>
      <c r="H1360" s="10" t="s">
        <v>3631</v>
      </c>
      <c r="I1360" s="14">
        <v>67591.133228050545</v>
      </c>
      <c r="J1360" s="19">
        <v>0.97453466928266574</v>
      </c>
      <c r="K1360" s="19">
        <v>0</v>
      </c>
      <c r="L1360" s="19">
        <v>2.5465330717334221E-2</v>
      </c>
      <c r="M1360" s="20">
        <v>3</v>
      </c>
      <c r="N1360" s="19">
        <v>0</v>
      </c>
      <c r="O1360" s="19">
        <v>0</v>
      </c>
      <c r="P1360" s="19">
        <v>0</v>
      </c>
      <c r="Q1360" s="19">
        <v>2.5465330717334221E-2</v>
      </c>
      <c r="R1360" s="19">
        <v>0</v>
      </c>
      <c r="S1360" s="19">
        <v>0</v>
      </c>
      <c r="T1360" s="20">
        <v>30</v>
      </c>
      <c r="U1360" s="17">
        <v>2</v>
      </c>
      <c r="V1360" s="17">
        <v>34</v>
      </c>
    </row>
    <row r="1361" spans="1:22" x14ac:dyDescent="0.2">
      <c r="A1361" t="s">
        <v>3632</v>
      </c>
      <c r="B1361" t="s">
        <v>2719</v>
      </c>
      <c r="C1361" t="s">
        <v>2720</v>
      </c>
      <c r="D1361" t="s">
        <v>3593</v>
      </c>
      <c r="E1361" s="10" t="s">
        <v>3633</v>
      </c>
      <c r="F1361" s="10"/>
      <c r="G1361" s="10"/>
      <c r="H1361" s="10" t="s">
        <v>3633</v>
      </c>
      <c r="I1361" s="14">
        <v>91583.128056535497</v>
      </c>
      <c r="J1361" s="19">
        <v>0</v>
      </c>
      <c r="K1361" s="19">
        <v>0.92615974575226179</v>
      </c>
      <c r="L1361" s="19">
        <v>7.3840254247738255E-2</v>
      </c>
      <c r="M1361" s="20">
        <v>2</v>
      </c>
      <c r="N1361" s="19">
        <v>0.38650967999126157</v>
      </c>
      <c r="O1361" s="19">
        <v>5.9118336041170713E-2</v>
      </c>
      <c r="P1361" s="19">
        <v>0.48053172971982944</v>
      </c>
      <c r="Q1361" s="19">
        <v>3.10898343712535E-2</v>
      </c>
      <c r="R1361" s="19">
        <v>4.2299419729094512E-2</v>
      </c>
      <c r="S1361" s="19">
        <v>4.5100014739024228E-4</v>
      </c>
      <c r="T1361" s="20">
        <v>23</v>
      </c>
      <c r="U1361" s="17">
        <v>2</v>
      </c>
      <c r="V1361" s="17">
        <v>34</v>
      </c>
    </row>
    <row r="1362" spans="1:22" x14ac:dyDescent="0.2">
      <c r="A1362" t="s">
        <v>3634</v>
      </c>
      <c r="B1362" t="s">
        <v>2719</v>
      </c>
      <c r="C1362" t="s">
        <v>2720</v>
      </c>
      <c r="D1362" t="s">
        <v>3593</v>
      </c>
      <c r="E1362" s="10" t="s">
        <v>3635</v>
      </c>
      <c r="F1362" s="10"/>
      <c r="G1362" s="10"/>
      <c r="H1362" s="10" t="s">
        <v>3635</v>
      </c>
      <c r="I1362" s="14">
        <v>78372.011209425516</v>
      </c>
      <c r="J1362" s="19">
        <v>0</v>
      </c>
      <c r="K1362" s="19">
        <v>0.91461790422474487</v>
      </c>
      <c r="L1362" s="19">
        <v>8.5382095775255157E-2</v>
      </c>
      <c r="M1362" s="20">
        <v>2</v>
      </c>
      <c r="N1362" s="19">
        <v>0.30808347975052452</v>
      </c>
      <c r="O1362" s="19">
        <v>0</v>
      </c>
      <c r="P1362" s="19">
        <v>0.60653442447422035</v>
      </c>
      <c r="Q1362" s="19">
        <v>0</v>
      </c>
      <c r="R1362" s="19">
        <v>8.2082482698014686E-2</v>
      </c>
      <c r="S1362" s="19">
        <v>3.2996130772404773E-3</v>
      </c>
      <c r="T1362" s="20">
        <v>21</v>
      </c>
      <c r="U1362" s="17">
        <v>2</v>
      </c>
      <c r="V1362" s="17">
        <v>34</v>
      </c>
    </row>
    <row r="1363" spans="1:22" x14ac:dyDescent="0.2">
      <c r="A1363" t="s">
        <v>3636</v>
      </c>
      <c r="B1363" t="s">
        <v>2719</v>
      </c>
      <c r="C1363" t="s">
        <v>2720</v>
      </c>
      <c r="D1363" t="s">
        <v>3593</v>
      </c>
      <c r="E1363" s="10" t="s">
        <v>3637</v>
      </c>
      <c r="F1363" s="10"/>
      <c r="G1363" s="10"/>
      <c r="H1363" s="10" t="s">
        <v>3637</v>
      </c>
      <c r="I1363" s="14">
        <v>157197.04049552698</v>
      </c>
      <c r="J1363" s="19">
        <v>0.67376239042066988</v>
      </c>
      <c r="K1363" s="19">
        <v>0.28693824327893119</v>
      </c>
      <c r="L1363" s="19">
        <v>3.9299366300398889E-2</v>
      </c>
      <c r="M1363" s="20">
        <v>3</v>
      </c>
      <c r="N1363" s="19">
        <v>3.3048315720228032E-2</v>
      </c>
      <c r="O1363" s="19">
        <v>0</v>
      </c>
      <c r="P1363" s="19">
        <v>0.25388992755870315</v>
      </c>
      <c r="Q1363" s="19">
        <v>0</v>
      </c>
      <c r="R1363" s="19">
        <v>3.6951550459375614E-2</v>
      </c>
      <c r="S1363" s="19">
        <v>2.3478158410232767E-3</v>
      </c>
      <c r="T1363" s="20">
        <v>30</v>
      </c>
      <c r="U1363" s="17">
        <v>2</v>
      </c>
      <c r="V1363" s="17">
        <v>34</v>
      </c>
    </row>
    <row r="1364" spans="1:22" x14ac:dyDescent="0.2">
      <c r="A1364" t="s">
        <v>3638</v>
      </c>
      <c r="B1364" t="s">
        <v>2719</v>
      </c>
      <c r="C1364" t="s">
        <v>2720</v>
      </c>
      <c r="D1364" t="s">
        <v>3593</v>
      </c>
      <c r="E1364" s="10" t="s">
        <v>3639</v>
      </c>
      <c r="F1364" s="10"/>
      <c r="G1364" s="10"/>
      <c r="H1364" s="10" t="s">
        <v>3639</v>
      </c>
      <c r="I1364" s="14">
        <v>34.014921054244041</v>
      </c>
      <c r="J1364" s="19">
        <v>0</v>
      </c>
      <c r="K1364" s="19">
        <v>1</v>
      </c>
      <c r="L1364" s="19">
        <v>0</v>
      </c>
      <c r="M1364" s="20">
        <v>2</v>
      </c>
      <c r="N1364" s="19">
        <v>0</v>
      </c>
      <c r="O1364" s="19">
        <v>0</v>
      </c>
      <c r="P1364" s="19">
        <v>1</v>
      </c>
      <c r="Q1364" s="19">
        <v>0</v>
      </c>
      <c r="R1364" s="19">
        <v>0</v>
      </c>
      <c r="S1364" s="19">
        <v>0</v>
      </c>
      <c r="T1364" s="20">
        <v>21</v>
      </c>
      <c r="U1364" s="17">
        <v>2</v>
      </c>
      <c r="V1364" s="17">
        <v>34</v>
      </c>
    </row>
    <row r="1365" spans="1:22" x14ac:dyDescent="0.2">
      <c r="A1365" t="s">
        <v>3640</v>
      </c>
      <c r="B1365" t="s">
        <v>2719</v>
      </c>
      <c r="C1365" t="s">
        <v>2720</v>
      </c>
      <c r="D1365" t="s">
        <v>3593</v>
      </c>
      <c r="E1365" s="10" t="s">
        <v>3641</v>
      </c>
      <c r="F1365" s="10"/>
      <c r="G1365" s="10"/>
      <c r="H1365" s="10" t="s">
        <v>3641</v>
      </c>
      <c r="I1365" s="14">
        <v>59207.023861601949</v>
      </c>
      <c r="J1365" s="19">
        <v>0</v>
      </c>
      <c r="K1365" s="19">
        <v>0.94105088540648407</v>
      </c>
      <c r="L1365" s="19">
        <v>5.8949114593516094E-2</v>
      </c>
      <c r="M1365" s="20">
        <v>2</v>
      </c>
      <c r="N1365" s="19">
        <v>0.37544929266272214</v>
      </c>
      <c r="O1365" s="19">
        <v>0</v>
      </c>
      <c r="P1365" s="19">
        <v>0.56560159274376176</v>
      </c>
      <c r="Q1365" s="19">
        <v>0</v>
      </c>
      <c r="R1365" s="19">
        <v>5.7460186054738294E-2</v>
      </c>
      <c r="S1365" s="19">
        <v>1.4889285387777913E-3</v>
      </c>
      <c r="T1365" s="20">
        <v>21</v>
      </c>
      <c r="U1365" s="17">
        <v>2</v>
      </c>
      <c r="V1365" s="17">
        <v>34</v>
      </c>
    </row>
    <row r="1366" spans="1:22" x14ac:dyDescent="0.2">
      <c r="A1366" t="s">
        <v>3642</v>
      </c>
      <c r="B1366" t="s">
        <v>2719</v>
      </c>
      <c r="C1366" t="s">
        <v>2720</v>
      </c>
      <c r="D1366" t="s">
        <v>3593</v>
      </c>
      <c r="E1366" s="10" t="s">
        <v>3643</v>
      </c>
      <c r="F1366" s="10"/>
      <c r="G1366" s="10"/>
      <c r="H1366" s="10" t="s">
        <v>3643</v>
      </c>
      <c r="I1366" s="14">
        <v>20448.436045713723</v>
      </c>
      <c r="J1366" s="19">
        <v>0</v>
      </c>
      <c r="K1366" s="19">
        <v>0.84741522548481452</v>
      </c>
      <c r="L1366" s="19">
        <v>0.15258477451518548</v>
      </c>
      <c r="M1366" s="20">
        <v>2</v>
      </c>
      <c r="N1366" s="19">
        <v>0.40218968596910132</v>
      </c>
      <c r="O1366" s="19">
        <v>9.6701222455011795E-2</v>
      </c>
      <c r="P1366" s="19">
        <v>0.34852431706070142</v>
      </c>
      <c r="Q1366" s="19">
        <v>1.7698504124673234E-2</v>
      </c>
      <c r="R1366" s="19">
        <v>0.1339961568948132</v>
      </c>
      <c r="S1366" s="19">
        <v>8.9011349569902902E-4</v>
      </c>
      <c r="T1366" s="20">
        <v>23</v>
      </c>
      <c r="U1366" s="17">
        <v>2</v>
      </c>
      <c r="V1366" s="17">
        <v>34</v>
      </c>
    </row>
    <row r="1367" spans="1:22" x14ac:dyDescent="0.2">
      <c r="A1367" t="s">
        <v>3644</v>
      </c>
      <c r="B1367" t="s">
        <v>2719</v>
      </c>
      <c r="C1367" t="s">
        <v>2720</v>
      </c>
      <c r="D1367" t="s">
        <v>3593</v>
      </c>
      <c r="E1367" s="10" t="s">
        <v>3645</v>
      </c>
      <c r="F1367" s="10"/>
      <c r="G1367" s="10"/>
      <c r="H1367" s="10" t="s">
        <v>3645</v>
      </c>
      <c r="I1367" s="14">
        <v>487717.00610497734</v>
      </c>
      <c r="J1367" s="19">
        <v>0.91823621085843798</v>
      </c>
      <c r="K1367" s="19">
        <v>7.5894351328556819E-2</v>
      </c>
      <c r="L1367" s="19">
        <v>5.8694378130052481E-3</v>
      </c>
      <c r="M1367" s="20">
        <v>3</v>
      </c>
      <c r="N1367" s="19">
        <v>7.5246750335722867E-2</v>
      </c>
      <c r="O1367" s="19">
        <v>0</v>
      </c>
      <c r="P1367" s="19">
        <v>6.476009928339571E-4</v>
      </c>
      <c r="Q1367" s="19">
        <v>5.8278892351622293E-3</v>
      </c>
      <c r="R1367" s="19">
        <v>4.1548577843019205E-5</v>
      </c>
      <c r="S1367" s="19">
        <v>0</v>
      </c>
      <c r="T1367" s="20">
        <v>30</v>
      </c>
      <c r="U1367" s="17">
        <v>2</v>
      </c>
      <c r="V1367" s="17">
        <v>34</v>
      </c>
    </row>
    <row r="1368" spans="1:22" x14ac:dyDescent="0.2">
      <c r="A1368" t="s">
        <v>3646</v>
      </c>
      <c r="B1368" t="s">
        <v>2719</v>
      </c>
      <c r="C1368" t="s">
        <v>2720</v>
      </c>
      <c r="D1368" t="s">
        <v>3593</v>
      </c>
      <c r="E1368" s="10" t="s">
        <v>3647</v>
      </c>
      <c r="F1368" s="10"/>
      <c r="G1368" s="10"/>
      <c r="H1368" s="10" t="s">
        <v>3647</v>
      </c>
      <c r="I1368" s="14">
        <v>132703.547021484</v>
      </c>
      <c r="J1368" s="19">
        <v>0.87452015598948563</v>
      </c>
      <c r="K1368" s="19">
        <v>0.10815232362431243</v>
      </c>
      <c r="L1368" s="19">
        <v>1.7327520386201903E-2</v>
      </c>
      <c r="M1368" s="20">
        <v>3</v>
      </c>
      <c r="N1368" s="19">
        <v>0</v>
      </c>
      <c r="O1368" s="19">
        <v>0</v>
      </c>
      <c r="P1368" s="19">
        <v>0.10815232362431243</v>
      </c>
      <c r="Q1368" s="19">
        <v>0</v>
      </c>
      <c r="R1368" s="19">
        <v>1.6998374077127634E-2</v>
      </c>
      <c r="S1368" s="19">
        <v>3.2914630907426834E-4</v>
      </c>
      <c r="T1368" s="20">
        <v>30</v>
      </c>
      <c r="U1368" s="17">
        <v>2</v>
      </c>
      <c r="V1368" s="17">
        <v>34</v>
      </c>
    </row>
    <row r="1369" spans="1:22" x14ac:dyDescent="0.2">
      <c r="A1369" t="s">
        <v>3648</v>
      </c>
      <c r="B1369" t="s">
        <v>2719</v>
      </c>
      <c r="C1369" t="s">
        <v>2720</v>
      </c>
      <c r="D1369" t="s">
        <v>3593</v>
      </c>
      <c r="E1369" s="10" t="s">
        <v>3649</v>
      </c>
      <c r="F1369" s="10"/>
      <c r="G1369" s="10"/>
      <c r="H1369" s="10" t="s">
        <v>3649</v>
      </c>
      <c r="I1369" s="14">
        <v>47616.70245058462</v>
      </c>
      <c r="J1369" s="19">
        <v>0</v>
      </c>
      <c r="K1369" s="19">
        <v>0.99050840531264139</v>
      </c>
      <c r="L1369" s="19">
        <v>9.4915946873586066E-3</v>
      </c>
      <c r="M1369" s="20">
        <v>2</v>
      </c>
      <c r="N1369" s="19">
        <v>0.80942085156426657</v>
      </c>
      <c r="O1369" s="19">
        <v>0</v>
      </c>
      <c r="P1369" s="19">
        <v>0.18108755374837485</v>
      </c>
      <c r="Q1369" s="19">
        <v>0</v>
      </c>
      <c r="R1369" s="19">
        <v>9.4915946873586066E-3</v>
      </c>
      <c r="S1369" s="19">
        <v>0</v>
      </c>
      <c r="T1369" s="20">
        <v>23</v>
      </c>
      <c r="U1369" s="17">
        <v>2</v>
      </c>
      <c r="V1369" s="17">
        <v>34</v>
      </c>
    </row>
    <row r="1370" spans="1:22" x14ac:dyDescent="0.2">
      <c r="A1370" t="s">
        <v>3650</v>
      </c>
      <c r="B1370" t="s">
        <v>2719</v>
      </c>
      <c r="C1370" t="s">
        <v>2720</v>
      </c>
      <c r="D1370" t="s">
        <v>3593</v>
      </c>
      <c r="E1370" s="10" t="s">
        <v>3651</v>
      </c>
      <c r="F1370" s="10"/>
      <c r="G1370" s="10"/>
      <c r="H1370" s="10" t="s">
        <v>3651</v>
      </c>
      <c r="I1370" s="14">
        <v>22126.530670329928</v>
      </c>
      <c r="J1370" s="19">
        <v>0</v>
      </c>
      <c r="K1370" s="19">
        <v>0.35804996707082748</v>
      </c>
      <c r="L1370" s="19">
        <v>0.64195003292917252</v>
      </c>
      <c r="M1370" s="20">
        <v>1</v>
      </c>
      <c r="N1370" s="19">
        <v>0</v>
      </c>
      <c r="O1370" s="19">
        <v>0.33990313760607926</v>
      </c>
      <c r="P1370" s="19">
        <v>1.814682946474824E-2</v>
      </c>
      <c r="Q1370" s="19">
        <v>0.43773669842047852</v>
      </c>
      <c r="R1370" s="19">
        <v>0.18912701723069497</v>
      </c>
      <c r="S1370" s="19">
        <v>1.5086317277999027E-2</v>
      </c>
      <c r="T1370" s="20">
        <v>13</v>
      </c>
      <c r="U1370" s="17">
        <v>2</v>
      </c>
      <c r="V1370" s="17">
        <v>34</v>
      </c>
    </row>
    <row r="1371" spans="1:22" x14ac:dyDescent="0.2">
      <c r="A1371" t="s">
        <v>3652</v>
      </c>
      <c r="B1371" t="s">
        <v>2719</v>
      </c>
      <c r="C1371" t="s">
        <v>2720</v>
      </c>
      <c r="D1371" t="s">
        <v>3593</v>
      </c>
      <c r="E1371" s="10" t="s">
        <v>3653</v>
      </c>
      <c r="F1371" s="10"/>
      <c r="G1371" s="10"/>
      <c r="H1371" s="10" t="s">
        <v>3653</v>
      </c>
      <c r="I1371" s="14">
        <v>384078.70724336198</v>
      </c>
      <c r="J1371" s="19">
        <v>1</v>
      </c>
      <c r="K1371" s="19">
        <v>0</v>
      </c>
      <c r="L1371" s="19">
        <v>0</v>
      </c>
      <c r="M1371" s="20">
        <v>3</v>
      </c>
      <c r="N1371" s="19">
        <v>0</v>
      </c>
      <c r="O1371" s="19">
        <v>0</v>
      </c>
      <c r="P1371" s="19">
        <v>0</v>
      </c>
      <c r="Q1371" s="19">
        <v>0</v>
      </c>
      <c r="R1371" s="19">
        <v>0</v>
      </c>
      <c r="S1371" s="19">
        <v>0</v>
      </c>
      <c r="T1371" s="20">
        <v>30</v>
      </c>
      <c r="U1371" s="17">
        <v>2</v>
      </c>
      <c r="V1371" s="17">
        <v>34</v>
      </c>
    </row>
    <row r="1372" spans="1:22" x14ac:dyDescent="0.2">
      <c r="A1372" t="s">
        <v>3654</v>
      </c>
      <c r="B1372" t="s">
        <v>2719</v>
      </c>
      <c r="C1372" t="s">
        <v>2720</v>
      </c>
      <c r="D1372" t="s">
        <v>3593</v>
      </c>
      <c r="E1372" s="10" t="s">
        <v>3655</v>
      </c>
      <c r="F1372" s="10"/>
      <c r="G1372" s="10"/>
      <c r="H1372" s="10" t="s">
        <v>3655</v>
      </c>
      <c r="I1372" s="14">
        <v>67827.4366491111</v>
      </c>
      <c r="J1372" s="19">
        <v>0</v>
      </c>
      <c r="K1372" s="19">
        <v>0.96182338696493119</v>
      </c>
      <c r="L1372" s="19">
        <v>3.817661303506889E-2</v>
      </c>
      <c r="M1372" s="20">
        <v>2</v>
      </c>
      <c r="N1372" s="19">
        <v>0.36142845043087118</v>
      </c>
      <c r="O1372" s="19">
        <v>0</v>
      </c>
      <c r="P1372" s="19">
        <v>0.60039493653405995</v>
      </c>
      <c r="Q1372" s="19">
        <v>0</v>
      </c>
      <c r="R1372" s="19">
        <v>3.6733212415941185E-2</v>
      </c>
      <c r="S1372" s="19">
        <v>1.443400619127701E-3</v>
      </c>
      <c r="T1372" s="20">
        <v>21</v>
      </c>
      <c r="U1372" s="17">
        <v>2</v>
      </c>
      <c r="V1372" s="17">
        <v>34</v>
      </c>
    </row>
    <row r="1373" spans="1:22" x14ac:dyDescent="0.2">
      <c r="A1373" t="s">
        <v>3656</v>
      </c>
      <c r="B1373" t="s">
        <v>2719</v>
      </c>
      <c r="C1373" t="s">
        <v>2720</v>
      </c>
      <c r="D1373" t="s">
        <v>3593</v>
      </c>
      <c r="E1373" s="10" t="s">
        <v>3657</v>
      </c>
      <c r="F1373" s="10"/>
      <c r="G1373" s="10"/>
      <c r="H1373" s="10" t="s">
        <v>3657</v>
      </c>
      <c r="I1373" s="14">
        <v>153206.22283015773</v>
      </c>
      <c r="J1373" s="19">
        <v>0.92917275329487237</v>
      </c>
      <c r="K1373" s="19">
        <v>5.7140820711316119E-2</v>
      </c>
      <c r="L1373" s="19">
        <v>1.3686425993811485E-2</v>
      </c>
      <c r="M1373" s="20">
        <v>3</v>
      </c>
      <c r="N1373" s="19">
        <v>0</v>
      </c>
      <c r="O1373" s="19">
        <v>0</v>
      </c>
      <c r="P1373" s="19">
        <v>5.7140820711316119E-2</v>
      </c>
      <c r="Q1373" s="19">
        <v>4.7296371680671618E-3</v>
      </c>
      <c r="R1373" s="19">
        <v>7.9446520799503779E-3</v>
      </c>
      <c r="S1373" s="19">
        <v>1.0121367457939432E-3</v>
      </c>
      <c r="T1373" s="20">
        <v>30</v>
      </c>
      <c r="U1373" s="17">
        <v>2</v>
      </c>
      <c r="V1373" s="17">
        <v>34</v>
      </c>
    </row>
    <row r="1374" spans="1:22" x14ac:dyDescent="0.2">
      <c r="A1374" t="s">
        <v>3658</v>
      </c>
      <c r="B1374" t="s">
        <v>2719</v>
      </c>
      <c r="C1374" t="s">
        <v>2720</v>
      </c>
      <c r="D1374" t="s">
        <v>3593</v>
      </c>
      <c r="E1374" s="10" t="s">
        <v>3659</v>
      </c>
      <c r="F1374" s="10"/>
      <c r="G1374" s="10"/>
      <c r="H1374" s="10" t="s">
        <v>3659</v>
      </c>
      <c r="I1374" s="14">
        <v>33739.446795590222</v>
      </c>
      <c r="J1374" s="19">
        <v>0</v>
      </c>
      <c r="K1374" s="19">
        <v>0.8192664927923744</v>
      </c>
      <c r="L1374" s="19">
        <v>0.18073350720762563</v>
      </c>
      <c r="M1374" s="20">
        <v>2</v>
      </c>
      <c r="N1374" s="19">
        <v>0.38761748515986272</v>
      </c>
      <c r="O1374" s="19">
        <v>0</v>
      </c>
      <c r="P1374" s="19">
        <v>0.43164900763251168</v>
      </c>
      <c r="Q1374" s="19">
        <v>2.3789636544906067E-3</v>
      </c>
      <c r="R1374" s="19">
        <v>0.17303874256155047</v>
      </c>
      <c r="S1374" s="19">
        <v>5.3158009915845678E-3</v>
      </c>
      <c r="T1374" s="20">
        <v>23</v>
      </c>
      <c r="U1374" s="17">
        <v>2</v>
      </c>
      <c r="V1374" s="17">
        <v>34</v>
      </c>
    </row>
    <row r="1375" spans="1:22" x14ac:dyDescent="0.2">
      <c r="A1375" t="s">
        <v>3660</v>
      </c>
      <c r="B1375" t="s">
        <v>2719</v>
      </c>
      <c r="C1375" t="s">
        <v>2720</v>
      </c>
      <c r="D1375" t="s">
        <v>3593</v>
      </c>
      <c r="E1375" s="10" t="s">
        <v>3459</v>
      </c>
      <c r="F1375" s="10"/>
      <c r="G1375" s="10"/>
      <c r="H1375" s="10" t="s">
        <v>3459</v>
      </c>
      <c r="I1375" s="14">
        <v>130685.0729181706</v>
      </c>
      <c r="J1375" s="19">
        <v>0.60858899429700264</v>
      </c>
      <c r="K1375" s="19">
        <v>0.34855746343083649</v>
      </c>
      <c r="L1375" s="19">
        <v>4.2853542272160865E-2</v>
      </c>
      <c r="M1375" s="20">
        <v>3</v>
      </c>
      <c r="N1375" s="19">
        <v>7.1799988831532061E-2</v>
      </c>
      <c r="O1375" s="19">
        <v>0</v>
      </c>
      <c r="P1375" s="19">
        <v>0.27675747459930444</v>
      </c>
      <c r="Q1375" s="19">
        <v>1.6589894714400771E-3</v>
      </c>
      <c r="R1375" s="19">
        <v>3.9238094316845898E-2</v>
      </c>
      <c r="S1375" s="19">
        <v>1.9564584838748923E-3</v>
      </c>
      <c r="T1375" s="20">
        <v>30</v>
      </c>
      <c r="U1375" s="17">
        <v>2</v>
      </c>
      <c r="V1375" s="17">
        <v>34</v>
      </c>
    </row>
    <row r="1376" spans="1:22" x14ac:dyDescent="0.2">
      <c r="A1376" t="s">
        <v>3661</v>
      </c>
      <c r="B1376" t="s">
        <v>2719</v>
      </c>
      <c r="C1376" t="s">
        <v>2720</v>
      </c>
      <c r="D1376" t="s">
        <v>3593</v>
      </c>
      <c r="E1376" s="10" t="s">
        <v>3662</v>
      </c>
      <c r="F1376" s="10"/>
      <c r="G1376" s="10"/>
      <c r="H1376" s="10" t="s">
        <v>3662</v>
      </c>
      <c r="I1376" s="14">
        <v>36331.091949896887</v>
      </c>
      <c r="J1376" s="19">
        <v>0</v>
      </c>
      <c r="K1376" s="19">
        <v>0.74222593713938478</v>
      </c>
      <c r="L1376" s="19">
        <v>0.25777406286061511</v>
      </c>
      <c r="M1376" s="20">
        <v>2</v>
      </c>
      <c r="N1376" s="19">
        <v>0.3823629324715126</v>
      </c>
      <c r="O1376" s="19">
        <v>0</v>
      </c>
      <c r="P1376" s="19">
        <v>0.3598630046678723</v>
      </c>
      <c r="Q1376" s="19">
        <v>9.3040190753084118E-2</v>
      </c>
      <c r="R1376" s="19">
        <v>0.15637250798335192</v>
      </c>
      <c r="S1376" s="19">
        <v>8.3613641241790312E-3</v>
      </c>
      <c r="T1376" s="20">
        <v>23</v>
      </c>
      <c r="U1376" s="17">
        <v>2</v>
      </c>
      <c r="V1376" s="17">
        <v>34</v>
      </c>
    </row>
    <row r="1377" spans="1:22" x14ac:dyDescent="0.2">
      <c r="A1377" t="s">
        <v>3663</v>
      </c>
      <c r="B1377" t="s">
        <v>2719</v>
      </c>
      <c r="C1377" t="s">
        <v>2720</v>
      </c>
      <c r="D1377" t="s">
        <v>3593</v>
      </c>
      <c r="E1377" s="10" t="s">
        <v>2758</v>
      </c>
      <c r="F1377" s="10"/>
      <c r="G1377" s="10"/>
      <c r="H1377" s="10" t="s">
        <v>2758</v>
      </c>
      <c r="I1377" s="14">
        <v>13271.67046929244</v>
      </c>
      <c r="J1377" s="19">
        <v>0</v>
      </c>
      <c r="K1377" s="19">
        <v>0.87216715050903282</v>
      </c>
      <c r="L1377" s="19">
        <v>0.12783284949096715</v>
      </c>
      <c r="M1377" s="20">
        <v>2</v>
      </c>
      <c r="N1377" s="19">
        <v>0</v>
      </c>
      <c r="O1377" s="19">
        <v>0.87216715050903282</v>
      </c>
      <c r="P1377" s="19">
        <v>0</v>
      </c>
      <c r="Q1377" s="19">
        <v>0</v>
      </c>
      <c r="R1377" s="19">
        <v>0.11726013205388681</v>
      </c>
      <c r="S1377" s="19">
        <v>1.0572717437080359E-2</v>
      </c>
      <c r="T1377" s="20">
        <v>22</v>
      </c>
      <c r="U1377" s="17">
        <v>2</v>
      </c>
      <c r="V1377" s="17">
        <v>34</v>
      </c>
    </row>
    <row r="1378" spans="1:22" x14ac:dyDescent="0.2">
      <c r="A1378" t="s">
        <v>3664</v>
      </c>
      <c r="B1378" t="s">
        <v>2719</v>
      </c>
      <c r="C1378" t="s">
        <v>2720</v>
      </c>
      <c r="D1378" t="s">
        <v>3593</v>
      </c>
      <c r="E1378" s="10" t="s">
        <v>3665</v>
      </c>
      <c r="F1378" s="10"/>
      <c r="G1378" s="10"/>
      <c r="H1378" s="10" t="s">
        <v>3665</v>
      </c>
      <c r="I1378" s="14">
        <v>74636.858813457191</v>
      </c>
      <c r="J1378" s="19">
        <v>0</v>
      </c>
      <c r="K1378" s="19">
        <v>0.93744204154623256</v>
      </c>
      <c r="L1378" s="19">
        <v>6.2557958453767479E-2</v>
      </c>
      <c r="M1378" s="20">
        <v>2</v>
      </c>
      <c r="N1378" s="19">
        <v>0.30640033338087652</v>
      </c>
      <c r="O1378" s="19">
        <v>0</v>
      </c>
      <c r="P1378" s="19">
        <v>0.63104170816535599</v>
      </c>
      <c r="Q1378" s="19">
        <v>0</v>
      </c>
      <c r="R1378" s="19">
        <v>5.9776061045804754E-2</v>
      </c>
      <c r="S1378" s="19">
        <v>2.781897407962722E-3</v>
      </c>
      <c r="T1378" s="20">
        <v>21</v>
      </c>
      <c r="U1378" s="17">
        <v>2</v>
      </c>
      <c r="V1378" s="17">
        <v>34</v>
      </c>
    </row>
    <row r="1379" spans="1:22" x14ac:dyDescent="0.2">
      <c r="A1379" t="s">
        <v>3666</v>
      </c>
      <c r="B1379" t="s">
        <v>2719</v>
      </c>
      <c r="C1379" t="s">
        <v>2720</v>
      </c>
      <c r="D1379" t="s">
        <v>3593</v>
      </c>
      <c r="E1379" s="10" t="s">
        <v>3667</v>
      </c>
      <c r="F1379" s="10"/>
      <c r="G1379" s="10"/>
      <c r="H1379" s="10" t="s">
        <v>3667</v>
      </c>
      <c r="I1379" s="14">
        <v>31070.64986272715</v>
      </c>
      <c r="J1379" s="19">
        <v>0</v>
      </c>
      <c r="K1379" s="19">
        <v>0.71529042116839858</v>
      </c>
      <c r="L1379" s="19">
        <v>0.28470957883160142</v>
      </c>
      <c r="M1379" s="20">
        <v>2</v>
      </c>
      <c r="N1379" s="19">
        <v>2.6039030465264578E-2</v>
      </c>
      <c r="O1379" s="19">
        <v>0</v>
      </c>
      <c r="P1379" s="19">
        <v>0.68925139070313401</v>
      </c>
      <c r="Q1379" s="19">
        <v>0.14363445640890216</v>
      </c>
      <c r="R1379" s="19">
        <v>0.13598219128266267</v>
      </c>
      <c r="S1379" s="19">
        <v>5.0929311400365719E-3</v>
      </c>
      <c r="T1379" s="20">
        <v>21</v>
      </c>
      <c r="U1379" s="17">
        <v>2</v>
      </c>
      <c r="V1379" s="17">
        <v>34</v>
      </c>
    </row>
    <row r="1380" spans="1:22" x14ac:dyDescent="0.2">
      <c r="A1380" t="s">
        <v>3668</v>
      </c>
      <c r="B1380" t="s">
        <v>2719</v>
      </c>
      <c r="C1380" t="s">
        <v>2720</v>
      </c>
      <c r="D1380" t="s">
        <v>3593</v>
      </c>
      <c r="E1380" s="10" t="s">
        <v>3669</v>
      </c>
      <c r="F1380" s="10"/>
      <c r="G1380" s="10"/>
      <c r="H1380" s="10" t="s">
        <v>3669</v>
      </c>
      <c r="I1380" s="14">
        <v>24340.950812542811</v>
      </c>
      <c r="J1380" s="19">
        <v>0</v>
      </c>
      <c r="K1380" s="19">
        <v>0.91875434709445192</v>
      </c>
      <c r="L1380" s="19">
        <v>8.1245652905548041E-2</v>
      </c>
      <c r="M1380" s="20">
        <v>2</v>
      </c>
      <c r="N1380" s="19">
        <v>0.51920850822679843</v>
      </c>
      <c r="O1380" s="19">
        <v>0</v>
      </c>
      <c r="P1380" s="19">
        <v>0.39954583886765355</v>
      </c>
      <c r="Q1380" s="19">
        <v>0</v>
      </c>
      <c r="R1380" s="19">
        <v>7.2413410651572363E-2</v>
      </c>
      <c r="S1380" s="19">
        <v>8.8322422539756727E-3</v>
      </c>
      <c r="T1380" s="20">
        <v>23</v>
      </c>
      <c r="U1380" s="17">
        <v>2</v>
      </c>
      <c r="V1380" s="17">
        <v>34</v>
      </c>
    </row>
    <row r="1381" spans="1:22" x14ac:dyDescent="0.2">
      <c r="A1381" t="s">
        <v>3670</v>
      </c>
      <c r="B1381" t="s">
        <v>2719</v>
      </c>
      <c r="C1381" t="s">
        <v>2720</v>
      </c>
      <c r="D1381" t="s">
        <v>3593</v>
      </c>
      <c r="E1381" s="10" t="s">
        <v>3671</v>
      </c>
      <c r="F1381" s="10"/>
      <c r="G1381" s="10"/>
      <c r="H1381" s="10" t="s">
        <v>3671</v>
      </c>
      <c r="I1381" s="14">
        <v>22199.642267947085</v>
      </c>
      <c r="J1381" s="19">
        <v>0</v>
      </c>
      <c r="K1381" s="19">
        <v>0.61618859662520298</v>
      </c>
      <c r="L1381" s="19">
        <v>0.38381140337479702</v>
      </c>
      <c r="M1381" s="20">
        <v>2</v>
      </c>
      <c r="N1381" s="19">
        <v>1.1977288703976421E-2</v>
      </c>
      <c r="O1381" s="19">
        <v>0</v>
      </c>
      <c r="P1381" s="19">
        <v>0.60421130792122657</v>
      </c>
      <c r="Q1381" s="19">
        <v>0.25269455999417967</v>
      </c>
      <c r="R1381" s="19">
        <v>0.12387206746882418</v>
      </c>
      <c r="S1381" s="19">
        <v>7.244775911793175E-3</v>
      </c>
      <c r="T1381" s="20">
        <v>21</v>
      </c>
      <c r="U1381" s="17">
        <v>2</v>
      </c>
      <c r="V1381" s="17">
        <v>34</v>
      </c>
    </row>
    <row r="1382" spans="1:22" x14ac:dyDescent="0.2">
      <c r="A1382" t="s">
        <v>3672</v>
      </c>
      <c r="B1382" t="s">
        <v>2719</v>
      </c>
      <c r="C1382" t="s">
        <v>2720</v>
      </c>
      <c r="D1382" t="s">
        <v>3593</v>
      </c>
      <c r="E1382" s="10" t="s">
        <v>3272</v>
      </c>
      <c r="F1382" s="10"/>
      <c r="G1382" s="10"/>
      <c r="H1382" s="10" t="s">
        <v>3272</v>
      </c>
      <c r="I1382" s="14">
        <v>81953.752320044674</v>
      </c>
      <c r="J1382" s="19">
        <v>0.63712868117440769</v>
      </c>
      <c r="K1382" s="19">
        <v>0.30066354535624423</v>
      </c>
      <c r="L1382" s="19">
        <v>6.2207773469348047E-2</v>
      </c>
      <c r="M1382" s="20">
        <v>3</v>
      </c>
      <c r="N1382" s="19">
        <v>0</v>
      </c>
      <c r="O1382" s="19">
        <v>0</v>
      </c>
      <c r="P1382" s="19">
        <v>0.30066354535624423</v>
      </c>
      <c r="Q1382" s="19">
        <v>1.1543340168049225E-2</v>
      </c>
      <c r="R1382" s="19">
        <v>4.9551550094044182E-2</v>
      </c>
      <c r="S1382" s="19">
        <v>1.1128832072546454E-3</v>
      </c>
      <c r="T1382" s="20">
        <v>30</v>
      </c>
      <c r="U1382" s="17">
        <v>2</v>
      </c>
      <c r="V1382" s="17">
        <v>34</v>
      </c>
    </row>
    <row r="1383" spans="1:22" x14ac:dyDescent="0.2">
      <c r="A1383" t="s">
        <v>3673</v>
      </c>
      <c r="B1383" t="s">
        <v>2719</v>
      </c>
      <c r="C1383" t="s">
        <v>2720</v>
      </c>
      <c r="D1383" t="s">
        <v>3593</v>
      </c>
      <c r="E1383" s="10" t="s">
        <v>2817</v>
      </c>
      <c r="F1383" s="10"/>
      <c r="G1383" s="10"/>
      <c r="H1383" s="10" t="s">
        <v>2817</v>
      </c>
      <c r="I1383" s="14">
        <v>60248.446024702862</v>
      </c>
      <c r="J1383" s="19">
        <v>0</v>
      </c>
      <c r="K1383" s="19">
        <v>0.91470926776637285</v>
      </c>
      <c r="L1383" s="19">
        <v>8.5290732233627112E-2</v>
      </c>
      <c r="M1383" s="20">
        <v>2</v>
      </c>
      <c r="N1383" s="19">
        <v>0.2325393915610795</v>
      </c>
      <c r="O1383" s="19">
        <v>0</v>
      </c>
      <c r="P1383" s="19">
        <v>0.68216987620529335</v>
      </c>
      <c r="Q1383" s="19">
        <v>0</v>
      </c>
      <c r="R1383" s="19">
        <v>8.3238017762030297E-2</v>
      </c>
      <c r="S1383" s="19">
        <v>2.0527144715968178E-3</v>
      </c>
      <c r="T1383" s="20">
        <v>21</v>
      </c>
      <c r="U1383" s="17">
        <v>2</v>
      </c>
      <c r="V1383" s="17">
        <v>34</v>
      </c>
    </row>
    <row r="1384" spans="1:22" x14ac:dyDescent="0.2">
      <c r="A1384" t="s">
        <v>3674</v>
      </c>
      <c r="B1384" t="s">
        <v>2719</v>
      </c>
      <c r="C1384" t="s">
        <v>2720</v>
      </c>
      <c r="D1384" t="s">
        <v>3593</v>
      </c>
      <c r="E1384" s="10" t="s">
        <v>2929</v>
      </c>
      <c r="F1384" s="10"/>
      <c r="G1384" s="10"/>
      <c r="H1384" s="10" t="s">
        <v>2929</v>
      </c>
      <c r="I1384" s="14">
        <v>65734.781495396048</v>
      </c>
      <c r="J1384" s="19">
        <v>0</v>
      </c>
      <c r="K1384" s="19">
        <v>0.93768308711159654</v>
      </c>
      <c r="L1384" s="19">
        <v>6.2316912888403603E-2</v>
      </c>
      <c r="M1384" s="20">
        <v>2</v>
      </c>
      <c r="N1384" s="19">
        <v>0.28565818198577847</v>
      </c>
      <c r="O1384" s="19">
        <v>0</v>
      </c>
      <c r="P1384" s="19">
        <v>0.6520249051258179</v>
      </c>
      <c r="Q1384" s="19">
        <v>0</v>
      </c>
      <c r="R1384" s="19">
        <v>5.9940366870773497E-2</v>
      </c>
      <c r="S1384" s="19">
        <v>2.3765460176301064E-3</v>
      </c>
      <c r="T1384" s="20">
        <v>21</v>
      </c>
      <c r="U1384" s="17">
        <v>2</v>
      </c>
      <c r="V1384" s="17">
        <v>34</v>
      </c>
    </row>
    <row r="1385" spans="1:22" x14ac:dyDescent="0.2">
      <c r="A1385" t="s">
        <v>3675</v>
      </c>
      <c r="B1385" t="s">
        <v>2719</v>
      </c>
      <c r="C1385" t="s">
        <v>2720</v>
      </c>
      <c r="D1385" t="s">
        <v>3593</v>
      </c>
      <c r="E1385" s="10" t="s">
        <v>3676</v>
      </c>
      <c r="F1385" s="10"/>
      <c r="G1385" s="10"/>
      <c r="H1385" s="10" t="s">
        <v>3676</v>
      </c>
      <c r="I1385" s="14">
        <v>32879.540953843622</v>
      </c>
      <c r="J1385" s="19">
        <v>0</v>
      </c>
      <c r="K1385" s="19">
        <v>0.84175895198598127</v>
      </c>
      <c r="L1385" s="19">
        <v>0.15824104801401867</v>
      </c>
      <c r="M1385" s="20">
        <v>2</v>
      </c>
      <c r="N1385" s="19">
        <v>0</v>
      </c>
      <c r="O1385" s="19">
        <v>0.26174992708301204</v>
      </c>
      <c r="P1385" s="19">
        <v>0.58000902490296924</v>
      </c>
      <c r="Q1385" s="19">
        <v>0.12225494585790378</v>
      </c>
      <c r="R1385" s="19">
        <v>3.5966732056591358E-2</v>
      </c>
      <c r="S1385" s="19">
        <v>1.9370099523535655E-5</v>
      </c>
      <c r="T1385" s="20">
        <v>21</v>
      </c>
      <c r="U1385" s="17">
        <v>2</v>
      </c>
      <c r="V1385" s="17">
        <v>34</v>
      </c>
    </row>
    <row r="1386" spans="1:22" x14ac:dyDescent="0.2">
      <c r="A1386" t="s">
        <v>3677</v>
      </c>
      <c r="B1386" t="s">
        <v>2719</v>
      </c>
      <c r="C1386" t="s">
        <v>2720</v>
      </c>
      <c r="D1386" t="s">
        <v>3593</v>
      </c>
      <c r="E1386" s="10" t="s">
        <v>3678</v>
      </c>
      <c r="F1386" s="10"/>
      <c r="G1386" s="10"/>
      <c r="H1386" s="10" t="s">
        <v>3678</v>
      </c>
      <c r="I1386" s="14">
        <v>20414.66997668799</v>
      </c>
      <c r="J1386" s="19">
        <v>0</v>
      </c>
      <c r="K1386" s="19">
        <v>0.909766088424387</v>
      </c>
      <c r="L1386" s="19">
        <v>9.0233911575612974E-2</v>
      </c>
      <c r="M1386" s="20">
        <v>2</v>
      </c>
      <c r="N1386" s="19">
        <v>0</v>
      </c>
      <c r="O1386" s="19">
        <v>0</v>
      </c>
      <c r="P1386" s="19">
        <v>0.909766088424387</v>
      </c>
      <c r="Q1386" s="19">
        <v>0</v>
      </c>
      <c r="R1386" s="19">
        <v>8.5784501190490317E-2</v>
      </c>
      <c r="S1386" s="19">
        <v>4.449410385122656E-3</v>
      </c>
      <c r="T1386" s="20">
        <v>21</v>
      </c>
      <c r="U1386" s="17">
        <v>2</v>
      </c>
      <c r="V1386" s="17">
        <v>34</v>
      </c>
    </row>
    <row r="1387" spans="1:22" x14ac:dyDescent="0.2">
      <c r="A1387" t="s">
        <v>3679</v>
      </c>
      <c r="B1387" t="s">
        <v>2719</v>
      </c>
      <c r="C1387" t="s">
        <v>2720</v>
      </c>
      <c r="D1387" t="s">
        <v>3593</v>
      </c>
      <c r="E1387" s="10" t="s">
        <v>3680</v>
      </c>
      <c r="F1387" s="10"/>
      <c r="G1387" s="10"/>
      <c r="H1387" s="10" t="s">
        <v>3680</v>
      </c>
      <c r="I1387" s="14">
        <v>56770.450443245471</v>
      </c>
      <c r="J1387" s="19">
        <v>1.0559102415076916E-2</v>
      </c>
      <c r="K1387" s="19">
        <v>0.76976768892112857</v>
      </c>
      <c r="L1387" s="19">
        <v>0.21967320866379453</v>
      </c>
      <c r="M1387" s="20">
        <v>2</v>
      </c>
      <c r="N1387" s="19">
        <v>0.27827459360653917</v>
      </c>
      <c r="O1387" s="19">
        <v>0</v>
      </c>
      <c r="P1387" s="19">
        <v>0.4914930953145894</v>
      </c>
      <c r="Q1387" s="19">
        <v>2.3110711154568062E-2</v>
      </c>
      <c r="R1387" s="19">
        <v>0.19047416912473805</v>
      </c>
      <c r="S1387" s="19">
        <v>6.0883283844883947E-3</v>
      </c>
      <c r="T1387" s="20">
        <v>23</v>
      </c>
      <c r="U1387" s="17">
        <v>2</v>
      </c>
      <c r="V1387" s="17">
        <v>34</v>
      </c>
    </row>
    <row r="1388" spans="1:22" x14ac:dyDescent="0.2">
      <c r="A1388" t="s">
        <v>3681</v>
      </c>
      <c r="B1388" t="s">
        <v>2719</v>
      </c>
      <c r="C1388" t="s">
        <v>2720</v>
      </c>
      <c r="D1388" t="s">
        <v>3593</v>
      </c>
      <c r="E1388" s="10" t="s">
        <v>3682</v>
      </c>
      <c r="F1388" s="10"/>
      <c r="G1388" s="10"/>
      <c r="H1388" s="10" t="s">
        <v>3682</v>
      </c>
      <c r="I1388" s="14">
        <v>39206.665449358523</v>
      </c>
      <c r="J1388" s="19">
        <v>0</v>
      </c>
      <c r="K1388" s="19">
        <v>0.86780059028362155</v>
      </c>
      <c r="L1388" s="19">
        <v>0.13219940971637839</v>
      </c>
      <c r="M1388" s="20">
        <v>2</v>
      </c>
      <c r="N1388" s="19">
        <v>0.26695022964876708</v>
      </c>
      <c r="O1388" s="19">
        <v>0</v>
      </c>
      <c r="P1388" s="19">
        <v>0.60085036063485464</v>
      </c>
      <c r="Q1388" s="19">
        <v>0</v>
      </c>
      <c r="R1388" s="19">
        <v>0.12798413481569079</v>
      </c>
      <c r="S1388" s="19">
        <v>4.2152749006876128E-3</v>
      </c>
      <c r="T1388" s="20">
        <v>21</v>
      </c>
      <c r="U1388" s="17">
        <v>2</v>
      </c>
      <c r="V1388" s="17">
        <v>34</v>
      </c>
    </row>
    <row r="1389" spans="1:22" x14ac:dyDescent="0.2">
      <c r="A1389" t="s">
        <v>3683</v>
      </c>
      <c r="B1389" t="s">
        <v>2719</v>
      </c>
      <c r="C1389" t="s">
        <v>2720</v>
      </c>
      <c r="D1389" t="s">
        <v>3593</v>
      </c>
      <c r="E1389" s="10" t="s">
        <v>3684</v>
      </c>
      <c r="F1389" s="10"/>
      <c r="G1389" s="10"/>
      <c r="H1389" s="10" t="s">
        <v>3684</v>
      </c>
      <c r="I1389" s="14">
        <v>41251.60295235645</v>
      </c>
      <c r="J1389" s="19">
        <v>0</v>
      </c>
      <c r="K1389" s="19">
        <v>0.85677933793770522</v>
      </c>
      <c r="L1389" s="19">
        <v>0.14322066206229475</v>
      </c>
      <c r="M1389" s="20">
        <v>2</v>
      </c>
      <c r="N1389" s="19">
        <v>0</v>
      </c>
      <c r="O1389" s="19">
        <v>0</v>
      </c>
      <c r="P1389" s="19">
        <v>0.85677933793770522</v>
      </c>
      <c r="Q1389" s="19">
        <v>0</v>
      </c>
      <c r="R1389" s="19">
        <v>0.14055648491102474</v>
      </c>
      <c r="S1389" s="19">
        <v>2.6641771512700184E-3</v>
      </c>
      <c r="T1389" s="20">
        <v>21</v>
      </c>
      <c r="U1389" s="17">
        <v>2</v>
      </c>
      <c r="V1389" s="17">
        <v>34</v>
      </c>
    </row>
    <row r="1390" spans="1:22" x14ac:dyDescent="0.2">
      <c r="A1390" t="s">
        <v>3685</v>
      </c>
      <c r="B1390" t="s">
        <v>2719</v>
      </c>
      <c r="C1390" t="s">
        <v>2720</v>
      </c>
      <c r="D1390" t="s">
        <v>3593</v>
      </c>
      <c r="E1390" s="10" t="s">
        <v>3686</v>
      </c>
      <c r="F1390" s="10"/>
      <c r="G1390" s="10"/>
      <c r="H1390" s="10" t="s">
        <v>3686</v>
      </c>
      <c r="I1390" s="14">
        <v>27925.733188446611</v>
      </c>
      <c r="J1390" s="19">
        <v>0</v>
      </c>
      <c r="K1390" s="19">
        <v>0.71632342479071109</v>
      </c>
      <c r="L1390" s="19">
        <v>0.28367657520928896</v>
      </c>
      <c r="M1390" s="20">
        <v>2</v>
      </c>
      <c r="N1390" s="19">
        <v>0</v>
      </c>
      <c r="O1390" s="19">
        <v>0</v>
      </c>
      <c r="P1390" s="19">
        <v>0.71632342479071109</v>
      </c>
      <c r="Q1390" s="19">
        <v>0.1094418264933464</v>
      </c>
      <c r="R1390" s="19">
        <v>0.16137646071280273</v>
      </c>
      <c r="S1390" s="19">
        <v>1.2858288003139828E-2</v>
      </c>
      <c r="T1390" s="20">
        <v>21</v>
      </c>
      <c r="U1390" s="17">
        <v>2</v>
      </c>
      <c r="V1390" s="17">
        <v>34</v>
      </c>
    </row>
    <row r="1391" spans="1:22" x14ac:dyDescent="0.2">
      <c r="A1391" t="s">
        <v>3687</v>
      </c>
      <c r="B1391" t="s">
        <v>2719</v>
      </c>
      <c r="C1391" t="s">
        <v>2720</v>
      </c>
      <c r="D1391" t="s">
        <v>3593</v>
      </c>
      <c r="E1391" s="10" t="s">
        <v>3688</v>
      </c>
      <c r="F1391" s="10"/>
      <c r="G1391" s="10"/>
      <c r="H1391" s="10" t="s">
        <v>3688</v>
      </c>
      <c r="I1391" s="14">
        <v>275453.97922804579</v>
      </c>
      <c r="J1391" s="19">
        <v>0.92874054060961797</v>
      </c>
      <c r="K1391" s="19">
        <v>6.9329952454348087E-2</v>
      </c>
      <c r="L1391" s="19">
        <v>1.9295069360339306E-3</v>
      </c>
      <c r="M1391" s="20">
        <v>3</v>
      </c>
      <c r="N1391" s="19">
        <v>2.2655769485829615E-2</v>
      </c>
      <c r="O1391" s="19">
        <v>0</v>
      </c>
      <c r="P1391" s="19">
        <v>4.6674182968518468E-2</v>
      </c>
      <c r="Q1391" s="19">
        <v>0</v>
      </c>
      <c r="R1391" s="19">
        <v>1.7688599393334305E-3</v>
      </c>
      <c r="S1391" s="19">
        <v>1.6064699670050012E-4</v>
      </c>
      <c r="T1391" s="20">
        <v>30</v>
      </c>
      <c r="U1391" s="17">
        <v>2</v>
      </c>
      <c r="V1391" s="17">
        <v>34</v>
      </c>
    </row>
    <row r="1392" spans="1:22" x14ac:dyDescent="0.2">
      <c r="A1392" t="s">
        <v>3689</v>
      </c>
      <c r="B1392" t="s">
        <v>2719</v>
      </c>
      <c r="C1392" t="s">
        <v>2720</v>
      </c>
      <c r="D1392" t="s">
        <v>3593</v>
      </c>
      <c r="E1392" s="10" t="s">
        <v>3690</v>
      </c>
      <c r="F1392" s="10"/>
      <c r="G1392" s="10"/>
      <c r="H1392" s="10" t="s">
        <v>3690</v>
      </c>
      <c r="I1392" s="14">
        <v>194166.51045830033</v>
      </c>
      <c r="J1392" s="19">
        <v>0.33296931590823214</v>
      </c>
      <c r="K1392" s="19">
        <v>0.58989271769006457</v>
      </c>
      <c r="L1392" s="19">
        <v>7.7137966401703367E-2</v>
      </c>
      <c r="M1392" s="20">
        <v>2</v>
      </c>
      <c r="N1392" s="19">
        <v>0.27363611350202</v>
      </c>
      <c r="O1392" s="19">
        <v>8.1912492336060853E-3</v>
      </c>
      <c r="P1392" s="19">
        <v>0.30806535495443849</v>
      </c>
      <c r="Q1392" s="19">
        <v>2.7183132498498696E-2</v>
      </c>
      <c r="R1392" s="19">
        <v>4.7288974613074797E-2</v>
      </c>
      <c r="S1392" s="19">
        <v>2.6658592901298798E-3</v>
      </c>
      <c r="T1392" s="20">
        <v>23</v>
      </c>
      <c r="U1392" s="17">
        <v>2</v>
      </c>
      <c r="V1392" s="17">
        <v>34</v>
      </c>
    </row>
    <row r="1393" spans="1:22" x14ac:dyDescent="0.2">
      <c r="A1393" t="s">
        <v>3691</v>
      </c>
      <c r="B1393" t="s">
        <v>2719</v>
      </c>
      <c r="C1393" t="s">
        <v>2720</v>
      </c>
      <c r="D1393" t="s">
        <v>3593</v>
      </c>
      <c r="E1393" s="10" t="s">
        <v>2991</v>
      </c>
      <c r="F1393" s="10"/>
      <c r="G1393" s="10"/>
      <c r="H1393" s="10" t="s">
        <v>2991</v>
      </c>
      <c r="I1393" s="14">
        <v>78720.470150601119</v>
      </c>
      <c r="J1393" s="19">
        <v>0</v>
      </c>
      <c r="K1393" s="19">
        <v>0.82410410379816723</v>
      </c>
      <c r="L1393" s="19">
        <v>0.17589589620183277</v>
      </c>
      <c r="M1393" s="20">
        <v>2</v>
      </c>
      <c r="N1393" s="19">
        <v>0.23910384594944389</v>
      </c>
      <c r="O1393" s="19">
        <v>0</v>
      </c>
      <c r="P1393" s="19">
        <v>0.58500025784872334</v>
      </c>
      <c r="Q1393" s="19">
        <v>2.4342329216449302E-2</v>
      </c>
      <c r="R1393" s="19">
        <v>0.14040003036263329</v>
      </c>
      <c r="S1393" s="19">
        <v>1.115353662275018E-2</v>
      </c>
      <c r="T1393" s="20">
        <v>21</v>
      </c>
      <c r="U1393" s="17">
        <v>2</v>
      </c>
      <c r="V1393" s="17">
        <v>34</v>
      </c>
    </row>
    <row r="1394" spans="1:22" x14ac:dyDescent="0.2">
      <c r="A1394" t="s">
        <v>3692</v>
      </c>
      <c r="B1394" t="s">
        <v>2719</v>
      </c>
      <c r="C1394" t="s">
        <v>2720</v>
      </c>
      <c r="D1394" t="s">
        <v>3593</v>
      </c>
      <c r="E1394" s="10" t="s">
        <v>3693</v>
      </c>
      <c r="F1394" s="10"/>
      <c r="G1394" s="10"/>
      <c r="H1394" s="10" t="s">
        <v>3693</v>
      </c>
      <c r="I1394" s="14">
        <v>10259.024626522325</v>
      </c>
      <c r="J1394" s="19">
        <v>0</v>
      </c>
      <c r="K1394" s="19">
        <v>0.40663227607416841</v>
      </c>
      <c r="L1394" s="19">
        <v>0.59336772392583159</v>
      </c>
      <c r="M1394" s="20">
        <v>1</v>
      </c>
      <c r="N1394" s="19">
        <v>0</v>
      </c>
      <c r="O1394" s="19">
        <v>0</v>
      </c>
      <c r="P1394" s="19">
        <v>0.40663227607416841</v>
      </c>
      <c r="Q1394" s="19">
        <v>0.30998212945782461</v>
      </c>
      <c r="R1394" s="19">
        <v>0.26247576524382071</v>
      </c>
      <c r="S1394" s="19">
        <v>2.090982922418632E-2</v>
      </c>
      <c r="T1394" s="20">
        <v>13</v>
      </c>
      <c r="U1394" s="17">
        <v>2</v>
      </c>
      <c r="V1394" s="17">
        <v>34</v>
      </c>
    </row>
    <row r="1395" spans="1:22" x14ac:dyDescent="0.2">
      <c r="A1395" t="s">
        <v>3694</v>
      </c>
      <c r="B1395" t="s">
        <v>2719</v>
      </c>
      <c r="C1395" t="s">
        <v>2720</v>
      </c>
      <c r="D1395" t="s">
        <v>3695</v>
      </c>
      <c r="E1395" s="10" t="s">
        <v>3627</v>
      </c>
      <c r="F1395" s="10"/>
      <c r="G1395" s="10"/>
      <c r="H1395" s="10" t="s">
        <v>3627</v>
      </c>
      <c r="I1395" s="14">
        <v>118891.53761793254</v>
      </c>
      <c r="J1395" s="19">
        <v>0</v>
      </c>
      <c r="K1395" s="19">
        <v>0.93562871746423748</v>
      </c>
      <c r="L1395" s="19">
        <v>6.4371282535762436E-2</v>
      </c>
      <c r="M1395" s="20">
        <v>2</v>
      </c>
      <c r="N1395" s="19">
        <v>0.52925841195025736</v>
      </c>
      <c r="O1395" s="19">
        <v>0</v>
      </c>
      <c r="P1395" s="19">
        <v>0.40637030551398012</v>
      </c>
      <c r="Q1395" s="19">
        <v>5.8834018691147757E-3</v>
      </c>
      <c r="R1395" s="19">
        <v>5.5287917729310236E-2</v>
      </c>
      <c r="S1395" s="19">
        <v>3.1999629373374249E-3</v>
      </c>
      <c r="T1395" s="20">
        <v>23</v>
      </c>
      <c r="U1395" s="17">
        <v>2</v>
      </c>
      <c r="V1395" s="17">
        <v>34</v>
      </c>
    </row>
    <row r="1396" spans="1:22" x14ac:dyDescent="0.2">
      <c r="A1396" t="s">
        <v>3696</v>
      </c>
      <c r="B1396" t="s">
        <v>2719</v>
      </c>
      <c r="C1396" t="s">
        <v>2720</v>
      </c>
      <c r="D1396" t="s">
        <v>3695</v>
      </c>
      <c r="E1396" s="10" t="s">
        <v>3697</v>
      </c>
      <c r="F1396" s="10"/>
      <c r="G1396" s="10"/>
      <c r="H1396" s="10" t="s">
        <v>3697</v>
      </c>
      <c r="I1396" s="14">
        <v>92506.30601824075</v>
      </c>
      <c r="J1396" s="19">
        <v>0</v>
      </c>
      <c r="K1396" s="19">
        <v>0.39097542161967341</v>
      </c>
      <c r="L1396" s="19">
        <v>0.60902457838032653</v>
      </c>
      <c r="M1396" s="20">
        <v>1</v>
      </c>
      <c r="N1396" s="19">
        <v>0</v>
      </c>
      <c r="O1396" s="19">
        <v>0.24614614051581932</v>
      </c>
      <c r="P1396" s="19">
        <v>0.14482928110385415</v>
      </c>
      <c r="Q1396" s="19">
        <v>0.28543718585264821</v>
      </c>
      <c r="R1396" s="19">
        <v>0.28866860937048389</v>
      </c>
      <c r="S1396" s="19">
        <v>3.4918783157194468E-2</v>
      </c>
      <c r="T1396" s="20">
        <v>12</v>
      </c>
      <c r="U1396" s="17">
        <v>2</v>
      </c>
      <c r="V1396" s="17">
        <v>34</v>
      </c>
    </row>
    <row r="1397" spans="1:22" x14ac:dyDescent="0.2">
      <c r="A1397" t="s">
        <v>3698</v>
      </c>
      <c r="B1397" t="s">
        <v>2719</v>
      </c>
      <c r="C1397" t="s">
        <v>2720</v>
      </c>
      <c r="D1397" t="s">
        <v>3695</v>
      </c>
      <c r="E1397" s="10" t="s">
        <v>3062</v>
      </c>
      <c r="F1397" s="10"/>
      <c r="G1397" s="10"/>
      <c r="H1397" s="10" t="s">
        <v>3062</v>
      </c>
      <c r="I1397" s="14">
        <v>47133.814476093277</v>
      </c>
      <c r="J1397" s="19">
        <v>0</v>
      </c>
      <c r="K1397" s="19">
        <v>0.73643984739579693</v>
      </c>
      <c r="L1397" s="19">
        <v>0.26356015260420307</v>
      </c>
      <c r="M1397" s="20">
        <v>2</v>
      </c>
      <c r="N1397" s="19">
        <v>0.33046097645908273</v>
      </c>
      <c r="O1397" s="19">
        <v>0</v>
      </c>
      <c r="P1397" s="19">
        <v>0.4059788709367142</v>
      </c>
      <c r="Q1397" s="19">
        <v>0.12180335308534931</v>
      </c>
      <c r="R1397" s="19">
        <v>0.12230166801936254</v>
      </c>
      <c r="S1397" s="19">
        <v>1.9455131499491206E-2</v>
      </c>
      <c r="T1397" s="20">
        <v>23</v>
      </c>
      <c r="U1397" s="17">
        <v>2</v>
      </c>
      <c r="V1397" s="17">
        <v>34</v>
      </c>
    </row>
    <row r="1398" spans="1:22" x14ac:dyDescent="0.2">
      <c r="A1398" t="s">
        <v>3699</v>
      </c>
      <c r="B1398" t="s">
        <v>2719</v>
      </c>
      <c r="C1398" t="s">
        <v>2720</v>
      </c>
      <c r="D1398" t="s">
        <v>3695</v>
      </c>
      <c r="E1398" s="10" t="s">
        <v>3700</v>
      </c>
      <c r="F1398" s="10"/>
      <c r="G1398" s="10"/>
      <c r="H1398" s="10" t="s">
        <v>3700</v>
      </c>
      <c r="I1398" s="14">
        <v>89699.268306393176</v>
      </c>
      <c r="J1398" s="19">
        <v>3.2428216518745105E-2</v>
      </c>
      <c r="K1398" s="19">
        <v>0.75078050044350897</v>
      </c>
      <c r="L1398" s="19">
        <v>0.21679128303774595</v>
      </c>
      <c r="M1398" s="20">
        <v>2</v>
      </c>
      <c r="N1398" s="19">
        <v>0.38233646020117418</v>
      </c>
      <c r="O1398" s="19">
        <v>0</v>
      </c>
      <c r="P1398" s="19">
        <v>0.36844404024233474</v>
      </c>
      <c r="Q1398" s="19">
        <v>0.11269261260821413</v>
      </c>
      <c r="R1398" s="19">
        <v>9.6568404526250595E-2</v>
      </c>
      <c r="S1398" s="19">
        <v>7.5302659032812132E-3</v>
      </c>
      <c r="T1398" s="20">
        <v>23</v>
      </c>
      <c r="U1398" s="17">
        <v>2</v>
      </c>
      <c r="V1398" s="17">
        <v>34</v>
      </c>
    </row>
    <row r="1399" spans="1:22" x14ac:dyDescent="0.2">
      <c r="A1399" t="s">
        <v>3701</v>
      </c>
      <c r="B1399" t="s">
        <v>2719</v>
      </c>
      <c r="C1399" t="s">
        <v>2720</v>
      </c>
      <c r="D1399" t="s">
        <v>3695</v>
      </c>
      <c r="E1399" s="10" t="s">
        <v>3702</v>
      </c>
      <c r="F1399" s="10"/>
      <c r="G1399" s="10"/>
      <c r="H1399" s="10" t="s">
        <v>3702</v>
      </c>
      <c r="I1399" s="14">
        <v>73460.738160876557</v>
      </c>
      <c r="J1399" s="19">
        <v>0</v>
      </c>
      <c r="K1399" s="19">
        <v>0.69525207669615041</v>
      </c>
      <c r="L1399" s="19">
        <v>0.30474792330384964</v>
      </c>
      <c r="M1399" s="20">
        <v>2</v>
      </c>
      <c r="N1399" s="19">
        <v>0.27029597996208427</v>
      </c>
      <c r="O1399" s="19">
        <v>0</v>
      </c>
      <c r="P1399" s="19">
        <v>0.4249560967340662</v>
      </c>
      <c r="Q1399" s="19">
        <v>0.17431909218218217</v>
      </c>
      <c r="R1399" s="19">
        <v>0.11813748595476727</v>
      </c>
      <c r="S1399" s="19">
        <v>1.2291345166900197E-2</v>
      </c>
      <c r="T1399" s="20">
        <v>23</v>
      </c>
      <c r="U1399" s="17">
        <v>2</v>
      </c>
      <c r="V1399" s="17">
        <v>34</v>
      </c>
    </row>
    <row r="1400" spans="1:22" x14ac:dyDescent="0.2">
      <c r="A1400" t="s">
        <v>3703</v>
      </c>
      <c r="B1400" t="s">
        <v>2719</v>
      </c>
      <c r="C1400" t="s">
        <v>2720</v>
      </c>
      <c r="D1400" t="s">
        <v>3695</v>
      </c>
      <c r="E1400" s="10" t="s">
        <v>3704</v>
      </c>
      <c r="F1400" s="10"/>
      <c r="G1400" s="10"/>
      <c r="H1400" s="10" t="s">
        <v>3704</v>
      </c>
      <c r="I1400" s="14">
        <v>45105.873640019447</v>
      </c>
      <c r="J1400" s="19">
        <v>0</v>
      </c>
      <c r="K1400" s="19">
        <v>0.86057969012437541</v>
      </c>
      <c r="L1400" s="19">
        <v>0.13942030987562457</v>
      </c>
      <c r="M1400" s="20">
        <v>2</v>
      </c>
      <c r="N1400" s="19">
        <v>0.11542443226174316</v>
      </c>
      <c r="O1400" s="19">
        <v>0</v>
      </c>
      <c r="P1400" s="19">
        <v>0.74515525786263226</v>
      </c>
      <c r="Q1400" s="19">
        <v>0</v>
      </c>
      <c r="R1400" s="19">
        <v>0.12566851886804553</v>
      </c>
      <c r="S1400" s="19">
        <v>1.3751791007579043E-2</v>
      </c>
      <c r="T1400" s="20">
        <v>21</v>
      </c>
      <c r="U1400" s="17">
        <v>2</v>
      </c>
      <c r="V1400" s="17">
        <v>34</v>
      </c>
    </row>
    <row r="1401" spans="1:22" x14ac:dyDescent="0.2">
      <c r="A1401" t="s">
        <v>3705</v>
      </c>
      <c r="B1401" t="s">
        <v>2719</v>
      </c>
      <c r="C1401" t="s">
        <v>2720</v>
      </c>
      <c r="D1401" t="s">
        <v>3695</v>
      </c>
      <c r="E1401" s="10" t="s">
        <v>3706</v>
      </c>
      <c r="F1401" s="10"/>
      <c r="G1401" s="10"/>
      <c r="H1401" s="10" t="s">
        <v>3706</v>
      </c>
      <c r="I1401" s="14">
        <v>121239.9614092689</v>
      </c>
      <c r="J1401" s="19">
        <v>0</v>
      </c>
      <c r="K1401" s="19">
        <v>0.71626740547100354</v>
      </c>
      <c r="L1401" s="19">
        <v>0.28373259452899646</v>
      </c>
      <c r="M1401" s="20">
        <v>2</v>
      </c>
      <c r="N1401" s="19">
        <v>0.34543389781099432</v>
      </c>
      <c r="O1401" s="19">
        <v>1.3248875486114088E-2</v>
      </c>
      <c r="P1401" s="19">
        <v>0.35758463217389508</v>
      </c>
      <c r="Q1401" s="19">
        <v>0.11625645213251593</v>
      </c>
      <c r="R1401" s="19">
        <v>0.14885929969958947</v>
      </c>
      <c r="S1401" s="19">
        <v>1.8616842696891095E-2</v>
      </c>
      <c r="T1401" s="20">
        <v>23</v>
      </c>
      <c r="U1401" s="17">
        <v>2</v>
      </c>
      <c r="V1401" s="17">
        <v>34</v>
      </c>
    </row>
    <row r="1402" spans="1:22" x14ac:dyDescent="0.2">
      <c r="A1402" t="s">
        <v>3707</v>
      </c>
      <c r="B1402" t="s">
        <v>2719</v>
      </c>
      <c r="C1402" t="s">
        <v>2720</v>
      </c>
      <c r="D1402" t="s">
        <v>3695</v>
      </c>
      <c r="E1402" s="10" t="s">
        <v>3708</v>
      </c>
      <c r="F1402" s="10"/>
      <c r="G1402" s="10"/>
      <c r="H1402" s="10" t="s">
        <v>3708</v>
      </c>
      <c r="I1402" s="14">
        <v>54979.264374939725</v>
      </c>
      <c r="J1402" s="19">
        <v>0</v>
      </c>
      <c r="K1402" s="19">
        <v>0.770245466402524</v>
      </c>
      <c r="L1402" s="19">
        <v>0.22975453359747605</v>
      </c>
      <c r="M1402" s="20">
        <v>2</v>
      </c>
      <c r="N1402" s="19">
        <v>0.1565350154494195</v>
      </c>
      <c r="O1402" s="19">
        <v>0.22613167136399548</v>
      </c>
      <c r="P1402" s="19">
        <v>0.38757877958910891</v>
      </c>
      <c r="Q1402" s="19">
        <v>0.12523029638430563</v>
      </c>
      <c r="R1402" s="19">
        <v>9.7009899492173701E-2</v>
      </c>
      <c r="S1402" s="19">
        <v>7.5143377209966932E-3</v>
      </c>
      <c r="T1402" s="20">
        <v>22</v>
      </c>
      <c r="U1402" s="17">
        <v>2</v>
      </c>
      <c r="V1402" s="17">
        <v>34</v>
      </c>
    </row>
    <row r="1403" spans="1:22" x14ac:dyDescent="0.2">
      <c r="A1403" t="s">
        <v>3709</v>
      </c>
      <c r="B1403" t="s">
        <v>2719</v>
      </c>
      <c r="C1403" t="s">
        <v>2720</v>
      </c>
      <c r="D1403" t="s">
        <v>3695</v>
      </c>
      <c r="E1403" s="10" t="s">
        <v>3710</v>
      </c>
      <c r="F1403" s="10"/>
      <c r="G1403" s="10"/>
      <c r="H1403" s="10" t="s">
        <v>3710</v>
      </c>
      <c r="I1403" s="14">
        <v>97808.846862805076</v>
      </c>
      <c r="J1403" s="19">
        <v>0</v>
      </c>
      <c r="K1403" s="19">
        <v>0.82249461057387241</v>
      </c>
      <c r="L1403" s="19">
        <v>0.17750538942612759</v>
      </c>
      <c r="M1403" s="20">
        <v>2</v>
      </c>
      <c r="N1403" s="19">
        <v>0.48111211140989624</v>
      </c>
      <c r="O1403" s="19">
        <v>0</v>
      </c>
      <c r="P1403" s="19">
        <v>0.34138249916397617</v>
      </c>
      <c r="Q1403" s="19">
        <v>6.6195554292541967E-2</v>
      </c>
      <c r="R1403" s="19">
        <v>0.10347321961736745</v>
      </c>
      <c r="S1403" s="19">
        <v>7.8366155162181567E-3</v>
      </c>
      <c r="T1403" s="20">
        <v>23</v>
      </c>
      <c r="U1403" s="17">
        <v>2</v>
      </c>
      <c r="V1403" s="17">
        <v>34</v>
      </c>
    </row>
    <row r="1404" spans="1:22" x14ac:dyDescent="0.2">
      <c r="A1404" t="s">
        <v>3711</v>
      </c>
      <c r="B1404" t="s">
        <v>2719</v>
      </c>
      <c r="C1404" t="s">
        <v>2720</v>
      </c>
      <c r="D1404" t="s">
        <v>3695</v>
      </c>
      <c r="E1404" s="10" t="s">
        <v>3712</v>
      </c>
      <c r="F1404" s="10"/>
      <c r="G1404" s="10"/>
      <c r="H1404" s="10" t="s">
        <v>3712</v>
      </c>
      <c r="I1404" s="14">
        <v>61169.97757040523</v>
      </c>
      <c r="J1404" s="19">
        <v>0</v>
      </c>
      <c r="K1404" s="19">
        <v>0.62006746078869523</v>
      </c>
      <c r="L1404" s="19">
        <v>0.37993253921130477</v>
      </c>
      <c r="M1404" s="20">
        <v>2</v>
      </c>
      <c r="N1404" s="19">
        <v>0.20493916493287451</v>
      </c>
      <c r="O1404" s="19">
        <v>0.1208742530461883</v>
      </c>
      <c r="P1404" s="19">
        <v>0.29425404280963235</v>
      </c>
      <c r="Q1404" s="19">
        <v>0.18142712168176184</v>
      </c>
      <c r="R1404" s="19">
        <v>0.17797490552154185</v>
      </c>
      <c r="S1404" s="19">
        <v>2.053051200800109E-2</v>
      </c>
      <c r="T1404" s="20">
        <v>23</v>
      </c>
      <c r="U1404" s="17">
        <v>2</v>
      </c>
      <c r="V1404" s="17">
        <v>34</v>
      </c>
    </row>
    <row r="1405" spans="1:22" x14ac:dyDescent="0.2">
      <c r="A1405" t="s">
        <v>3713</v>
      </c>
      <c r="B1405" t="s">
        <v>2719</v>
      </c>
      <c r="C1405" t="s">
        <v>2720</v>
      </c>
      <c r="D1405" t="s">
        <v>3695</v>
      </c>
      <c r="E1405" s="10" t="s">
        <v>3714</v>
      </c>
      <c r="F1405" s="10"/>
      <c r="G1405" s="10"/>
      <c r="H1405" s="10" t="s">
        <v>3714</v>
      </c>
      <c r="I1405" s="14">
        <v>110313.59055445716</v>
      </c>
      <c r="J1405" s="19">
        <v>0</v>
      </c>
      <c r="K1405" s="19">
        <v>0.82709825553123717</v>
      </c>
      <c r="L1405" s="19">
        <v>0.17290174446876283</v>
      </c>
      <c r="M1405" s="20">
        <v>2</v>
      </c>
      <c r="N1405" s="19">
        <v>0.28708983233989965</v>
      </c>
      <c r="O1405" s="19">
        <v>5.9418772907347026E-2</v>
      </c>
      <c r="P1405" s="19">
        <v>0.48058965028399048</v>
      </c>
      <c r="Q1405" s="19">
        <v>4.9409001818602083E-2</v>
      </c>
      <c r="R1405" s="19">
        <v>0.10964250324061899</v>
      </c>
      <c r="S1405" s="19">
        <v>1.3850239409541776E-2</v>
      </c>
      <c r="T1405" s="20">
        <v>23</v>
      </c>
      <c r="U1405" s="17">
        <v>2</v>
      </c>
      <c r="V1405" s="17">
        <v>34</v>
      </c>
    </row>
    <row r="1406" spans="1:22" x14ac:dyDescent="0.2">
      <c r="A1406" t="s">
        <v>3715</v>
      </c>
      <c r="B1406" t="s">
        <v>2719</v>
      </c>
      <c r="C1406" t="s">
        <v>2720</v>
      </c>
      <c r="D1406" t="s">
        <v>3716</v>
      </c>
      <c r="E1406" s="10" t="s">
        <v>3717</v>
      </c>
      <c r="F1406" s="10"/>
      <c r="G1406" s="10"/>
      <c r="H1406" s="10" t="s">
        <v>3717</v>
      </c>
      <c r="I1406" s="14">
        <v>81316.204112246283</v>
      </c>
      <c r="J1406" s="19">
        <v>0</v>
      </c>
      <c r="K1406" s="19">
        <v>0.79095265342820997</v>
      </c>
      <c r="L1406" s="19">
        <v>0.20904734657179</v>
      </c>
      <c r="M1406" s="20">
        <v>2</v>
      </c>
      <c r="N1406" s="19">
        <v>0.22636868990294748</v>
      </c>
      <c r="O1406" s="19">
        <v>2.2895545551460463E-5</v>
      </c>
      <c r="P1406" s="19">
        <v>0.56456106797971106</v>
      </c>
      <c r="Q1406" s="19">
        <v>6.1062782481382805E-2</v>
      </c>
      <c r="R1406" s="19">
        <v>0.13230520406727178</v>
      </c>
      <c r="S1406" s="19">
        <v>1.5679360023135434E-2</v>
      </c>
      <c r="T1406" s="20">
        <v>21</v>
      </c>
      <c r="U1406" s="17">
        <v>2</v>
      </c>
      <c r="V1406" s="17">
        <v>34</v>
      </c>
    </row>
    <row r="1407" spans="1:22" x14ac:dyDescent="0.2">
      <c r="A1407" t="s">
        <v>3718</v>
      </c>
      <c r="B1407" t="s">
        <v>2719</v>
      </c>
      <c r="C1407" t="s">
        <v>2720</v>
      </c>
      <c r="D1407" t="s">
        <v>3716</v>
      </c>
      <c r="E1407" s="10" t="s">
        <v>3719</v>
      </c>
      <c r="F1407" s="10"/>
      <c r="G1407" s="10"/>
      <c r="H1407" s="10" t="s">
        <v>3719</v>
      </c>
      <c r="I1407" s="14">
        <v>42940.784666580497</v>
      </c>
      <c r="J1407" s="19">
        <v>0</v>
      </c>
      <c r="K1407" s="19">
        <v>0.77233343933628262</v>
      </c>
      <c r="L1407" s="19">
        <v>0.22766656066371735</v>
      </c>
      <c r="M1407" s="20">
        <v>2</v>
      </c>
      <c r="N1407" s="19">
        <v>0.10348852484067927</v>
      </c>
      <c r="O1407" s="19">
        <v>0</v>
      </c>
      <c r="P1407" s="19">
        <v>0.66884491449560324</v>
      </c>
      <c r="Q1407" s="19">
        <v>7.7764769395191821E-2</v>
      </c>
      <c r="R1407" s="19">
        <v>0.136410559082393</v>
      </c>
      <c r="S1407" s="19">
        <v>1.3491232186132554E-2</v>
      </c>
      <c r="T1407" s="20">
        <v>21</v>
      </c>
      <c r="U1407" s="17">
        <v>2</v>
      </c>
      <c r="V1407" s="17">
        <v>34</v>
      </c>
    </row>
    <row r="1408" spans="1:22" x14ac:dyDescent="0.2">
      <c r="A1408" t="s">
        <v>3720</v>
      </c>
      <c r="B1408" t="s">
        <v>2719</v>
      </c>
      <c r="C1408" t="s">
        <v>2720</v>
      </c>
      <c r="D1408" t="s">
        <v>3716</v>
      </c>
      <c r="E1408" s="10" t="s">
        <v>2783</v>
      </c>
      <c r="F1408" s="10"/>
      <c r="G1408" s="10"/>
      <c r="H1408" s="10" t="s">
        <v>2783</v>
      </c>
      <c r="I1408" s="14">
        <v>103252.41698215902</v>
      </c>
      <c r="J1408" s="19">
        <v>8.7034741461999146E-2</v>
      </c>
      <c r="K1408" s="19">
        <v>0.8419342543622006</v>
      </c>
      <c r="L1408" s="19">
        <v>7.1031004175800244E-2</v>
      </c>
      <c r="M1408" s="20">
        <v>2</v>
      </c>
      <c r="N1408" s="19">
        <v>0.32820382621908051</v>
      </c>
      <c r="O1408" s="19">
        <v>0</v>
      </c>
      <c r="P1408" s="19">
        <v>0.51373042814312009</v>
      </c>
      <c r="Q1408" s="19">
        <v>0</v>
      </c>
      <c r="R1408" s="19">
        <v>6.7357317095037297E-2</v>
      </c>
      <c r="S1408" s="19">
        <v>3.6736870807629364E-3</v>
      </c>
      <c r="T1408" s="20">
        <v>21</v>
      </c>
      <c r="U1408" s="17">
        <v>2</v>
      </c>
      <c r="V1408" s="17">
        <v>34</v>
      </c>
    </row>
    <row r="1409" spans="1:22" x14ac:dyDescent="0.2">
      <c r="A1409" t="s">
        <v>3721</v>
      </c>
      <c r="B1409" t="s">
        <v>2719</v>
      </c>
      <c r="C1409" t="s">
        <v>2720</v>
      </c>
      <c r="D1409" t="s">
        <v>3716</v>
      </c>
      <c r="E1409" s="10" t="s">
        <v>3722</v>
      </c>
      <c r="F1409" s="10"/>
      <c r="G1409" s="10"/>
      <c r="H1409" s="10" t="s">
        <v>3722</v>
      </c>
      <c r="I1409" s="14">
        <v>99767.284425761551</v>
      </c>
      <c r="J1409" s="19">
        <v>0</v>
      </c>
      <c r="K1409" s="19">
        <v>0.6240533061657898</v>
      </c>
      <c r="L1409" s="19">
        <v>0.3759466938342102</v>
      </c>
      <c r="M1409" s="20">
        <v>2</v>
      </c>
      <c r="N1409" s="19">
        <v>0.2942970067953885</v>
      </c>
      <c r="O1409" s="19">
        <v>3.2898872545177392E-2</v>
      </c>
      <c r="P1409" s="19">
        <v>0.29685742682522392</v>
      </c>
      <c r="Q1409" s="19">
        <v>0.19757174591911522</v>
      </c>
      <c r="R1409" s="19">
        <v>0.15729808634704204</v>
      </c>
      <c r="S1409" s="19">
        <v>2.1076861568052975E-2</v>
      </c>
      <c r="T1409" s="20">
        <v>23</v>
      </c>
      <c r="U1409" s="17">
        <v>2</v>
      </c>
      <c r="V1409" s="17">
        <v>34</v>
      </c>
    </row>
    <row r="1410" spans="1:22" x14ac:dyDescent="0.2">
      <c r="A1410" t="s">
        <v>3723</v>
      </c>
      <c r="B1410" t="s">
        <v>2719</v>
      </c>
      <c r="C1410" t="s">
        <v>2720</v>
      </c>
      <c r="D1410" t="s">
        <v>3716</v>
      </c>
      <c r="E1410" s="10" t="s">
        <v>3724</v>
      </c>
      <c r="F1410" s="10"/>
      <c r="G1410" s="10"/>
      <c r="H1410" s="10" t="s">
        <v>3724</v>
      </c>
      <c r="I1410" s="14">
        <v>73711.349845197052</v>
      </c>
      <c r="J1410" s="19">
        <v>0</v>
      </c>
      <c r="K1410" s="19">
        <v>0.60615985928081917</v>
      </c>
      <c r="L1410" s="19">
        <v>0.39384014071918083</v>
      </c>
      <c r="M1410" s="20">
        <v>2</v>
      </c>
      <c r="N1410" s="19">
        <v>0.14027055235614794</v>
      </c>
      <c r="O1410" s="19">
        <v>0</v>
      </c>
      <c r="P1410" s="19">
        <v>0.46588930692467123</v>
      </c>
      <c r="Q1410" s="19">
        <v>0.19370912380136387</v>
      </c>
      <c r="R1410" s="19">
        <v>0.17975452851243343</v>
      </c>
      <c r="S1410" s="19">
        <v>2.0376488405383562E-2</v>
      </c>
      <c r="T1410" s="20">
        <v>23</v>
      </c>
      <c r="U1410" s="17">
        <v>2</v>
      </c>
      <c r="V1410" s="17">
        <v>34</v>
      </c>
    </row>
    <row r="1411" spans="1:22" x14ac:dyDescent="0.2">
      <c r="A1411" t="s">
        <v>3725</v>
      </c>
      <c r="B1411" t="s">
        <v>2719</v>
      </c>
      <c r="C1411" t="s">
        <v>2720</v>
      </c>
      <c r="D1411" t="s">
        <v>3716</v>
      </c>
      <c r="E1411" s="10" t="s">
        <v>3726</v>
      </c>
      <c r="F1411" s="10"/>
      <c r="G1411" s="10"/>
      <c r="H1411" s="10" t="s">
        <v>3726</v>
      </c>
      <c r="I1411" s="14">
        <v>260792.28675972114</v>
      </c>
      <c r="J1411" s="19">
        <v>0.62501072154412474</v>
      </c>
      <c r="K1411" s="19">
        <v>0.28465214085678442</v>
      </c>
      <c r="L1411" s="19">
        <v>9.0337137599090733E-2</v>
      </c>
      <c r="M1411" s="20">
        <v>3</v>
      </c>
      <c r="N1411" s="19">
        <v>9.1763641824695541E-2</v>
      </c>
      <c r="O1411" s="19">
        <v>1.1903772132687873E-2</v>
      </c>
      <c r="P1411" s="19">
        <v>0.18098472689940096</v>
      </c>
      <c r="Q1411" s="19">
        <v>2.003399178205624E-2</v>
      </c>
      <c r="R1411" s="19">
        <v>6.4622672894658464E-2</v>
      </c>
      <c r="S1411" s="19">
        <v>5.6804729223760321E-3</v>
      </c>
      <c r="T1411" s="20">
        <v>30</v>
      </c>
      <c r="U1411" s="17">
        <v>2</v>
      </c>
      <c r="V1411" s="17">
        <v>34</v>
      </c>
    </row>
    <row r="1412" spans="1:22" x14ac:dyDescent="0.2">
      <c r="A1412" t="s">
        <v>3727</v>
      </c>
      <c r="B1412" t="s">
        <v>2719</v>
      </c>
      <c r="C1412" t="s">
        <v>2720</v>
      </c>
      <c r="D1412" t="s">
        <v>3716</v>
      </c>
      <c r="E1412" s="10" t="s">
        <v>3728</v>
      </c>
      <c r="F1412" s="10"/>
      <c r="G1412" s="10"/>
      <c r="H1412" s="10" t="s">
        <v>3728</v>
      </c>
      <c r="I1412" s="14">
        <v>132297.823923836</v>
      </c>
      <c r="J1412" s="19">
        <v>2.3671967149184622E-2</v>
      </c>
      <c r="K1412" s="19">
        <v>0.80366627096146759</v>
      </c>
      <c r="L1412" s="19">
        <v>0.17266176188934793</v>
      </c>
      <c r="M1412" s="20">
        <v>2</v>
      </c>
      <c r="N1412" s="19">
        <v>0.17853424615079391</v>
      </c>
      <c r="O1412" s="19">
        <v>4.5343886976537719E-2</v>
      </c>
      <c r="P1412" s="19">
        <v>0.57978813783413574</v>
      </c>
      <c r="Q1412" s="19">
        <v>4.0210278026462834E-2</v>
      </c>
      <c r="R1412" s="19">
        <v>0.12489032448066699</v>
      </c>
      <c r="S1412" s="19">
        <v>7.5611593822181205E-3</v>
      </c>
      <c r="T1412" s="20">
        <v>21</v>
      </c>
      <c r="U1412" s="17">
        <v>2</v>
      </c>
      <c r="V1412" s="17">
        <v>34</v>
      </c>
    </row>
    <row r="1413" spans="1:22" x14ac:dyDescent="0.2">
      <c r="A1413" t="s">
        <v>3729</v>
      </c>
      <c r="B1413" t="s">
        <v>2719</v>
      </c>
      <c r="C1413" t="s">
        <v>2720</v>
      </c>
      <c r="D1413" t="s">
        <v>3716</v>
      </c>
      <c r="E1413" s="10" t="s">
        <v>2762</v>
      </c>
      <c r="F1413" s="10"/>
      <c r="G1413" s="10"/>
      <c r="H1413" s="10" t="s">
        <v>2762</v>
      </c>
      <c r="I1413" s="14">
        <v>35271.696976810694</v>
      </c>
      <c r="J1413" s="19">
        <v>0</v>
      </c>
      <c r="K1413" s="19">
        <v>0.47149618043049907</v>
      </c>
      <c r="L1413" s="19">
        <v>0.52850381956950088</v>
      </c>
      <c r="M1413" s="20">
        <v>1</v>
      </c>
      <c r="N1413" s="19">
        <v>0</v>
      </c>
      <c r="O1413" s="19">
        <v>0.30457280876290482</v>
      </c>
      <c r="P1413" s="19">
        <v>0.16692337166759424</v>
      </c>
      <c r="Q1413" s="19">
        <v>0.26767526150634091</v>
      </c>
      <c r="R1413" s="19">
        <v>0.24080646832047539</v>
      </c>
      <c r="S1413" s="19">
        <v>2.0022089742684643E-2</v>
      </c>
      <c r="T1413" s="20">
        <v>13</v>
      </c>
      <c r="U1413" s="17">
        <v>2</v>
      </c>
      <c r="V1413" s="17">
        <v>34</v>
      </c>
    </row>
    <row r="1414" spans="1:22" x14ac:dyDescent="0.2">
      <c r="A1414" t="s">
        <v>3730</v>
      </c>
      <c r="B1414" t="s">
        <v>2719</v>
      </c>
      <c r="C1414" t="s">
        <v>2720</v>
      </c>
      <c r="D1414" t="s">
        <v>3716</v>
      </c>
      <c r="E1414" s="10" t="s">
        <v>3082</v>
      </c>
      <c r="F1414" s="10"/>
      <c r="G1414" s="10"/>
      <c r="H1414" s="10" t="s">
        <v>3082</v>
      </c>
      <c r="I1414" s="14">
        <v>162616.4224310657</v>
      </c>
      <c r="J1414" s="19">
        <v>0</v>
      </c>
      <c r="K1414" s="19">
        <v>0.92218665156256041</v>
      </c>
      <c r="L1414" s="19">
        <v>7.7813348437439575E-2</v>
      </c>
      <c r="M1414" s="20">
        <v>2</v>
      </c>
      <c r="N1414" s="19">
        <v>0.32937494285530622</v>
      </c>
      <c r="O1414" s="19">
        <v>0</v>
      </c>
      <c r="P1414" s="19">
        <v>0.59281170870725419</v>
      </c>
      <c r="Q1414" s="19">
        <v>1.2697979755314052E-2</v>
      </c>
      <c r="R1414" s="19">
        <v>5.9385630515018245E-2</v>
      </c>
      <c r="S1414" s="19">
        <v>5.7297381671072758E-3</v>
      </c>
      <c r="T1414" s="20">
        <v>21</v>
      </c>
      <c r="U1414" s="17">
        <v>2</v>
      </c>
      <c r="V1414" s="17">
        <v>34</v>
      </c>
    </row>
    <row r="1415" spans="1:22" x14ac:dyDescent="0.2">
      <c r="A1415" t="s">
        <v>3731</v>
      </c>
      <c r="B1415" t="s">
        <v>2719</v>
      </c>
      <c r="C1415" t="s">
        <v>2720</v>
      </c>
      <c r="D1415" t="s">
        <v>3716</v>
      </c>
      <c r="E1415" s="10" t="s">
        <v>3732</v>
      </c>
      <c r="F1415" s="10"/>
      <c r="G1415" s="10"/>
      <c r="H1415" s="10" t="s">
        <v>3732</v>
      </c>
      <c r="I1415" s="14">
        <v>362182.72961790673</v>
      </c>
      <c r="J1415" s="19">
        <v>0.78286020843429416</v>
      </c>
      <c r="K1415" s="19">
        <v>0.19651958682414458</v>
      </c>
      <c r="L1415" s="19">
        <v>2.0620204741561274E-2</v>
      </c>
      <c r="M1415" s="20">
        <v>3</v>
      </c>
      <c r="N1415" s="19">
        <v>4.1034795155804674E-2</v>
      </c>
      <c r="O1415" s="19">
        <v>0</v>
      </c>
      <c r="P1415" s="19">
        <v>0.15548479166833987</v>
      </c>
      <c r="Q1415" s="19">
        <v>3.0056426927513613E-3</v>
      </c>
      <c r="R1415" s="19">
        <v>1.6745598859582454E-2</v>
      </c>
      <c r="S1415" s="19">
        <v>8.6896318922745483E-4</v>
      </c>
      <c r="T1415" s="20">
        <v>30</v>
      </c>
      <c r="U1415" s="17">
        <v>2</v>
      </c>
      <c r="V1415" s="17">
        <v>34</v>
      </c>
    </row>
    <row r="1416" spans="1:22" x14ac:dyDescent="0.2">
      <c r="A1416" t="s">
        <v>3733</v>
      </c>
      <c r="B1416" t="s">
        <v>2719</v>
      </c>
      <c r="C1416" t="s">
        <v>2720</v>
      </c>
      <c r="D1416" t="s">
        <v>3716</v>
      </c>
      <c r="E1416" s="10" t="s">
        <v>3734</v>
      </c>
      <c r="F1416" s="10"/>
      <c r="G1416" s="10"/>
      <c r="H1416" s="10" t="s">
        <v>3734</v>
      </c>
      <c r="I1416" s="14">
        <v>44848.824766800273</v>
      </c>
      <c r="J1416" s="19">
        <v>0</v>
      </c>
      <c r="K1416" s="19">
        <v>0.34985563989276491</v>
      </c>
      <c r="L1416" s="19">
        <v>0.6501443601072352</v>
      </c>
      <c r="M1416" s="20">
        <v>1</v>
      </c>
      <c r="N1416" s="19">
        <v>0</v>
      </c>
      <c r="O1416" s="19">
        <v>0.34985563989276491</v>
      </c>
      <c r="P1416" s="19">
        <v>0</v>
      </c>
      <c r="Q1416" s="19">
        <v>0.35077615298881032</v>
      </c>
      <c r="R1416" s="19">
        <v>0.27680008018466629</v>
      </c>
      <c r="S1416" s="19">
        <v>2.2568126933758505E-2</v>
      </c>
      <c r="T1416" s="20">
        <v>13</v>
      </c>
      <c r="U1416" s="17">
        <v>2</v>
      </c>
      <c r="V1416" s="17">
        <v>34</v>
      </c>
    </row>
    <row r="1417" spans="1:22" x14ac:dyDescent="0.2">
      <c r="A1417" t="s">
        <v>3735</v>
      </c>
      <c r="B1417" t="s">
        <v>2719</v>
      </c>
      <c r="C1417" t="s">
        <v>2720</v>
      </c>
      <c r="D1417" t="s">
        <v>3736</v>
      </c>
      <c r="E1417" s="10" t="s">
        <v>3737</v>
      </c>
      <c r="F1417" s="10"/>
      <c r="G1417" s="10"/>
      <c r="H1417" s="10" t="s">
        <v>3737</v>
      </c>
      <c r="I1417" s="14">
        <v>68935.278039168101</v>
      </c>
      <c r="J1417" s="19">
        <v>0</v>
      </c>
      <c r="K1417" s="19">
        <v>0.8890507439251214</v>
      </c>
      <c r="L1417" s="19">
        <v>0.11094925607487859</v>
      </c>
      <c r="M1417" s="20">
        <v>2</v>
      </c>
      <c r="N1417" s="19">
        <v>0.38761064657043526</v>
      </c>
      <c r="O1417" s="19">
        <v>0</v>
      </c>
      <c r="P1417" s="19">
        <v>0.50144009735468609</v>
      </c>
      <c r="Q1417" s="19">
        <v>4.1048938433976646E-2</v>
      </c>
      <c r="R1417" s="19">
        <v>6.6443222582970182E-2</v>
      </c>
      <c r="S1417" s="19">
        <v>3.4570950579317695E-3</v>
      </c>
      <c r="T1417" s="20">
        <v>21</v>
      </c>
      <c r="U1417" s="17">
        <v>2</v>
      </c>
      <c r="V1417" s="17">
        <v>34</v>
      </c>
    </row>
    <row r="1418" spans="1:22" x14ac:dyDescent="0.2">
      <c r="A1418" t="s">
        <v>3738</v>
      </c>
      <c r="B1418" t="s">
        <v>2719</v>
      </c>
      <c r="C1418" t="s">
        <v>2720</v>
      </c>
      <c r="D1418" t="s">
        <v>3736</v>
      </c>
      <c r="E1418" s="10" t="s">
        <v>3739</v>
      </c>
      <c r="F1418" s="10"/>
      <c r="G1418" s="10"/>
      <c r="H1418" s="10" t="s">
        <v>3739</v>
      </c>
      <c r="I1418" s="14">
        <v>1892859.3021873834</v>
      </c>
      <c r="J1418" s="19">
        <v>0.76044309835700008</v>
      </c>
      <c r="K1418" s="19">
        <v>0.18331080161215399</v>
      </c>
      <c r="L1418" s="19">
        <v>5.6246100030845965E-2</v>
      </c>
      <c r="M1418" s="20">
        <v>3</v>
      </c>
      <c r="N1418" s="19">
        <v>4.3286365355543248E-2</v>
      </c>
      <c r="O1418" s="19">
        <v>1.4344030674439083E-2</v>
      </c>
      <c r="P1418" s="19">
        <v>0.12568040558217164</v>
      </c>
      <c r="Q1418" s="19">
        <v>1.682448023542199E-2</v>
      </c>
      <c r="R1418" s="19">
        <v>3.5493670711656121E-2</v>
      </c>
      <c r="S1418" s="19">
        <v>3.9279490837678573E-3</v>
      </c>
      <c r="T1418" s="20">
        <v>30</v>
      </c>
      <c r="U1418" s="17">
        <v>2</v>
      </c>
      <c r="V1418" s="17">
        <v>34</v>
      </c>
    </row>
    <row r="1419" spans="1:22" x14ac:dyDescent="0.2">
      <c r="A1419" t="s">
        <v>3740</v>
      </c>
      <c r="B1419" t="s">
        <v>2719</v>
      </c>
      <c r="C1419" t="s">
        <v>2720</v>
      </c>
      <c r="D1419" t="s">
        <v>3736</v>
      </c>
      <c r="E1419" s="10" t="s">
        <v>3741</v>
      </c>
      <c r="F1419" s="10"/>
      <c r="G1419" s="10"/>
      <c r="H1419" s="10" t="s">
        <v>3741</v>
      </c>
      <c r="I1419" s="14">
        <v>180927.24841621902</v>
      </c>
      <c r="J1419" s="19">
        <v>0.63056474302518017</v>
      </c>
      <c r="K1419" s="19">
        <v>0.31961925809113162</v>
      </c>
      <c r="L1419" s="19">
        <v>4.9815998883688213E-2</v>
      </c>
      <c r="M1419" s="20">
        <v>3</v>
      </c>
      <c r="N1419" s="19">
        <v>2.3956869850386024E-2</v>
      </c>
      <c r="O1419" s="19">
        <v>5.4434902837708063E-2</v>
      </c>
      <c r="P1419" s="19">
        <v>0.24122748540303754</v>
      </c>
      <c r="Q1419" s="19">
        <v>0</v>
      </c>
      <c r="R1419" s="19">
        <v>4.5291191714336279E-2</v>
      </c>
      <c r="S1419" s="19">
        <v>4.5248071693519305E-3</v>
      </c>
      <c r="T1419" s="20">
        <v>30</v>
      </c>
      <c r="U1419" s="17">
        <v>2</v>
      </c>
      <c r="V1419" s="17">
        <v>34</v>
      </c>
    </row>
    <row r="1420" spans="1:22" x14ac:dyDescent="0.2">
      <c r="A1420" t="s">
        <v>3742</v>
      </c>
      <c r="B1420" t="s">
        <v>2719</v>
      </c>
      <c r="C1420" t="s">
        <v>2720</v>
      </c>
      <c r="D1420" t="s">
        <v>3736</v>
      </c>
      <c r="E1420" s="10" t="s">
        <v>3743</v>
      </c>
      <c r="F1420" s="10"/>
      <c r="G1420" s="10"/>
      <c r="H1420" s="10" t="s">
        <v>3743</v>
      </c>
      <c r="I1420" s="14">
        <v>57839.850495047867</v>
      </c>
      <c r="J1420" s="19">
        <v>0</v>
      </c>
      <c r="K1420" s="19">
        <v>0.4239037631256094</v>
      </c>
      <c r="L1420" s="19">
        <v>0.5760962368743906</v>
      </c>
      <c r="M1420" s="20">
        <v>1</v>
      </c>
      <c r="N1420" s="19">
        <v>0.11035946975002883</v>
      </c>
      <c r="O1420" s="19">
        <v>0.24510945197526662</v>
      </c>
      <c r="P1420" s="19">
        <v>6.8434841400313931E-2</v>
      </c>
      <c r="Q1420" s="19">
        <v>0.45679575190496424</v>
      </c>
      <c r="R1420" s="19">
        <v>0.10410170227195678</v>
      </c>
      <c r="S1420" s="19">
        <v>1.5198782697469581E-2</v>
      </c>
      <c r="T1420" s="20">
        <v>13</v>
      </c>
      <c r="U1420" s="17">
        <v>2</v>
      </c>
      <c r="V1420" s="17">
        <v>34</v>
      </c>
    </row>
    <row r="1421" spans="1:22" x14ac:dyDescent="0.2">
      <c r="A1421" t="s">
        <v>3744</v>
      </c>
      <c r="B1421" t="s">
        <v>2719</v>
      </c>
      <c r="C1421" t="s">
        <v>2720</v>
      </c>
      <c r="D1421" t="s">
        <v>3736</v>
      </c>
      <c r="E1421" s="10" t="s">
        <v>3298</v>
      </c>
      <c r="F1421" s="10"/>
      <c r="G1421" s="10"/>
      <c r="H1421" s="10" t="s">
        <v>3298</v>
      </c>
      <c r="I1421" s="14">
        <v>60387.278312444687</v>
      </c>
      <c r="J1421" s="19">
        <v>1.8888936519058066E-2</v>
      </c>
      <c r="K1421" s="19">
        <v>0.90594821891205091</v>
      </c>
      <c r="L1421" s="19">
        <v>7.5162844568891038E-2</v>
      </c>
      <c r="M1421" s="20">
        <v>2</v>
      </c>
      <c r="N1421" s="19">
        <v>0.34237416514386732</v>
      </c>
      <c r="O1421" s="19">
        <v>0</v>
      </c>
      <c r="P1421" s="19">
        <v>0.56357405376818348</v>
      </c>
      <c r="Q1421" s="19">
        <v>9.5138457812639268E-3</v>
      </c>
      <c r="R1421" s="19">
        <v>6.3100495758194458E-2</v>
      </c>
      <c r="S1421" s="19">
        <v>2.5485030294326513E-3</v>
      </c>
      <c r="T1421" s="20">
        <v>21</v>
      </c>
      <c r="U1421" s="17">
        <v>2</v>
      </c>
      <c r="V1421" s="17">
        <v>34</v>
      </c>
    </row>
    <row r="1422" spans="1:22" x14ac:dyDescent="0.2">
      <c r="A1422" t="s">
        <v>3745</v>
      </c>
      <c r="B1422" t="s">
        <v>2719</v>
      </c>
      <c r="C1422" t="s">
        <v>2720</v>
      </c>
      <c r="D1422" t="s">
        <v>3736</v>
      </c>
      <c r="E1422" s="10" t="s">
        <v>3746</v>
      </c>
      <c r="F1422" s="10"/>
      <c r="G1422" s="10"/>
      <c r="H1422" s="10" t="s">
        <v>3746</v>
      </c>
      <c r="I1422" s="14">
        <v>88997.389374297112</v>
      </c>
      <c r="J1422" s="19">
        <v>0</v>
      </c>
      <c r="K1422" s="19">
        <v>0.37109040560643319</v>
      </c>
      <c r="L1422" s="19">
        <v>0.62890959439356675</v>
      </c>
      <c r="M1422" s="20">
        <v>1</v>
      </c>
      <c r="N1422" s="19">
        <v>0.18697579942393749</v>
      </c>
      <c r="O1422" s="19">
        <v>0.10448629092823795</v>
      </c>
      <c r="P1422" s="19">
        <v>7.9628315254257759E-2</v>
      </c>
      <c r="Q1422" s="19">
        <v>0.50035496554786796</v>
      </c>
      <c r="R1422" s="19">
        <v>0.10945772746058491</v>
      </c>
      <c r="S1422" s="19">
        <v>1.9096901385113923E-2</v>
      </c>
      <c r="T1422" s="20">
        <v>13</v>
      </c>
      <c r="U1422" s="17">
        <v>2</v>
      </c>
      <c r="V1422" s="17">
        <v>34</v>
      </c>
    </row>
    <row r="1423" spans="1:22" x14ac:dyDescent="0.2">
      <c r="A1423" t="s">
        <v>3747</v>
      </c>
      <c r="B1423" t="s">
        <v>2719</v>
      </c>
      <c r="C1423" t="s">
        <v>2720</v>
      </c>
      <c r="D1423" t="s">
        <v>3736</v>
      </c>
      <c r="E1423" s="10" t="s">
        <v>3748</v>
      </c>
      <c r="F1423" s="10"/>
      <c r="G1423" s="10"/>
      <c r="H1423" s="10" t="s">
        <v>3748</v>
      </c>
      <c r="I1423" s="14">
        <v>54288.031809828244</v>
      </c>
      <c r="J1423" s="19">
        <v>0</v>
      </c>
      <c r="K1423" s="19">
        <v>0.9251677610124065</v>
      </c>
      <c r="L1423" s="19">
        <v>7.4832238987593447E-2</v>
      </c>
      <c r="M1423" s="20">
        <v>2</v>
      </c>
      <c r="N1423" s="19">
        <v>0.5045942078248804</v>
      </c>
      <c r="O1423" s="19">
        <v>0</v>
      </c>
      <c r="P1423" s="19">
        <v>0.42057355318752615</v>
      </c>
      <c r="Q1423" s="19">
        <v>0</v>
      </c>
      <c r="R1423" s="19">
        <v>7.1026823879903445E-2</v>
      </c>
      <c r="S1423" s="19">
        <v>3.8054151076900031E-3</v>
      </c>
      <c r="T1423" s="20">
        <v>23</v>
      </c>
      <c r="U1423" s="17">
        <v>2</v>
      </c>
      <c r="V1423" s="17">
        <v>34</v>
      </c>
    </row>
    <row r="1424" spans="1:22" x14ac:dyDescent="0.2">
      <c r="A1424" t="s">
        <v>3749</v>
      </c>
      <c r="B1424" t="s">
        <v>2719</v>
      </c>
      <c r="C1424" t="s">
        <v>2720</v>
      </c>
      <c r="D1424" t="s">
        <v>3736</v>
      </c>
      <c r="E1424" s="10" t="s">
        <v>3750</v>
      </c>
      <c r="F1424" s="10"/>
      <c r="G1424" s="10"/>
      <c r="H1424" s="10" t="s">
        <v>3750</v>
      </c>
      <c r="I1424" s="14">
        <v>63363.496767147451</v>
      </c>
      <c r="J1424" s="19">
        <v>0</v>
      </c>
      <c r="K1424" s="19">
        <v>0.89098304938159589</v>
      </c>
      <c r="L1424" s="19">
        <v>0.10901695061840404</v>
      </c>
      <c r="M1424" s="20">
        <v>2</v>
      </c>
      <c r="N1424" s="19">
        <v>0.26398455374737839</v>
      </c>
      <c r="O1424" s="19">
        <v>0</v>
      </c>
      <c r="P1424" s="19">
        <v>0.6269984956342175</v>
      </c>
      <c r="Q1424" s="19">
        <v>1.3735532569066547E-2</v>
      </c>
      <c r="R1424" s="19">
        <v>9.2434707508724942E-2</v>
      </c>
      <c r="S1424" s="19">
        <v>2.8467105406125427E-3</v>
      </c>
      <c r="T1424" s="20">
        <v>21</v>
      </c>
      <c r="U1424" s="17">
        <v>2</v>
      </c>
      <c r="V1424" s="17">
        <v>34</v>
      </c>
    </row>
    <row r="1425" spans="1:22" x14ac:dyDescent="0.2">
      <c r="A1425" t="s">
        <v>3751</v>
      </c>
      <c r="B1425" t="s">
        <v>2719</v>
      </c>
      <c r="C1425" t="s">
        <v>2720</v>
      </c>
      <c r="D1425" t="s">
        <v>3736</v>
      </c>
      <c r="E1425" s="10" t="s">
        <v>3752</v>
      </c>
      <c r="F1425" s="10"/>
      <c r="G1425" s="10"/>
      <c r="H1425" s="10" t="s">
        <v>3752</v>
      </c>
      <c r="I1425" s="14">
        <v>40872.197742472403</v>
      </c>
      <c r="J1425" s="19">
        <v>0</v>
      </c>
      <c r="K1425" s="19">
        <v>0.63803090734891932</v>
      </c>
      <c r="L1425" s="19">
        <v>0.36196909265108068</v>
      </c>
      <c r="M1425" s="20">
        <v>2</v>
      </c>
      <c r="N1425" s="19">
        <v>0.20355770221229386</v>
      </c>
      <c r="O1425" s="19">
        <v>0</v>
      </c>
      <c r="P1425" s="19">
        <v>0.43447320513662546</v>
      </c>
      <c r="Q1425" s="19">
        <v>0.10029861659594692</v>
      </c>
      <c r="R1425" s="19">
        <v>0.19022389199774042</v>
      </c>
      <c r="S1425" s="19">
        <v>7.1446584057393347E-2</v>
      </c>
      <c r="T1425" s="20">
        <v>23</v>
      </c>
      <c r="U1425" s="17">
        <v>2</v>
      </c>
      <c r="V1425" s="17">
        <v>34</v>
      </c>
    </row>
    <row r="1426" spans="1:22" x14ac:dyDescent="0.2">
      <c r="A1426" t="s">
        <v>3753</v>
      </c>
      <c r="B1426" t="s">
        <v>2719</v>
      </c>
      <c r="C1426" t="s">
        <v>2720</v>
      </c>
      <c r="D1426" t="s">
        <v>3736</v>
      </c>
      <c r="E1426" s="10" t="s">
        <v>3754</v>
      </c>
      <c r="F1426" s="10"/>
      <c r="G1426" s="10"/>
      <c r="H1426" s="10" t="s">
        <v>3754</v>
      </c>
      <c r="I1426" s="14">
        <v>130095.32815470733</v>
      </c>
      <c r="J1426" s="19">
        <v>0</v>
      </c>
      <c r="K1426" s="19">
        <v>0.50118248500318152</v>
      </c>
      <c r="L1426" s="19">
        <v>0.49881751499681842</v>
      </c>
      <c r="M1426" s="20">
        <v>2</v>
      </c>
      <c r="N1426" s="19">
        <v>0.18961009496306103</v>
      </c>
      <c r="O1426" s="19">
        <v>0.10983506598487495</v>
      </c>
      <c r="P1426" s="19">
        <v>0.20173732405524564</v>
      </c>
      <c r="Q1426" s="19">
        <v>0.23769954878973693</v>
      </c>
      <c r="R1426" s="19">
        <v>0.22089280832671293</v>
      </c>
      <c r="S1426" s="19">
        <v>4.0225157880368553E-2</v>
      </c>
      <c r="T1426" s="20">
        <v>23</v>
      </c>
      <c r="U1426" s="17">
        <v>2</v>
      </c>
      <c r="V1426" s="17">
        <v>34</v>
      </c>
    </row>
    <row r="1427" spans="1:22" x14ac:dyDescent="0.2">
      <c r="A1427" t="s">
        <v>3755</v>
      </c>
      <c r="B1427" t="s">
        <v>2719</v>
      </c>
      <c r="C1427" t="s">
        <v>2720</v>
      </c>
      <c r="D1427" t="s">
        <v>3736</v>
      </c>
      <c r="E1427" s="10" t="s">
        <v>3756</v>
      </c>
      <c r="F1427" s="10"/>
      <c r="G1427" s="10"/>
      <c r="H1427" s="10" t="s">
        <v>3756</v>
      </c>
      <c r="I1427" s="14">
        <v>62193.987590090597</v>
      </c>
      <c r="J1427" s="19">
        <v>0</v>
      </c>
      <c r="K1427" s="19">
        <v>0.83827571547553348</v>
      </c>
      <c r="L1427" s="19">
        <v>0.16172428452446655</v>
      </c>
      <c r="M1427" s="20">
        <v>2</v>
      </c>
      <c r="N1427" s="19">
        <v>0.20133695018066605</v>
      </c>
      <c r="O1427" s="19">
        <v>0</v>
      </c>
      <c r="P1427" s="19">
        <v>0.63693876529486748</v>
      </c>
      <c r="Q1427" s="19">
        <v>1.7536203852427327E-2</v>
      </c>
      <c r="R1427" s="19">
        <v>0.13802611378628132</v>
      </c>
      <c r="S1427" s="19">
        <v>6.1619668857578937E-3</v>
      </c>
      <c r="T1427" s="20">
        <v>21</v>
      </c>
      <c r="U1427" s="17">
        <v>2</v>
      </c>
      <c r="V1427" s="17">
        <v>34</v>
      </c>
    </row>
    <row r="1428" spans="1:22" x14ac:dyDescent="0.2">
      <c r="A1428" t="s">
        <v>3757</v>
      </c>
      <c r="B1428" t="s">
        <v>2719</v>
      </c>
      <c r="C1428" t="s">
        <v>2720</v>
      </c>
      <c r="D1428" t="s">
        <v>3736</v>
      </c>
      <c r="E1428" s="10" t="s">
        <v>3758</v>
      </c>
      <c r="F1428" s="10"/>
      <c r="G1428" s="10"/>
      <c r="H1428" s="10" t="s">
        <v>3758</v>
      </c>
      <c r="I1428" s="14">
        <v>30922.519550776629</v>
      </c>
      <c r="J1428" s="19">
        <v>0</v>
      </c>
      <c r="K1428" s="19">
        <v>0.88868359709505762</v>
      </c>
      <c r="L1428" s="19">
        <v>0.11131640290494263</v>
      </c>
      <c r="M1428" s="20">
        <v>2</v>
      </c>
      <c r="N1428" s="19">
        <v>0.33310422402976836</v>
      </c>
      <c r="O1428" s="19">
        <v>0</v>
      </c>
      <c r="P1428" s="19">
        <v>0.55557937306528915</v>
      </c>
      <c r="Q1428" s="19">
        <v>0</v>
      </c>
      <c r="R1428" s="19">
        <v>0.10846447269228995</v>
      </c>
      <c r="S1428" s="19">
        <v>2.8519302126526732E-3</v>
      </c>
      <c r="T1428" s="20">
        <v>21</v>
      </c>
      <c r="U1428" s="17">
        <v>2</v>
      </c>
      <c r="V1428" s="17">
        <v>34</v>
      </c>
    </row>
    <row r="1429" spans="1:22" x14ac:dyDescent="0.2">
      <c r="A1429" t="s">
        <v>3759</v>
      </c>
      <c r="B1429" t="s">
        <v>2719</v>
      </c>
      <c r="C1429" t="s">
        <v>2720</v>
      </c>
      <c r="D1429" t="s">
        <v>3736</v>
      </c>
      <c r="E1429" s="10" t="s">
        <v>3760</v>
      </c>
      <c r="F1429" s="10"/>
      <c r="G1429" s="10"/>
      <c r="H1429" s="10" t="s">
        <v>3760</v>
      </c>
      <c r="I1429" s="14">
        <v>99928.302303459379</v>
      </c>
      <c r="J1429" s="19">
        <v>4.300392645122398E-2</v>
      </c>
      <c r="K1429" s="19">
        <v>0.88457537522829155</v>
      </c>
      <c r="L1429" s="19">
        <v>7.242069832048445E-2</v>
      </c>
      <c r="M1429" s="20">
        <v>2</v>
      </c>
      <c r="N1429" s="19">
        <v>0.55427443439062529</v>
      </c>
      <c r="O1429" s="19">
        <v>4.7835521761469972E-4</v>
      </c>
      <c r="P1429" s="19">
        <v>0.32982258562005162</v>
      </c>
      <c r="Q1429" s="19">
        <v>5.7325406340400622E-3</v>
      </c>
      <c r="R1429" s="19">
        <v>5.7235244384405658E-2</v>
      </c>
      <c r="S1429" s="19">
        <v>9.4529133020387311E-3</v>
      </c>
      <c r="T1429" s="20">
        <v>23</v>
      </c>
      <c r="U1429" s="17">
        <v>2</v>
      </c>
      <c r="V1429" s="17">
        <v>34</v>
      </c>
    </row>
    <row r="1430" spans="1:22" x14ac:dyDescent="0.2">
      <c r="A1430" t="s">
        <v>3761</v>
      </c>
      <c r="B1430" t="s">
        <v>2719</v>
      </c>
      <c r="C1430" t="s">
        <v>2720</v>
      </c>
      <c r="D1430" t="s">
        <v>3736</v>
      </c>
      <c r="E1430" s="10" t="s">
        <v>3325</v>
      </c>
      <c r="F1430" s="10"/>
      <c r="G1430" s="10"/>
      <c r="H1430" s="10" t="s">
        <v>3325</v>
      </c>
      <c r="I1430" s="14">
        <v>58364.601176562719</v>
      </c>
      <c r="J1430" s="19">
        <v>0</v>
      </c>
      <c r="K1430" s="19">
        <v>0.51048438333307566</v>
      </c>
      <c r="L1430" s="19">
        <v>0.48951561666692422</v>
      </c>
      <c r="M1430" s="20">
        <v>2</v>
      </c>
      <c r="N1430" s="19">
        <v>0.11399342530379909</v>
      </c>
      <c r="O1430" s="19">
        <v>0.14478794767479652</v>
      </c>
      <c r="P1430" s="19">
        <v>0.25170301035448012</v>
      </c>
      <c r="Q1430" s="19">
        <v>0.23492934186773337</v>
      </c>
      <c r="R1430" s="19">
        <v>0.22704154114928402</v>
      </c>
      <c r="S1430" s="19">
        <v>2.7544733649906897E-2</v>
      </c>
      <c r="T1430" s="20">
        <v>22</v>
      </c>
      <c r="U1430" s="17">
        <v>2</v>
      </c>
      <c r="V1430" s="17">
        <v>34</v>
      </c>
    </row>
    <row r="1431" spans="1:22" x14ac:dyDescent="0.2">
      <c r="A1431" t="s">
        <v>3762</v>
      </c>
      <c r="B1431" t="s">
        <v>2719</v>
      </c>
      <c r="C1431" t="s">
        <v>2720</v>
      </c>
      <c r="D1431" t="s">
        <v>3736</v>
      </c>
      <c r="E1431" s="10" t="s">
        <v>3763</v>
      </c>
      <c r="F1431" s="10"/>
      <c r="G1431" s="10"/>
      <c r="H1431" s="10" t="s">
        <v>3763</v>
      </c>
      <c r="I1431" s="14">
        <v>29046.549957534298</v>
      </c>
      <c r="J1431" s="19">
        <v>0</v>
      </c>
      <c r="K1431" s="19">
        <v>0.4110130745347485</v>
      </c>
      <c r="L1431" s="19">
        <v>0.58898692546525155</v>
      </c>
      <c r="M1431" s="20">
        <v>1</v>
      </c>
      <c r="N1431" s="19">
        <v>0.18378722598959077</v>
      </c>
      <c r="O1431" s="19">
        <v>0.21327123785593333</v>
      </c>
      <c r="P1431" s="19">
        <v>1.3954610689224382E-2</v>
      </c>
      <c r="Q1431" s="19">
        <v>0.46206969749639021</v>
      </c>
      <c r="R1431" s="19">
        <v>0.11180421458020012</v>
      </c>
      <c r="S1431" s="19">
        <v>1.5113013388661166E-2</v>
      </c>
      <c r="T1431" s="20">
        <v>13</v>
      </c>
      <c r="U1431" s="17">
        <v>2</v>
      </c>
      <c r="V1431" s="17">
        <v>34</v>
      </c>
    </row>
    <row r="1432" spans="1:22" x14ac:dyDescent="0.2">
      <c r="A1432" t="s">
        <v>3764</v>
      </c>
      <c r="B1432" t="s">
        <v>2719</v>
      </c>
      <c r="C1432" t="s">
        <v>2720</v>
      </c>
      <c r="D1432" t="s">
        <v>3736</v>
      </c>
      <c r="E1432" s="10" t="s">
        <v>3765</v>
      </c>
      <c r="F1432" s="10"/>
      <c r="G1432" s="10"/>
      <c r="H1432" s="10" t="s">
        <v>3765</v>
      </c>
      <c r="I1432" s="14">
        <v>41813.246676260147</v>
      </c>
      <c r="J1432" s="19">
        <v>0</v>
      </c>
      <c r="K1432" s="19">
        <v>0.90730024517207075</v>
      </c>
      <c r="L1432" s="19">
        <v>9.2699754827929054E-2</v>
      </c>
      <c r="M1432" s="20">
        <v>2</v>
      </c>
      <c r="N1432" s="19">
        <v>0.42135907773617803</v>
      </c>
      <c r="O1432" s="19">
        <v>0</v>
      </c>
      <c r="P1432" s="19">
        <v>0.48594116743589272</v>
      </c>
      <c r="Q1432" s="19">
        <v>1.857219778876729E-2</v>
      </c>
      <c r="R1432" s="19">
        <v>7.3454133602299534E-2</v>
      </c>
      <c r="S1432" s="19">
        <v>6.7342343686223522E-4</v>
      </c>
      <c r="T1432" s="20">
        <v>23</v>
      </c>
      <c r="U1432" s="17">
        <v>2</v>
      </c>
      <c r="V1432" s="17">
        <v>34</v>
      </c>
    </row>
    <row r="1433" spans="1:22" x14ac:dyDescent="0.2">
      <c r="A1433" t="s">
        <v>3766</v>
      </c>
      <c r="B1433" t="s">
        <v>2719</v>
      </c>
      <c r="C1433" t="s">
        <v>2720</v>
      </c>
      <c r="D1433" t="s">
        <v>3767</v>
      </c>
      <c r="E1433" s="10" t="s">
        <v>3768</v>
      </c>
      <c r="F1433" s="10"/>
      <c r="G1433" s="10"/>
      <c r="H1433" s="10" t="s">
        <v>3768</v>
      </c>
      <c r="I1433" s="14">
        <v>70476.897234114353</v>
      </c>
      <c r="J1433" s="19">
        <v>0</v>
      </c>
      <c r="K1433" s="19">
        <v>0.44224935473957072</v>
      </c>
      <c r="L1433" s="19">
        <v>0.55775064526042928</v>
      </c>
      <c r="M1433" s="20">
        <v>1</v>
      </c>
      <c r="N1433" s="19">
        <v>0.16980715184937947</v>
      </c>
      <c r="O1433" s="19">
        <v>9.2385227391289695E-2</v>
      </c>
      <c r="P1433" s="19">
        <v>0.18005697549890154</v>
      </c>
      <c r="Q1433" s="19">
        <v>0.22108761641018773</v>
      </c>
      <c r="R1433" s="19">
        <v>0.29447131432963636</v>
      </c>
      <c r="S1433" s="19">
        <v>4.2191714520605182E-2</v>
      </c>
      <c r="T1433" s="20">
        <v>12</v>
      </c>
      <c r="U1433" s="17">
        <v>2</v>
      </c>
      <c r="V1433" s="17">
        <v>34</v>
      </c>
    </row>
    <row r="1434" spans="1:22" x14ac:dyDescent="0.2">
      <c r="A1434" t="s">
        <v>3769</v>
      </c>
      <c r="B1434" t="s">
        <v>2719</v>
      </c>
      <c r="C1434" t="s">
        <v>2720</v>
      </c>
      <c r="D1434" t="s">
        <v>3767</v>
      </c>
      <c r="E1434" s="10" t="s">
        <v>3770</v>
      </c>
      <c r="F1434" s="10"/>
      <c r="G1434" s="10"/>
      <c r="H1434" s="10" t="s">
        <v>3770</v>
      </c>
      <c r="I1434" s="14">
        <v>51219.318437106907</v>
      </c>
      <c r="J1434" s="19">
        <v>0</v>
      </c>
      <c r="K1434" s="19">
        <v>0.85035709134618886</v>
      </c>
      <c r="L1434" s="19">
        <v>0.14964290865381111</v>
      </c>
      <c r="M1434" s="20">
        <v>2</v>
      </c>
      <c r="N1434" s="19">
        <v>0.31533002222508294</v>
      </c>
      <c r="O1434" s="19">
        <v>0</v>
      </c>
      <c r="P1434" s="19">
        <v>0.53502706912110598</v>
      </c>
      <c r="Q1434" s="19">
        <v>5.0545627315117969E-2</v>
      </c>
      <c r="R1434" s="19">
        <v>9.0191724241062976E-2</v>
      </c>
      <c r="S1434" s="19">
        <v>8.9055570976301571E-3</v>
      </c>
      <c r="T1434" s="20">
        <v>21</v>
      </c>
      <c r="U1434" s="17">
        <v>2</v>
      </c>
      <c r="V1434" s="17">
        <v>34</v>
      </c>
    </row>
    <row r="1435" spans="1:22" x14ac:dyDescent="0.2">
      <c r="A1435" t="s">
        <v>3771</v>
      </c>
      <c r="B1435" t="s">
        <v>2719</v>
      </c>
      <c r="C1435" t="s">
        <v>2720</v>
      </c>
      <c r="D1435" t="s">
        <v>3767</v>
      </c>
      <c r="E1435" s="10" t="s">
        <v>3772</v>
      </c>
      <c r="F1435" s="10"/>
      <c r="G1435" s="10"/>
      <c r="H1435" s="10" t="s">
        <v>3772</v>
      </c>
      <c r="I1435" s="14">
        <v>17168.692610325292</v>
      </c>
      <c r="J1435" s="19">
        <v>0</v>
      </c>
      <c r="K1435" s="19">
        <v>0</v>
      </c>
      <c r="L1435" s="19">
        <v>1</v>
      </c>
      <c r="M1435" s="20">
        <v>1</v>
      </c>
      <c r="N1435" s="19">
        <v>0</v>
      </c>
      <c r="O1435" s="19">
        <v>0</v>
      </c>
      <c r="P1435" s="19">
        <v>0</v>
      </c>
      <c r="Q1435" s="19">
        <v>0.8449935439138746</v>
      </c>
      <c r="R1435" s="19">
        <v>0.1303160728300557</v>
      </c>
      <c r="S1435" s="19">
        <v>2.4690383256069832E-2</v>
      </c>
      <c r="T1435" s="20">
        <v>13</v>
      </c>
      <c r="U1435" s="17">
        <v>2</v>
      </c>
      <c r="V1435" s="17">
        <v>34</v>
      </c>
    </row>
    <row r="1436" spans="1:22" x14ac:dyDescent="0.2">
      <c r="A1436" t="s">
        <v>3773</v>
      </c>
      <c r="B1436" t="s">
        <v>2719</v>
      </c>
      <c r="C1436" t="s">
        <v>2720</v>
      </c>
      <c r="D1436" t="s">
        <v>3767</v>
      </c>
      <c r="E1436" s="10" t="s">
        <v>3774</v>
      </c>
      <c r="F1436" s="10"/>
      <c r="G1436" s="10"/>
      <c r="H1436" s="10" t="s">
        <v>3774</v>
      </c>
      <c r="I1436" s="14">
        <v>47563.413294005208</v>
      </c>
      <c r="J1436" s="19">
        <v>0</v>
      </c>
      <c r="K1436" s="19">
        <v>0.15333192282298286</v>
      </c>
      <c r="L1436" s="19">
        <v>0.8466680771770172</v>
      </c>
      <c r="M1436" s="20">
        <v>1</v>
      </c>
      <c r="N1436" s="19">
        <v>0</v>
      </c>
      <c r="O1436" s="19">
        <v>0.15333192282298286</v>
      </c>
      <c r="P1436" s="19">
        <v>0</v>
      </c>
      <c r="Q1436" s="19">
        <v>0.5839053003437179</v>
      </c>
      <c r="R1436" s="19">
        <v>0.23041084123142436</v>
      </c>
      <c r="S1436" s="19">
        <v>3.2351935601874847E-2</v>
      </c>
      <c r="T1436" s="20">
        <v>13</v>
      </c>
      <c r="U1436" s="17">
        <v>2</v>
      </c>
      <c r="V1436" s="17">
        <v>34</v>
      </c>
    </row>
    <row r="1437" spans="1:22" x14ac:dyDescent="0.2">
      <c r="A1437" t="s">
        <v>3775</v>
      </c>
      <c r="B1437" t="s">
        <v>2719</v>
      </c>
      <c r="C1437" t="s">
        <v>2720</v>
      </c>
      <c r="D1437" t="s">
        <v>3767</v>
      </c>
      <c r="E1437" s="10" t="s">
        <v>3776</v>
      </c>
      <c r="F1437" s="10"/>
      <c r="G1437" s="10"/>
      <c r="H1437" s="10" t="s">
        <v>3776</v>
      </c>
      <c r="I1437" s="14">
        <v>54073.057916461024</v>
      </c>
      <c r="J1437" s="19">
        <v>0</v>
      </c>
      <c r="K1437" s="19">
        <v>0.60260905729758285</v>
      </c>
      <c r="L1437" s="19">
        <v>0.39739094270241715</v>
      </c>
      <c r="M1437" s="20">
        <v>2</v>
      </c>
      <c r="N1437" s="19">
        <v>0.295718660003991</v>
      </c>
      <c r="O1437" s="19">
        <v>0</v>
      </c>
      <c r="P1437" s="19">
        <v>0.30689039729359185</v>
      </c>
      <c r="Q1437" s="19">
        <v>0.27029735558656931</v>
      </c>
      <c r="R1437" s="19">
        <v>0.11832778302242496</v>
      </c>
      <c r="S1437" s="19">
        <v>8.7658040934229138E-3</v>
      </c>
      <c r="T1437" s="20">
        <v>23</v>
      </c>
      <c r="U1437" s="17">
        <v>2</v>
      </c>
      <c r="V1437" s="17">
        <v>34</v>
      </c>
    </row>
    <row r="1438" spans="1:22" x14ac:dyDescent="0.2">
      <c r="A1438" t="s">
        <v>3777</v>
      </c>
      <c r="B1438" t="s">
        <v>2719</v>
      </c>
      <c r="C1438" t="s">
        <v>2720</v>
      </c>
      <c r="D1438" t="s">
        <v>3767</v>
      </c>
      <c r="E1438" s="10" t="s">
        <v>3778</v>
      </c>
      <c r="F1438" s="10"/>
      <c r="G1438" s="10"/>
      <c r="H1438" s="10" t="s">
        <v>3778</v>
      </c>
      <c r="I1438" s="14">
        <v>64002.827549144626</v>
      </c>
      <c r="J1438" s="19">
        <v>0</v>
      </c>
      <c r="K1438" s="19">
        <v>0.68935933083492507</v>
      </c>
      <c r="L1438" s="19">
        <v>0.31064066916507493</v>
      </c>
      <c r="M1438" s="20">
        <v>2</v>
      </c>
      <c r="N1438" s="19">
        <v>0.27365871438669587</v>
      </c>
      <c r="O1438" s="19">
        <v>0.22420794065020669</v>
      </c>
      <c r="P1438" s="19">
        <v>0.19149267579802248</v>
      </c>
      <c r="Q1438" s="19">
        <v>0.21902266024072387</v>
      </c>
      <c r="R1438" s="19">
        <v>7.7525923352653098E-2</v>
      </c>
      <c r="S1438" s="19">
        <v>1.4092085571697971E-2</v>
      </c>
      <c r="T1438" s="20">
        <v>23</v>
      </c>
      <c r="U1438" s="17">
        <v>2</v>
      </c>
      <c r="V1438" s="17">
        <v>34</v>
      </c>
    </row>
    <row r="1439" spans="1:22" x14ac:dyDescent="0.2">
      <c r="A1439" t="s">
        <v>3779</v>
      </c>
      <c r="B1439" t="s">
        <v>2719</v>
      </c>
      <c r="C1439" t="s">
        <v>2720</v>
      </c>
      <c r="D1439" t="s">
        <v>3767</v>
      </c>
      <c r="E1439" s="10" t="s">
        <v>3780</v>
      </c>
      <c r="F1439" s="10"/>
      <c r="G1439" s="10"/>
      <c r="H1439" s="10" t="s">
        <v>3780</v>
      </c>
      <c r="I1439" s="14">
        <v>75445.358340423554</v>
      </c>
      <c r="J1439" s="19">
        <v>0</v>
      </c>
      <c r="K1439" s="19">
        <v>0.79946616315288488</v>
      </c>
      <c r="L1439" s="19">
        <v>0.20053383684711515</v>
      </c>
      <c r="M1439" s="20">
        <v>2</v>
      </c>
      <c r="N1439" s="19">
        <v>0.33687429166954352</v>
      </c>
      <c r="O1439" s="19">
        <v>0</v>
      </c>
      <c r="P1439" s="19">
        <v>0.4625918714833413</v>
      </c>
      <c r="Q1439" s="19">
        <v>9.8643116504282466E-2</v>
      </c>
      <c r="R1439" s="19">
        <v>8.9895582548210756E-2</v>
      </c>
      <c r="S1439" s="19">
        <v>1.1995137794621944E-2</v>
      </c>
      <c r="T1439" s="20">
        <v>23</v>
      </c>
      <c r="U1439" s="17">
        <v>2</v>
      </c>
      <c r="V1439" s="17">
        <v>34</v>
      </c>
    </row>
    <row r="1440" spans="1:22" x14ac:dyDescent="0.2">
      <c r="A1440" t="s">
        <v>3781</v>
      </c>
      <c r="B1440" t="s">
        <v>2719</v>
      </c>
      <c r="C1440" t="s">
        <v>2720</v>
      </c>
      <c r="D1440" t="s">
        <v>3767</v>
      </c>
      <c r="E1440" s="10" t="s">
        <v>3782</v>
      </c>
      <c r="F1440" s="10"/>
      <c r="G1440" s="10"/>
      <c r="H1440" s="10" t="s">
        <v>3782</v>
      </c>
      <c r="I1440" s="14">
        <v>51690.602686908096</v>
      </c>
      <c r="J1440" s="19">
        <v>0</v>
      </c>
      <c r="K1440" s="19">
        <v>0.41228372692419823</v>
      </c>
      <c r="L1440" s="19">
        <v>0.58771627307580177</v>
      </c>
      <c r="M1440" s="20">
        <v>1</v>
      </c>
      <c r="N1440" s="19">
        <v>0.37128352142974924</v>
      </c>
      <c r="O1440" s="19">
        <v>0</v>
      </c>
      <c r="P1440" s="19">
        <v>4.1000205494449E-2</v>
      </c>
      <c r="Q1440" s="19">
        <v>0.29294421313676</v>
      </c>
      <c r="R1440" s="19">
        <v>0.24716542718828793</v>
      </c>
      <c r="S1440" s="19">
        <v>4.7606632750753844E-2</v>
      </c>
      <c r="T1440" s="20">
        <v>13</v>
      </c>
      <c r="U1440" s="17">
        <v>2</v>
      </c>
      <c r="V1440" s="17">
        <v>34</v>
      </c>
    </row>
    <row r="1441" spans="1:22" x14ac:dyDescent="0.2">
      <c r="A1441" t="s">
        <v>3783</v>
      </c>
      <c r="B1441" t="s">
        <v>2719</v>
      </c>
      <c r="C1441" t="s">
        <v>2720</v>
      </c>
      <c r="D1441" t="s">
        <v>3767</v>
      </c>
      <c r="E1441" s="10" t="s">
        <v>3784</v>
      </c>
      <c r="F1441" s="10"/>
      <c r="G1441" s="10"/>
      <c r="H1441" s="10" t="s">
        <v>3784</v>
      </c>
      <c r="I1441" s="14">
        <v>155244.89380339277</v>
      </c>
      <c r="J1441" s="19">
        <v>0.43968753219756473</v>
      </c>
      <c r="K1441" s="19">
        <v>0.27019109532390911</v>
      </c>
      <c r="L1441" s="19">
        <v>0.2901213724785261</v>
      </c>
      <c r="M1441" s="20">
        <v>2</v>
      </c>
      <c r="N1441" s="19">
        <v>0</v>
      </c>
      <c r="O1441" s="19">
        <v>7.4292676884518363E-2</v>
      </c>
      <c r="P1441" s="19">
        <v>0.19589841843939079</v>
      </c>
      <c r="Q1441" s="19">
        <v>0.14691478171258826</v>
      </c>
      <c r="R1441" s="19">
        <v>0.12438588258859938</v>
      </c>
      <c r="S1441" s="19">
        <v>1.8820708177338472E-2</v>
      </c>
      <c r="T1441" s="20">
        <v>22</v>
      </c>
      <c r="U1441" s="17">
        <v>2</v>
      </c>
      <c r="V1441" s="17">
        <v>34</v>
      </c>
    </row>
    <row r="1442" spans="1:22" x14ac:dyDescent="0.2">
      <c r="A1442" t="s">
        <v>3785</v>
      </c>
      <c r="B1442" t="s">
        <v>2719</v>
      </c>
      <c r="C1442" t="s">
        <v>2720</v>
      </c>
      <c r="D1442" t="s">
        <v>3767</v>
      </c>
      <c r="E1442" s="10" t="s">
        <v>2762</v>
      </c>
      <c r="F1442" s="10"/>
      <c r="G1442" s="10"/>
      <c r="H1442" s="10" t="s">
        <v>2762</v>
      </c>
      <c r="I1442" s="14">
        <v>38843.32115592435</v>
      </c>
      <c r="J1442" s="19">
        <v>0</v>
      </c>
      <c r="K1442" s="19">
        <v>0.65389842461283521</v>
      </c>
      <c r="L1442" s="19">
        <v>0.34610157538716474</v>
      </c>
      <c r="M1442" s="20">
        <v>2</v>
      </c>
      <c r="N1442" s="19">
        <v>0.17161991162730184</v>
      </c>
      <c r="O1442" s="19">
        <v>0</v>
      </c>
      <c r="P1442" s="19">
        <v>0.48227851298553337</v>
      </c>
      <c r="Q1442" s="19">
        <v>0.14926072782632796</v>
      </c>
      <c r="R1442" s="19">
        <v>0.1775027912569673</v>
      </c>
      <c r="S1442" s="19">
        <v>1.933805630386953E-2</v>
      </c>
      <c r="T1442" s="20">
        <v>23</v>
      </c>
      <c r="U1442" s="17">
        <v>2</v>
      </c>
      <c r="V1442" s="17">
        <v>34</v>
      </c>
    </row>
    <row r="1443" spans="1:22" x14ac:dyDescent="0.2">
      <c r="A1443" t="s">
        <v>3786</v>
      </c>
      <c r="B1443" t="s">
        <v>2719</v>
      </c>
      <c r="C1443" t="s">
        <v>2720</v>
      </c>
      <c r="D1443" t="s">
        <v>3767</v>
      </c>
      <c r="E1443" s="10" t="s">
        <v>3787</v>
      </c>
      <c r="F1443" s="10"/>
      <c r="G1443" s="10"/>
      <c r="H1443" s="10" t="s">
        <v>3787</v>
      </c>
      <c r="I1443" s="14">
        <v>31878.713716533031</v>
      </c>
      <c r="J1443" s="19">
        <v>0</v>
      </c>
      <c r="K1443" s="19">
        <v>0.23822217142621208</v>
      </c>
      <c r="L1443" s="19">
        <v>0.76177782857378806</v>
      </c>
      <c r="M1443" s="20">
        <v>1</v>
      </c>
      <c r="N1443" s="19">
        <v>0</v>
      </c>
      <c r="O1443" s="19">
        <v>0.23822217142621208</v>
      </c>
      <c r="P1443" s="19">
        <v>0</v>
      </c>
      <c r="Q1443" s="19">
        <v>0.49235204374556629</v>
      </c>
      <c r="R1443" s="19">
        <v>0.24603015979971549</v>
      </c>
      <c r="S1443" s="19">
        <v>2.3395625028506204E-2</v>
      </c>
      <c r="T1443" s="20">
        <v>13</v>
      </c>
      <c r="U1443" s="17">
        <v>2</v>
      </c>
      <c r="V1443" s="17">
        <v>34</v>
      </c>
    </row>
    <row r="1444" spans="1:22" x14ac:dyDescent="0.2">
      <c r="A1444" t="s">
        <v>3788</v>
      </c>
      <c r="B1444" t="s">
        <v>2719</v>
      </c>
      <c r="C1444" t="s">
        <v>2720</v>
      </c>
      <c r="D1444" t="s">
        <v>3789</v>
      </c>
      <c r="E1444" s="10" t="s">
        <v>3790</v>
      </c>
      <c r="F1444" s="10"/>
      <c r="G1444" s="10"/>
      <c r="H1444" s="10" t="s">
        <v>3790</v>
      </c>
      <c r="I1444" s="14">
        <v>38915.02515951544</v>
      </c>
      <c r="J1444" s="19">
        <v>0</v>
      </c>
      <c r="K1444" s="19">
        <v>0.81481028703772163</v>
      </c>
      <c r="L1444" s="19">
        <v>0.18518971296227849</v>
      </c>
      <c r="M1444" s="20">
        <v>2</v>
      </c>
      <c r="N1444" s="19">
        <v>0.30029851911837102</v>
      </c>
      <c r="O1444" s="19">
        <v>0</v>
      </c>
      <c r="P1444" s="19">
        <v>0.51451176791935049</v>
      </c>
      <c r="Q1444" s="19">
        <v>0.12809751525245988</v>
      </c>
      <c r="R1444" s="19">
        <v>5.5508406113607231E-2</v>
      </c>
      <c r="S1444" s="19">
        <v>1.5837915962113899E-3</v>
      </c>
      <c r="T1444" s="20">
        <v>21</v>
      </c>
      <c r="U1444" s="17">
        <v>2</v>
      </c>
      <c r="V1444" s="17">
        <v>34</v>
      </c>
    </row>
    <row r="1445" spans="1:22" x14ac:dyDescent="0.2">
      <c r="A1445" t="s">
        <v>3791</v>
      </c>
      <c r="B1445" t="s">
        <v>2719</v>
      </c>
      <c r="C1445" t="s">
        <v>2720</v>
      </c>
      <c r="D1445" t="s">
        <v>3789</v>
      </c>
      <c r="E1445" s="10" t="s">
        <v>3792</v>
      </c>
      <c r="F1445" s="10"/>
      <c r="G1445" s="10"/>
      <c r="H1445" s="10" t="s">
        <v>3792</v>
      </c>
      <c r="I1445" s="14">
        <v>18034.163705470248</v>
      </c>
      <c r="J1445" s="19">
        <v>0</v>
      </c>
      <c r="K1445" s="19">
        <v>0.13792687175270971</v>
      </c>
      <c r="L1445" s="19">
        <v>0.86207312824729032</v>
      </c>
      <c r="M1445" s="20">
        <v>1</v>
      </c>
      <c r="N1445" s="19">
        <v>0</v>
      </c>
      <c r="O1445" s="19">
        <v>0</v>
      </c>
      <c r="P1445" s="19">
        <v>0.13792687175270971</v>
      </c>
      <c r="Q1445" s="19">
        <v>0.58167466343933127</v>
      </c>
      <c r="R1445" s="19">
        <v>0.26314313651034604</v>
      </c>
      <c r="S1445" s="19">
        <v>1.7255328297612949E-2</v>
      </c>
      <c r="T1445" s="20">
        <v>13</v>
      </c>
      <c r="U1445" s="17">
        <v>2</v>
      </c>
      <c r="V1445" s="17">
        <v>34</v>
      </c>
    </row>
    <row r="1446" spans="1:22" x14ac:dyDescent="0.2">
      <c r="A1446" t="s">
        <v>3793</v>
      </c>
      <c r="B1446" t="s">
        <v>2719</v>
      </c>
      <c r="C1446" t="s">
        <v>2720</v>
      </c>
      <c r="D1446" t="s">
        <v>3789</v>
      </c>
      <c r="E1446" s="10" t="s">
        <v>3794</v>
      </c>
      <c r="F1446" s="10"/>
      <c r="G1446" s="10"/>
      <c r="H1446" s="10" t="s">
        <v>3794</v>
      </c>
      <c r="I1446" s="14">
        <v>15078.252449713649</v>
      </c>
      <c r="J1446" s="19">
        <v>0</v>
      </c>
      <c r="K1446" s="19">
        <v>0.87764667488371162</v>
      </c>
      <c r="L1446" s="19">
        <v>0.12235332511628831</v>
      </c>
      <c r="M1446" s="20">
        <v>2</v>
      </c>
      <c r="N1446" s="19">
        <v>0.65918187412381057</v>
      </c>
      <c r="O1446" s="19">
        <v>0</v>
      </c>
      <c r="P1446" s="19">
        <v>0.21846480075990105</v>
      </c>
      <c r="Q1446" s="19">
        <v>8.7262723543676632E-2</v>
      </c>
      <c r="R1446" s="19">
        <v>3.1991042480506014E-2</v>
      </c>
      <c r="S1446" s="19">
        <v>3.0995590921056447E-3</v>
      </c>
      <c r="T1446" s="20">
        <v>23</v>
      </c>
      <c r="U1446" s="17">
        <v>2</v>
      </c>
      <c r="V1446" s="17">
        <v>34</v>
      </c>
    </row>
    <row r="1447" spans="1:22" x14ac:dyDescent="0.2">
      <c r="A1447" t="s">
        <v>3795</v>
      </c>
      <c r="B1447" t="s">
        <v>2719</v>
      </c>
      <c r="C1447" t="s">
        <v>2720</v>
      </c>
      <c r="D1447" t="s">
        <v>3789</v>
      </c>
      <c r="E1447" s="10" t="s">
        <v>3796</v>
      </c>
      <c r="F1447" s="10"/>
      <c r="G1447" s="10"/>
      <c r="H1447" s="10" t="s">
        <v>3796</v>
      </c>
      <c r="I1447" s="14">
        <v>19304.85565987631</v>
      </c>
      <c r="J1447" s="19">
        <v>0</v>
      </c>
      <c r="K1447" s="19">
        <v>6.5706852115902372E-3</v>
      </c>
      <c r="L1447" s="19">
        <v>0.99342931478840979</v>
      </c>
      <c r="M1447" s="20">
        <v>1</v>
      </c>
      <c r="N1447" s="19">
        <v>0</v>
      </c>
      <c r="O1447" s="19">
        <v>0</v>
      </c>
      <c r="P1447" s="19">
        <v>6.5706852115902372E-3</v>
      </c>
      <c r="Q1447" s="19">
        <v>0.70070933506188893</v>
      </c>
      <c r="R1447" s="19">
        <v>0.24961792913971753</v>
      </c>
      <c r="S1447" s="19">
        <v>4.3102050586803262E-2</v>
      </c>
      <c r="T1447" s="20">
        <v>13</v>
      </c>
      <c r="U1447" s="17">
        <v>2</v>
      </c>
      <c r="V1447" s="17">
        <v>34</v>
      </c>
    </row>
    <row r="1448" spans="1:22" x14ac:dyDescent="0.2">
      <c r="A1448" t="s">
        <v>3797</v>
      </c>
      <c r="B1448" t="s">
        <v>2719</v>
      </c>
      <c r="C1448" t="s">
        <v>2720</v>
      </c>
      <c r="D1448" t="s">
        <v>3789</v>
      </c>
      <c r="E1448" s="10" t="s">
        <v>2811</v>
      </c>
      <c r="F1448" s="10"/>
      <c r="G1448" s="10"/>
      <c r="H1448" s="10" t="s">
        <v>2811</v>
      </c>
      <c r="I1448" s="14">
        <v>9564.3431012658402</v>
      </c>
      <c r="J1448" s="19">
        <v>0</v>
      </c>
      <c r="K1448" s="19">
        <v>0</v>
      </c>
      <c r="L1448" s="19">
        <v>1</v>
      </c>
      <c r="M1448" s="20">
        <v>1</v>
      </c>
      <c r="N1448" s="19">
        <v>0</v>
      </c>
      <c r="O1448" s="19">
        <v>0</v>
      </c>
      <c r="P1448" s="19">
        <v>0</v>
      </c>
      <c r="Q1448" s="19">
        <v>0.72015722443326058</v>
      </c>
      <c r="R1448" s="19">
        <v>0.24747044659948017</v>
      </c>
      <c r="S1448" s="19">
        <v>3.2372328967259258E-2</v>
      </c>
      <c r="T1448" s="20">
        <v>13</v>
      </c>
      <c r="U1448" s="17">
        <v>2</v>
      </c>
      <c r="V1448" s="17">
        <v>34</v>
      </c>
    </row>
    <row r="1449" spans="1:22" x14ac:dyDescent="0.2">
      <c r="A1449" t="s">
        <v>3798</v>
      </c>
      <c r="B1449" t="s">
        <v>2719</v>
      </c>
      <c r="C1449" t="s">
        <v>2720</v>
      </c>
      <c r="D1449" t="s">
        <v>3789</v>
      </c>
      <c r="E1449" s="10" t="s">
        <v>2927</v>
      </c>
      <c r="F1449" s="10"/>
      <c r="G1449" s="10"/>
      <c r="H1449" s="10" t="s">
        <v>2927</v>
      </c>
      <c r="I1449" s="14">
        <v>38987.372889554128</v>
      </c>
      <c r="J1449" s="19">
        <v>0</v>
      </c>
      <c r="K1449" s="19">
        <v>0.97444089183739102</v>
      </c>
      <c r="L1449" s="19">
        <v>2.5559108162608927E-2</v>
      </c>
      <c r="M1449" s="20">
        <v>2</v>
      </c>
      <c r="N1449" s="19">
        <v>0.73527519854590329</v>
      </c>
      <c r="O1449" s="19">
        <v>0</v>
      </c>
      <c r="P1449" s="19">
        <v>0.23916569329148782</v>
      </c>
      <c r="Q1449" s="19">
        <v>0</v>
      </c>
      <c r="R1449" s="19">
        <v>2.5324996064753552E-2</v>
      </c>
      <c r="S1449" s="19">
        <v>2.3411209785537929E-4</v>
      </c>
      <c r="T1449" s="20">
        <v>23</v>
      </c>
      <c r="U1449" s="17">
        <v>2</v>
      </c>
      <c r="V1449" s="17">
        <v>34</v>
      </c>
    </row>
    <row r="1450" spans="1:22" x14ac:dyDescent="0.2">
      <c r="A1450" t="s">
        <v>3799</v>
      </c>
      <c r="B1450" t="s">
        <v>2719</v>
      </c>
      <c r="C1450" t="s">
        <v>2720</v>
      </c>
      <c r="D1450" t="s">
        <v>3789</v>
      </c>
      <c r="E1450" s="10" t="s">
        <v>3800</v>
      </c>
      <c r="F1450" s="10"/>
      <c r="G1450" s="10"/>
      <c r="H1450" s="10" t="s">
        <v>3800</v>
      </c>
      <c r="I1450" s="14">
        <v>8021.2337177120498</v>
      </c>
      <c r="J1450" s="19">
        <v>0</v>
      </c>
      <c r="K1450" s="19">
        <v>0</v>
      </c>
      <c r="L1450" s="19">
        <v>1</v>
      </c>
      <c r="M1450" s="20">
        <v>1</v>
      </c>
      <c r="N1450" s="19">
        <v>0</v>
      </c>
      <c r="O1450" s="19">
        <v>0</v>
      </c>
      <c r="P1450" s="19">
        <v>0</v>
      </c>
      <c r="Q1450" s="19">
        <v>0.70000010308056437</v>
      </c>
      <c r="R1450" s="19">
        <v>0.2674030751097769</v>
      </c>
      <c r="S1450" s="19">
        <v>3.2596821809658803E-2</v>
      </c>
      <c r="T1450" s="20">
        <v>13</v>
      </c>
      <c r="U1450" s="17">
        <v>2</v>
      </c>
      <c r="V1450" s="17">
        <v>34</v>
      </c>
    </row>
    <row r="1451" spans="1:22" x14ac:dyDescent="0.2">
      <c r="A1451" t="s">
        <v>3801</v>
      </c>
      <c r="B1451" t="s">
        <v>2719</v>
      </c>
      <c r="C1451" t="s">
        <v>2720</v>
      </c>
      <c r="D1451" t="s">
        <v>3802</v>
      </c>
      <c r="E1451" s="10" t="s">
        <v>3803</v>
      </c>
      <c r="F1451" s="10"/>
      <c r="G1451" s="10"/>
      <c r="H1451" s="10" t="s">
        <v>3803</v>
      </c>
      <c r="I1451" s="14">
        <v>18169.90332992631</v>
      </c>
      <c r="J1451" s="19">
        <v>0</v>
      </c>
      <c r="K1451" s="19">
        <v>0.3027590129543094</v>
      </c>
      <c r="L1451" s="19">
        <v>0.6972409870456906</v>
      </c>
      <c r="M1451" s="20">
        <v>1</v>
      </c>
      <c r="N1451" s="19">
        <v>0</v>
      </c>
      <c r="O1451" s="19">
        <v>0.3027590129543094</v>
      </c>
      <c r="P1451" s="19">
        <v>0</v>
      </c>
      <c r="Q1451" s="19">
        <v>0.4788265721762282</v>
      </c>
      <c r="R1451" s="19">
        <v>0.19891584340102647</v>
      </c>
      <c r="S1451" s="19">
        <v>1.9498571468435925E-2</v>
      </c>
      <c r="T1451" s="20">
        <v>13</v>
      </c>
      <c r="U1451" s="17">
        <v>2</v>
      </c>
      <c r="V1451" s="17">
        <v>34</v>
      </c>
    </row>
    <row r="1452" spans="1:22" x14ac:dyDescent="0.2">
      <c r="A1452" t="s">
        <v>3804</v>
      </c>
      <c r="B1452" t="s">
        <v>2719</v>
      </c>
      <c r="C1452" t="s">
        <v>2720</v>
      </c>
      <c r="D1452" t="s">
        <v>3802</v>
      </c>
      <c r="E1452" s="10" t="s">
        <v>3805</v>
      </c>
      <c r="F1452" s="10"/>
      <c r="G1452" s="10"/>
      <c r="H1452" s="10" t="s">
        <v>3805</v>
      </c>
      <c r="I1452" s="14">
        <v>15328.565438291989</v>
      </c>
      <c r="J1452" s="19">
        <v>0</v>
      </c>
      <c r="K1452" s="19">
        <v>0.52582674535298934</v>
      </c>
      <c r="L1452" s="19">
        <v>0.47417325464701066</v>
      </c>
      <c r="M1452" s="20">
        <v>2</v>
      </c>
      <c r="N1452" s="19">
        <v>0</v>
      </c>
      <c r="O1452" s="19">
        <v>0.48962471570650118</v>
      </c>
      <c r="P1452" s="19">
        <v>3.6202029646488179E-2</v>
      </c>
      <c r="Q1452" s="19">
        <v>0.35545233624731043</v>
      </c>
      <c r="R1452" s="19">
        <v>0.10728675232430249</v>
      </c>
      <c r="S1452" s="19">
        <v>1.1434166075397739E-2</v>
      </c>
      <c r="T1452" s="20">
        <v>22</v>
      </c>
      <c r="U1452" s="17">
        <v>2</v>
      </c>
      <c r="V1452" s="17">
        <v>34</v>
      </c>
    </row>
    <row r="1453" spans="1:22" x14ac:dyDescent="0.2">
      <c r="A1453" t="s">
        <v>3806</v>
      </c>
      <c r="B1453" t="s">
        <v>2719</v>
      </c>
      <c r="C1453" t="s">
        <v>2720</v>
      </c>
      <c r="D1453" t="s">
        <v>3802</v>
      </c>
      <c r="E1453" s="10" t="s">
        <v>3807</v>
      </c>
      <c r="F1453" s="10"/>
      <c r="G1453" s="10"/>
      <c r="H1453" s="10" t="s">
        <v>3807</v>
      </c>
      <c r="I1453" s="14">
        <v>11661.253851329908</v>
      </c>
      <c r="J1453" s="19">
        <v>0</v>
      </c>
      <c r="K1453" s="19">
        <v>0</v>
      </c>
      <c r="L1453" s="19">
        <v>1</v>
      </c>
      <c r="M1453" s="20">
        <v>1</v>
      </c>
      <c r="N1453" s="19">
        <v>0</v>
      </c>
      <c r="O1453" s="19">
        <v>0</v>
      </c>
      <c r="P1453" s="19">
        <v>0</v>
      </c>
      <c r="Q1453" s="19">
        <v>0.79726362084777935</v>
      </c>
      <c r="R1453" s="19">
        <v>0.19283227371119929</v>
      </c>
      <c r="S1453" s="19">
        <v>9.9041054410213269E-3</v>
      </c>
      <c r="T1453" s="20">
        <v>13</v>
      </c>
      <c r="U1453" s="17">
        <v>2</v>
      </c>
      <c r="V1453" s="17">
        <v>34</v>
      </c>
    </row>
    <row r="1454" spans="1:22" x14ac:dyDescent="0.2">
      <c r="A1454" t="s">
        <v>3808</v>
      </c>
      <c r="B1454" t="s">
        <v>2719</v>
      </c>
      <c r="C1454" t="s">
        <v>2720</v>
      </c>
      <c r="D1454" t="s">
        <v>3802</v>
      </c>
      <c r="E1454" s="10" t="s">
        <v>3809</v>
      </c>
      <c r="F1454" s="10"/>
      <c r="G1454" s="10"/>
      <c r="H1454" s="10" t="s">
        <v>3809</v>
      </c>
      <c r="I1454" s="14">
        <v>81605.343666068278</v>
      </c>
      <c r="J1454" s="19">
        <v>0</v>
      </c>
      <c r="K1454" s="19">
        <v>0.67960917137901788</v>
      </c>
      <c r="L1454" s="19">
        <v>0.32039082862098212</v>
      </c>
      <c r="M1454" s="20">
        <v>2</v>
      </c>
      <c r="N1454" s="19">
        <v>0.37050763340508169</v>
      </c>
      <c r="O1454" s="19">
        <v>0</v>
      </c>
      <c r="P1454" s="19">
        <v>0.30910153797393619</v>
      </c>
      <c r="Q1454" s="19">
        <v>0.2099343424937383</v>
      </c>
      <c r="R1454" s="19">
        <v>6.9134603745848219E-2</v>
      </c>
      <c r="S1454" s="19">
        <v>4.13218823813956E-2</v>
      </c>
      <c r="T1454" s="20">
        <v>23</v>
      </c>
      <c r="U1454" s="17">
        <v>2</v>
      </c>
      <c r="V1454" s="17">
        <v>34</v>
      </c>
    </row>
    <row r="1455" spans="1:22" x14ac:dyDescent="0.2">
      <c r="A1455" t="s">
        <v>3810</v>
      </c>
      <c r="B1455" t="s">
        <v>2719</v>
      </c>
      <c r="C1455" t="s">
        <v>2720</v>
      </c>
      <c r="D1455" t="s">
        <v>3802</v>
      </c>
      <c r="E1455" s="10" t="s">
        <v>3811</v>
      </c>
      <c r="F1455" s="10"/>
      <c r="G1455" s="10"/>
      <c r="H1455" s="10" t="s">
        <v>3811</v>
      </c>
      <c r="I1455" s="14">
        <v>25593.340719141299</v>
      </c>
      <c r="J1455" s="19">
        <v>0</v>
      </c>
      <c r="K1455" s="19">
        <v>0.51066866296716562</v>
      </c>
      <c r="L1455" s="19">
        <v>0.48933133703283443</v>
      </c>
      <c r="M1455" s="20">
        <v>2</v>
      </c>
      <c r="N1455" s="19">
        <v>0.25504124484550922</v>
      </c>
      <c r="O1455" s="19">
        <v>1.5369674628601076E-2</v>
      </c>
      <c r="P1455" s="19">
        <v>0.24025774349305529</v>
      </c>
      <c r="Q1455" s="19">
        <v>0.29070481001197884</v>
      </c>
      <c r="R1455" s="19">
        <v>0.13840964004335082</v>
      </c>
      <c r="S1455" s="19">
        <v>6.0216886977504776E-2</v>
      </c>
      <c r="T1455" s="20">
        <v>23</v>
      </c>
      <c r="U1455" s="17">
        <v>2</v>
      </c>
      <c r="V1455" s="17">
        <v>34</v>
      </c>
    </row>
    <row r="1456" spans="1:22" x14ac:dyDescent="0.2">
      <c r="A1456" t="s">
        <v>3812</v>
      </c>
      <c r="B1456" t="s">
        <v>2719</v>
      </c>
      <c r="C1456" t="s">
        <v>2720</v>
      </c>
      <c r="D1456" t="s">
        <v>3802</v>
      </c>
      <c r="E1456" s="10" t="s">
        <v>2734</v>
      </c>
      <c r="F1456" s="10"/>
      <c r="G1456" s="10"/>
      <c r="H1456" s="10" t="s">
        <v>2734</v>
      </c>
      <c r="I1456" s="14">
        <v>48953.696741495747</v>
      </c>
      <c r="J1456" s="19">
        <v>0</v>
      </c>
      <c r="K1456" s="19">
        <v>0.53195474139060317</v>
      </c>
      <c r="L1456" s="19">
        <v>0.46804525860939689</v>
      </c>
      <c r="M1456" s="20">
        <v>2</v>
      </c>
      <c r="N1456" s="19">
        <v>0.12973228055087216</v>
      </c>
      <c r="O1456" s="19">
        <v>0.11623372206712326</v>
      </c>
      <c r="P1456" s="19">
        <v>0.28598873877260772</v>
      </c>
      <c r="Q1456" s="19">
        <v>0.3135782335899891</v>
      </c>
      <c r="R1456" s="19">
        <v>0.14232362952841757</v>
      </c>
      <c r="S1456" s="19">
        <v>1.2143395490990232E-2</v>
      </c>
      <c r="T1456" s="20">
        <v>23</v>
      </c>
      <c r="U1456" s="17">
        <v>2</v>
      </c>
      <c r="V1456" s="17">
        <v>34</v>
      </c>
    </row>
    <row r="1457" spans="1:22" x14ac:dyDescent="0.2">
      <c r="A1457" t="s">
        <v>3813</v>
      </c>
      <c r="B1457" t="s">
        <v>2719</v>
      </c>
      <c r="C1457" t="s">
        <v>2720</v>
      </c>
      <c r="D1457" t="s">
        <v>3802</v>
      </c>
      <c r="E1457" s="10" t="s">
        <v>3814</v>
      </c>
      <c r="F1457" s="10"/>
      <c r="G1457" s="10"/>
      <c r="H1457" s="10" t="s">
        <v>3814</v>
      </c>
      <c r="I1457" s="14">
        <v>14239.328134153968</v>
      </c>
      <c r="J1457" s="19">
        <v>0</v>
      </c>
      <c r="K1457" s="19">
        <v>0.70043865053582155</v>
      </c>
      <c r="L1457" s="19">
        <v>0.29956134946417862</v>
      </c>
      <c r="M1457" s="20">
        <v>2</v>
      </c>
      <c r="N1457" s="19">
        <v>0</v>
      </c>
      <c r="O1457" s="19">
        <v>0.70043865053582155</v>
      </c>
      <c r="P1457" s="19">
        <v>0</v>
      </c>
      <c r="Q1457" s="19">
        <v>2.7210433316740692E-4</v>
      </c>
      <c r="R1457" s="19">
        <v>0.24594718477779384</v>
      </c>
      <c r="S1457" s="19">
        <v>5.3342060353217376E-2</v>
      </c>
      <c r="T1457" s="20">
        <v>22</v>
      </c>
      <c r="U1457" s="17">
        <v>2</v>
      </c>
      <c r="V1457" s="17">
        <v>34</v>
      </c>
    </row>
    <row r="1458" spans="1:22" x14ac:dyDescent="0.2">
      <c r="A1458" t="s">
        <v>3815</v>
      </c>
      <c r="B1458" t="s">
        <v>2719</v>
      </c>
      <c r="C1458" t="s">
        <v>2720</v>
      </c>
      <c r="D1458" t="s">
        <v>3802</v>
      </c>
      <c r="E1458" s="10" t="s">
        <v>3816</v>
      </c>
      <c r="F1458" s="10"/>
      <c r="G1458" s="10"/>
      <c r="H1458" s="10" t="s">
        <v>3816</v>
      </c>
      <c r="I1458" s="14">
        <v>15111.189945347607</v>
      </c>
      <c r="J1458" s="19">
        <v>0</v>
      </c>
      <c r="K1458" s="19">
        <v>0.72718972249428171</v>
      </c>
      <c r="L1458" s="19">
        <v>0.27281027750571829</v>
      </c>
      <c r="M1458" s="20">
        <v>2</v>
      </c>
      <c r="N1458" s="19">
        <v>0.34765700979871589</v>
      </c>
      <c r="O1458" s="19">
        <v>2.4972678744373243E-3</v>
      </c>
      <c r="P1458" s="19">
        <v>0.3770354448211285</v>
      </c>
      <c r="Q1458" s="19">
        <v>0.10100930246941801</v>
      </c>
      <c r="R1458" s="19">
        <v>0.15498348765758643</v>
      </c>
      <c r="S1458" s="19">
        <v>1.6817487378713879E-2</v>
      </c>
      <c r="T1458" s="20">
        <v>23</v>
      </c>
      <c r="U1458" s="17">
        <v>2</v>
      </c>
      <c r="V1458" s="17">
        <v>34</v>
      </c>
    </row>
    <row r="1459" spans="1:22" x14ac:dyDescent="0.2">
      <c r="A1459" t="s">
        <v>3817</v>
      </c>
      <c r="B1459" t="s">
        <v>2719</v>
      </c>
      <c r="C1459" t="s">
        <v>2720</v>
      </c>
      <c r="D1459" t="s">
        <v>3802</v>
      </c>
      <c r="E1459" s="10" t="s">
        <v>3818</v>
      </c>
      <c r="F1459" s="10"/>
      <c r="G1459" s="10"/>
      <c r="H1459" s="10" t="s">
        <v>3818</v>
      </c>
      <c r="I1459" s="14">
        <v>56402.628971044716</v>
      </c>
      <c r="J1459" s="19">
        <v>0</v>
      </c>
      <c r="K1459" s="19">
        <v>0.67123763366571854</v>
      </c>
      <c r="L1459" s="19">
        <v>0.32876236633428163</v>
      </c>
      <c r="M1459" s="20">
        <v>2</v>
      </c>
      <c r="N1459" s="19">
        <v>0.40426166728613738</v>
      </c>
      <c r="O1459" s="19">
        <v>0</v>
      </c>
      <c r="P1459" s="19">
        <v>0.26697596637958099</v>
      </c>
      <c r="Q1459" s="19">
        <v>0.22070293317346751</v>
      </c>
      <c r="R1459" s="19">
        <v>0.10181481356720902</v>
      </c>
      <c r="S1459" s="19">
        <v>6.244619593605105E-3</v>
      </c>
      <c r="T1459" s="20">
        <v>23</v>
      </c>
      <c r="U1459" s="17">
        <v>2</v>
      </c>
      <c r="V1459" s="17">
        <v>34</v>
      </c>
    </row>
    <row r="1460" spans="1:22" x14ac:dyDescent="0.2">
      <c r="A1460" t="s">
        <v>3819</v>
      </c>
      <c r="B1460" t="s">
        <v>2719</v>
      </c>
      <c r="C1460" t="s">
        <v>2720</v>
      </c>
      <c r="D1460" t="s">
        <v>3802</v>
      </c>
      <c r="E1460" s="10" t="s">
        <v>3820</v>
      </c>
      <c r="F1460" s="10"/>
      <c r="G1460" s="10"/>
      <c r="H1460" s="10" t="s">
        <v>3820</v>
      </c>
      <c r="I1460" s="14">
        <v>9523.4678186252713</v>
      </c>
      <c r="J1460" s="19">
        <v>0</v>
      </c>
      <c r="K1460" s="19">
        <v>0.67529159201781641</v>
      </c>
      <c r="L1460" s="19">
        <v>0.32470840798218353</v>
      </c>
      <c r="M1460" s="20">
        <v>2</v>
      </c>
      <c r="N1460" s="19">
        <v>0</v>
      </c>
      <c r="O1460" s="19">
        <v>0.60547904236885786</v>
      </c>
      <c r="P1460" s="19">
        <v>6.9812549648958624E-2</v>
      </c>
      <c r="Q1460" s="19">
        <v>0.10389702655343293</v>
      </c>
      <c r="R1460" s="19">
        <v>0.2044146869872436</v>
      </c>
      <c r="S1460" s="19">
        <v>1.6396694441507056E-2</v>
      </c>
      <c r="T1460" s="20">
        <v>22</v>
      </c>
      <c r="U1460" s="17">
        <v>2</v>
      </c>
      <c r="V1460" s="17">
        <v>34</v>
      </c>
    </row>
    <row r="1461" spans="1:22" x14ac:dyDescent="0.2">
      <c r="A1461" t="s">
        <v>3821</v>
      </c>
      <c r="B1461" t="s">
        <v>2719</v>
      </c>
      <c r="C1461" t="s">
        <v>2720</v>
      </c>
      <c r="D1461" t="s">
        <v>3802</v>
      </c>
      <c r="E1461" s="10" t="s">
        <v>3822</v>
      </c>
      <c r="F1461" s="10"/>
      <c r="G1461" s="10"/>
      <c r="H1461" s="10" t="s">
        <v>3822</v>
      </c>
      <c r="I1461" s="14">
        <v>9416.6514199608919</v>
      </c>
      <c r="J1461" s="19">
        <v>0</v>
      </c>
      <c r="K1461" s="19">
        <v>0</v>
      </c>
      <c r="L1461" s="19">
        <v>1</v>
      </c>
      <c r="M1461" s="20">
        <v>1</v>
      </c>
      <c r="N1461" s="19">
        <v>0</v>
      </c>
      <c r="O1461" s="19">
        <v>0</v>
      </c>
      <c r="P1461" s="19">
        <v>0</v>
      </c>
      <c r="Q1461" s="19">
        <v>0.51006278113983405</v>
      </c>
      <c r="R1461" s="19">
        <v>0.3778430124989709</v>
      </c>
      <c r="S1461" s="19">
        <v>0.11209420636119531</v>
      </c>
      <c r="T1461" s="20">
        <v>13</v>
      </c>
      <c r="U1461" s="17">
        <v>2</v>
      </c>
      <c r="V1461" s="17">
        <v>34</v>
      </c>
    </row>
    <row r="1462" spans="1:22" x14ac:dyDescent="0.2">
      <c r="A1462" t="s">
        <v>3823</v>
      </c>
      <c r="B1462" t="s">
        <v>2719</v>
      </c>
      <c r="C1462" t="s">
        <v>2720</v>
      </c>
      <c r="D1462" t="s">
        <v>3802</v>
      </c>
      <c r="E1462" s="10" t="s">
        <v>3824</v>
      </c>
      <c r="F1462" s="10"/>
      <c r="G1462" s="10"/>
      <c r="H1462" s="10" t="s">
        <v>3824</v>
      </c>
      <c r="I1462" s="14">
        <v>14916.107417011284</v>
      </c>
      <c r="J1462" s="19">
        <v>0</v>
      </c>
      <c r="K1462" s="19">
        <v>0.70357604775197913</v>
      </c>
      <c r="L1462" s="19">
        <v>0.29642395224802087</v>
      </c>
      <c r="M1462" s="20">
        <v>2</v>
      </c>
      <c r="N1462" s="19">
        <v>0</v>
      </c>
      <c r="O1462" s="19">
        <v>0.70357604775197913</v>
      </c>
      <c r="P1462" s="19">
        <v>0</v>
      </c>
      <c r="Q1462" s="19">
        <v>0.14141251563876836</v>
      </c>
      <c r="R1462" s="19">
        <v>0.14883502606786517</v>
      </c>
      <c r="S1462" s="19">
        <v>6.1764105413873649E-3</v>
      </c>
      <c r="T1462" s="20">
        <v>22</v>
      </c>
      <c r="U1462" s="17">
        <v>2</v>
      </c>
      <c r="V1462" s="17">
        <v>34</v>
      </c>
    </row>
    <row r="1463" spans="1:22" x14ac:dyDescent="0.2">
      <c r="A1463" t="s">
        <v>3825</v>
      </c>
      <c r="B1463" t="s">
        <v>2719</v>
      </c>
      <c r="C1463" t="s">
        <v>2720</v>
      </c>
      <c r="D1463" t="s">
        <v>3802</v>
      </c>
      <c r="E1463" s="10" t="s">
        <v>3826</v>
      </c>
      <c r="F1463" s="10"/>
      <c r="G1463" s="10"/>
      <c r="H1463" s="10" t="s">
        <v>3826</v>
      </c>
      <c r="I1463" s="14">
        <v>23660.872331345454</v>
      </c>
      <c r="J1463" s="19">
        <v>0</v>
      </c>
      <c r="K1463" s="19">
        <v>0.73515148801469643</v>
      </c>
      <c r="L1463" s="19">
        <v>0.26484851198530351</v>
      </c>
      <c r="M1463" s="20">
        <v>2</v>
      </c>
      <c r="N1463" s="19">
        <v>0.38168180712512928</v>
      </c>
      <c r="O1463" s="19">
        <v>0</v>
      </c>
      <c r="P1463" s="19">
        <v>0.35346968088956715</v>
      </c>
      <c r="Q1463" s="19">
        <v>9.8552764431520459E-2</v>
      </c>
      <c r="R1463" s="19">
        <v>0.12009501416569013</v>
      </c>
      <c r="S1463" s="19">
        <v>4.6200733388092954E-2</v>
      </c>
      <c r="T1463" s="20">
        <v>23</v>
      </c>
      <c r="U1463" s="17">
        <v>2</v>
      </c>
      <c r="V1463" s="17">
        <v>34</v>
      </c>
    </row>
    <row r="1464" spans="1:22" x14ac:dyDescent="0.2">
      <c r="A1464" t="s">
        <v>3827</v>
      </c>
      <c r="B1464" t="s">
        <v>2719</v>
      </c>
      <c r="C1464" t="s">
        <v>2720</v>
      </c>
      <c r="D1464" t="s">
        <v>3802</v>
      </c>
      <c r="E1464" s="10" t="s">
        <v>3828</v>
      </c>
      <c r="F1464" s="10"/>
      <c r="G1464" s="10"/>
      <c r="H1464" s="10" t="s">
        <v>3828</v>
      </c>
      <c r="I1464" s="14">
        <v>5756.9278362961486</v>
      </c>
      <c r="J1464" s="19">
        <v>0</v>
      </c>
      <c r="K1464" s="19">
        <v>0</v>
      </c>
      <c r="L1464" s="19">
        <v>1</v>
      </c>
      <c r="M1464" s="20">
        <v>1</v>
      </c>
      <c r="N1464" s="19">
        <v>0</v>
      </c>
      <c r="O1464" s="19">
        <v>0</v>
      </c>
      <c r="P1464" s="19">
        <v>0</v>
      </c>
      <c r="Q1464" s="19">
        <v>0</v>
      </c>
      <c r="R1464" s="19">
        <v>0.49206671991672168</v>
      </c>
      <c r="S1464" s="19">
        <v>0.50793328008327832</v>
      </c>
      <c r="T1464" s="20">
        <v>11</v>
      </c>
      <c r="U1464" s="17">
        <v>2</v>
      </c>
      <c r="V1464" s="17">
        <v>34</v>
      </c>
    </row>
    <row r="1465" spans="1:22" x14ac:dyDescent="0.2">
      <c r="A1465" t="s">
        <v>3829</v>
      </c>
      <c r="B1465" t="s">
        <v>2719</v>
      </c>
      <c r="C1465" t="s">
        <v>2720</v>
      </c>
      <c r="D1465" t="s">
        <v>3802</v>
      </c>
      <c r="E1465" s="10" t="s">
        <v>3830</v>
      </c>
      <c r="F1465" s="10"/>
      <c r="G1465" s="10"/>
      <c r="H1465" s="10" t="s">
        <v>3830</v>
      </c>
      <c r="I1465" s="14">
        <v>17416.148120995611</v>
      </c>
      <c r="J1465" s="19">
        <v>0</v>
      </c>
      <c r="K1465" s="19">
        <v>0.64392271096774523</v>
      </c>
      <c r="L1465" s="19">
        <v>0.35607728903225472</v>
      </c>
      <c r="M1465" s="20">
        <v>2</v>
      </c>
      <c r="N1465" s="19">
        <v>0</v>
      </c>
      <c r="O1465" s="19">
        <v>0.5447214772249569</v>
      </c>
      <c r="P1465" s="19">
        <v>9.9201233742788331E-2</v>
      </c>
      <c r="Q1465" s="19">
        <v>0.14074034859358592</v>
      </c>
      <c r="R1465" s="19">
        <v>0.20285743018526747</v>
      </c>
      <c r="S1465" s="19">
        <v>1.2479510253401358E-2</v>
      </c>
      <c r="T1465" s="20">
        <v>22</v>
      </c>
      <c r="U1465" s="17">
        <v>2</v>
      </c>
      <c r="V1465" s="17">
        <v>34</v>
      </c>
    </row>
    <row r="1466" spans="1:22" x14ac:dyDescent="0.2">
      <c r="A1466" t="s">
        <v>3831</v>
      </c>
      <c r="B1466" t="s">
        <v>2719</v>
      </c>
      <c r="C1466" t="s">
        <v>2720</v>
      </c>
      <c r="D1466" t="s">
        <v>3802</v>
      </c>
      <c r="E1466" s="10" t="s">
        <v>3396</v>
      </c>
      <c r="F1466" s="10"/>
      <c r="G1466" s="10"/>
      <c r="H1466" s="10" t="s">
        <v>3396</v>
      </c>
      <c r="I1466" s="14">
        <v>6702.7662636097521</v>
      </c>
      <c r="J1466" s="19">
        <v>0</v>
      </c>
      <c r="K1466" s="19">
        <v>0.83281617851181322</v>
      </c>
      <c r="L1466" s="19">
        <v>0.16718382148818678</v>
      </c>
      <c r="M1466" s="20">
        <v>2</v>
      </c>
      <c r="N1466" s="19">
        <v>0</v>
      </c>
      <c r="O1466" s="19">
        <v>0</v>
      </c>
      <c r="P1466" s="19">
        <v>0.83281617851181322</v>
      </c>
      <c r="Q1466" s="19">
        <v>0</v>
      </c>
      <c r="R1466" s="19">
        <v>0.14889974896862132</v>
      </c>
      <c r="S1466" s="19">
        <v>1.8284072519565431E-2</v>
      </c>
      <c r="T1466" s="20">
        <v>21</v>
      </c>
      <c r="U1466" s="17">
        <v>2</v>
      </c>
      <c r="V1466" s="17">
        <v>34</v>
      </c>
    </row>
    <row r="1467" spans="1:22" x14ac:dyDescent="0.2">
      <c r="A1467" t="s">
        <v>3832</v>
      </c>
      <c r="B1467" t="s">
        <v>2719</v>
      </c>
      <c r="C1467" t="s">
        <v>2720</v>
      </c>
      <c r="D1467" t="s">
        <v>3802</v>
      </c>
      <c r="E1467" s="10" t="s">
        <v>3833</v>
      </c>
      <c r="F1467" s="10"/>
      <c r="G1467" s="10"/>
      <c r="H1467" s="10" t="s">
        <v>3833</v>
      </c>
      <c r="I1467" s="14">
        <v>44862.781971414108</v>
      </c>
      <c r="J1467" s="19">
        <v>0</v>
      </c>
      <c r="K1467" s="19">
        <v>0.42326012206485836</v>
      </c>
      <c r="L1467" s="19">
        <v>0.5767398779351417</v>
      </c>
      <c r="M1467" s="20">
        <v>1</v>
      </c>
      <c r="N1467" s="19">
        <v>0</v>
      </c>
      <c r="O1467" s="19">
        <v>0.41789626489421905</v>
      </c>
      <c r="P1467" s="19">
        <v>5.3638571706393252E-3</v>
      </c>
      <c r="Q1467" s="19">
        <v>0.3972568991042566</v>
      </c>
      <c r="R1467" s="19">
        <v>0.15768599262931177</v>
      </c>
      <c r="S1467" s="19">
        <v>2.1796986201573269E-2</v>
      </c>
      <c r="T1467" s="20">
        <v>13</v>
      </c>
      <c r="U1467" s="17">
        <v>2</v>
      </c>
      <c r="V1467" s="17">
        <v>34</v>
      </c>
    </row>
    <row r="1468" spans="1:22" x14ac:dyDescent="0.2">
      <c r="A1468" t="s">
        <v>3834</v>
      </c>
      <c r="B1468" t="s">
        <v>2719</v>
      </c>
      <c r="C1468" t="s">
        <v>2720</v>
      </c>
      <c r="D1468" t="s">
        <v>3802</v>
      </c>
      <c r="E1468" s="10" t="s">
        <v>3835</v>
      </c>
      <c r="F1468" s="10"/>
      <c r="G1468" s="10"/>
      <c r="H1468" s="10" t="s">
        <v>3835</v>
      </c>
      <c r="I1468" s="14">
        <v>18387.509511709213</v>
      </c>
      <c r="J1468" s="19">
        <v>0</v>
      </c>
      <c r="K1468" s="19">
        <v>0.65161583986207949</v>
      </c>
      <c r="L1468" s="19">
        <v>0.34838416013792034</v>
      </c>
      <c r="M1468" s="20">
        <v>2</v>
      </c>
      <c r="N1468" s="19">
        <v>0</v>
      </c>
      <c r="O1468" s="19">
        <v>0.65161583986207949</v>
      </c>
      <c r="P1468" s="19">
        <v>0</v>
      </c>
      <c r="Q1468" s="19">
        <v>0.12643882523738964</v>
      </c>
      <c r="R1468" s="19">
        <v>0.20437034865951964</v>
      </c>
      <c r="S1468" s="19">
        <v>1.7574986241011115E-2</v>
      </c>
      <c r="T1468" s="20">
        <v>22</v>
      </c>
      <c r="U1468" s="17">
        <v>2</v>
      </c>
      <c r="V1468" s="17">
        <v>34</v>
      </c>
    </row>
    <row r="1469" spans="1:22" x14ac:dyDescent="0.2">
      <c r="A1469" t="s">
        <v>3836</v>
      </c>
      <c r="B1469" t="s">
        <v>2719</v>
      </c>
      <c r="C1469" t="s">
        <v>2720</v>
      </c>
      <c r="D1469" t="s">
        <v>3802</v>
      </c>
      <c r="E1469" s="10" t="s">
        <v>3837</v>
      </c>
      <c r="F1469" s="10"/>
      <c r="G1469" s="10"/>
      <c r="H1469" s="10" t="s">
        <v>3837</v>
      </c>
      <c r="I1469" s="14">
        <v>25143.344091991319</v>
      </c>
      <c r="J1469" s="19">
        <v>0</v>
      </c>
      <c r="K1469" s="19">
        <v>0.42634938959018015</v>
      </c>
      <c r="L1469" s="19">
        <v>0.57365061040981991</v>
      </c>
      <c r="M1469" s="20">
        <v>1</v>
      </c>
      <c r="N1469" s="19">
        <v>0</v>
      </c>
      <c r="O1469" s="19">
        <v>0.38885408306434771</v>
      </c>
      <c r="P1469" s="19">
        <v>3.7495306525832418E-2</v>
      </c>
      <c r="Q1469" s="19">
        <v>0.32202231205990983</v>
      </c>
      <c r="R1469" s="19">
        <v>0.23507070099499885</v>
      </c>
      <c r="S1469" s="19">
        <v>1.6557597354911184E-2</v>
      </c>
      <c r="T1469" s="20">
        <v>13</v>
      </c>
      <c r="U1469" s="17">
        <v>2</v>
      </c>
      <c r="V1469" s="17">
        <v>34</v>
      </c>
    </row>
    <row r="1470" spans="1:22" x14ac:dyDescent="0.2">
      <c r="A1470" t="s">
        <v>3838</v>
      </c>
      <c r="B1470" t="s">
        <v>2719</v>
      </c>
      <c r="C1470" t="s">
        <v>2720</v>
      </c>
      <c r="D1470" t="s">
        <v>3802</v>
      </c>
      <c r="E1470" s="10" t="s">
        <v>3839</v>
      </c>
      <c r="F1470" s="10"/>
      <c r="G1470" s="10"/>
      <c r="H1470" s="10" t="s">
        <v>3839</v>
      </c>
      <c r="I1470" s="14">
        <v>16808.665286744945</v>
      </c>
      <c r="J1470" s="19">
        <v>0</v>
      </c>
      <c r="K1470" s="19">
        <v>0.83689985567374092</v>
      </c>
      <c r="L1470" s="19">
        <v>0.16310014432625908</v>
      </c>
      <c r="M1470" s="20">
        <v>2</v>
      </c>
      <c r="N1470" s="19">
        <v>0</v>
      </c>
      <c r="O1470" s="19">
        <v>0.28332810197347758</v>
      </c>
      <c r="P1470" s="19">
        <v>0.55357175370026335</v>
      </c>
      <c r="Q1470" s="19">
        <v>1.5624433970914337E-4</v>
      </c>
      <c r="R1470" s="19">
        <v>0.11559239175167205</v>
      </c>
      <c r="S1470" s="19">
        <v>4.7351508234877888E-2</v>
      </c>
      <c r="T1470" s="20">
        <v>21</v>
      </c>
      <c r="U1470" s="17">
        <v>2</v>
      </c>
      <c r="V1470" s="17">
        <v>34</v>
      </c>
    </row>
    <row r="1471" spans="1:22" x14ac:dyDescent="0.2">
      <c r="A1471" t="s">
        <v>3840</v>
      </c>
      <c r="B1471" t="s">
        <v>2719</v>
      </c>
      <c r="C1471" t="s">
        <v>2720</v>
      </c>
      <c r="D1471" t="s">
        <v>3802</v>
      </c>
      <c r="E1471" s="10" t="s">
        <v>3841</v>
      </c>
      <c r="F1471" s="10"/>
      <c r="G1471" s="10"/>
      <c r="H1471" s="10" t="s">
        <v>3841</v>
      </c>
      <c r="I1471" s="14">
        <v>16436.687901610509</v>
      </c>
      <c r="J1471" s="19">
        <v>0</v>
      </c>
      <c r="K1471" s="19">
        <v>6.772492316318815E-2</v>
      </c>
      <c r="L1471" s="19">
        <v>0.93227507683681177</v>
      </c>
      <c r="M1471" s="20">
        <v>1</v>
      </c>
      <c r="N1471" s="19">
        <v>0</v>
      </c>
      <c r="O1471" s="19">
        <v>6.772492316318815E-2</v>
      </c>
      <c r="P1471" s="19">
        <v>0</v>
      </c>
      <c r="Q1471" s="19">
        <v>0.77499607031730244</v>
      </c>
      <c r="R1471" s="19">
        <v>0.14764857771625975</v>
      </c>
      <c r="S1471" s="19">
        <v>9.6304288032496473E-3</v>
      </c>
      <c r="T1471" s="20">
        <v>13</v>
      </c>
      <c r="U1471" s="17">
        <v>2</v>
      </c>
      <c r="V1471" s="17">
        <v>34</v>
      </c>
    </row>
    <row r="1472" spans="1:22" x14ac:dyDescent="0.2">
      <c r="A1472" t="s">
        <v>3842</v>
      </c>
      <c r="B1472" t="s">
        <v>2719</v>
      </c>
      <c r="C1472" t="s">
        <v>2720</v>
      </c>
      <c r="D1472" t="s">
        <v>3802</v>
      </c>
      <c r="E1472" s="10" t="s">
        <v>3843</v>
      </c>
      <c r="F1472" s="10"/>
      <c r="G1472" s="10"/>
      <c r="H1472" s="10" t="s">
        <v>3843</v>
      </c>
      <c r="I1472" s="14">
        <v>12809.077488386189</v>
      </c>
      <c r="J1472" s="19">
        <v>0</v>
      </c>
      <c r="K1472" s="19">
        <v>0.16061907879043516</v>
      </c>
      <c r="L1472" s="19">
        <v>0.83938092120956487</v>
      </c>
      <c r="M1472" s="20">
        <v>1</v>
      </c>
      <c r="N1472" s="19">
        <v>0</v>
      </c>
      <c r="O1472" s="19">
        <v>4.1955340283856446E-2</v>
      </c>
      <c r="P1472" s="19">
        <v>0.11866373850657871</v>
      </c>
      <c r="Q1472" s="19">
        <v>0.60791567225767895</v>
      </c>
      <c r="R1472" s="19">
        <v>0.19504408301723222</v>
      </c>
      <c r="S1472" s="19">
        <v>3.6421165934653693E-2</v>
      </c>
      <c r="T1472" s="20">
        <v>13</v>
      </c>
      <c r="U1472" s="17">
        <v>2</v>
      </c>
      <c r="V1472" s="17">
        <v>34</v>
      </c>
    </row>
    <row r="1473" spans="1:22" x14ac:dyDescent="0.2">
      <c r="A1473" t="s">
        <v>3844</v>
      </c>
      <c r="B1473" t="s">
        <v>2719</v>
      </c>
      <c r="C1473" t="s">
        <v>2720</v>
      </c>
      <c r="D1473" t="s">
        <v>3802</v>
      </c>
      <c r="E1473" s="10" t="s">
        <v>3845</v>
      </c>
      <c r="F1473" s="10"/>
      <c r="G1473" s="10"/>
      <c r="H1473" s="10" t="s">
        <v>3845</v>
      </c>
      <c r="I1473" s="14">
        <v>21248.995428246388</v>
      </c>
      <c r="J1473" s="19">
        <v>0</v>
      </c>
      <c r="K1473" s="19">
        <v>0.61111737908256325</v>
      </c>
      <c r="L1473" s="19">
        <v>0.38888262091743669</v>
      </c>
      <c r="M1473" s="20">
        <v>2</v>
      </c>
      <c r="N1473" s="19">
        <v>0.24733532629953564</v>
      </c>
      <c r="O1473" s="19">
        <v>0</v>
      </c>
      <c r="P1473" s="19">
        <v>0.36378205278302761</v>
      </c>
      <c r="Q1473" s="19">
        <v>0.25285133340663596</v>
      </c>
      <c r="R1473" s="19">
        <v>0.11978634169829984</v>
      </c>
      <c r="S1473" s="19">
        <v>1.6244945812500876E-2</v>
      </c>
      <c r="T1473" s="20">
        <v>23</v>
      </c>
      <c r="U1473" s="17">
        <v>2</v>
      </c>
      <c r="V1473" s="17">
        <v>34</v>
      </c>
    </row>
    <row r="1474" spans="1:22" x14ac:dyDescent="0.2">
      <c r="A1474" t="s">
        <v>3846</v>
      </c>
      <c r="B1474" t="s">
        <v>2719</v>
      </c>
      <c r="C1474" t="s">
        <v>2720</v>
      </c>
      <c r="D1474" t="s">
        <v>3847</v>
      </c>
      <c r="E1474" s="10" t="s">
        <v>2777</v>
      </c>
      <c r="F1474" s="10"/>
      <c r="G1474" s="10"/>
      <c r="H1474" s="10" t="s">
        <v>2777</v>
      </c>
      <c r="I1474" s="14">
        <v>60665.45084665715</v>
      </c>
      <c r="J1474" s="19">
        <v>0</v>
      </c>
      <c r="K1474" s="19">
        <v>0.87747637269702883</v>
      </c>
      <c r="L1474" s="19">
        <v>0.12252362730297132</v>
      </c>
      <c r="M1474" s="20">
        <v>2</v>
      </c>
      <c r="N1474" s="19">
        <v>0.2242072441889621</v>
      </c>
      <c r="O1474" s="19">
        <v>0</v>
      </c>
      <c r="P1474" s="19">
        <v>0.65326912850806673</v>
      </c>
      <c r="Q1474" s="19">
        <v>0</v>
      </c>
      <c r="R1474" s="19">
        <v>0.12010835348993305</v>
      </c>
      <c r="S1474" s="19">
        <v>2.4152738130382616E-3</v>
      </c>
      <c r="T1474" s="20">
        <v>21</v>
      </c>
      <c r="U1474" s="17">
        <v>2</v>
      </c>
      <c r="V1474" s="17">
        <v>34</v>
      </c>
    </row>
    <row r="1475" spans="1:22" x14ac:dyDescent="0.2">
      <c r="A1475" t="s">
        <v>3848</v>
      </c>
      <c r="B1475" t="s">
        <v>2719</v>
      </c>
      <c r="C1475" t="s">
        <v>2720</v>
      </c>
      <c r="D1475" t="s">
        <v>3847</v>
      </c>
      <c r="E1475" s="10" t="s">
        <v>3849</v>
      </c>
      <c r="F1475" s="10"/>
      <c r="G1475" s="10"/>
      <c r="H1475" s="10" t="s">
        <v>3849</v>
      </c>
      <c r="I1475" s="14">
        <v>45423.221876569092</v>
      </c>
      <c r="J1475" s="19">
        <v>0</v>
      </c>
      <c r="K1475" s="19">
        <v>0.80752003515048065</v>
      </c>
      <c r="L1475" s="19">
        <v>0.19247996484951929</v>
      </c>
      <c r="M1475" s="20">
        <v>2</v>
      </c>
      <c r="N1475" s="19">
        <v>0.11752870124892389</v>
      </c>
      <c r="O1475" s="19">
        <v>5.562229103910845E-2</v>
      </c>
      <c r="P1475" s="19">
        <v>0.63436904286244833</v>
      </c>
      <c r="Q1475" s="19">
        <v>2.981763709894867E-2</v>
      </c>
      <c r="R1475" s="19">
        <v>0.15634127562453157</v>
      </c>
      <c r="S1475" s="19">
        <v>6.3210521260390557E-3</v>
      </c>
      <c r="T1475" s="20">
        <v>21</v>
      </c>
      <c r="U1475" s="17">
        <v>2</v>
      </c>
      <c r="V1475" s="17">
        <v>34</v>
      </c>
    </row>
    <row r="1476" spans="1:22" x14ac:dyDescent="0.2">
      <c r="A1476" t="s">
        <v>3850</v>
      </c>
      <c r="B1476" t="s">
        <v>2719</v>
      </c>
      <c r="C1476" t="s">
        <v>2720</v>
      </c>
      <c r="D1476" t="s">
        <v>3847</v>
      </c>
      <c r="E1476" s="10" t="s">
        <v>3851</v>
      </c>
      <c r="F1476" s="10"/>
      <c r="G1476" s="10"/>
      <c r="H1476" s="10" t="s">
        <v>3851</v>
      </c>
      <c r="I1476" s="14">
        <v>46439.516128141433</v>
      </c>
      <c r="J1476" s="19">
        <v>0</v>
      </c>
      <c r="K1476" s="19">
        <v>0.77510344474617277</v>
      </c>
      <c r="L1476" s="19">
        <v>0.22489655525382726</v>
      </c>
      <c r="M1476" s="20">
        <v>2</v>
      </c>
      <c r="N1476" s="19">
        <v>0</v>
      </c>
      <c r="O1476" s="19">
        <v>0.77510344474617277</v>
      </c>
      <c r="P1476" s="19">
        <v>0</v>
      </c>
      <c r="Q1476" s="19">
        <v>7.2686680691742431E-2</v>
      </c>
      <c r="R1476" s="19">
        <v>0.1466866718292055</v>
      </c>
      <c r="S1476" s="19">
        <v>5.5232027328793358E-3</v>
      </c>
      <c r="T1476" s="20">
        <v>22</v>
      </c>
      <c r="U1476" s="17">
        <v>2</v>
      </c>
      <c r="V1476" s="17">
        <v>34</v>
      </c>
    </row>
    <row r="1477" spans="1:22" x14ac:dyDescent="0.2">
      <c r="A1477" t="s">
        <v>3852</v>
      </c>
      <c r="B1477" t="s">
        <v>2719</v>
      </c>
      <c r="C1477" t="s">
        <v>2720</v>
      </c>
      <c r="D1477" t="s">
        <v>3847</v>
      </c>
      <c r="E1477" s="10" t="s">
        <v>3853</v>
      </c>
      <c r="F1477" s="10"/>
      <c r="G1477" s="10"/>
      <c r="H1477" s="10" t="s">
        <v>3853</v>
      </c>
      <c r="I1477" s="14">
        <v>31606.944730071351</v>
      </c>
      <c r="J1477" s="19">
        <v>0</v>
      </c>
      <c r="K1477" s="19">
        <v>0.57900934610347687</v>
      </c>
      <c r="L1477" s="19">
        <v>0.42099065389652313</v>
      </c>
      <c r="M1477" s="20">
        <v>2</v>
      </c>
      <c r="N1477" s="19">
        <v>0</v>
      </c>
      <c r="O1477" s="19">
        <v>0.51064844090877404</v>
      </c>
      <c r="P1477" s="19">
        <v>6.8360905194702837E-2</v>
      </c>
      <c r="Q1477" s="19">
        <v>8.9401685585405413E-2</v>
      </c>
      <c r="R1477" s="19">
        <v>0.32041679088707647</v>
      </c>
      <c r="S1477" s="19">
        <v>1.1172177424041195E-2</v>
      </c>
      <c r="T1477" s="20">
        <v>22</v>
      </c>
      <c r="U1477" s="17">
        <v>2</v>
      </c>
      <c r="V1477" s="17">
        <v>34</v>
      </c>
    </row>
    <row r="1478" spans="1:22" x14ac:dyDescent="0.2">
      <c r="A1478" t="s">
        <v>3854</v>
      </c>
      <c r="B1478" t="s">
        <v>2719</v>
      </c>
      <c r="C1478" t="s">
        <v>2720</v>
      </c>
      <c r="D1478" t="s">
        <v>3847</v>
      </c>
      <c r="E1478" s="10" t="s">
        <v>3855</v>
      </c>
      <c r="F1478" s="10"/>
      <c r="G1478" s="10"/>
      <c r="H1478" s="10" t="s">
        <v>3855</v>
      </c>
      <c r="I1478" s="14">
        <v>29847.872008020058</v>
      </c>
      <c r="J1478" s="19">
        <v>0</v>
      </c>
      <c r="K1478" s="19">
        <v>0.21657215375690245</v>
      </c>
      <c r="L1478" s="19">
        <v>0.78342784624309758</v>
      </c>
      <c r="M1478" s="20">
        <v>1</v>
      </c>
      <c r="N1478" s="19">
        <v>0</v>
      </c>
      <c r="O1478" s="19">
        <v>0.19708770354018101</v>
      </c>
      <c r="P1478" s="19">
        <v>1.9484450216721388E-2</v>
      </c>
      <c r="Q1478" s="19">
        <v>0.37190456789661253</v>
      </c>
      <c r="R1478" s="19">
        <v>0.38432326048483317</v>
      </c>
      <c r="S1478" s="19">
        <v>2.7200017861651899E-2</v>
      </c>
      <c r="T1478" s="20">
        <v>12</v>
      </c>
      <c r="U1478" s="17">
        <v>2</v>
      </c>
      <c r="V1478" s="17">
        <v>34</v>
      </c>
    </row>
    <row r="1479" spans="1:22" x14ac:dyDescent="0.2">
      <c r="A1479" t="s">
        <v>3856</v>
      </c>
      <c r="B1479" t="s">
        <v>2719</v>
      </c>
      <c r="C1479" t="s">
        <v>2720</v>
      </c>
      <c r="D1479" t="s">
        <v>3857</v>
      </c>
      <c r="E1479" s="10" t="s">
        <v>3858</v>
      </c>
      <c r="F1479" s="10"/>
      <c r="G1479" s="10"/>
      <c r="H1479" s="10" t="s">
        <v>3858</v>
      </c>
      <c r="I1479" s="14">
        <v>23636.775370623916</v>
      </c>
      <c r="J1479" s="19">
        <v>0</v>
      </c>
      <c r="K1479" s="19">
        <v>0</v>
      </c>
      <c r="L1479" s="19">
        <v>1</v>
      </c>
      <c r="M1479" s="20">
        <v>1</v>
      </c>
      <c r="N1479" s="19">
        <v>0</v>
      </c>
      <c r="O1479" s="19">
        <v>0</v>
      </c>
      <c r="P1479" s="19">
        <v>0</v>
      </c>
      <c r="Q1479" s="19">
        <v>0.52799786341096955</v>
      </c>
      <c r="R1479" s="19">
        <v>0.40189856099445725</v>
      </c>
      <c r="S1479" s="19">
        <v>7.0103575594573156E-2</v>
      </c>
      <c r="T1479" s="20">
        <v>13</v>
      </c>
      <c r="U1479" s="17">
        <v>2</v>
      </c>
      <c r="V1479" s="17">
        <v>34</v>
      </c>
    </row>
    <row r="1480" spans="1:22" x14ac:dyDescent="0.2">
      <c r="A1480" t="s">
        <v>3859</v>
      </c>
      <c r="B1480" t="s">
        <v>2719</v>
      </c>
      <c r="C1480" t="s">
        <v>2720</v>
      </c>
      <c r="D1480" t="s">
        <v>3857</v>
      </c>
      <c r="E1480" s="10" t="s">
        <v>3860</v>
      </c>
      <c r="F1480" s="10"/>
      <c r="G1480" s="10"/>
      <c r="H1480" s="10" t="s">
        <v>3860</v>
      </c>
      <c r="I1480" s="14">
        <v>37781.355924789445</v>
      </c>
      <c r="J1480" s="19">
        <v>0</v>
      </c>
      <c r="K1480" s="19">
        <v>0.31499190436544577</v>
      </c>
      <c r="L1480" s="19">
        <v>0.68500809563455423</v>
      </c>
      <c r="M1480" s="20">
        <v>1</v>
      </c>
      <c r="N1480" s="19">
        <v>0</v>
      </c>
      <c r="O1480" s="19">
        <v>0.2595953173906328</v>
      </c>
      <c r="P1480" s="19">
        <v>5.5396586974812978E-2</v>
      </c>
      <c r="Q1480" s="19">
        <v>0.18458041716421719</v>
      </c>
      <c r="R1480" s="19">
        <v>0.42784779540156481</v>
      </c>
      <c r="S1480" s="19">
        <v>7.2579883068772208E-2</v>
      </c>
      <c r="T1480" s="20">
        <v>12</v>
      </c>
      <c r="U1480" s="17">
        <v>2</v>
      </c>
      <c r="V1480" s="17">
        <v>34</v>
      </c>
    </row>
    <row r="1481" spans="1:22" x14ac:dyDescent="0.2">
      <c r="A1481" t="s">
        <v>3861</v>
      </c>
      <c r="B1481" t="s">
        <v>2719</v>
      </c>
      <c r="C1481" t="s">
        <v>2720</v>
      </c>
      <c r="D1481" t="s">
        <v>3857</v>
      </c>
      <c r="E1481" s="10" t="s">
        <v>3862</v>
      </c>
      <c r="F1481" s="10"/>
      <c r="G1481" s="10"/>
      <c r="H1481" s="10" t="s">
        <v>3862</v>
      </c>
      <c r="I1481" s="14">
        <v>18349.066229789983</v>
      </c>
      <c r="J1481" s="19">
        <v>0</v>
      </c>
      <c r="K1481" s="19">
        <v>0.14988043964704464</v>
      </c>
      <c r="L1481" s="19">
        <v>0.85011956035295522</v>
      </c>
      <c r="M1481" s="20">
        <v>1</v>
      </c>
      <c r="N1481" s="19">
        <v>0</v>
      </c>
      <c r="O1481" s="19">
        <v>1.1171075748141168E-6</v>
      </c>
      <c r="P1481" s="19">
        <v>0.14987932253946981</v>
      </c>
      <c r="Q1481" s="19">
        <v>0.51499719006310651</v>
      </c>
      <c r="R1481" s="19">
        <v>0.29234320732878299</v>
      </c>
      <c r="S1481" s="19">
        <v>4.2779162961065854E-2</v>
      </c>
      <c r="T1481" s="20">
        <v>13</v>
      </c>
      <c r="U1481" s="17">
        <v>2</v>
      </c>
      <c r="V1481" s="17">
        <v>34</v>
      </c>
    </row>
    <row r="1482" spans="1:22" x14ac:dyDescent="0.2">
      <c r="A1482" t="s">
        <v>3863</v>
      </c>
      <c r="B1482" t="s">
        <v>2719</v>
      </c>
      <c r="C1482" t="s">
        <v>2720</v>
      </c>
      <c r="D1482" t="s">
        <v>3857</v>
      </c>
      <c r="E1482" s="10" t="s">
        <v>3864</v>
      </c>
      <c r="F1482" s="10"/>
      <c r="G1482" s="10"/>
      <c r="H1482" s="10" t="s">
        <v>3864</v>
      </c>
      <c r="I1482" s="14">
        <v>27415.338237706575</v>
      </c>
      <c r="J1482" s="19">
        <v>0</v>
      </c>
      <c r="K1482" s="19">
        <v>0.49184415014990024</v>
      </c>
      <c r="L1482" s="19">
        <v>0.50815584985009965</v>
      </c>
      <c r="M1482" s="20">
        <v>1</v>
      </c>
      <c r="N1482" s="19">
        <v>0</v>
      </c>
      <c r="O1482" s="19">
        <v>0.49184415014990013</v>
      </c>
      <c r="P1482" s="19">
        <v>0</v>
      </c>
      <c r="Q1482" s="19">
        <v>0.26290375189180504</v>
      </c>
      <c r="R1482" s="19">
        <v>0.23621796948322818</v>
      </c>
      <c r="S1482" s="19">
        <v>9.0341284750664139E-3</v>
      </c>
      <c r="T1482" s="20">
        <v>13</v>
      </c>
      <c r="U1482" s="17">
        <v>2</v>
      </c>
      <c r="V1482" s="17">
        <v>34</v>
      </c>
    </row>
    <row r="1483" spans="1:22" x14ac:dyDescent="0.2">
      <c r="A1483" t="s">
        <v>3865</v>
      </c>
      <c r="B1483" t="s">
        <v>2719</v>
      </c>
      <c r="C1483" t="s">
        <v>2720</v>
      </c>
      <c r="D1483" t="s">
        <v>3857</v>
      </c>
      <c r="E1483" s="10" t="s">
        <v>3866</v>
      </c>
      <c r="F1483" s="10"/>
      <c r="G1483" s="10"/>
      <c r="H1483" s="10" t="s">
        <v>3866</v>
      </c>
      <c r="I1483" s="14">
        <v>11081.791570875794</v>
      </c>
      <c r="J1483" s="19">
        <v>0</v>
      </c>
      <c r="K1483" s="19">
        <v>0.80526673064851795</v>
      </c>
      <c r="L1483" s="19">
        <v>0.19473326935148205</v>
      </c>
      <c r="M1483" s="20">
        <v>2</v>
      </c>
      <c r="N1483" s="19">
        <v>0</v>
      </c>
      <c r="O1483" s="19">
        <v>1.1346774144288621E-2</v>
      </c>
      <c r="P1483" s="19">
        <v>0.79391995650422931</v>
      </c>
      <c r="Q1483" s="19">
        <v>0</v>
      </c>
      <c r="R1483" s="19">
        <v>0.17550161351244029</v>
      </c>
      <c r="S1483" s="19">
        <v>1.923165583904175E-2</v>
      </c>
      <c r="T1483" s="20">
        <v>21</v>
      </c>
      <c r="U1483" s="17">
        <v>2</v>
      </c>
      <c r="V1483" s="17">
        <v>34</v>
      </c>
    </row>
    <row r="1484" spans="1:22" x14ac:dyDescent="0.2">
      <c r="A1484" t="s">
        <v>3867</v>
      </c>
      <c r="B1484" t="s">
        <v>2719</v>
      </c>
      <c r="C1484" t="s">
        <v>2720</v>
      </c>
      <c r="D1484" t="s">
        <v>3857</v>
      </c>
      <c r="E1484" s="10" t="s">
        <v>3868</v>
      </c>
      <c r="F1484" s="10"/>
      <c r="G1484" s="10"/>
      <c r="H1484" s="10" t="s">
        <v>3868</v>
      </c>
      <c r="I1484" s="14">
        <v>12103.115456482396</v>
      </c>
      <c r="J1484" s="19">
        <v>0</v>
      </c>
      <c r="K1484" s="19">
        <v>0.39625043459086773</v>
      </c>
      <c r="L1484" s="19">
        <v>0.60374956540913227</v>
      </c>
      <c r="M1484" s="20">
        <v>1</v>
      </c>
      <c r="N1484" s="19">
        <v>0</v>
      </c>
      <c r="O1484" s="19">
        <v>0.39625043459086773</v>
      </c>
      <c r="P1484" s="19">
        <v>0</v>
      </c>
      <c r="Q1484" s="19">
        <v>0.21712773925841924</v>
      </c>
      <c r="R1484" s="19">
        <v>0.34059578037882826</v>
      </c>
      <c r="S1484" s="19">
        <v>4.6026045771884801E-2</v>
      </c>
      <c r="T1484" s="20">
        <v>12</v>
      </c>
      <c r="U1484" s="17">
        <v>2</v>
      </c>
      <c r="V1484" s="17">
        <v>34</v>
      </c>
    </row>
    <row r="1485" spans="1:22" x14ac:dyDescent="0.2">
      <c r="A1485" t="s">
        <v>3869</v>
      </c>
      <c r="B1485" t="s">
        <v>2719</v>
      </c>
      <c r="C1485" t="s">
        <v>2720</v>
      </c>
      <c r="D1485" t="s">
        <v>3857</v>
      </c>
      <c r="E1485" s="10" t="s">
        <v>3870</v>
      </c>
      <c r="F1485" s="10"/>
      <c r="G1485" s="10"/>
      <c r="H1485" s="10" t="s">
        <v>3870</v>
      </c>
      <c r="I1485" s="14">
        <v>19138.173018058296</v>
      </c>
      <c r="J1485" s="19">
        <v>0</v>
      </c>
      <c r="K1485" s="19">
        <v>0.61792190356209176</v>
      </c>
      <c r="L1485" s="19">
        <v>0.38207809643790819</v>
      </c>
      <c r="M1485" s="20">
        <v>2</v>
      </c>
      <c r="N1485" s="19">
        <v>7.0407434817818003E-4</v>
      </c>
      <c r="O1485" s="19">
        <v>0</v>
      </c>
      <c r="P1485" s="19">
        <v>0.61721782921391366</v>
      </c>
      <c r="Q1485" s="19">
        <v>0.14083295833625412</v>
      </c>
      <c r="R1485" s="19">
        <v>0.22666583607310586</v>
      </c>
      <c r="S1485" s="19">
        <v>1.4579302028548236E-2</v>
      </c>
      <c r="T1485" s="20">
        <v>21</v>
      </c>
      <c r="U1485" s="17">
        <v>2</v>
      </c>
      <c r="V1485" s="17">
        <v>34</v>
      </c>
    </row>
    <row r="1486" spans="1:22" x14ac:dyDescent="0.2">
      <c r="A1486" t="s">
        <v>3871</v>
      </c>
      <c r="B1486" t="s">
        <v>2719</v>
      </c>
      <c r="C1486" t="s">
        <v>2720</v>
      </c>
      <c r="D1486" t="s">
        <v>3857</v>
      </c>
      <c r="E1486" s="10" t="s">
        <v>3872</v>
      </c>
      <c r="F1486" s="10"/>
      <c r="G1486" s="10"/>
      <c r="H1486" s="10" t="s">
        <v>3872</v>
      </c>
      <c r="I1486" s="14">
        <v>21961.706110853702</v>
      </c>
      <c r="J1486" s="19">
        <v>0</v>
      </c>
      <c r="K1486" s="19">
        <v>0.66318145563798736</v>
      </c>
      <c r="L1486" s="19">
        <v>0.33681854436201258</v>
      </c>
      <c r="M1486" s="20">
        <v>2</v>
      </c>
      <c r="N1486" s="19">
        <v>0.31819401177741391</v>
      </c>
      <c r="O1486" s="19">
        <v>0</v>
      </c>
      <c r="P1486" s="19">
        <v>0.3449874438605734</v>
      </c>
      <c r="Q1486" s="19">
        <v>4.6418704777108848E-2</v>
      </c>
      <c r="R1486" s="19">
        <v>0.22491869070487602</v>
      </c>
      <c r="S1486" s="19">
        <v>6.5481148880027762E-2</v>
      </c>
      <c r="T1486" s="20">
        <v>23</v>
      </c>
      <c r="U1486" s="17">
        <v>2</v>
      </c>
      <c r="V1486" s="17">
        <v>34</v>
      </c>
    </row>
    <row r="1487" spans="1:22" x14ac:dyDescent="0.2">
      <c r="A1487" t="s">
        <v>3873</v>
      </c>
      <c r="B1487" t="s">
        <v>2719</v>
      </c>
      <c r="C1487" t="s">
        <v>2720</v>
      </c>
      <c r="D1487" t="s">
        <v>3857</v>
      </c>
      <c r="E1487" s="10" t="s">
        <v>3874</v>
      </c>
      <c r="F1487" s="10"/>
      <c r="G1487" s="10"/>
      <c r="H1487" s="10" t="s">
        <v>3874</v>
      </c>
      <c r="I1487" s="14">
        <v>28357.472912147641</v>
      </c>
      <c r="J1487" s="19">
        <v>0</v>
      </c>
      <c r="K1487" s="19">
        <v>0.43509737124571418</v>
      </c>
      <c r="L1487" s="19">
        <v>0.56490262875428587</v>
      </c>
      <c r="M1487" s="20">
        <v>1</v>
      </c>
      <c r="N1487" s="19">
        <v>0</v>
      </c>
      <c r="O1487" s="19">
        <v>0.15088298042957482</v>
      </c>
      <c r="P1487" s="19">
        <v>0.28421439081613936</v>
      </c>
      <c r="Q1487" s="19">
        <v>0.21531434755375656</v>
      </c>
      <c r="R1487" s="19">
        <v>0.31557738965265997</v>
      </c>
      <c r="S1487" s="19">
        <v>3.4010891547869279E-2</v>
      </c>
      <c r="T1487" s="20">
        <v>12</v>
      </c>
      <c r="U1487" s="17">
        <v>2</v>
      </c>
      <c r="V1487" s="17">
        <v>34</v>
      </c>
    </row>
    <row r="1488" spans="1:22" x14ac:dyDescent="0.2">
      <c r="A1488" t="s">
        <v>3875</v>
      </c>
      <c r="B1488" t="s">
        <v>2719</v>
      </c>
      <c r="C1488" t="s">
        <v>2720</v>
      </c>
      <c r="D1488" t="s">
        <v>3857</v>
      </c>
      <c r="E1488" s="10" t="s">
        <v>3876</v>
      </c>
      <c r="F1488" s="10"/>
      <c r="G1488" s="10"/>
      <c r="H1488" s="10" t="s">
        <v>3876</v>
      </c>
      <c r="I1488" s="14">
        <v>18843.334633558057</v>
      </c>
      <c r="J1488" s="19">
        <v>0</v>
      </c>
      <c r="K1488" s="19">
        <v>0.31903253952805027</v>
      </c>
      <c r="L1488" s="19">
        <v>0.68096746047194978</v>
      </c>
      <c r="M1488" s="20">
        <v>1</v>
      </c>
      <c r="N1488" s="19">
        <v>0</v>
      </c>
      <c r="O1488" s="19">
        <v>0.31903253952805027</v>
      </c>
      <c r="P1488" s="19">
        <v>0</v>
      </c>
      <c r="Q1488" s="19">
        <v>0.25191091514540026</v>
      </c>
      <c r="R1488" s="19">
        <v>0.37335746642371131</v>
      </c>
      <c r="S1488" s="19">
        <v>5.569907890283813E-2</v>
      </c>
      <c r="T1488" s="20">
        <v>12</v>
      </c>
      <c r="U1488" s="17">
        <v>2</v>
      </c>
      <c r="V1488" s="17">
        <v>34</v>
      </c>
    </row>
    <row r="1489" spans="1:22" x14ac:dyDescent="0.2">
      <c r="A1489" t="s">
        <v>3877</v>
      </c>
      <c r="B1489" t="s">
        <v>2719</v>
      </c>
      <c r="C1489" t="s">
        <v>2720</v>
      </c>
      <c r="D1489" t="s">
        <v>3857</v>
      </c>
      <c r="E1489" s="10" t="s">
        <v>3878</v>
      </c>
      <c r="F1489" s="10"/>
      <c r="G1489" s="10"/>
      <c r="H1489" s="10" t="s">
        <v>3878</v>
      </c>
      <c r="I1489" s="14">
        <v>19368.717039261945</v>
      </c>
      <c r="J1489" s="19">
        <v>0</v>
      </c>
      <c r="K1489" s="19">
        <v>0</v>
      </c>
      <c r="L1489" s="19">
        <v>1</v>
      </c>
      <c r="M1489" s="20">
        <v>1</v>
      </c>
      <c r="N1489" s="19">
        <v>0</v>
      </c>
      <c r="O1489" s="19">
        <v>0</v>
      </c>
      <c r="P1489" s="19">
        <v>0</v>
      </c>
      <c r="Q1489" s="19">
        <v>0.47749336265423387</v>
      </c>
      <c r="R1489" s="19">
        <v>0.44892919804727793</v>
      </c>
      <c r="S1489" s="19">
        <v>7.3577439298488187E-2</v>
      </c>
      <c r="T1489" s="20">
        <v>13</v>
      </c>
      <c r="U1489" s="17">
        <v>2</v>
      </c>
      <c r="V1489" s="17">
        <v>34</v>
      </c>
    </row>
    <row r="1490" spans="1:22" x14ac:dyDescent="0.2">
      <c r="A1490" t="s">
        <v>3879</v>
      </c>
      <c r="B1490" t="s">
        <v>2719</v>
      </c>
      <c r="C1490" t="s">
        <v>2720</v>
      </c>
      <c r="D1490" t="s">
        <v>3880</v>
      </c>
      <c r="E1490" s="10" t="s">
        <v>3881</v>
      </c>
      <c r="F1490" s="10"/>
      <c r="G1490" s="10"/>
      <c r="H1490" s="10" t="s">
        <v>3881</v>
      </c>
      <c r="I1490" s="14">
        <v>2393.374199680984</v>
      </c>
      <c r="J1490" s="19">
        <v>0</v>
      </c>
      <c r="K1490" s="19">
        <v>0</v>
      </c>
      <c r="L1490" s="19">
        <v>1</v>
      </c>
      <c r="M1490" s="20">
        <v>1</v>
      </c>
      <c r="N1490" s="19">
        <v>0</v>
      </c>
      <c r="O1490" s="19">
        <v>0</v>
      </c>
      <c r="P1490" s="19">
        <v>0</v>
      </c>
      <c r="Q1490" s="19">
        <v>0.74944646014313532</v>
      </c>
      <c r="R1490" s="19">
        <v>0.19781098874156483</v>
      </c>
      <c r="S1490" s="19">
        <v>5.2742551115299859E-2</v>
      </c>
      <c r="T1490" s="20">
        <v>13</v>
      </c>
      <c r="U1490" s="17">
        <v>2</v>
      </c>
      <c r="V1490" s="17">
        <v>34</v>
      </c>
    </row>
    <row r="1491" spans="1:22" x14ac:dyDescent="0.2">
      <c r="A1491" t="s">
        <v>3882</v>
      </c>
      <c r="B1491" t="s">
        <v>2719</v>
      </c>
      <c r="C1491" t="s">
        <v>2720</v>
      </c>
      <c r="D1491" t="s">
        <v>3880</v>
      </c>
      <c r="E1491" s="10" t="s">
        <v>3883</v>
      </c>
      <c r="F1491" s="10"/>
      <c r="G1491" s="10"/>
      <c r="H1491" s="10" t="s">
        <v>3883</v>
      </c>
      <c r="I1491" s="14">
        <v>35598.731632554904</v>
      </c>
      <c r="J1491" s="19">
        <v>0</v>
      </c>
      <c r="K1491" s="19">
        <v>0.96619258443575551</v>
      </c>
      <c r="L1491" s="19">
        <v>3.3807415564244485E-2</v>
      </c>
      <c r="M1491" s="20">
        <v>2</v>
      </c>
      <c r="N1491" s="19">
        <v>0.28937086567149095</v>
      </c>
      <c r="O1491" s="19">
        <v>0</v>
      </c>
      <c r="P1491" s="19">
        <v>0.67682171876426456</v>
      </c>
      <c r="Q1491" s="19">
        <v>0</v>
      </c>
      <c r="R1491" s="19">
        <v>3.2477312809878978E-2</v>
      </c>
      <c r="S1491" s="19">
        <v>1.330102754365509E-3</v>
      </c>
      <c r="T1491" s="20">
        <v>21</v>
      </c>
      <c r="U1491" s="17">
        <v>2</v>
      </c>
      <c r="V1491" s="17">
        <v>34</v>
      </c>
    </row>
    <row r="1492" spans="1:22" x14ac:dyDescent="0.2">
      <c r="A1492" t="s">
        <v>3884</v>
      </c>
      <c r="B1492" t="s">
        <v>2719</v>
      </c>
      <c r="C1492" t="s">
        <v>2720</v>
      </c>
      <c r="D1492" t="s">
        <v>3880</v>
      </c>
      <c r="E1492" s="10" t="s">
        <v>3885</v>
      </c>
      <c r="F1492" s="10"/>
      <c r="G1492" s="10"/>
      <c r="H1492" s="10" t="s">
        <v>3885</v>
      </c>
      <c r="I1492" s="14">
        <v>35062.676399686374</v>
      </c>
      <c r="J1492" s="19">
        <v>0</v>
      </c>
      <c r="K1492" s="19">
        <v>0.87780377494602246</v>
      </c>
      <c r="L1492" s="19">
        <v>0.12219622505397768</v>
      </c>
      <c r="M1492" s="20">
        <v>2</v>
      </c>
      <c r="N1492" s="19">
        <v>0</v>
      </c>
      <c r="O1492" s="19">
        <v>0</v>
      </c>
      <c r="P1492" s="19">
        <v>0.87780377494602246</v>
      </c>
      <c r="Q1492" s="19">
        <v>4.2994808083108245E-2</v>
      </c>
      <c r="R1492" s="19">
        <v>7.3984942422476982E-2</v>
      </c>
      <c r="S1492" s="19">
        <v>5.2164745483924396E-3</v>
      </c>
      <c r="T1492" s="20">
        <v>21</v>
      </c>
      <c r="U1492" s="17">
        <v>2</v>
      </c>
      <c r="V1492" s="17">
        <v>34</v>
      </c>
    </row>
    <row r="1493" spans="1:22" x14ac:dyDescent="0.2">
      <c r="A1493" t="s">
        <v>3886</v>
      </c>
      <c r="B1493" t="s">
        <v>2719</v>
      </c>
      <c r="C1493" t="s">
        <v>2720</v>
      </c>
      <c r="D1493" t="s">
        <v>3880</v>
      </c>
      <c r="E1493" s="10" t="s">
        <v>3887</v>
      </c>
      <c r="F1493" s="10"/>
      <c r="G1493" s="10"/>
      <c r="H1493" s="10" t="s">
        <v>3887</v>
      </c>
      <c r="I1493" s="14">
        <v>17422.627454462927</v>
      </c>
      <c r="J1493" s="19">
        <v>0</v>
      </c>
      <c r="K1493" s="19">
        <v>0.54523922310237194</v>
      </c>
      <c r="L1493" s="19">
        <v>0.45476077689762806</v>
      </c>
      <c r="M1493" s="20">
        <v>2</v>
      </c>
      <c r="N1493" s="19">
        <v>0</v>
      </c>
      <c r="O1493" s="19">
        <v>0.54523922310237194</v>
      </c>
      <c r="P1493" s="19">
        <v>0</v>
      </c>
      <c r="Q1493" s="19">
        <v>0.27371202826022456</v>
      </c>
      <c r="R1493" s="19">
        <v>0.16725929793336794</v>
      </c>
      <c r="S1493" s="19">
        <v>1.3789450704035628E-2</v>
      </c>
      <c r="T1493" s="20">
        <v>22</v>
      </c>
      <c r="U1493" s="17">
        <v>2</v>
      </c>
      <c r="V1493" s="17">
        <v>34</v>
      </c>
    </row>
    <row r="1494" spans="1:22" x14ac:dyDescent="0.2">
      <c r="A1494" t="s">
        <v>3888</v>
      </c>
      <c r="B1494" t="s">
        <v>2719</v>
      </c>
      <c r="C1494" t="s">
        <v>2720</v>
      </c>
      <c r="D1494" t="s">
        <v>3880</v>
      </c>
      <c r="E1494" s="10" t="s">
        <v>3889</v>
      </c>
      <c r="F1494" s="10"/>
      <c r="G1494" s="10"/>
      <c r="H1494" s="10" t="s">
        <v>3889</v>
      </c>
      <c r="I1494" s="14">
        <v>22555.304656827357</v>
      </c>
      <c r="J1494" s="19">
        <v>0</v>
      </c>
      <c r="K1494" s="19">
        <v>0.62732679140534564</v>
      </c>
      <c r="L1494" s="19">
        <v>0.37267320859465436</v>
      </c>
      <c r="M1494" s="20">
        <v>2</v>
      </c>
      <c r="N1494" s="19">
        <v>0</v>
      </c>
      <c r="O1494" s="19">
        <v>0</v>
      </c>
      <c r="P1494" s="19">
        <v>0.62732679140534564</v>
      </c>
      <c r="Q1494" s="19">
        <v>0.11382466910951962</v>
      </c>
      <c r="R1494" s="19">
        <v>0.240769050870934</v>
      </c>
      <c r="S1494" s="19">
        <v>1.807948861420075E-2</v>
      </c>
      <c r="T1494" s="20">
        <v>21</v>
      </c>
      <c r="U1494" s="17">
        <v>2</v>
      </c>
      <c r="V1494" s="17">
        <v>34</v>
      </c>
    </row>
    <row r="1495" spans="1:22" x14ac:dyDescent="0.2">
      <c r="A1495" t="s">
        <v>3890</v>
      </c>
      <c r="B1495" t="s">
        <v>2719</v>
      </c>
      <c r="C1495" t="s">
        <v>2720</v>
      </c>
      <c r="D1495" t="s">
        <v>3880</v>
      </c>
      <c r="E1495" s="10" t="s">
        <v>3891</v>
      </c>
      <c r="F1495" s="10"/>
      <c r="G1495" s="10"/>
      <c r="H1495" s="10" t="s">
        <v>3891</v>
      </c>
      <c r="I1495" s="14">
        <v>64085.400361070875</v>
      </c>
      <c r="J1495" s="19">
        <v>0</v>
      </c>
      <c r="K1495" s="19">
        <v>0.82664784330380081</v>
      </c>
      <c r="L1495" s="19">
        <v>0.17335215669619916</v>
      </c>
      <c r="M1495" s="20">
        <v>2</v>
      </c>
      <c r="N1495" s="19">
        <v>0.3330364776913996</v>
      </c>
      <c r="O1495" s="19">
        <v>0</v>
      </c>
      <c r="P1495" s="19">
        <v>0.49361136561240126</v>
      </c>
      <c r="Q1495" s="19">
        <v>5.3710718437854424E-2</v>
      </c>
      <c r="R1495" s="19">
        <v>0.11567861713671633</v>
      </c>
      <c r="S1495" s="19">
        <v>3.962821121628401E-3</v>
      </c>
      <c r="T1495" s="20">
        <v>23</v>
      </c>
      <c r="U1495" s="17">
        <v>2</v>
      </c>
      <c r="V1495" s="17">
        <v>34</v>
      </c>
    </row>
    <row r="1496" spans="1:22" x14ac:dyDescent="0.2">
      <c r="A1496" t="s">
        <v>3892</v>
      </c>
      <c r="B1496" t="s">
        <v>2719</v>
      </c>
      <c r="C1496" t="s">
        <v>2720</v>
      </c>
      <c r="D1496" t="s">
        <v>3880</v>
      </c>
      <c r="E1496" s="10" t="s">
        <v>3893</v>
      </c>
      <c r="F1496" s="10"/>
      <c r="G1496" s="10"/>
      <c r="H1496" s="10" t="s">
        <v>3893</v>
      </c>
      <c r="I1496" s="14">
        <v>12238.992287241155</v>
      </c>
      <c r="J1496" s="19">
        <v>0</v>
      </c>
      <c r="K1496" s="19">
        <v>0.22168632200961938</v>
      </c>
      <c r="L1496" s="19">
        <v>0.77831367799038065</v>
      </c>
      <c r="M1496" s="20">
        <v>1</v>
      </c>
      <c r="N1496" s="19">
        <v>0</v>
      </c>
      <c r="O1496" s="19">
        <v>0.22168632200961938</v>
      </c>
      <c r="P1496" s="19">
        <v>0</v>
      </c>
      <c r="Q1496" s="19">
        <v>0.38133227481930038</v>
      </c>
      <c r="R1496" s="19">
        <v>0.35984092313003702</v>
      </c>
      <c r="S1496" s="19">
        <v>3.7140480041043221E-2</v>
      </c>
      <c r="T1496" s="20">
        <v>13</v>
      </c>
      <c r="U1496" s="17">
        <v>2</v>
      </c>
      <c r="V1496" s="17">
        <v>34</v>
      </c>
    </row>
    <row r="1497" spans="1:22" x14ac:dyDescent="0.2">
      <c r="A1497" t="s">
        <v>3894</v>
      </c>
      <c r="B1497" t="s">
        <v>2719</v>
      </c>
      <c r="C1497" t="s">
        <v>2720</v>
      </c>
      <c r="D1497" t="s">
        <v>3880</v>
      </c>
      <c r="E1497" s="10" t="s">
        <v>3895</v>
      </c>
      <c r="F1497" s="10"/>
      <c r="G1497" s="10"/>
      <c r="H1497" s="10" t="s">
        <v>3895</v>
      </c>
      <c r="I1497" s="14">
        <v>1612.038677075878</v>
      </c>
      <c r="J1497" s="19">
        <v>0</v>
      </c>
      <c r="K1497" s="19">
        <v>0.35184046070373959</v>
      </c>
      <c r="L1497" s="19">
        <v>0.64815953929626025</v>
      </c>
      <c r="M1497" s="20">
        <v>1</v>
      </c>
      <c r="N1497" s="19">
        <v>0</v>
      </c>
      <c r="O1497" s="19">
        <v>0</v>
      </c>
      <c r="P1497" s="19">
        <v>0.35184046070373959</v>
      </c>
      <c r="Q1497" s="19">
        <v>0</v>
      </c>
      <c r="R1497" s="19">
        <v>0</v>
      </c>
      <c r="S1497" s="19">
        <v>0.64815953929626025</v>
      </c>
      <c r="T1497" s="20">
        <v>11</v>
      </c>
      <c r="U1497" s="17">
        <v>2</v>
      </c>
      <c r="V1497" s="17">
        <v>34</v>
      </c>
    </row>
    <row r="1498" spans="1:22" x14ac:dyDescent="0.2">
      <c r="A1498" t="s">
        <v>3896</v>
      </c>
      <c r="B1498" t="s">
        <v>2719</v>
      </c>
      <c r="C1498" t="s">
        <v>2720</v>
      </c>
      <c r="D1498" t="s">
        <v>3880</v>
      </c>
      <c r="E1498" s="10" t="s">
        <v>3897</v>
      </c>
      <c r="F1498" s="10"/>
      <c r="G1498" s="10"/>
      <c r="H1498" s="10" t="s">
        <v>3897</v>
      </c>
      <c r="I1498" s="14">
        <v>13966.121437660884</v>
      </c>
      <c r="J1498" s="19">
        <v>0</v>
      </c>
      <c r="K1498" s="19">
        <v>0.83097236045381995</v>
      </c>
      <c r="L1498" s="19">
        <v>0.16902763954618003</v>
      </c>
      <c r="M1498" s="20">
        <v>2</v>
      </c>
      <c r="N1498" s="19">
        <v>0</v>
      </c>
      <c r="O1498" s="19">
        <v>0</v>
      </c>
      <c r="P1498" s="19">
        <v>0.83097236045381995</v>
      </c>
      <c r="Q1498" s="19">
        <v>0</v>
      </c>
      <c r="R1498" s="19">
        <v>0.16653683876747932</v>
      </c>
      <c r="S1498" s="19">
        <v>2.4908007787007151E-3</v>
      </c>
      <c r="T1498" s="20">
        <v>21</v>
      </c>
      <c r="U1498" s="17">
        <v>2</v>
      </c>
      <c r="V1498" s="17">
        <v>34</v>
      </c>
    </row>
    <row r="1499" spans="1:22" x14ac:dyDescent="0.2">
      <c r="A1499" t="s">
        <v>3898</v>
      </c>
      <c r="B1499" t="s">
        <v>2719</v>
      </c>
      <c r="C1499" t="s">
        <v>2720</v>
      </c>
      <c r="D1499" t="s">
        <v>3880</v>
      </c>
      <c r="E1499" s="10" t="s">
        <v>3899</v>
      </c>
      <c r="F1499" s="10"/>
      <c r="G1499" s="10"/>
      <c r="H1499" s="10" t="s">
        <v>3899</v>
      </c>
      <c r="I1499" s="14">
        <v>43271.706295868382</v>
      </c>
      <c r="J1499" s="19">
        <v>0</v>
      </c>
      <c r="K1499" s="19">
        <v>0.88211561620910794</v>
      </c>
      <c r="L1499" s="19">
        <v>0.1178843837908921</v>
      </c>
      <c r="M1499" s="20">
        <v>2</v>
      </c>
      <c r="N1499" s="19">
        <v>0</v>
      </c>
      <c r="O1499" s="19">
        <v>0</v>
      </c>
      <c r="P1499" s="19">
        <v>0.88211561620910794</v>
      </c>
      <c r="Q1499" s="19">
        <v>0</v>
      </c>
      <c r="R1499" s="19">
        <v>0.11488421062038996</v>
      </c>
      <c r="S1499" s="19">
        <v>3.0001731705021398E-3</v>
      </c>
      <c r="T1499" s="20">
        <v>21</v>
      </c>
      <c r="U1499" s="17">
        <v>2</v>
      </c>
      <c r="V1499" s="17">
        <v>34</v>
      </c>
    </row>
    <row r="1500" spans="1:22" x14ac:dyDescent="0.2">
      <c r="A1500" t="s">
        <v>3900</v>
      </c>
      <c r="B1500" t="s">
        <v>2719</v>
      </c>
      <c r="C1500" t="s">
        <v>2720</v>
      </c>
      <c r="D1500" t="s">
        <v>3880</v>
      </c>
      <c r="E1500" s="10" t="s">
        <v>3901</v>
      </c>
      <c r="F1500" s="10"/>
      <c r="G1500" s="10"/>
      <c r="H1500" s="10" t="s">
        <v>3901</v>
      </c>
      <c r="I1500" s="14">
        <v>2183.9210046511143</v>
      </c>
      <c r="J1500" s="19">
        <v>0</v>
      </c>
      <c r="K1500" s="19">
        <v>0.99244038490000119</v>
      </c>
      <c r="L1500" s="19">
        <v>7.5596150999988334E-3</v>
      </c>
      <c r="M1500" s="20">
        <v>2</v>
      </c>
      <c r="N1500" s="19">
        <v>0</v>
      </c>
      <c r="O1500" s="19">
        <v>0.99244038490000119</v>
      </c>
      <c r="P1500" s="19">
        <v>0</v>
      </c>
      <c r="Q1500" s="19">
        <v>0</v>
      </c>
      <c r="R1500" s="19">
        <v>1.041149774688674E-5</v>
      </c>
      <c r="S1500" s="19">
        <v>7.5492036022519471E-3</v>
      </c>
      <c r="T1500" s="20">
        <v>22</v>
      </c>
      <c r="U1500" s="17">
        <v>2</v>
      </c>
      <c r="V1500" s="17">
        <v>34</v>
      </c>
    </row>
    <row r="1501" spans="1:22" x14ac:dyDescent="0.2">
      <c r="A1501" t="s">
        <v>3902</v>
      </c>
      <c r="B1501" t="s">
        <v>2719</v>
      </c>
      <c r="C1501" t="s">
        <v>2720</v>
      </c>
      <c r="D1501" t="s">
        <v>3880</v>
      </c>
      <c r="E1501" s="10" t="s">
        <v>3903</v>
      </c>
      <c r="F1501" s="10"/>
      <c r="G1501" s="10"/>
      <c r="H1501" s="10" t="s">
        <v>3903</v>
      </c>
      <c r="I1501" s="14">
        <v>121207.29904054714</v>
      </c>
      <c r="J1501" s="19">
        <v>0.6156844931779718</v>
      </c>
      <c r="K1501" s="19">
        <v>0.35311604882077796</v>
      </c>
      <c r="L1501" s="19">
        <v>3.1199458001250256E-2</v>
      </c>
      <c r="M1501" s="20">
        <v>3</v>
      </c>
      <c r="N1501" s="19">
        <v>5.0133723343077877E-2</v>
      </c>
      <c r="O1501" s="19">
        <v>0</v>
      </c>
      <c r="P1501" s="19">
        <v>0.3029823254777001</v>
      </c>
      <c r="Q1501" s="19">
        <v>0</v>
      </c>
      <c r="R1501" s="19">
        <v>3.0380323759172944E-2</v>
      </c>
      <c r="S1501" s="19">
        <v>8.1913424207731382E-4</v>
      </c>
      <c r="T1501" s="20">
        <v>30</v>
      </c>
      <c r="U1501" s="17">
        <v>2</v>
      </c>
      <c r="V1501" s="17">
        <v>34</v>
      </c>
    </row>
    <row r="1502" spans="1:22" x14ac:dyDescent="0.2">
      <c r="A1502" t="s">
        <v>3904</v>
      </c>
      <c r="B1502" t="s">
        <v>2719</v>
      </c>
      <c r="C1502" t="s">
        <v>2720</v>
      </c>
      <c r="D1502" t="s">
        <v>3880</v>
      </c>
      <c r="E1502" s="10" t="s">
        <v>3905</v>
      </c>
      <c r="F1502" s="10"/>
      <c r="G1502" s="10"/>
      <c r="H1502" s="10" t="s">
        <v>3905</v>
      </c>
      <c r="I1502" s="14">
        <v>19648.795088182203</v>
      </c>
      <c r="J1502" s="19">
        <v>0</v>
      </c>
      <c r="K1502" s="19">
        <v>0.78650187088004808</v>
      </c>
      <c r="L1502" s="19">
        <v>0.21349812911995192</v>
      </c>
      <c r="M1502" s="20">
        <v>2</v>
      </c>
      <c r="N1502" s="19">
        <v>0</v>
      </c>
      <c r="O1502" s="19">
        <v>0</v>
      </c>
      <c r="P1502" s="19">
        <v>0.78650187088004808</v>
      </c>
      <c r="Q1502" s="19">
        <v>0</v>
      </c>
      <c r="R1502" s="19">
        <v>0.20432684573910184</v>
      </c>
      <c r="S1502" s="19">
        <v>9.1712833808500604E-3</v>
      </c>
      <c r="T1502" s="20">
        <v>21</v>
      </c>
      <c r="U1502" s="17">
        <v>2</v>
      </c>
      <c r="V1502" s="17">
        <v>34</v>
      </c>
    </row>
    <row r="1503" spans="1:22" x14ac:dyDescent="0.2">
      <c r="A1503" t="s">
        <v>3906</v>
      </c>
      <c r="B1503" t="s">
        <v>2719</v>
      </c>
      <c r="C1503" t="s">
        <v>2720</v>
      </c>
      <c r="D1503" t="s">
        <v>3880</v>
      </c>
      <c r="E1503" s="10" t="s">
        <v>3907</v>
      </c>
      <c r="F1503" s="10"/>
      <c r="G1503" s="10"/>
      <c r="H1503" s="10" t="s">
        <v>3907</v>
      </c>
      <c r="I1503" s="14">
        <v>9232.4725168850273</v>
      </c>
      <c r="J1503" s="19">
        <v>0</v>
      </c>
      <c r="K1503" s="19">
        <v>9.044679672595915E-2</v>
      </c>
      <c r="L1503" s="19">
        <v>0.90955320327404077</v>
      </c>
      <c r="M1503" s="20">
        <v>1</v>
      </c>
      <c r="N1503" s="19">
        <v>0</v>
      </c>
      <c r="O1503" s="19">
        <v>0</v>
      </c>
      <c r="P1503" s="19">
        <v>9.044679672595915E-2</v>
      </c>
      <c r="Q1503" s="19">
        <v>0.28598874511857342</v>
      </c>
      <c r="R1503" s="19">
        <v>0.53622047675123752</v>
      </c>
      <c r="S1503" s="19">
        <v>8.7343981404229915E-2</v>
      </c>
      <c r="T1503" s="20">
        <v>12</v>
      </c>
      <c r="U1503" s="17">
        <v>2</v>
      </c>
      <c r="V1503" s="17">
        <v>34</v>
      </c>
    </row>
    <row r="1504" spans="1:22" x14ac:dyDescent="0.2">
      <c r="A1504" t="s">
        <v>3908</v>
      </c>
      <c r="B1504" t="s">
        <v>2719</v>
      </c>
      <c r="C1504" t="s">
        <v>2720</v>
      </c>
      <c r="D1504" t="s">
        <v>3880</v>
      </c>
      <c r="E1504" s="10" t="s">
        <v>3909</v>
      </c>
      <c r="F1504" s="10"/>
      <c r="G1504" s="10"/>
      <c r="H1504" s="10" t="s">
        <v>3909</v>
      </c>
      <c r="I1504" s="14">
        <v>26514.887554270681</v>
      </c>
      <c r="J1504" s="19">
        <v>0</v>
      </c>
      <c r="K1504" s="19">
        <v>0.60904796278945972</v>
      </c>
      <c r="L1504" s="19">
        <v>0.39095203721054028</v>
      </c>
      <c r="M1504" s="20">
        <v>2</v>
      </c>
      <c r="N1504" s="19">
        <v>0</v>
      </c>
      <c r="O1504" s="19">
        <v>0.60904796278945972</v>
      </c>
      <c r="P1504" s="19">
        <v>0</v>
      </c>
      <c r="Q1504" s="19">
        <v>0.21429291088437652</v>
      </c>
      <c r="R1504" s="19">
        <v>0.15835396401439189</v>
      </c>
      <c r="S1504" s="19">
        <v>1.8305162311771865E-2</v>
      </c>
      <c r="T1504" s="20">
        <v>22</v>
      </c>
      <c r="U1504" s="17">
        <v>2</v>
      </c>
      <c r="V1504" s="17">
        <v>34</v>
      </c>
    </row>
    <row r="1505" spans="1:22" x14ac:dyDescent="0.2">
      <c r="A1505" t="s">
        <v>3910</v>
      </c>
      <c r="B1505" t="s">
        <v>2719</v>
      </c>
      <c r="C1505" t="s">
        <v>2720</v>
      </c>
      <c r="D1505" t="s">
        <v>3880</v>
      </c>
      <c r="E1505" s="10" t="s">
        <v>3911</v>
      </c>
      <c r="F1505" s="10"/>
      <c r="G1505" s="10"/>
      <c r="H1505" s="10" t="s">
        <v>3911</v>
      </c>
      <c r="I1505" s="14">
        <v>26719.505404310767</v>
      </c>
      <c r="J1505" s="19">
        <v>0</v>
      </c>
      <c r="K1505" s="19">
        <v>0.84025878544094779</v>
      </c>
      <c r="L1505" s="19">
        <v>0.15974121455905216</v>
      </c>
      <c r="M1505" s="20">
        <v>2</v>
      </c>
      <c r="N1505" s="19">
        <v>0</v>
      </c>
      <c r="O1505" s="19">
        <v>0</v>
      </c>
      <c r="P1505" s="19">
        <v>0.84025878544094779</v>
      </c>
      <c r="Q1505" s="19">
        <v>0</v>
      </c>
      <c r="R1505" s="19">
        <v>0.15694711100005831</v>
      </c>
      <c r="S1505" s="19">
        <v>2.7941035589938469E-3</v>
      </c>
      <c r="T1505" s="20">
        <v>21</v>
      </c>
      <c r="U1505" s="17">
        <v>2</v>
      </c>
      <c r="V1505" s="17">
        <v>34</v>
      </c>
    </row>
    <row r="1506" spans="1:22" x14ac:dyDescent="0.2">
      <c r="A1506" t="s">
        <v>3912</v>
      </c>
      <c r="B1506" t="s">
        <v>2719</v>
      </c>
      <c r="C1506" t="s">
        <v>2720</v>
      </c>
      <c r="D1506" t="s">
        <v>3880</v>
      </c>
      <c r="E1506" s="10" t="s">
        <v>3913</v>
      </c>
      <c r="F1506" s="10"/>
      <c r="G1506" s="10"/>
      <c r="H1506" s="10" t="s">
        <v>3913</v>
      </c>
      <c r="I1506" s="14">
        <v>1271.4549139146693</v>
      </c>
      <c r="J1506" s="19">
        <v>0</v>
      </c>
      <c r="K1506" s="19">
        <v>0.89716440635600314</v>
      </c>
      <c r="L1506" s="19">
        <v>0.1028355936439969</v>
      </c>
      <c r="M1506" s="20">
        <v>2</v>
      </c>
      <c r="N1506" s="19">
        <v>0</v>
      </c>
      <c r="O1506" s="19">
        <v>0</v>
      </c>
      <c r="P1506" s="19">
        <v>0.89716440635600314</v>
      </c>
      <c r="Q1506" s="19">
        <v>0</v>
      </c>
      <c r="R1506" s="19">
        <v>0.10283559364399689</v>
      </c>
      <c r="S1506" s="19">
        <v>0</v>
      </c>
      <c r="T1506" s="20">
        <v>21</v>
      </c>
      <c r="U1506" s="17">
        <v>2</v>
      </c>
      <c r="V1506" s="17">
        <v>34</v>
      </c>
    </row>
    <row r="1507" spans="1:22" x14ac:dyDescent="0.2">
      <c r="A1507" t="s">
        <v>3914</v>
      </c>
      <c r="B1507" t="s">
        <v>2719</v>
      </c>
      <c r="C1507" t="s">
        <v>2720</v>
      </c>
      <c r="D1507" t="s">
        <v>3880</v>
      </c>
      <c r="E1507" s="10" t="s">
        <v>3915</v>
      </c>
      <c r="F1507" s="10"/>
      <c r="G1507" s="10"/>
      <c r="H1507" s="10" t="s">
        <v>3915</v>
      </c>
      <c r="I1507" s="14">
        <v>33348.611651504179</v>
      </c>
      <c r="J1507" s="19">
        <v>0</v>
      </c>
      <c r="K1507" s="19">
        <v>0.80765353694505482</v>
      </c>
      <c r="L1507" s="19">
        <v>0.19234646305494504</v>
      </c>
      <c r="M1507" s="20">
        <v>2</v>
      </c>
      <c r="N1507" s="19">
        <v>0.21641313015689745</v>
      </c>
      <c r="O1507" s="19">
        <v>0.12278960676135012</v>
      </c>
      <c r="P1507" s="19">
        <v>0.46845080002680739</v>
      </c>
      <c r="Q1507" s="19">
        <v>1.6544652881214057E-2</v>
      </c>
      <c r="R1507" s="19">
        <v>0.16701094491236815</v>
      </c>
      <c r="S1507" s="19">
        <v>8.790865261362862E-3</v>
      </c>
      <c r="T1507" s="20">
        <v>23</v>
      </c>
      <c r="U1507" s="17">
        <v>2</v>
      </c>
      <c r="V1507" s="17">
        <v>34</v>
      </c>
    </row>
    <row r="1508" spans="1:22" x14ac:dyDescent="0.2">
      <c r="A1508" t="s">
        <v>3916</v>
      </c>
      <c r="B1508" t="s">
        <v>2719</v>
      </c>
      <c r="C1508" t="s">
        <v>2720</v>
      </c>
      <c r="D1508" t="s">
        <v>3880</v>
      </c>
      <c r="E1508" s="10" t="s">
        <v>3917</v>
      </c>
      <c r="F1508" s="10"/>
      <c r="G1508" s="10"/>
      <c r="H1508" s="10" t="s">
        <v>3917</v>
      </c>
      <c r="I1508" s="14">
        <v>23970.137201209553</v>
      </c>
      <c r="J1508" s="19">
        <v>0</v>
      </c>
      <c r="K1508" s="19">
        <v>0.63648260541512935</v>
      </c>
      <c r="L1508" s="19">
        <v>0.36351739458487065</v>
      </c>
      <c r="M1508" s="20">
        <v>2</v>
      </c>
      <c r="N1508" s="19">
        <v>0</v>
      </c>
      <c r="O1508" s="19">
        <v>0</v>
      </c>
      <c r="P1508" s="19">
        <v>0.63648260541512935</v>
      </c>
      <c r="Q1508" s="19">
        <v>6.6876330832599112E-2</v>
      </c>
      <c r="R1508" s="19">
        <v>0.29186378186560036</v>
      </c>
      <c r="S1508" s="19">
        <v>4.7772818866711848E-3</v>
      </c>
      <c r="T1508" s="20">
        <v>21</v>
      </c>
      <c r="U1508" s="17">
        <v>2</v>
      </c>
      <c r="V1508" s="17">
        <v>34</v>
      </c>
    </row>
    <row r="1509" spans="1:22" x14ac:dyDescent="0.2">
      <c r="A1509" t="s">
        <v>3918</v>
      </c>
      <c r="B1509" t="s">
        <v>2719</v>
      </c>
      <c r="C1509" t="s">
        <v>2720</v>
      </c>
      <c r="D1509" t="s">
        <v>3880</v>
      </c>
      <c r="E1509" s="10" t="s">
        <v>3919</v>
      </c>
      <c r="F1509" s="10"/>
      <c r="G1509" s="10"/>
      <c r="H1509" s="10" t="s">
        <v>3919</v>
      </c>
      <c r="I1509" s="14">
        <v>19661.798112521879</v>
      </c>
      <c r="J1509" s="19">
        <v>0</v>
      </c>
      <c r="K1509" s="19">
        <v>0.69309478605488106</v>
      </c>
      <c r="L1509" s="19">
        <v>0.30690521394511894</v>
      </c>
      <c r="M1509" s="20">
        <v>2</v>
      </c>
      <c r="N1509" s="19">
        <v>0</v>
      </c>
      <c r="O1509" s="19">
        <v>0</v>
      </c>
      <c r="P1509" s="19">
        <v>0.69309478605488106</v>
      </c>
      <c r="Q1509" s="19">
        <v>8.9856589982858642E-2</v>
      </c>
      <c r="R1509" s="19">
        <v>0.2123871236407073</v>
      </c>
      <c r="S1509" s="19">
        <v>4.6615003215529768E-3</v>
      </c>
      <c r="T1509" s="20">
        <v>21</v>
      </c>
      <c r="U1509" s="17">
        <v>2</v>
      </c>
      <c r="V1509" s="17">
        <v>34</v>
      </c>
    </row>
    <row r="1510" spans="1:22" x14ac:dyDescent="0.2">
      <c r="A1510" t="s">
        <v>3920</v>
      </c>
      <c r="B1510" t="s">
        <v>2719</v>
      </c>
      <c r="C1510" t="s">
        <v>2720</v>
      </c>
      <c r="D1510" t="s">
        <v>3880</v>
      </c>
      <c r="E1510" s="10" t="s">
        <v>3076</v>
      </c>
      <c r="F1510" s="10"/>
      <c r="G1510" s="10"/>
      <c r="H1510" s="10" t="s">
        <v>3076</v>
      </c>
      <c r="I1510" s="14">
        <v>39308.243898417801</v>
      </c>
      <c r="J1510" s="19">
        <v>0.58860278379857178</v>
      </c>
      <c r="K1510" s="19">
        <v>0.33045634787014405</v>
      </c>
      <c r="L1510" s="19">
        <v>8.0940868331284277E-2</v>
      </c>
      <c r="M1510" s="20">
        <v>3</v>
      </c>
      <c r="N1510" s="19">
        <v>0</v>
      </c>
      <c r="O1510" s="19">
        <v>0</v>
      </c>
      <c r="P1510" s="19">
        <v>0.33045634787014405</v>
      </c>
      <c r="Q1510" s="19">
        <v>0</v>
      </c>
      <c r="R1510" s="19">
        <v>7.9436728966804995E-2</v>
      </c>
      <c r="S1510" s="19">
        <v>1.504139364479276E-3</v>
      </c>
      <c r="T1510" s="20">
        <v>30</v>
      </c>
      <c r="U1510" s="17">
        <v>2</v>
      </c>
      <c r="V1510" s="17">
        <v>34</v>
      </c>
    </row>
    <row r="1511" spans="1:22" x14ac:dyDescent="0.2">
      <c r="A1511" t="s">
        <v>3921</v>
      </c>
      <c r="B1511" t="s">
        <v>2719</v>
      </c>
      <c r="C1511" t="s">
        <v>2720</v>
      </c>
      <c r="D1511" t="s">
        <v>3880</v>
      </c>
      <c r="E1511" s="10" t="s">
        <v>3922</v>
      </c>
      <c r="F1511" s="10"/>
      <c r="G1511" s="10"/>
      <c r="H1511" s="10" t="s">
        <v>3922</v>
      </c>
      <c r="I1511" s="14">
        <v>29162.969928359613</v>
      </c>
      <c r="J1511" s="19">
        <v>0</v>
      </c>
      <c r="K1511" s="19">
        <v>0.80119170203305889</v>
      </c>
      <c r="L1511" s="19">
        <v>0.19880829796694111</v>
      </c>
      <c r="M1511" s="20">
        <v>2</v>
      </c>
      <c r="N1511" s="19">
        <v>0.20707457064113488</v>
      </c>
      <c r="O1511" s="19">
        <v>0</v>
      </c>
      <c r="P1511" s="19">
        <v>0.59411713139192401</v>
      </c>
      <c r="Q1511" s="19">
        <v>0</v>
      </c>
      <c r="R1511" s="19">
        <v>0.18475414244859478</v>
      </c>
      <c r="S1511" s="19">
        <v>1.4054155518346375E-2</v>
      </c>
      <c r="T1511" s="20">
        <v>21</v>
      </c>
      <c r="U1511" s="17">
        <v>2</v>
      </c>
      <c r="V1511" s="17">
        <v>34</v>
      </c>
    </row>
    <row r="1512" spans="1:22" x14ac:dyDescent="0.2">
      <c r="A1512" t="s">
        <v>3923</v>
      </c>
      <c r="B1512" t="s">
        <v>2719</v>
      </c>
      <c r="C1512" t="s">
        <v>2720</v>
      </c>
      <c r="D1512" t="s">
        <v>3880</v>
      </c>
      <c r="E1512" s="10" t="s">
        <v>3924</v>
      </c>
      <c r="F1512" s="10"/>
      <c r="G1512" s="10"/>
      <c r="H1512" s="10" t="s">
        <v>3924</v>
      </c>
      <c r="I1512" s="14">
        <v>27056.601049940102</v>
      </c>
      <c r="J1512" s="19">
        <v>0</v>
      </c>
      <c r="K1512" s="19">
        <v>0.72094693004581978</v>
      </c>
      <c r="L1512" s="19">
        <v>0.27905306995418028</v>
      </c>
      <c r="M1512" s="20">
        <v>2</v>
      </c>
      <c r="N1512" s="19">
        <v>0</v>
      </c>
      <c r="O1512" s="19">
        <v>0.22070251123562273</v>
      </c>
      <c r="P1512" s="19">
        <v>0.50024441881019699</v>
      </c>
      <c r="Q1512" s="19">
        <v>0</v>
      </c>
      <c r="R1512" s="19">
        <v>0.26174784533077583</v>
      </c>
      <c r="S1512" s="19">
        <v>1.7305224623404405E-2</v>
      </c>
      <c r="T1512" s="20">
        <v>21</v>
      </c>
      <c r="U1512" s="17">
        <v>2</v>
      </c>
      <c r="V1512" s="17">
        <v>34</v>
      </c>
    </row>
    <row r="1513" spans="1:22" x14ac:dyDescent="0.2">
      <c r="A1513" t="s">
        <v>3925</v>
      </c>
      <c r="B1513" t="s">
        <v>2719</v>
      </c>
      <c r="C1513" t="s">
        <v>2720</v>
      </c>
      <c r="D1513" t="s">
        <v>3880</v>
      </c>
      <c r="E1513" s="10" t="s">
        <v>3926</v>
      </c>
      <c r="F1513" s="10"/>
      <c r="G1513" s="10"/>
      <c r="H1513" s="10" t="s">
        <v>3926</v>
      </c>
      <c r="I1513" s="14">
        <v>38278.793274187017</v>
      </c>
      <c r="J1513" s="19">
        <v>0</v>
      </c>
      <c r="K1513" s="19">
        <v>0.48327303355257561</v>
      </c>
      <c r="L1513" s="19">
        <v>0.51672696644742433</v>
      </c>
      <c r="M1513" s="20">
        <v>1</v>
      </c>
      <c r="N1513" s="19">
        <v>0.1612763391117687</v>
      </c>
      <c r="O1513" s="19">
        <v>0</v>
      </c>
      <c r="P1513" s="19">
        <v>0.32199669444080692</v>
      </c>
      <c r="Q1513" s="19">
        <v>0.24043984170157129</v>
      </c>
      <c r="R1513" s="19">
        <v>0.25648818355195507</v>
      </c>
      <c r="S1513" s="19">
        <v>1.9798941193898009E-2</v>
      </c>
      <c r="T1513" s="20">
        <v>12</v>
      </c>
      <c r="U1513" s="17">
        <v>2</v>
      </c>
      <c r="V1513" s="17">
        <v>34</v>
      </c>
    </row>
    <row r="1514" spans="1:22" x14ac:dyDescent="0.2">
      <c r="A1514" t="s">
        <v>3927</v>
      </c>
      <c r="B1514" t="s">
        <v>2719</v>
      </c>
      <c r="C1514" t="s">
        <v>2720</v>
      </c>
      <c r="D1514" t="s">
        <v>3928</v>
      </c>
      <c r="E1514" s="10" t="s">
        <v>3929</v>
      </c>
      <c r="F1514" s="10"/>
      <c r="G1514" s="10"/>
      <c r="H1514" s="10" t="s">
        <v>3929</v>
      </c>
      <c r="I1514" s="14">
        <v>8146.274964550511</v>
      </c>
      <c r="J1514" s="19">
        <v>0</v>
      </c>
      <c r="K1514" s="19">
        <v>0</v>
      </c>
      <c r="L1514" s="19">
        <v>1</v>
      </c>
      <c r="M1514" s="20">
        <v>1</v>
      </c>
      <c r="N1514" s="19">
        <v>0</v>
      </c>
      <c r="O1514" s="19">
        <v>0</v>
      </c>
      <c r="P1514" s="19">
        <v>0</v>
      </c>
      <c r="Q1514" s="19">
        <v>0.38508478809685331</v>
      </c>
      <c r="R1514" s="19">
        <v>0.5256548291416584</v>
      </c>
      <c r="S1514" s="19">
        <v>8.9260382761488136E-2</v>
      </c>
      <c r="T1514" s="20">
        <v>12</v>
      </c>
      <c r="U1514" s="17">
        <v>2</v>
      </c>
      <c r="V1514" s="17">
        <v>34</v>
      </c>
    </row>
    <row r="1515" spans="1:22" x14ac:dyDescent="0.2">
      <c r="A1515" t="s">
        <v>3930</v>
      </c>
      <c r="B1515" t="s">
        <v>2719</v>
      </c>
      <c r="C1515" t="s">
        <v>2720</v>
      </c>
      <c r="D1515" t="s">
        <v>3928</v>
      </c>
      <c r="E1515" s="10" t="s">
        <v>3931</v>
      </c>
      <c r="F1515" s="10"/>
      <c r="G1515" s="10"/>
      <c r="H1515" s="10" t="s">
        <v>3931</v>
      </c>
      <c r="I1515" s="14">
        <v>9434.364432153292</v>
      </c>
      <c r="J1515" s="19">
        <v>0</v>
      </c>
      <c r="K1515" s="19">
        <v>0.84770641014325088</v>
      </c>
      <c r="L1515" s="19">
        <v>0.15229358985674907</v>
      </c>
      <c r="M1515" s="20">
        <v>2</v>
      </c>
      <c r="N1515" s="19">
        <v>0</v>
      </c>
      <c r="O1515" s="19">
        <v>0</v>
      </c>
      <c r="P1515" s="19">
        <v>0.84770641014325088</v>
      </c>
      <c r="Q1515" s="19">
        <v>0</v>
      </c>
      <c r="R1515" s="19">
        <v>0.13692554253278205</v>
      </c>
      <c r="S1515" s="19">
        <v>1.5368047323967016E-2</v>
      </c>
      <c r="T1515" s="20">
        <v>21</v>
      </c>
      <c r="U1515" s="17">
        <v>2</v>
      </c>
      <c r="V1515" s="17">
        <v>34</v>
      </c>
    </row>
    <row r="1516" spans="1:22" x14ac:dyDescent="0.2">
      <c r="A1516" t="s">
        <v>3932</v>
      </c>
      <c r="B1516" t="s">
        <v>2719</v>
      </c>
      <c r="C1516" t="s">
        <v>2720</v>
      </c>
      <c r="D1516" t="s">
        <v>3928</v>
      </c>
      <c r="E1516" s="10" t="s">
        <v>3933</v>
      </c>
      <c r="F1516" s="10"/>
      <c r="G1516" s="10"/>
      <c r="H1516" s="10" t="s">
        <v>3933</v>
      </c>
      <c r="I1516" s="14">
        <v>40469.715064882301</v>
      </c>
      <c r="J1516" s="19">
        <v>0.2911274238737655</v>
      </c>
      <c r="K1516" s="19">
        <v>0.66918294047975468</v>
      </c>
      <c r="L1516" s="19">
        <v>3.9689635646479877E-2</v>
      </c>
      <c r="M1516" s="20">
        <v>2</v>
      </c>
      <c r="N1516" s="19">
        <v>0</v>
      </c>
      <c r="O1516" s="19">
        <v>8.401238045560637E-3</v>
      </c>
      <c r="P1516" s="19">
        <v>0.66078170243419398</v>
      </c>
      <c r="Q1516" s="19">
        <v>0</v>
      </c>
      <c r="R1516" s="19">
        <v>3.6110127991761047E-2</v>
      </c>
      <c r="S1516" s="19">
        <v>3.5795076547188317E-3</v>
      </c>
      <c r="T1516" s="20">
        <v>21</v>
      </c>
      <c r="U1516" s="17">
        <v>2</v>
      </c>
      <c r="V1516" s="17">
        <v>34</v>
      </c>
    </row>
    <row r="1517" spans="1:22" x14ac:dyDescent="0.2">
      <c r="A1517" t="s">
        <v>3934</v>
      </c>
      <c r="B1517" t="s">
        <v>2719</v>
      </c>
      <c r="C1517" t="s">
        <v>2720</v>
      </c>
      <c r="D1517" t="s">
        <v>3928</v>
      </c>
      <c r="E1517" s="10" t="s">
        <v>3893</v>
      </c>
      <c r="F1517" s="10"/>
      <c r="G1517" s="10"/>
      <c r="H1517" s="10" t="s">
        <v>3893</v>
      </c>
      <c r="I1517" s="14">
        <v>13599.729934688656</v>
      </c>
      <c r="J1517" s="19">
        <v>0</v>
      </c>
      <c r="K1517" s="19">
        <v>0.70783681571662438</v>
      </c>
      <c r="L1517" s="19">
        <v>0.29216318428337573</v>
      </c>
      <c r="M1517" s="20">
        <v>2</v>
      </c>
      <c r="N1517" s="19">
        <v>0</v>
      </c>
      <c r="O1517" s="19">
        <v>0</v>
      </c>
      <c r="P1517" s="19">
        <v>0.70783681571662438</v>
      </c>
      <c r="Q1517" s="19">
        <v>1.0893325497992276E-2</v>
      </c>
      <c r="R1517" s="19">
        <v>0.27286881939931595</v>
      </c>
      <c r="S1517" s="19">
        <v>8.4010393860674323E-3</v>
      </c>
      <c r="T1517" s="20">
        <v>21</v>
      </c>
      <c r="U1517" s="17">
        <v>2</v>
      </c>
      <c r="V1517" s="17">
        <v>34</v>
      </c>
    </row>
    <row r="1518" spans="1:22" x14ac:dyDescent="0.2">
      <c r="A1518" t="s">
        <v>3935</v>
      </c>
      <c r="B1518" t="s">
        <v>2719</v>
      </c>
      <c r="C1518" t="s">
        <v>2720</v>
      </c>
      <c r="D1518" t="s">
        <v>3928</v>
      </c>
      <c r="E1518" s="10" t="s">
        <v>3936</v>
      </c>
      <c r="F1518" s="10"/>
      <c r="G1518" s="10"/>
      <c r="H1518" s="10" t="s">
        <v>3936</v>
      </c>
      <c r="I1518" s="14">
        <v>42760.992315860465</v>
      </c>
      <c r="J1518" s="19">
        <v>0</v>
      </c>
      <c r="K1518" s="19">
        <v>0.91755560773558142</v>
      </c>
      <c r="L1518" s="19">
        <v>8.2444392264418548E-2</v>
      </c>
      <c r="M1518" s="20">
        <v>2</v>
      </c>
      <c r="N1518" s="19">
        <v>0.17532924823586246</v>
      </c>
      <c r="O1518" s="19">
        <v>0</v>
      </c>
      <c r="P1518" s="19">
        <v>0.74222635949971894</v>
      </c>
      <c r="Q1518" s="19">
        <v>0</v>
      </c>
      <c r="R1518" s="19">
        <v>7.7749136556037407E-2</v>
      </c>
      <c r="S1518" s="19">
        <v>4.6952557083811452E-3</v>
      </c>
      <c r="T1518" s="20">
        <v>21</v>
      </c>
      <c r="U1518" s="17">
        <v>2</v>
      </c>
      <c r="V1518" s="17">
        <v>34</v>
      </c>
    </row>
    <row r="1519" spans="1:22" x14ac:dyDescent="0.2">
      <c r="A1519" t="s">
        <v>3937</v>
      </c>
      <c r="B1519" t="s">
        <v>2719</v>
      </c>
      <c r="C1519" t="s">
        <v>2720</v>
      </c>
      <c r="D1519" t="s">
        <v>3928</v>
      </c>
      <c r="E1519" s="10" t="s">
        <v>3938</v>
      </c>
      <c r="F1519" s="10"/>
      <c r="G1519" s="10"/>
      <c r="H1519" s="10" t="s">
        <v>3938</v>
      </c>
      <c r="I1519" s="14">
        <v>67528.484648349229</v>
      </c>
      <c r="J1519" s="19">
        <v>0</v>
      </c>
      <c r="K1519" s="19">
        <v>0.97179345801805039</v>
      </c>
      <c r="L1519" s="19">
        <v>2.8206541981949655E-2</v>
      </c>
      <c r="M1519" s="20">
        <v>2</v>
      </c>
      <c r="N1519" s="19">
        <v>0.36671788945965594</v>
      </c>
      <c r="O1519" s="19">
        <v>0</v>
      </c>
      <c r="P1519" s="19">
        <v>0.60507556855839451</v>
      </c>
      <c r="Q1519" s="19">
        <v>0</v>
      </c>
      <c r="R1519" s="19">
        <v>2.5849405851942474E-2</v>
      </c>
      <c r="S1519" s="19">
        <v>2.3571361300071796E-3</v>
      </c>
      <c r="T1519" s="20">
        <v>21</v>
      </c>
      <c r="U1519" s="17">
        <v>2</v>
      </c>
      <c r="V1519" s="17">
        <v>34</v>
      </c>
    </row>
    <row r="1520" spans="1:22" x14ac:dyDescent="0.2">
      <c r="A1520" t="s">
        <v>3939</v>
      </c>
      <c r="B1520" t="s">
        <v>2719</v>
      </c>
      <c r="C1520" t="s">
        <v>2720</v>
      </c>
      <c r="D1520" t="s">
        <v>3928</v>
      </c>
      <c r="E1520" s="10" t="s">
        <v>3940</v>
      </c>
      <c r="F1520" s="10"/>
      <c r="G1520" s="10"/>
      <c r="H1520" s="10" t="s">
        <v>3940</v>
      </c>
      <c r="I1520" s="14">
        <v>19931.684838302433</v>
      </c>
      <c r="J1520" s="19">
        <v>0.49473523842960471</v>
      </c>
      <c r="K1520" s="19">
        <v>0.42582534685691648</v>
      </c>
      <c r="L1520" s="19">
        <v>7.9439414713478831E-2</v>
      </c>
      <c r="M1520" s="20">
        <v>2</v>
      </c>
      <c r="N1520" s="19">
        <v>0</v>
      </c>
      <c r="O1520" s="19">
        <v>0</v>
      </c>
      <c r="P1520" s="19">
        <v>0.42582534685691648</v>
      </c>
      <c r="Q1520" s="19">
        <v>6.1425985745196851E-2</v>
      </c>
      <c r="R1520" s="19">
        <v>1.62704898325432E-2</v>
      </c>
      <c r="S1520" s="19">
        <v>1.7429391357387837E-3</v>
      </c>
      <c r="T1520" s="20">
        <v>23</v>
      </c>
      <c r="U1520" s="17">
        <v>2</v>
      </c>
      <c r="V1520" s="17">
        <v>34</v>
      </c>
    </row>
    <row r="1521" spans="1:22" x14ac:dyDescent="0.2">
      <c r="A1521" t="s">
        <v>3941</v>
      </c>
      <c r="B1521" t="s">
        <v>2719</v>
      </c>
      <c r="C1521" t="s">
        <v>2720</v>
      </c>
      <c r="D1521" t="s">
        <v>3928</v>
      </c>
      <c r="E1521" s="10" t="s">
        <v>3942</v>
      </c>
      <c r="F1521" s="10"/>
      <c r="G1521" s="10"/>
      <c r="H1521" s="10" t="s">
        <v>3942</v>
      </c>
      <c r="I1521" s="14">
        <v>22357.869002168067</v>
      </c>
      <c r="J1521" s="19">
        <v>0</v>
      </c>
      <c r="K1521" s="19">
        <v>0.48606596702510707</v>
      </c>
      <c r="L1521" s="19">
        <v>0.51393403297489282</v>
      </c>
      <c r="M1521" s="20">
        <v>1</v>
      </c>
      <c r="N1521" s="19">
        <v>0</v>
      </c>
      <c r="O1521" s="19">
        <v>0.48606596702510707</v>
      </c>
      <c r="P1521" s="19">
        <v>0</v>
      </c>
      <c r="Q1521" s="19">
        <v>0.21031335083423888</v>
      </c>
      <c r="R1521" s="19">
        <v>0.27316826719459891</v>
      </c>
      <c r="S1521" s="19">
        <v>3.0452414946055096E-2</v>
      </c>
      <c r="T1521" s="20">
        <v>12</v>
      </c>
      <c r="U1521" s="17">
        <v>2</v>
      </c>
      <c r="V1521" s="17">
        <v>34</v>
      </c>
    </row>
    <row r="1522" spans="1:22" x14ac:dyDescent="0.2">
      <c r="A1522" t="s">
        <v>3943</v>
      </c>
      <c r="B1522" t="s">
        <v>2719</v>
      </c>
      <c r="C1522" t="s">
        <v>2720</v>
      </c>
      <c r="D1522" t="s">
        <v>3928</v>
      </c>
      <c r="E1522" s="10" t="s">
        <v>3944</v>
      </c>
      <c r="F1522" s="10"/>
      <c r="G1522" s="10"/>
      <c r="H1522" s="10" t="s">
        <v>3944</v>
      </c>
      <c r="I1522" s="14">
        <v>10961.708323003724</v>
      </c>
      <c r="J1522" s="19">
        <v>0</v>
      </c>
      <c r="K1522" s="19">
        <v>0.88820427883080544</v>
      </c>
      <c r="L1522" s="19">
        <v>0.11179572116919453</v>
      </c>
      <c r="M1522" s="20">
        <v>2</v>
      </c>
      <c r="N1522" s="19">
        <v>0</v>
      </c>
      <c r="O1522" s="19">
        <v>0</v>
      </c>
      <c r="P1522" s="19">
        <v>0.88820427883080544</v>
      </c>
      <c r="Q1522" s="19">
        <v>0</v>
      </c>
      <c r="R1522" s="19">
        <v>0.10537816502047001</v>
      </c>
      <c r="S1522" s="19">
        <v>6.4175561487245418E-3</v>
      </c>
      <c r="T1522" s="20">
        <v>21</v>
      </c>
      <c r="U1522" s="17">
        <v>2</v>
      </c>
      <c r="V1522" s="17">
        <v>34</v>
      </c>
    </row>
    <row r="1523" spans="1:22" x14ac:dyDescent="0.2">
      <c r="A1523" t="s">
        <v>3945</v>
      </c>
      <c r="B1523" t="s">
        <v>2719</v>
      </c>
      <c r="C1523" t="s">
        <v>2720</v>
      </c>
      <c r="D1523" t="s">
        <v>3928</v>
      </c>
      <c r="E1523" s="10" t="s">
        <v>3946</v>
      </c>
      <c r="F1523" s="10"/>
      <c r="G1523" s="10"/>
      <c r="H1523" s="10" t="s">
        <v>3946</v>
      </c>
      <c r="I1523" s="14">
        <v>4674.100052096881</v>
      </c>
      <c r="J1523" s="19">
        <v>0</v>
      </c>
      <c r="K1523" s="19">
        <v>0</v>
      </c>
      <c r="L1523" s="19">
        <v>1</v>
      </c>
      <c r="M1523" s="20">
        <v>1</v>
      </c>
      <c r="N1523" s="19">
        <v>0</v>
      </c>
      <c r="O1523" s="19">
        <v>0</v>
      </c>
      <c r="P1523" s="19">
        <v>0</v>
      </c>
      <c r="Q1523" s="19">
        <v>0.49356606070144676</v>
      </c>
      <c r="R1523" s="19">
        <v>0.45106381376737964</v>
      </c>
      <c r="S1523" s="19">
        <v>5.5370125531173597E-2</v>
      </c>
      <c r="T1523" s="20">
        <v>13</v>
      </c>
      <c r="U1523" s="17">
        <v>2</v>
      </c>
      <c r="V1523" s="17">
        <v>34</v>
      </c>
    </row>
    <row r="1524" spans="1:22" x14ac:dyDescent="0.2">
      <c r="A1524" t="s">
        <v>3947</v>
      </c>
      <c r="B1524" t="s">
        <v>2719</v>
      </c>
      <c r="C1524" t="s">
        <v>2720</v>
      </c>
      <c r="D1524" t="s">
        <v>3928</v>
      </c>
      <c r="E1524" s="10" t="s">
        <v>3948</v>
      </c>
      <c r="F1524" s="10"/>
      <c r="G1524" s="10"/>
      <c r="H1524" s="10" t="s">
        <v>3948</v>
      </c>
      <c r="I1524" s="14">
        <v>5877.8965170104057</v>
      </c>
      <c r="J1524" s="19">
        <v>0</v>
      </c>
      <c r="K1524" s="19">
        <v>0</v>
      </c>
      <c r="L1524" s="19">
        <v>1</v>
      </c>
      <c r="M1524" s="20">
        <v>1</v>
      </c>
      <c r="N1524" s="19">
        <v>0</v>
      </c>
      <c r="O1524" s="19">
        <v>0</v>
      </c>
      <c r="P1524" s="19">
        <v>0</v>
      </c>
      <c r="Q1524" s="19">
        <v>0.65190957597059673</v>
      </c>
      <c r="R1524" s="19">
        <v>0.32138007677661046</v>
      </c>
      <c r="S1524" s="19">
        <v>2.6710347252792806E-2</v>
      </c>
      <c r="T1524" s="20">
        <v>13</v>
      </c>
      <c r="U1524" s="17">
        <v>2</v>
      </c>
      <c r="V1524" s="17">
        <v>34</v>
      </c>
    </row>
    <row r="1525" spans="1:22" x14ac:dyDescent="0.2">
      <c r="A1525" t="s">
        <v>3949</v>
      </c>
      <c r="B1525" t="s">
        <v>2719</v>
      </c>
      <c r="C1525" t="s">
        <v>2720</v>
      </c>
      <c r="D1525" t="s">
        <v>3928</v>
      </c>
      <c r="E1525" s="10" t="s">
        <v>3950</v>
      </c>
      <c r="F1525" s="10"/>
      <c r="G1525" s="10"/>
      <c r="H1525" s="10" t="s">
        <v>3950</v>
      </c>
      <c r="I1525" s="14">
        <v>33022.29445390217</v>
      </c>
      <c r="J1525" s="19">
        <v>0</v>
      </c>
      <c r="K1525" s="19">
        <v>0.90806473437056312</v>
      </c>
      <c r="L1525" s="19">
        <v>9.1935265629436907E-2</v>
      </c>
      <c r="M1525" s="20">
        <v>2</v>
      </c>
      <c r="N1525" s="19">
        <v>0</v>
      </c>
      <c r="O1525" s="19">
        <v>0</v>
      </c>
      <c r="P1525" s="19">
        <v>0.90806473437056312</v>
      </c>
      <c r="Q1525" s="19">
        <v>0</v>
      </c>
      <c r="R1525" s="19">
        <v>8.823957030239947E-2</v>
      </c>
      <c r="S1525" s="19">
        <v>3.6956953270374298E-3</v>
      </c>
      <c r="T1525" s="20">
        <v>21</v>
      </c>
      <c r="U1525" s="17">
        <v>2</v>
      </c>
      <c r="V1525" s="17">
        <v>34</v>
      </c>
    </row>
    <row r="1526" spans="1:22" x14ac:dyDescent="0.2">
      <c r="A1526" t="s">
        <v>3951</v>
      </c>
      <c r="B1526" t="s">
        <v>2719</v>
      </c>
      <c r="C1526" t="s">
        <v>2720</v>
      </c>
      <c r="D1526" t="s">
        <v>3928</v>
      </c>
      <c r="E1526" s="10" t="s">
        <v>3952</v>
      </c>
      <c r="F1526" s="10"/>
      <c r="G1526" s="10"/>
      <c r="H1526" s="10" t="s">
        <v>3952</v>
      </c>
      <c r="I1526" s="14">
        <v>5829.4508057851344</v>
      </c>
      <c r="J1526" s="19">
        <v>0</v>
      </c>
      <c r="K1526" s="19">
        <v>0.63433239347018155</v>
      </c>
      <c r="L1526" s="19">
        <v>0.3656676065298185</v>
      </c>
      <c r="M1526" s="20">
        <v>2</v>
      </c>
      <c r="N1526" s="19">
        <v>0</v>
      </c>
      <c r="O1526" s="19">
        <v>0</v>
      </c>
      <c r="P1526" s="19">
        <v>0.63433239347018155</v>
      </c>
      <c r="Q1526" s="19">
        <v>0.20836042620214798</v>
      </c>
      <c r="R1526" s="19">
        <v>0.15142191557061449</v>
      </c>
      <c r="S1526" s="19">
        <v>5.8852647570560189E-3</v>
      </c>
      <c r="T1526" s="20">
        <v>21</v>
      </c>
      <c r="U1526" s="17">
        <v>2</v>
      </c>
      <c r="V1526" s="17">
        <v>34</v>
      </c>
    </row>
    <row r="1527" spans="1:22" x14ac:dyDescent="0.2">
      <c r="A1527" t="s">
        <v>3953</v>
      </c>
      <c r="B1527" t="s">
        <v>2719</v>
      </c>
      <c r="C1527" t="s">
        <v>2720</v>
      </c>
      <c r="D1527" t="s">
        <v>3928</v>
      </c>
      <c r="E1527" s="10" t="s">
        <v>3954</v>
      </c>
      <c r="F1527" s="10"/>
      <c r="G1527" s="10"/>
      <c r="H1527" s="10" t="s">
        <v>3954</v>
      </c>
      <c r="I1527" s="14">
        <v>49795.240434032858</v>
      </c>
      <c r="J1527" s="19">
        <v>0</v>
      </c>
      <c r="K1527" s="19">
        <v>0.90272111345586703</v>
      </c>
      <c r="L1527" s="19">
        <v>9.7278886544133275E-2</v>
      </c>
      <c r="M1527" s="20">
        <v>2</v>
      </c>
      <c r="N1527" s="19">
        <v>0.28541591182783838</v>
      </c>
      <c r="O1527" s="19">
        <v>0</v>
      </c>
      <c r="P1527" s="19">
        <v>0.61730520162802849</v>
      </c>
      <c r="Q1527" s="19">
        <v>2.5036123056147625E-2</v>
      </c>
      <c r="R1527" s="19">
        <v>6.832511817005954E-2</v>
      </c>
      <c r="S1527" s="19">
        <v>3.9176453179260865E-3</v>
      </c>
      <c r="T1527" s="20">
        <v>21</v>
      </c>
      <c r="U1527" s="17">
        <v>2</v>
      </c>
      <c r="V1527" s="17">
        <v>34</v>
      </c>
    </row>
    <row r="1528" spans="1:22" x14ac:dyDescent="0.2">
      <c r="A1528" t="s">
        <v>3955</v>
      </c>
      <c r="B1528" t="s">
        <v>2719</v>
      </c>
      <c r="C1528" t="s">
        <v>2720</v>
      </c>
      <c r="D1528" t="s">
        <v>3928</v>
      </c>
      <c r="E1528" s="10" t="s">
        <v>3956</v>
      </c>
      <c r="F1528" s="10"/>
      <c r="G1528" s="10"/>
      <c r="H1528" s="10" t="s">
        <v>3956</v>
      </c>
      <c r="I1528" s="14">
        <v>10569.40674792137</v>
      </c>
      <c r="J1528" s="19">
        <v>0</v>
      </c>
      <c r="K1528" s="19">
        <v>0</v>
      </c>
      <c r="L1528" s="19">
        <v>1</v>
      </c>
      <c r="M1528" s="20">
        <v>1</v>
      </c>
      <c r="N1528" s="19">
        <v>0</v>
      </c>
      <c r="O1528" s="19">
        <v>0</v>
      </c>
      <c r="P1528" s="19">
        <v>0</v>
      </c>
      <c r="Q1528" s="19">
        <v>0.55290591537002498</v>
      </c>
      <c r="R1528" s="19">
        <v>0.40009545041966088</v>
      </c>
      <c r="S1528" s="19">
        <v>4.6998634210314173E-2</v>
      </c>
      <c r="T1528" s="20">
        <v>13</v>
      </c>
      <c r="U1528" s="17">
        <v>2</v>
      </c>
      <c r="V1528" s="17">
        <v>34</v>
      </c>
    </row>
    <row r="1529" spans="1:22" x14ac:dyDescent="0.2">
      <c r="A1529" t="s">
        <v>3957</v>
      </c>
      <c r="B1529" t="s">
        <v>2719</v>
      </c>
      <c r="C1529" t="s">
        <v>2720</v>
      </c>
      <c r="D1529" t="s">
        <v>3928</v>
      </c>
      <c r="E1529" s="10" t="s">
        <v>3837</v>
      </c>
      <c r="F1529" s="10"/>
      <c r="G1529" s="10"/>
      <c r="H1529" s="10" t="s">
        <v>3837</v>
      </c>
      <c r="I1529" s="14">
        <v>12669.298384790309</v>
      </c>
      <c r="J1529" s="19">
        <v>0</v>
      </c>
      <c r="K1529" s="19">
        <v>0.64115376213140962</v>
      </c>
      <c r="L1529" s="19">
        <v>0.35884623786859032</v>
      </c>
      <c r="M1529" s="20">
        <v>2</v>
      </c>
      <c r="N1529" s="19">
        <v>0</v>
      </c>
      <c r="O1529" s="19">
        <v>0</v>
      </c>
      <c r="P1529" s="19">
        <v>0.64115376213140962</v>
      </c>
      <c r="Q1529" s="19">
        <v>0.10554804323076557</v>
      </c>
      <c r="R1529" s="19">
        <v>0.22951086844634688</v>
      </c>
      <c r="S1529" s="19">
        <v>2.3787326191477873E-2</v>
      </c>
      <c r="T1529" s="20">
        <v>21</v>
      </c>
      <c r="U1529" s="17">
        <v>2</v>
      </c>
      <c r="V1529" s="17">
        <v>34</v>
      </c>
    </row>
    <row r="1530" spans="1:22" x14ac:dyDescent="0.2">
      <c r="A1530" t="s">
        <v>3958</v>
      </c>
      <c r="B1530" t="s">
        <v>2719</v>
      </c>
      <c r="C1530" t="s">
        <v>2720</v>
      </c>
      <c r="D1530" t="s">
        <v>3928</v>
      </c>
      <c r="E1530" s="10" t="s">
        <v>3959</v>
      </c>
      <c r="F1530" s="10"/>
      <c r="G1530" s="10"/>
      <c r="H1530" s="10" t="s">
        <v>3959</v>
      </c>
      <c r="I1530" s="14">
        <v>9099.3766505960375</v>
      </c>
      <c r="J1530" s="19">
        <v>0</v>
      </c>
      <c r="K1530" s="19">
        <v>0</v>
      </c>
      <c r="L1530" s="19">
        <v>1</v>
      </c>
      <c r="M1530" s="20">
        <v>1</v>
      </c>
      <c r="N1530" s="19">
        <v>0</v>
      </c>
      <c r="O1530" s="19">
        <v>0</v>
      </c>
      <c r="P1530" s="19">
        <v>0</v>
      </c>
      <c r="Q1530" s="19">
        <v>0.7967572837961473</v>
      </c>
      <c r="R1530" s="19">
        <v>0.1387871814912586</v>
      </c>
      <c r="S1530" s="19">
        <v>6.4455534712594062E-2</v>
      </c>
      <c r="T1530" s="20">
        <v>13</v>
      </c>
      <c r="U1530" s="17">
        <v>2</v>
      </c>
      <c r="V1530" s="17">
        <v>34</v>
      </c>
    </row>
    <row r="1531" spans="1:22" x14ac:dyDescent="0.2">
      <c r="A1531" t="s">
        <v>3960</v>
      </c>
      <c r="B1531" t="s">
        <v>2719</v>
      </c>
      <c r="C1531" t="s">
        <v>2720</v>
      </c>
      <c r="D1531" t="s">
        <v>3928</v>
      </c>
      <c r="E1531" s="10" t="s">
        <v>3961</v>
      </c>
      <c r="F1531" s="10"/>
      <c r="G1531" s="10"/>
      <c r="H1531" s="10" t="s">
        <v>3961</v>
      </c>
      <c r="I1531" s="14">
        <v>9379.759240537649</v>
      </c>
      <c r="J1531" s="19">
        <v>0</v>
      </c>
      <c r="K1531" s="19">
        <v>0.95257569281030996</v>
      </c>
      <c r="L1531" s="19">
        <v>4.7424307189689999E-2</v>
      </c>
      <c r="M1531" s="20">
        <v>2</v>
      </c>
      <c r="N1531" s="19">
        <v>0</v>
      </c>
      <c r="O1531" s="19">
        <v>0</v>
      </c>
      <c r="P1531" s="19">
        <v>0.95257569281030996</v>
      </c>
      <c r="Q1531" s="19">
        <v>0</v>
      </c>
      <c r="R1531" s="19">
        <v>4.2735629295760046E-2</v>
      </c>
      <c r="S1531" s="19">
        <v>4.6886778939299557E-3</v>
      </c>
      <c r="T1531" s="20">
        <v>21</v>
      </c>
      <c r="U1531" s="17">
        <v>2</v>
      </c>
      <c r="V1531" s="17">
        <v>34</v>
      </c>
    </row>
    <row r="1532" spans="1:22" x14ac:dyDescent="0.2">
      <c r="A1532" t="s">
        <v>3962</v>
      </c>
      <c r="B1532" t="s">
        <v>2719</v>
      </c>
      <c r="C1532" t="s">
        <v>2720</v>
      </c>
      <c r="D1532" t="s">
        <v>3928</v>
      </c>
      <c r="E1532" s="10" t="s">
        <v>3318</v>
      </c>
      <c r="F1532" s="10"/>
      <c r="G1532" s="10"/>
      <c r="H1532" s="10" t="s">
        <v>3318</v>
      </c>
      <c r="I1532" s="14">
        <v>8485.3538465492893</v>
      </c>
      <c r="J1532" s="19">
        <v>0</v>
      </c>
      <c r="K1532" s="19">
        <v>0.94966487668151289</v>
      </c>
      <c r="L1532" s="19">
        <v>5.0335123318487079E-2</v>
      </c>
      <c r="M1532" s="20">
        <v>2</v>
      </c>
      <c r="N1532" s="19">
        <v>0</v>
      </c>
      <c r="O1532" s="19">
        <v>0</v>
      </c>
      <c r="P1532" s="19">
        <v>0.94966487668151289</v>
      </c>
      <c r="Q1532" s="19">
        <v>0</v>
      </c>
      <c r="R1532" s="19">
        <v>4.6787026143926207E-2</v>
      </c>
      <c r="S1532" s="19">
        <v>3.5480971745608689E-3</v>
      </c>
      <c r="T1532" s="20">
        <v>21</v>
      </c>
      <c r="U1532" s="17">
        <v>2</v>
      </c>
      <c r="V1532" s="17">
        <v>34</v>
      </c>
    </row>
    <row r="1533" spans="1:22" x14ac:dyDescent="0.2">
      <c r="A1533" t="s">
        <v>3963</v>
      </c>
      <c r="B1533" t="s">
        <v>2719</v>
      </c>
      <c r="C1533" t="s">
        <v>2720</v>
      </c>
      <c r="D1533" t="s">
        <v>3928</v>
      </c>
      <c r="E1533" s="10" t="s">
        <v>2764</v>
      </c>
      <c r="F1533" s="10"/>
      <c r="G1533" s="10"/>
      <c r="H1533" s="10" t="s">
        <v>2764</v>
      </c>
      <c r="I1533" s="14">
        <v>29992.757863018662</v>
      </c>
      <c r="J1533" s="19">
        <v>0</v>
      </c>
      <c r="K1533" s="19">
        <v>0.94695742574085628</v>
      </c>
      <c r="L1533" s="19">
        <v>5.3042574259143542E-2</v>
      </c>
      <c r="M1533" s="20">
        <v>2</v>
      </c>
      <c r="N1533" s="19">
        <v>0</v>
      </c>
      <c r="O1533" s="19">
        <v>0</v>
      </c>
      <c r="P1533" s="19">
        <v>0.94695742574085628</v>
      </c>
      <c r="Q1533" s="19">
        <v>0</v>
      </c>
      <c r="R1533" s="19">
        <v>4.7411366847944433E-2</v>
      </c>
      <c r="S1533" s="19">
        <v>5.6312074111991147E-3</v>
      </c>
      <c r="T1533" s="20">
        <v>21</v>
      </c>
      <c r="U1533" s="17">
        <v>2</v>
      </c>
      <c r="V1533" s="17">
        <v>34</v>
      </c>
    </row>
    <row r="1534" spans="1:22" x14ac:dyDescent="0.2">
      <c r="A1534" t="s">
        <v>3964</v>
      </c>
      <c r="B1534" t="s">
        <v>2719</v>
      </c>
      <c r="C1534" t="s">
        <v>2720</v>
      </c>
      <c r="D1534" t="s">
        <v>3928</v>
      </c>
      <c r="E1534" s="10" t="s">
        <v>3402</v>
      </c>
      <c r="F1534" s="10"/>
      <c r="G1534" s="10"/>
      <c r="H1534" s="10" t="s">
        <v>3402</v>
      </c>
      <c r="I1534" s="14">
        <v>12907.514433786273</v>
      </c>
      <c r="J1534" s="19">
        <v>0.50278328328917998</v>
      </c>
      <c r="K1534" s="19">
        <v>0.48379540639680962</v>
      </c>
      <c r="L1534" s="19">
        <v>1.3421310314010336E-2</v>
      </c>
      <c r="M1534" s="20">
        <v>3</v>
      </c>
      <c r="N1534" s="19">
        <v>0</v>
      </c>
      <c r="O1534" s="19">
        <v>0</v>
      </c>
      <c r="P1534" s="19">
        <v>0.48379540639680962</v>
      </c>
      <c r="Q1534" s="19">
        <v>0</v>
      </c>
      <c r="R1534" s="19">
        <v>1.3421310314010336E-2</v>
      </c>
      <c r="S1534" s="19">
        <v>0</v>
      </c>
      <c r="T1534" s="20">
        <v>30</v>
      </c>
      <c r="U1534" s="17">
        <v>2</v>
      </c>
      <c r="V1534" s="17">
        <v>34</v>
      </c>
    </row>
    <row r="1535" spans="1:22" x14ac:dyDescent="0.2">
      <c r="A1535" t="s">
        <v>3965</v>
      </c>
      <c r="B1535" t="s">
        <v>2719</v>
      </c>
      <c r="C1535" t="s">
        <v>2720</v>
      </c>
      <c r="D1535" t="s">
        <v>3928</v>
      </c>
      <c r="E1535" s="10" t="s">
        <v>3966</v>
      </c>
      <c r="F1535" s="10"/>
      <c r="G1535" s="10"/>
      <c r="H1535" s="10" t="s">
        <v>3966</v>
      </c>
      <c r="I1535" s="14">
        <v>18305.438914109138</v>
      </c>
      <c r="J1535" s="19">
        <v>0</v>
      </c>
      <c r="K1535" s="19">
        <v>0.63805150533624622</v>
      </c>
      <c r="L1535" s="19">
        <v>0.36194849466375378</v>
      </c>
      <c r="M1535" s="20">
        <v>2</v>
      </c>
      <c r="N1535" s="19">
        <v>0</v>
      </c>
      <c r="O1535" s="19">
        <v>0.59397628306791861</v>
      </c>
      <c r="P1535" s="19">
        <v>4.4075222268327517E-2</v>
      </c>
      <c r="Q1535" s="19">
        <v>0.16792002149024138</v>
      </c>
      <c r="R1535" s="19">
        <v>0.17949985826577075</v>
      </c>
      <c r="S1535" s="19">
        <v>1.452861490774171E-2</v>
      </c>
      <c r="T1535" s="20">
        <v>22</v>
      </c>
      <c r="U1535" s="17">
        <v>2</v>
      </c>
      <c r="V1535" s="17">
        <v>34</v>
      </c>
    </row>
    <row r="1536" spans="1:22" x14ac:dyDescent="0.2">
      <c r="A1536" t="s">
        <v>3967</v>
      </c>
      <c r="B1536" t="s">
        <v>2719</v>
      </c>
      <c r="C1536" t="s">
        <v>2720</v>
      </c>
      <c r="D1536" t="s">
        <v>3928</v>
      </c>
      <c r="E1536" s="10" t="s">
        <v>3968</v>
      </c>
      <c r="F1536" s="10"/>
      <c r="G1536" s="10"/>
      <c r="H1536" s="10" t="s">
        <v>3968</v>
      </c>
      <c r="I1536" s="14">
        <v>15671.119040196296</v>
      </c>
      <c r="J1536" s="19">
        <v>0.87595020075658014</v>
      </c>
      <c r="K1536" s="19">
        <v>0.12404979924341986</v>
      </c>
      <c r="L1536" s="19">
        <v>0</v>
      </c>
      <c r="M1536" s="20">
        <v>3</v>
      </c>
      <c r="N1536" s="19">
        <v>0</v>
      </c>
      <c r="O1536" s="19">
        <v>0</v>
      </c>
      <c r="P1536" s="19">
        <v>0.12404979924341986</v>
      </c>
      <c r="Q1536" s="19">
        <v>0</v>
      </c>
      <c r="R1536" s="19">
        <v>0</v>
      </c>
      <c r="S1536" s="19">
        <v>0</v>
      </c>
      <c r="T1536" s="20">
        <v>30</v>
      </c>
      <c r="U1536" s="17">
        <v>2</v>
      </c>
      <c r="V1536" s="17">
        <v>34</v>
      </c>
    </row>
    <row r="1537" spans="1:22" x14ac:dyDescent="0.2">
      <c r="A1537" t="s">
        <v>3969</v>
      </c>
      <c r="B1537" t="s">
        <v>2719</v>
      </c>
      <c r="C1537" t="s">
        <v>2720</v>
      </c>
      <c r="D1537" t="s">
        <v>3928</v>
      </c>
      <c r="E1537" s="10" t="s">
        <v>3760</v>
      </c>
      <c r="F1537" s="10"/>
      <c r="G1537" s="10"/>
      <c r="H1537" s="10" t="s">
        <v>3760</v>
      </c>
      <c r="I1537" s="14">
        <v>45482.497100837994</v>
      </c>
      <c r="J1537" s="19">
        <v>0</v>
      </c>
      <c r="K1537" s="19">
        <v>0.91229444037923346</v>
      </c>
      <c r="L1537" s="19">
        <v>8.7705559620766593E-2</v>
      </c>
      <c r="M1537" s="20">
        <v>2</v>
      </c>
      <c r="N1537" s="19">
        <v>0.28298516094740872</v>
      </c>
      <c r="O1537" s="19">
        <v>0</v>
      </c>
      <c r="P1537" s="19">
        <v>0.62930927943182469</v>
      </c>
      <c r="Q1537" s="19">
        <v>1.9439743047503174E-2</v>
      </c>
      <c r="R1537" s="19">
        <v>6.1259305607111764E-2</v>
      </c>
      <c r="S1537" s="19">
        <v>7.0065109661516366E-3</v>
      </c>
      <c r="T1537" s="20">
        <v>21</v>
      </c>
      <c r="U1537" s="17">
        <v>2</v>
      </c>
      <c r="V1537" s="17">
        <v>34</v>
      </c>
    </row>
    <row r="1538" spans="1:22" x14ac:dyDescent="0.2">
      <c r="A1538" t="s">
        <v>3970</v>
      </c>
      <c r="B1538" t="s">
        <v>2719</v>
      </c>
      <c r="C1538" t="s">
        <v>2720</v>
      </c>
      <c r="D1538" t="s">
        <v>3928</v>
      </c>
      <c r="E1538" s="10" t="s">
        <v>3971</v>
      </c>
      <c r="F1538" s="10"/>
      <c r="G1538" s="10"/>
      <c r="H1538" s="10" t="s">
        <v>3971</v>
      </c>
      <c r="I1538" s="14">
        <v>29602.61810508091</v>
      </c>
      <c r="J1538" s="19">
        <v>0</v>
      </c>
      <c r="K1538" s="19">
        <v>0.96254872335489494</v>
      </c>
      <c r="L1538" s="19">
        <v>3.7451276645105058E-2</v>
      </c>
      <c r="M1538" s="20">
        <v>2</v>
      </c>
      <c r="N1538" s="19">
        <v>0.21924647188497887</v>
      </c>
      <c r="O1538" s="19">
        <v>0</v>
      </c>
      <c r="P1538" s="19">
        <v>0.74330225146991602</v>
      </c>
      <c r="Q1538" s="19">
        <v>0</v>
      </c>
      <c r="R1538" s="19">
        <v>3.4770260465817937E-2</v>
      </c>
      <c r="S1538" s="19">
        <v>2.681016179287119E-3</v>
      </c>
      <c r="T1538" s="20">
        <v>21</v>
      </c>
      <c r="U1538" s="17">
        <v>2</v>
      </c>
      <c r="V1538" s="17">
        <v>34</v>
      </c>
    </row>
    <row r="1539" spans="1:22" x14ac:dyDescent="0.2">
      <c r="A1539" t="s">
        <v>3972</v>
      </c>
      <c r="B1539" t="s">
        <v>2719</v>
      </c>
      <c r="C1539" t="s">
        <v>2720</v>
      </c>
      <c r="D1539" t="s">
        <v>3928</v>
      </c>
      <c r="E1539" s="10" t="s">
        <v>3325</v>
      </c>
      <c r="F1539" s="10"/>
      <c r="G1539" s="10"/>
      <c r="H1539" s="10" t="s">
        <v>3325</v>
      </c>
      <c r="I1539" s="14">
        <v>33380.494508838281</v>
      </c>
      <c r="J1539" s="19">
        <v>0</v>
      </c>
      <c r="K1539" s="19">
        <v>0.94837729916097036</v>
      </c>
      <c r="L1539" s="19">
        <v>5.1622700839029749E-2</v>
      </c>
      <c r="M1539" s="20">
        <v>2</v>
      </c>
      <c r="N1539" s="19">
        <v>0</v>
      </c>
      <c r="O1539" s="19">
        <v>0</v>
      </c>
      <c r="P1539" s="19">
        <v>0.94837729916097036</v>
      </c>
      <c r="Q1539" s="19">
        <v>0</v>
      </c>
      <c r="R1539" s="19">
        <v>4.9320349936390034E-2</v>
      </c>
      <c r="S1539" s="19">
        <v>2.3023509026397155E-3</v>
      </c>
      <c r="T1539" s="20">
        <v>21</v>
      </c>
      <c r="U1539" s="17">
        <v>2</v>
      </c>
      <c r="V1539" s="17">
        <v>34</v>
      </c>
    </row>
    <row r="1540" spans="1:22" x14ac:dyDescent="0.2">
      <c r="A1540" t="s">
        <v>3973</v>
      </c>
      <c r="B1540" t="s">
        <v>2719</v>
      </c>
      <c r="C1540" t="s">
        <v>2720</v>
      </c>
      <c r="D1540" t="s">
        <v>3928</v>
      </c>
      <c r="E1540" s="10" t="s">
        <v>2799</v>
      </c>
      <c r="F1540" s="10"/>
      <c r="G1540" s="10"/>
      <c r="H1540" s="10" t="s">
        <v>2799</v>
      </c>
      <c r="I1540" s="14">
        <v>21329.675698999316</v>
      </c>
      <c r="J1540" s="19">
        <v>0</v>
      </c>
      <c r="K1540" s="19">
        <v>0.89775233372841834</v>
      </c>
      <c r="L1540" s="19">
        <v>0.1022476662715817</v>
      </c>
      <c r="M1540" s="20">
        <v>2</v>
      </c>
      <c r="N1540" s="19">
        <v>0</v>
      </c>
      <c r="O1540" s="19">
        <v>0</v>
      </c>
      <c r="P1540" s="19">
        <v>0.89775233372841834</v>
      </c>
      <c r="Q1540" s="19">
        <v>0</v>
      </c>
      <c r="R1540" s="19">
        <v>9.1792534709061277E-2</v>
      </c>
      <c r="S1540" s="19">
        <v>1.0455131562520406E-2</v>
      </c>
      <c r="T1540" s="20">
        <v>21</v>
      </c>
      <c r="U1540" s="17">
        <v>2</v>
      </c>
      <c r="V1540" s="17">
        <v>34</v>
      </c>
    </row>
    <row r="1541" spans="1:22" x14ac:dyDescent="0.2">
      <c r="A1541" t="s">
        <v>3974</v>
      </c>
      <c r="B1541" t="s">
        <v>2719</v>
      </c>
      <c r="C1541" t="s">
        <v>2720</v>
      </c>
      <c r="D1541" t="s">
        <v>3928</v>
      </c>
      <c r="E1541" s="10" t="s">
        <v>2898</v>
      </c>
      <c r="F1541" s="10"/>
      <c r="G1541" s="10"/>
      <c r="H1541" s="10" t="s">
        <v>2898</v>
      </c>
      <c r="I1541" s="14">
        <v>33469.434747010702</v>
      </c>
      <c r="J1541" s="19">
        <v>0</v>
      </c>
      <c r="K1541" s="19">
        <v>0.96577718583576844</v>
      </c>
      <c r="L1541" s="19">
        <v>3.4222814164231646E-2</v>
      </c>
      <c r="M1541" s="20">
        <v>2</v>
      </c>
      <c r="N1541" s="19">
        <v>0</v>
      </c>
      <c r="O1541" s="19">
        <v>0</v>
      </c>
      <c r="P1541" s="19">
        <v>0.96577718583576844</v>
      </c>
      <c r="Q1541" s="19">
        <v>0</v>
      </c>
      <c r="R1541" s="19">
        <v>3.2649489032831804E-2</v>
      </c>
      <c r="S1541" s="19">
        <v>1.5733251313998396E-3</v>
      </c>
      <c r="T1541" s="20">
        <v>21</v>
      </c>
      <c r="U1541" s="17">
        <v>2</v>
      </c>
      <c r="V1541" s="17">
        <v>34</v>
      </c>
    </row>
    <row r="1542" spans="1:22" x14ac:dyDescent="0.2">
      <c r="A1542" t="s">
        <v>3975</v>
      </c>
      <c r="B1542" t="s">
        <v>2719</v>
      </c>
      <c r="C1542" t="s">
        <v>2720</v>
      </c>
      <c r="D1542" t="s">
        <v>3928</v>
      </c>
      <c r="E1542" s="10" t="s">
        <v>3976</v>
      </c>
      <c r="F1542" s="10"/>
      <c r="G1542" s="10"/>
      <c r="H1542" s="10" t="s">
        <v>3976</v>
      </c>
      <c r="I1542" s="14">
        <v>2700.2039933120832</v>
      </c>
      <c r="J1542" s="19">
        <v>0</v>
      </c>
      <c r="K1542" s="19">
        <v>0</v>
      </c>
      <c r="L1542" s="19">
        <v>1</v>
      </c>
      <c r="M1542" s="20">
        <v>1</v>
      </c>
      <c r="N1542" s="19">
        <v>0</v>
      </c>
      <c r="O1542" s="19">
        <v>0</v>
      </c>
      <c r="P1542" s="19">
        <v>0</v>
      </c>
      <c r="Q1542" s="19">
        <v>0.3701131735366231</v>
      </c>
      <c r="R1542" s="19">
        <v>0.55744492878271779</v>
      </c>
      <c r="S1542" s="19">
        <v>7.244189768065902E-2</v>
      </c>
      <c r="T1542" s="20">
        <v>12</v>
      </c>
      <c r="U1542" s="17">
        <v>2</v>
      </c>
      <c r="V1542" s="17">
        <v>34</v>
      </c>
    </row>
    <row r="1543" spans="1:22" x14ac:dyDescent="0.2">
      <c r="A1543" t="s">
        <v>3977</v>
      </c>
      <c r="B1543" t="s">
        <v>2719</v>
      </c>
      <c r="C1543" t="s">
        <v>2720</v>
      </c>
      <c r="D1543" t="s">
        <v>3928</v>
      </c>
      <c r="E1543" s="10" t="s">
        <v>3978</v>
      </c>
      <c r="F1543" s="10"/>
      <c r="G1543" s="10"/>
      <c r="H1543" s="10" t="s">
        <v>3978</v>
      </c>
      <c r="I1543" s="14">
        <v>29129.715085554402</v>
      </c>
      <c r="J1543" s="19">
        <v>0</v>
      </c>
      <c r="K1543" s="19">
        <v>0.82882713920440243</v>
      </c>
      <c r="L1543" s="19">
        <v>0.17117286079559763</v>
      </c>
      <c r="M1543" s="20">
        <v>2</v>
      </c>
      <c r="N1543" s="19">
        <v>0.22739479043750907</v>
      </c>
      <c r="O1543" s="19">
        <v>0</v>
      </c>
      <c r="P1543" s="19">
        <v>0.60143234876689333</v>
      </c>
      <c r="Q1543" s="19">
        <v>0</v>
      </c>
      <c r="R1543" s="19">
        <v>0.1646412222824547</v>
      </c>
      <c r="S1543" s="19">
        <v>6.5316385131428843E-3</v>
      </c>
      <c r="T1543" s="20">
        <v>21</v>
      </c>
      <c r="U1543" s="17">
        <v>2</v>
      </c>
      <c r="V1543" s="17">
        <v>34</v>
      </c>
    </row>
    <row r="1544" spans="1:22" x14ac:dyDescent="0.2">
      <c r="A1544" t="s">
        <v>3979</v>
      </c>
      <c r="B1544" t="s">
        <v>2719</v>
      </c>
      <c r="C1544" t="s">
        <v>2720</v>
      </c>
      <c r="D1544" t="s">
        <v>3928</v>
      </c>
      <c r="E1544" s="10" t="s">
        <v>3980</v>
      </c>
      <c r="F1544" s="10"/>
      <c r="G1544" s="10"/>
      <c r="H1544" s="10" t="s">
        <v>3980</v>
      </c>
      <c r="I1544" s="14">
        <v>4202.2325504468754</v>
      </c>
      <c r="J1544" s="19">
        <v>0</v>
      </c>
      <c r="K1544" s="19">
        <v>0</v>
      </c>
      <c r="L1544" s="19">
        <v>1</v>
      </c>
      <c r="M1544" s="20">
        <v>1</v>
      </c>
      <c r="N1544" s="19">
        <v>0</v>
      </c>
      <c r="O1544" s="19">
        <v>0</v>
      </c>
      <c r="P1544" s="19">
        <v>0</v>
      </c>
      <c r="Q1544" s="19">
        <v>0.2170568520855039</v>
      </c>
      <c r="R1544" s="19">
        <v>0.50941710644135885</v>
      </c>
      <c r="S1544" s="19">
        <v>0.27352604147313725</v>
      </c>
      <c r="T1544" s="20">
        <v>12</v>
      </c>
      <c r="U1544" s="17">
        <v>2</v>
      </c>
      <c r="V1544" s="17">
        <v>34</v>
      </c>
    </row>
    <row r="1545" spans="1:22" x14ac:dyDescent="0.2">
      <c r="A1545" t="s">
        <v>3981</v>
      </c>
      <c r="B1545" t="s">
        <v>2719</v>
      </c>
      <c r="C1545" t="s">
        <v>2720</v>
      </c>
      <c r="D1545" t="s">
        <v>3928</v>
      </c>
      <c r="E1545" s="10" t="s">
        <v>3982</v>
      </c>
      <c r="F1545" s="10"/>
      <c r="G1545" s="10"/>
      <c r="H1545" s="10" t="s">
        <v>3982</v>
      </c>
      <c r="I1545" s="14">
        <v>10689.389465541579</v>
      </c>
      <c r="J1545" s="19">
        <v>0</v>
      </c>
      <c r="K1545" s="19">
        <v>0.19032702888720562</v>
      </c>
      <c r="L1545" s="19">
        <v>0.80967297111279435</v>
      </c>
      <c r="M1545" s="20">
        <v>1</v>
      </c>
      <c r="N1545" s="19">
        <v>0.13737896909054528</v>
      </c>
      <c r="O1545" s="19">
        <v>0</v>
      </c>
      <c r="P1545" s="19">
        <v>5.2948059796660341E-2</v>
      </c>
      <c r="Q1545" s="19">
        <v>0.42751788756034204</v>
      </c>
      <c r="R1545" s="19">
        <v>0.32975710564892774</v>
      </c>
      <c r="S1545" s="19">
        <v>5.2397977903524587E-2</v>
      </c>
      <c r="T1545" s="20">
        <v>13</v>
      </c>
      <c r="U1545" s="17">
        <v>2</v>
      </c>
      <c r="V1545" s="17">
        <v>34</v>
      </c>
    </row>
    <row r="1546" spans="1:22" x14ac:dyDescent="0.2">
      <c r="A1546" t="s">
        <v>3983</v>
      </c>
      <c r="B1546" t="s">
        <v>2719</v>
      </c>
      <c r="C1546" t="s">
        <v>2720</v>
      </c>
      <c r="D1546" t="s">
        <v>3928</v>
      </c>
      <c r="E1546" s="10" t="s">
        <v>3984</v>
      </c>
      <c r="F1546" s="10"/>
      <c r="G1546" s="10"/>
      <c r="H1546" s="10" t="s">
        <v>3984</v>
      </c>
      <c r="I1546" s="14">
        <v>46218.300838341005</v>
      </c>
      <c r="J1546" s="19">
        <v>0</v>
      </c>
      <c r="K1546" s="19">
        <v>0.98045481165717729</v>
      </c>
      <c r="L1546" s="19">
        <v>1.9545188342822692E-2</v>
      </c>
      <c r="M1546" s="20">
        <v>2</v>
      </c>
      <c r="N1546" s="19">
        <v>0.41465360467396206</v>
      </c>
      <c r="O1546" s="19">
        <v>0</v>
      </c>
      <c r="P1546" s="19">
        <v>0.56580120698321534</v>
      </c>
      <c r="Q1546" s="19">
        <v>4.3901822509186837E-3</v>
      </c>
      <c r="R1546" s="19">
        <v>1.4154335317368835E-2</v>
      </c>
      <c r="S1546" s="19">
        <v>1.0006707745351727E-3</v>
      </c>
      <c r="T1546" s="20">
        <v>21</v>
      </c>
      <c r="U1546" s="17">
        <v>2</v>
      </c>
      <c r="V1546" s="17">
        <v>34</v>
      </c>
    </row>
    <row r="1547" spans="1:22" x14ac:dyDescent="0.2">
      <c r="A1547" t="s">
        <v>3985</v>
      </c>
      <c r="B1547" t="s">
        <v>2719</v>
      </c>
      <c r="C1547" t="s">
        <v>2720</v>
      </c>
      <c r="D1547" t="s">
        <v>3928</v>
      </c>
      <c r="E1547" s="10" t="s">
        <v>3986</v>
      </c>
      <c r="F1547" s="10"/>
      <c r="G1547" s="10"/>
      <c r="H1547" s="10" t="s">
        <v>3986</v>
      </c>
      <c r="I1547" s="14">
        <v>59848.615068798892</v>
      </c>
      <c r="J1547" s="19">
        <v>0.97392024050469905</v>
      </c>
      <c r="K1547" s="19">
        <v>2.1969190135525285E-2</v>
      </c>
      <c r="L1547" s="19">
        <v>4.1105693597755519E-3</v>
      </c>
      <c r="M1547" s="20">
        <v>3</v>
      </c>
      <c r="N1547" s="19">
        <v>0</v>
      </c>
      <c r="O1547" s="19">
        <v>0</v>
      </c>
      <c r="P1547" s="19">
        <v>2.1969190135525285E-2</v>
      </c>
      <c r="Q1547" s="19">
        <v>0</v>
      </c>
      <c r="R1547" s="19">
        <v>4.1065225968147457E-3</v>
      </c>
      <c r="S1547" s="19">
        <v>4.0467629608062037E-6</v>
      </c>
      <c r="T1547" s="20">
        <v>30</v>
      </c>
      <c r="U1547" s="17">
        <v>2</v>
      </c>
      <c r="V1547" s="17">
        <v>34</v>
      </c>
    </row>
    <row r="1548" spans="1:22" x14ac:dyDescent="0.2">
      <c r="A1548" t="s">
        <v>3987</v>
      </c>
      <c r="B1548" t="s">
        <v>2719</v>
      </c>
      <c r="C1548" t="s">
        <v>2720</v>
      </c>
      <c r="D1548" t="s">
        <v>3988</v>
      </c>
      <c r="E1548" s="10" t="s">
        <v>3989</v>
      </c>
      <c r="F1548" s="10"/>
      <c r="G1548" s="10"/>
      <c r="H1548" s="10" t="s">
        <v>3989</v>
      </c>
      <c r="I1548" s="14">
        <v>56031.510963172186</v>
      </c>
      <c r="J1548" s="19">
        <v>0</v>
      </c>
      <c r="K1548" s="19">
        <v>0.83681152123463631</v>
      </c>
      <c r="L1548" s="19">
        <v>0.16318847876536366</v>
      </c>
      <c r="M1548" s="20">
        <v>2</v>
      </c>
      <c r="N1548" s="19">
        <v>0</v>
      </c>
      <c r="O1548" s="19">
        <v>0</v>
      </c>
      <c r="P1548" s="19">
        <v>0.83681152123463631</v>
      </c>
      <c r="Q1548" s="19">
        <v>2.4681059107669445E-2</v>
      </c>
      <c r="R1548" s="19">
        <v>0.12630431542906709</v>
      </c>
      <c r="S1548" s="19">
        <v>1.2203104228627141E-2</v>
      </c>
      <c r="T1548" s="20">
        <v>21</v>
      </c>
      <c r="U1548" s="17">
        <v>2</v>
      </c>
      <c r="V1548" s="17">
        <v>34</v>
      </c>
    </row>
    <row r="1549" spans="1:22" x14ac:dyDescent="0.2">
      <c r="A1549" t="s">
        <v>3990</v>
      </c>
      <c r="B1549" t="s">
        <v>2719</v>
      </c>
      <c r="C1549" t="s">
        <v>2720</v>
      </c>
      <c r="D1549" t="s">
        <v>3988</v>
      </c>
      <c r="E1549" s="10" t="s">
        <v>3991</v>
      </c>
      <c r="F1549" s="10"/>
      <c r="G1549" s="10"/>
      <c r="H1549" s="10" t="s">
        <v>3991</v>
      </c>
      <c r="I1549" s="14">
        <v>49555.729432672735</v>
      </c>
      <c r="J1549" s="19">
        <v>0</v>
      </c>
      <c r="K1549" s="19">
        <v>0.70302886518444774</v>
      </c>
      <c r="L1549" s="19">
        <v>0.2969711348155521</v>
      </c>
      <c r="M1549" s="20">
        <v>2</v>
      </c>
      <c r="N1549" s="19">
        <v>0.2078623375586853</v>
      </c>
      <c r="O1549" s="19">
        <v>0</v>
      </c>
      <c r="P1549" s="19">
        <v>0.49516652762576246</v>
      </c>
      <c r="Q1549" s="19">
        <v>0.10847012415738121</v>
      </c>
      <c r="R1549" s="19">
        <v>0.18061555898723625</v>
      </c>
      <c r="S1549" s="19">
        <v>7.8854516709346394E-3</v>
      </c>
      <c r="T1549" s="20">
        <v>23</v>
      </c>
      <c r="U1549" s="17">
        <v>2</v>
      </c>
      <c r="V1549" s="17">
        <v>34</v>
      </c>
    </row>
    <row r="1550" spans="1:22" x14ac:dyDescent="0.2">
      <c r="A1550" t="s">
        <v>3992</v>
      </c>
      <c r="B1550" t="s">
        <v>2719</v>
      </c>
      <c r="C1550" t="s">
        <v>2720</v>
      </c>
      <c r="D1550" t="s">
        <v>3988</v>
      </c>
      <c r="E1550" s="10" t="s">
        <v>3993</v>
      </c>
      <c r="F1550" s="10"/>
      <c r="G1550" s="10"/>
      <c r="H1550" s="10" t="s">
        <v>3993</v>
      </c>
      <c r="I1550" s="14">
        <v>38988.88235764578</v>
      </c>
      <c r="J1550" s="19">
        <v>0</v>
      </c>
      <c r="K1550" s="19">
        <v>0.79304484208057779</v>
      </c>
      <c r="L1550" s="19">
        <v>0.20695515791942218</v>
      </c>
      <c r="M1550" s="20">
        <v>2</v>
      </c>
      <c r="N1550" s="19">
        <v>6.4496421900850837E-2</v>
      </c>
      <c r="O1550" s="19">
        <v>0</v>
      </c>
      <c r="P1550" s="19">
        <v>0.72854842017972699</v>
      </c>
      <c r="Q1550" s="19">
        <v>1.7712418000112643E-2</v>
      </c>
      <c r="R1550" s="19">
        <v>0.18655281080402189</v>
      </c>
      <c r="S1550" s="19">
        <v>2.6899291152876143E-3</v>
      </c>
      <c r="T1550" s="20">
        <v>21</v>
      </c>
      <c r="U1550" s="17">
        <v>2</v>
      </c>
      <c r="V1550" s="17">
        <v>34</v>
      </c>
    </row>
    <row r="1551" spans="1:22" x14ac:dyDescent="0.2">
      <c r="A1551" t="s">
        <v>3994</v>
      </c>
      <c r="B1551" t="s">
        <v>2719</v>
      </c>
      <c r="C1551" t="s">
        <v>2720</v>
      </c>
      <c r="D1551" t="s">
        <v>3988</v>
      </c>
      <c r="E1551" s="10" t="s">
        <v>3995</v>
      </c>
      <c r="F1551" s="10"/>
      <c r="G1551" s="10"/>
      <c r="H1551" s="10" t="s">
        <v>3995</v>
      </c>
      <c r="I1551" s="14">
        <v>33808.388249272481</v>
      </c>
      <c r="J1551" s="19">
        <v>0</v>
      </c>
      <c r="K1551" s="19">
        <v>0.93022493261714179</v>
      </c>
      <c r="L1551" s="19">
        <v>6.9775067382858089E-2</v>
      </c>
      <c r="M1551" s="20">
        <v>2</v>
      </c>
      <c r="N1551" s="19">
        <v>0</v>
      </c>
      <c r="O1551" s="19">
        <v>0</v>
      </c>
      <c r="P1551" s="19">
        <v>0.93022493261714179</v>
      </c>
      <c r="Q1551" s="19">
        <v>0</v>
      </c>
      <c r="R1551" s="19">
        <v>6.9775067382858089E-2</v>
      </c>
      <c r="S1551" s="19">
        <v>0</v>
      </c>
      <c r="T1551" s="20">
        <v>21</v>
      </c>
      <c r="U1551" s="17">
        <v>2</v>
      </c>
      <c r="V1551" s="17">
        <v>34</v>
      </c>
    </row>
    <row r="1552" spans="1:22" x14ac:dyDescent="0.2">
      <c r="A1552" t="s">
        <v>3996</v>
      </c>
      <c r="B1552" t="s">
        <v>2719</v>
      </c>
      <c r="C1552" t="s">
        <v>2720</v>
      </c>
      <c r="D1552" t="s">
        <v>3988</v>
      </c>
      <c r="E1552" s="10" t="s">
        <v>3997</v>
      </c>
      <c r="F1552" s="10"/>
      <c r="G1552" s="10"/>
      <c r="H1552" s="10" t="s">
        <v>3997</v>
      </c>
      <c r="I1552" s="14">
        <v>38621.521910313517</v>
      </c>
      <c r="J1552" s="19">
        <v>0</v>
      </c>
      <c r="K1552" s="19">
        <v>0.96321348683955976</v>
      </c>
      <c r="L1552" s="19">
        <v>3.6786513160440237E-2</v>
      </c>
      <c r="M1552" s="20">
        <v>2</v>
      </c>
      <c r="N1552" s="19">
        <v>0.36146798374129185</v>
      </c>
      <c r="O1552" s="19">
        <v>0</v>
      </c>
      <c r="P1552" s="19">
        <v>0.60174550309826791</v>
      </c>
      <c r="Q1552" s="19">
        <v>0</v>
      </c>
      <c r="R1552" s="19">
        <v>3.6430100058902563E-2</v>
      </c>
      <c r="S1552" s="19">
        <v>3.5641310153767375E-4</v>
      </c>
      <c r="T1552" s="20">
        <v>21</v>
      </c>
      <c r="U1552" s="17">
        <v>2</v>
      </c>
      <c r="V1552" s="17">
        <v>34</v>
      </c>
    </row>
    <row r="1553" spans="1:22" x14ac:dyDescent="0.2">
      <c r="A1553" t="s">
        <v>3998</v>
      </c>
      <c r="B1553" t="s">
        <v>2719</v>
      </c>
      <c r="C1553" t="s">
        <v>2720</v>
      </c>
      <c r="D1553" t="s">
        <v>3988</v>
      </c>
      <c r="E1553" s="10" t="s">
        <v>3999</v>
      </c>
      <c r="F1553" s="10"/>
      <c r="G1553" s="10"/>
      <c r="H1553" s="10" t="s">
        <v>3999</v>
      </c>
      <c r="I1553" s="14">
        <v>36171.431034771726</v>
      </c>
      <c r="J1553" s="19">
        <v>0</v>
      </c>
      <c r="K1553" s="19">
        <v>0.90476262446615918</v>
      </c>
      <c r="L1553" s="19">
        <v>9.5237375533840943E-2</v>
      </c>
      <c r="M1553" s="20">
        <v>2</v>
      </c>
      <c r="N1553" s="19">
        <v>0.46776059612916615</v>
      </c>
      <c r="O1553" s="19">
        <v>0</v>
      </c>
      <c r="P1553" s="19">
        <v>0.43700202833699286</v>
      </c>
      <c r="Q1553" s="19">
        <v>0</v>
      </c>
      <c r="R1553" s="19">
        <v>9.2449713314410653E-2</v>
      </c>
      <c r="S1553" s="19">
        <v>2.7876622194302888E-3</v>
      </c>
      <c r="T1553" s="20">
        <v>23</v>
      </c>
      <c r="U1553" s="17">
        <v>2</v>
      </c>
      <c r="V1553" s="17">
        <v>34</v>
      </c>
    </row>
    <row r="1554" spans="1:22" x14ac:dyDescent="0.2">
      <c r="A1554" t="s">
        <v>4000</v>
      </c>
      <c r="B1554" t="s">
        <v>2719</v>
      </c>
      <c r="C1554" t="s">
        <v>2720</v>
      </c>
      <c r="D1554" t="s">
        <v>3988</v>
      </c>
      <c r="E1554" s="10" t="s">
        <v>4001</v>
      </c>
      <c r="F1554" s="10"/>
      <c r="G1554" s="10"/>
      <c r="H1554" s="10" t="s">
        <v>4001</v>
      </c>
      <c r="I1554" s="14">
        <v>65284.105878273025</v>
      </c>
      <c r="J1554" s="19">
        <v>0</v>
      </c>
      <c r="K1554" s="19">
        <v>0.96033165407820753</v>
      </c>
      <c r="L1554" s="19">
        <v>3.9668345921792462E-2</v>
      </c>
      <c r="M1554" s="20">
        <v>2</v>
      </c>
      <c r="N1554" s="19">
        <v>0.24106073105527395</v>
      </c>
      <c r="O1554" s="19">
        <v>0</v>
      </c>
      <c r="P1554" s="19">
        <v>0.71927092302293361</v>
      </c>
      <c r="Q1554" s="19">
        <v>0</v>
      </c>
      <c r="R1554" s="19">
        <v>3.8616608621723537E-2</v>
      </c>
      <c r="S1554" s="19">
        <v>1.0517373000689223E-3</v>
      </c>
      <c r="T1554" s="20">
        <v>21</v>
      </c>
      <c r="U1554" s="17">
        <v>2</v>
      </c>
      <c r="V1554" s="17">
        <v>34</v>
      </c>
    </row>
    <row r="1555" spans="1:22" x14ac:dyDescent="0.2">
      <c r="A1555" t="s">
        <v>4002</v>
      </c>
      <c r="B1555" t="s">
        <v>2719</v>
      </c>
      <c r="C1555" t="s">
        <v>2720</v>
      </c>
      <c r="D1555" t="s">
        <v>3988</v>
      </c>
      <c r="E1555" s="10" t="s">
        <v>4003</v>
      </c>
      <c r="F1555" s="10"/>
      <c r="G1555" s="10"/>
      <c r="H1555" s="10" t="s">
        <v>4003</v>
      </c>
      <c r="I1555" s="14">
        <v>52152.842567814521</v>
      </c>
      <c r="J1555" s="19">
        <v>0</v>
      </c>
      <c r="K1555" s="19">
        <v>0.74199724985886695</v>
      </c>
      <c r="L1555" s="19">
        <v>0.25800275014113289</v>
      </c>
      <c r="M1555" s="20">
        <v>2</v>
      </c>
      <c r="N1555" s="19">
        <v>0.16932097131047028</v>
      </c>
      <c r="O1555" s="19">
        <v>0</v>
      </c>
      <c r="P1555" s="19">
        <v>0.57267627854839664</v>
      </c>
      <c r="Q1555" s="19">
        <v>7.3820013761684802E-2</v>
      </c>
      <c r="R1555" s="19">
        <v>0.17250106605976728</v>
      </c>
      <c r="S1555" s="19">
        <v>1.1681670319680803E-2</v>
      </c>
      <c r="T1555" s="20">
        <v>21</v>
      </c>
      <c r="U1555" s="17">
        <v>2</v>
      </c>
      <c r="V1555" s="17">
        <v>34</v>
      </c>
    </row>
    <row r="1556" spans="1:22" x14ac:dyDescent="0.2">
      <c r="A1556" t="s">
        <v>4004</v>
      </c>
      <c r="B1556" t="s">
        <v>2719</v>
      </c>
      <c r="C1556" t="s">
        <v>2720</v>
      </c>
      <c r="D1556" t="s">
        <v>3988</v>
      </c>
      <c r="E1556" s="10" t="s">
        <v>4005</v>
      </c>
      <c r="F1556" s="10"/>
      <c r="G1556" s="10"/>
      <c r="H1556" s="10" t="s">
        <v>4005</v>
      </c>
      <c r="I1556" s="14">
        <v>24337.824115676802</v>
      </c>
      <c r="J1556" s="19">
        <v>0</v>
      </c>
      <c r="K1556" s="19">
        <v>0.88756886403955826</v>
      </c>
      <c r="L1556" s="19">
        <v>0.11243113596044184</v>
      </c>
      <c r="M1556" s="20">
        <v>2</v>
      </c>
      <c r="N1556" s="19">
        <v>0</v>
      </c>
      <c r="O1556" s="19">
        <v>0</v>
      </c>
      <c r="P1556" s="19">
        <v>0.88756886403955826</v>
      </c>
      <c r="Q1556" s="19">
        <v>0</v>
      </c>
      <c r="R1556" s="19">
        <v>0.10843135105750877</v>
      </c>
      <c r="S1556" s="19">
        <v>3.999784902933067E-3</v>
      </c>
      <c r="T1556" s="20">
        <v>21</v>
      </c>
      <c r="U1556" s="17">
        <v>2</v>
      </c>
      <c r="V1556" s="17">
        <v>34</v>
      </c>
    </row>
    <row r="1557" spans="1:22" x14ac:dyDescent="0.2">
      <c r="A1557" t="s">
        <v>4006</v>
      </c>
      <c r="B1557" t="s">
        <v>2719</v>
      </c>
      <c r="C1557" t="s">
        <v>2720</v>
      </c>
      <c r="D1557" t="s">
        <v>3988</v>
      </c>
      <c r="E1557" s="10" t="s">
        <v>4007</v>
      </c>
      <c r="F1557" s="10"/>
      <c r="G1557" s="10"/>
      <c r="H1557" s="10" t="s">
        <v>4007</v>
      </c>
      <c r="I1557" s="14">
        <v>16880.935909127351</v>
      </c>
      <c r="J1557" s="19">
        <v>0</v>
      </c>
      <c r="K1557" s="19">
        <v>0.78240756559376923</v>
      </c>
      <c r="L1557" s="19">
        <v>0.2175924344062308</v>
      </c>
      <c r="M1557" s="20">
        <v>2</v>
      </c>
      <c r="N1557" s="19">
        <v>0</v>
      </c>
      <c r="O1557" s="19">
        <v>0</v>
      </c>
      <c r="P1557" s="19">
        <v>0.78240756559376923</v>
      </c>
      <c r="Q1557" s="19">
        <v>0</v>
      </c>
      <c r="R1557" s="19">
        <v>0.21701766270175665</v>
      </c>
      <c r="S1557" s="19">
        <v>5.7477170447416538E-4</v>
      </c>
      <c r="T1557" s="20">
        <v>21</v>
      </c>
      <c r="U1557" s="17">
        <v>2</v>
      </c>
      <c r="V1557" s="17">
        <v>34</v>
      </c>
    </row>
    <row r="1558" spans="1:22" x14ac:dyDescent="0.2">
      <c r="A1558" t="s">
        <v>4008</v>
      </c>
      <c r="B1558" t="s">
        <v>2719</v>
      </c>
      <c r="C1558" t="s">
        <v>2720</v>
      </c>
      <c r="D1558" t="s">
        <v>3988</v>
      </c>
      <c r="E1558" s="10" t="s">
        <v>4009</v>
      </c>
      <c r="F1558" s="10"/>
      <c r="G1558" s="10"/>
      <c r="H1558" s="10" t="s">
        <v>4009</v>
      </c>
      <c r="I1558" s="14">
        <v>71489.720643657725</v>
      </c>
      <c r="J1558" s="19">
        <v>0</v>
      </c>
      <c r="K1558" s="19">
        <v>0.94810089657044316</v>
      </c>
      <c r="L1558" s="19">
        <v>5.1899103429556816E-2</v>
      </c>
      <c r="M1558" s="20">
        <v>2</v>
      </c>
      <c r="N1558" s="19">
        <v>0.15680788658116795</v>
      </c>
      <c r="O1558" s="19">
        <v>0</v>
      </c>
      <c r="P1558" s="19">
        <v>0.79129300998927521</v>
      </c>
      <c r="Q1558" s="19">
        <v>0</v>
      </c>
      <c r="R1558" s="19">
        <v>5.1198037669847346E-2</v>
      </c>
      <c r="S1558" s="19">
        <v>7.01065759709474E-4</v>
      </c>
      <c r="T1558" s="20">
        <v>21</v>
      </c>
      <c r="U1558" s="17">
        <v>2</v>
      </c>
      <c r="V1558" s="17">
        <v>34</v>
      </c>
    </row>
    <row r="1559" spans="1:22" x14ac:dyDescent="0.2">
      <c r="A1559" t="s">
        <v>4010</v>
      </c>
      <c r="B1559" t="s">
        <v>2719</v>
      </c>
      <c r="C1559" t="s">
        <v>2720</v>
      </c>
      <c r="D1559" t="s">
        <v>3988</v>
      </c>
      <c r="E1559" s="10" t="s">
        <v>4011</v>
      </c>
      <c r="F1559" s="10"/>
      <c r="G1559" s="10"/>
      <c r="H1559" s="10" t="s">
        <v>4011</v>
      </c>
      <c r="I1559" s="14">
        <v>69796.942778183613</v>
      </c>
      <c r="J1559" s="19">
        <v>0</v>
      </c>
      <c r="K1559" s="19">
        <v>0.90727572081179786</v>
      </c>
      <c r="L1559" s="19">
        <v>9.2724279188202127E-2</v>
      </c>
      <c r="M1559" s="20">
        <v>2</v>
      </c>
      <c r="N1559" s="19">
        <v>0.18790888811451983</v>
      </c>
      <c r="O1559" s="19">
        <v>0</v>
      </c>
      <c r="P1559" s="19">
        <v>0.71936683269727797</v>
      </c>
      <c r="Q1559" s="19">
        <v>7.8267665988186429E-3</v>
      </c>
      <c r="R1559" s="19">
        <v>8.1193957116485554E-2</v>
      </c>
      <c r="S1559" s="19">
        <v>3.7035554728979429E-3</v>
      </c>
      <c r="T1559" s="20">
        <v>21</v>
      </c>
      <c r="U1559" s="17">
        <v>2</v>
      </c>
      <c r="V1559" s="17">
        <v>34</v>
      </c>
    </row>
    <row r="1560" spans="1:22" x14ac:dyDescent="0.2">
      <c r="A1560" t="s">
        <v>4012</v>
      </c>
      <c r="B1560" t="s">
        <v>2719</v>
      </c>
      <c r="C1560" t="s">
        <v>2720</v>
      </c>
      <c r="D1560" t="s">
        <v>3988</v>
      </c>
      <c r="E1560" s="10" t="s">
        <v>4013</v>
      </c>
      <c r="F1560" s="10"/>
      <c r="G1560" s="10"/>
      <c r="H1560" s="10" t="s">
        <v>4013</v>
      </c>
      <c r="I1560" s="14">
        <v>80275.638611173257</v>
      </c>
      <c r="J1560" s="19">
        <v>0</v>
      </c>
      <c r="K1560" s="19">
        <v>0.88527839506095474</v>
      </c>
      <c r="L1560" s="19">
        <v>0.11472160493904532</v>
      </c>
      <c r="M1560" s="20">
        <v>2</v>
      </c>
      <c r="N1560" s="19">
        <v>0.15326151645684946</v>
      </c>
      <c r="O1560" s="19">
        <v>0</v>
      </c>
      <c r="P1560" s="19">
        <v>0.73201687860410525</v>
      </c>
      <c r="Q1560" s="19">
        <v>8.1643739093442275E-2</v>
      </c>
      <c r="R1560" s="19">
        <v>3.090747425920197E-2</v>
      </c>
      <c r="S1560" s="19">
        <v>2.1703915864010673E-3</v>
      </c>
      <c r="T1560" s="20">
        <v>21</v>
      </c>
      <c r="U1560" s="17">
        <v>2</v>
      </c>
      <c r="V1560" s="17">
        <v>34</v>
      </c>
    </row>
    <row r="1561" spans="1:22" x14ac:dyDescent="0.2">
      <c r="A1561" t="s">
        <v>4014</v>
      </c>
      <c r="B1561" t="s">
        <v>2719</v>
      </c>
      <c r="C1561" t="s">
        <v>2720</v>
      </c>
      <c r="D1561" t="s">
        <v>3988</v>
      </c>
      <c r="E1561" s="10" t="s">
        <v>4015</v>
      </c>
      <c r="F1561" s="10"/>
      <c r="G1561" s="10"/>
      <c r="H1561" s="10" t="s">
        <v>4015</v>
      </c>
      <c r="I1561" s="14">
        <v>49039.482190754265</v>
      </c>
      <c r="J1561" s="19">
        <v>0</v>
      </c>
      <c r="K1561" s="19">
        <v>0.68617349068637001</v>
      </c>
      <c r="L1561" s="19">
        <v>0.31382650931362999</v>
      </c>
      <c r="M1561" s="20">
        <v>2</v>
      </c>
      <c r="N1561" s="19">
        <v>0.11728656454192884</v>
      </c>
      <c r="O1561" s="19">
        <v>0.25298651755481261</v>
      </c>
      <c r="P1561" s="19">
        <v>0.31590040858962853</v>
      </c>
      <c r="Q1561" s="19">
        <v>0.21280196347627431</v>
      </c>
      <c r="R1561" s="19">
        <v>9.7602717904588063E-2</v>
      </c>
      <c r="S1561" s="19">
        <v>3.4218279327676336E-3</v>
      </c>
      <c r="T1561" s="20">
        <v>22</v>
      </c>
      <c r="U1561" s="17">
        <v>2</v>
      </c>
      <c r="V1561" s="17">
        <v>34</v>
      </c>
    </row>
    <row r="1562" spans="1:22" x14ac:dyDescent="0.2">
      <c r="A1562" t="s">
        <v>4016</v>
      </c>
      <c r="B1562" t="s">
        <v>2719</v>
      </c>
      <c r="C1562" t="s">
        <v>2720</v>
      </c>
      <c r="D1562" t="s">
        <v>3988</v>
      </c>
      <c r="E1562" s="10" t="s">
        <v>4017</v>
      </c>
      <c r="F1562" s="10"/>
      <c r="G1562" s="10"/>
      <c r="H1562" s="10" t="s">
        <v>4017</v>
      </c>
      <c r="I1562" s="14">
        <v>55231.669022400863</v>
      </c>
      <c r="J1562" s="19">
        <v>0</v>
      </c>
      <c r="K1562" s="19">
        <v>0.89300069181294417</v>
      </c>
      <c r="L1562" s="19">
        <v>0.10699930818705586</v>
      </c>
      <c r="M1562" s="20">
        <v>2</v>
      </c>
      <c r="N1562" s="19">
        <v>0.12672935908577693</v>
      </c>
      <c r="O1562" s="19">
        <v>0</v>
      </c>
      <c r="P1562" s="19">
        <v>0.76627133272716719</v>
      </c>
      <c r="Q1562" s="19">
        <v>0</v>
      </c>
      <c r="R1562" s="19">
        <v>0.10362551867033001</v>
      </c>
      <c r="S1562" s="19">
        <v>3.3737895167258395E-3</v>
      </c>
      <c r="T1562" s="20">
        <v>21</v>
      </c>
      <c r="U1562" s="17">
        <v>2</v>
      </c>
      <c r="V1562" s="17">
        <v>34</v>
      </c>
    </row>
    <row r="1563" spans="1:22" x14ac:dyDescent="0.2">
      <c r="A1563" t="s">
        <v>4018</v>
      </c>
      <c r="B1563" t="s">
        <v>2719</v>
      </c>
      <c r="C1563" t="s">
        <v>2720</v>
      </c>
      <c r="D1563" t="s">
        <v>3988</v>
      </c>
      <c r="E1563" s="10" t="s">
        <v>4019</v>
      </c>
      <c r="F1563" s="10"/>
      <c r="G1563" s="10"/>
      <c r="H1563" s="10" t="s">
        <v>4019</v>
      </c>
      <c r="I1563" s="14">
        <v>42332.708460590569</v>
      </c>
      <c r="J1563" s="19">
        <v>0</v>
      </c>
      <c r="K1563" s="19">
        <v>0.86456766395174289</v>
      </c>
      <c r="L1563" s="19">
        <v>0.13543233604825705</v>
      </c>
      <c r="M1563" s="20">
        <v>2</v>
      </c>
      <c r="N1563" s="19">
        <v>0</v>
      </c>
      <c r="O1563" s="19">
        <v>0</v>
      </c>
      <c r="P1563" s="19">
        <v>0.86456766395174289</v>
      </c>
      <c r="Q1563" s="19">
        <v>0</v>
      </c>
      <c r="R1563" s="19">
        <v>0.1347466273533868</v>
      </c>
      <c r="S1563" s="19">
        <v>6.8570869487026695E-4</v>
      </c>
      <c r="T1563" s="20">
        <v>21</v>
      </c>
      <c r="U1563" s="17">
        <v>2</v>
      </c>
      <c r="V1563" s="17">
        <v>34</v>
      </c>
    </row>
    <row r="1564" spans="1:22" x14ac:dyDescent="0.2">
      <c r="A1564" t="s">
        <v>4020</v>
      </c>
      <c r="B1564" t="s">
        <v>2719</v>
      </c>
      <c r="C1564" t="s">
        <v>2720</v>
      </c>
      <c r="D1564" t="s">
        <v>3988</v>
      </c>
      <c r="E1564" s="10" t="s">
        <v>4021</v>
      </c>
      <c r="F1564" s="10"/>
      <c r="G1564" s="10"/>
      <c r="H1564" s="10" t="s">
        <v>4021</v>
      </c>
      <c r="I1564" s="14">
        <v>83036.374211749062</v>
      </c>
      <c r="J1564" s="19">
        <v>0</v>
      </c>
      <c r="K1564" s="19">
        <v>0.95103807714947697</v>
      </c>
      <c r="L1564" s="19">
        <v>4.8961922850523025E-2</v>
      </c>
      <c r="M1564" s="20">
        <v>2</v>
      </c>
      <c r="N1564" s="19">
        <v>0.30035021736349615</v>
      </c>
      <c r="O1564" s="19">
        <v>0</v>
      </c>
      <c r="P1564" s="19">
        <v>0.65068785978598087</v>
      </c>
      <c r="Q1564" s="19">
        <v>7.370306063637741E-3</v>
      </c>
      <c r="R1564" s="19">
        <v>4.0218469254874753E-2</v>
      </c>
      <c r="S1564" s="19">
        <v>1.3731475320105282E-3</v>
      </c>
      <c r="T1564" s="20">
        <v>21</v>
      </c>
      <c r="U1564" s="17">
        <v>2</v>
      </c>
      <c r="V1564" s="17">
        <v>34</v>
      </c>
    </row>
    <row r="1565" spans="1:22" x14ac:dyDescent="0.2">
      <c r="A1565" t="s">
        <v>4022</v>
      </c>
      <c r="B1565" t="s">
        <v>2719</v>
      </c>
      <c r="C1565" t="s">
        <v>2720</v>
      </c>
      <c r="D1565" t="s">
        <v>3988</v>
      </c>
      <c r="E1565" s="10" t="s">
        <v>4023</v>
      </c>
      <c r="F1565" s="10"/>
      <c r="G1565" s="10"/>
      <c r="H1565" s="10" t="s">
        <v>4023</v>
      </c>
      <c r="I1565" s="14">
        <v>54841.864475477487</v>
      </c>
      <c r="J1565" s="19">
        <v>0</v>
      </c>
      <c r="K1565" s="19">
        <v>0.93066751196711484</v>
      </c>
      <c r="L1565" s="19">
        <v>6.9332488032885192E-2</v>
      </c>
      <c r="M1565" s="20">
        <v>2</v>
      </c>
      <c r="N1565" s="19">
        <v>0.64199815096439428</v>
      </c>
      <c r="O1565" s="19">
        <v>0</v>
      </c>
      <c r="P1565" s="19">
        <v>0.28866936100272045</v>
      </c>
      <c r="Q1565" s="19">
        <v>6.2537757710034128E-2</v>
      </c>
      <c r="R1565" s="19">
        <v>6.7838877686100373E-3</v>
      </c>
      <c r="S1565" s="19">
        <v>1.0842554241037173E-5</v>
      </c>
      <c r="T1565" s="20">
        <v>23</v>
      </c>
      <c r="U1565" s="17">
        <v>2</v>
      </c>
      <c r="V1565" s="17">
        <v>34</v>
      </c>
    </row>
    <row r="1566" spans="1:22" x14ac:dyDescent="0.2">
      <c r="A1566" t="s">
        <v>4024</v>
      </c>
      <c r="B1566" t="s">
        <v>2719</v>
      </c>
      <c r="C1566" t="s">
        <v>2720</v>
      </c>
      <c r="D1566" t="s">
        <v>3988</v>
      </c>
      <c r="E1566" s="10" t="s">
        <v>4025</v>
      </c>
      <c r="F1566" s="10"/>
      <c r="G1566" s="10"/>
      <c r="H1566" s="10" t="s">
        <v>4025</v>
      </c>
      <c r="I1566" s="14">
        <v>42031.207041685469</v>
      </c>
      <c r="J1566" s="19">
        <v>3.0319101793950014E-2</v>
      </c>
      <c r="K1566" s="19">
        <v>0.94355875771912978</v>
      </c>
      <c r="L1566" s="19">
        <v>2.6122140486920256E-2</v>
      </c>
      <c r="M1566" s="20">
        <v>2</v>
      </c>
      <c r="N1566" s="19">
        <v>0.51367782848016297</v>
      </c>
      <c r="O1566" s="19">
        <v>0</v>
      </c>
      <c r="P1566" s="19">
        <v>0.42988092923896676</v>
      </c>
      <c r="Q1566" s="19">
        <v>0</v>
      </c>
      <c r="R1566" s="19">
        <v>2.5159542448736749E-2</v>
      </c>
      <c r="S1566" s="19">
        <v>9.6259803818351077E-4</v>
      </c>
      <c r="T1566" s="20">
        <v>23</v>
      </c>
      <c r="U1566" s="17">
        <v>2</v>
      </c>
      <c r="V1566" s="17">
        <v>34</v>
      </c>
    </row>
    <row r="1567" spans="1:22" x14ac:dyDescent="0.2">
      <c r="A1567" t="s">
        <v>4026</v>
      </c>
      <c r="B1567" t="s">
        <v>2719</v>
      </c>
      <c r="C1567" t="s">
        <v>2720</v>
      </c>
      <c r="D1567" t="s">
        <v>3988</v>
      </c>
      <c r="E1567" s="10" t="s">
        <v>4027</v>
      </c>
      <c r="F1567" s="10"/>
      <c r="G1567" s="10"/>
      <c r="H1567" s="10" t="s">
        <v>4027</v>
      </c>
      <c r="I1567" s="14">
        <v>40086.956996602006</v>
      </c>
      <c r="J1567" s="19">
        <v>0</v>
      </c>
      <c r="K1567" s="19">
        <v>0.84703641926487838</v>
      </c>
      <c r="L1567" s="19">
        <v>0.15296358073512165</v>
      </c>
      <c r="M1567" s="20">
        <v>2</v>
      </c>
      <c r="N1567" s="19">
        <v>0.21202360936117051</v>
      </c>
      <c r="O1567" s="19">
        <v>0</v>
      </c>
      <c r="P1567" s="19">
        <v>0.6350128099037079</v>
      </c>
      <c r="Q1567" s="19">
        <v>0</v>
      </c>
      <c r="R1567" s="19">
        <v>0.1456551614233304</v>
      </c>
      <c r="S1567" s="19">
        <v>7.3084193117912448E-3</v>
      </c>
      <c r="T1567" s="20">
        <v>21</v>
      </c>
      <c r="U1567" s="17">
        <v>2</v>
      </c>
      <c r="V1567" s="17">
        <v>34</v>
      </c>
    </row>
    <row r="1568" spans="1:22" x14ac:dyDescent="0.2">
      <c r="A1568" t="s">
        <v>4028</v>
      </c>
      <c r="B1568" t="s">
        <v>2719</v>
      </c>
      <c r="C1568" t="s">
        <v>2720</v>
      </c>
      <c r="D1568" t="s">
        <v>3988</v>
      </c>
      <c r="E1568" s="10" t="s">
        <v>4029</v>
      </c>
      <c r="F1568" s="10"/>
      <c r="G1568" s="10"/>
      <c r="H1568" s="10" t="s">
        <v>4029</v>
      </c>
      <c r="I1568" s="14">
        <v>467032.85582083929</v>
      </c>
      <c r="J1568" s="19">
        <v>1</v>
      </c>
      <c r="K1568" s="19">
        <v>0</v>
      </c>
      <c r="L1568" s="19">
        <v>0</v>
      </c>
      <c r="M1568" s="20">
        <v>3</v>
      </c>
      <c r="N1568" s="19">
        <v>0</v>
      </c>
      <c r="O1568" s="19">
        <v>0</v>
      </c>
      <c r="P1568" s="19">
        <v>0</v>
      </c>
      <c r="Q1568" s="19">
        <v>0</v>
      </c>
      <c r="R1568" s="19">
        <v>0</v>
      </c>
      <c r="S1568" s="19">
        <v>0</v>
      </c>
      <c r="T1568" s="20">
        <v>30</v>
      </c>
      <c r="U1568" s="17">
        <v>2</v>
      </c>
      <c r="V1568" s="17">
        <v>34</v>
      </c>
    </row>
    <row r="1569" spans="1:22" x14ac:dyDescent="0.2">
      <c r="A1569" t="s">
        <v>4030</v>
      </c>
      <c r="B1569" t="s">
        <v>2719</v>
      </c>
      <c r="C1569" t="s">
        <v>2720</v>
      </c>
      <c r="D1569" t="s">
        <v>3988</v>
      </c>
      <c r="E1569" s="10" t="s">
        <v>4031</v>
      </c>
      <c r="F1569" s="10"/>
      <c r="G1569" s="10"/>
      <c r="H1569" s="10" t="s">
        <v>4031</v>
      </c>
      <c r="I1569" s="14">
        <v>82668.67044955492</v>
      </c>
      <c r="J1569" s="19">
        <v>0</v>
      </c>
      <c r="K1569" s="19">
        <v>0.84859708121961497</v>
      </c>
      <c r="L1569" s="19">
        <v>0.151402918780385</v>
      </c>
      <c r="M1569" s="20">
        <v>2</v>
      </c>
      <c r="N1569" s="19">
        <v>0.23441157866868323</v>
      </c>
      <c r="O1569" s="19">
        <v>0</v>
      </c>
      <c r="P1569" s="19">
        <v>0.61418550255093174</v>
      </c>
      <c r="Q1569" s="19">
        <v>2.615125969396747E-2</v>
      </c>
      <c r="R1569" s="19">
        <v>0.11885815706107603</v>
      </c>
      <c r="S1569" s="19">
        <v>6.393502025341496E-3</v>
      </c>
      <c r="T1569" s="20">
        <v>21</v>
      </c>
      <c r="U1569" s="17">
        <v>2</v>
      </c>
      <c r="V1569" s="17">
        <v>34</v>
      </c>
    </row>
    <row r="1570" spans="1:22" x14ac:dyDescent="0.2">
      <c r="A1570" t="s">
        <v>4032</v>
      </c>
      <c r="B1570" t="s">
        <v>2719</v>
      </c>
      <c r="C1570" t="s">
        <v>2720</v>
      </c>
      <c r="D1570" t="s">
        <v>3988</v>
      </c>
      <c r="E1570" s="10" t="s">
        <v>4033</v>
      </c>
      <c r="F1570" s="10"/>
      <c r="G1570" s="10"/>
      <c r="H1570" s="10" t="s">
        <v>4033</v>
      </c>
      <c r="I1570" s="14">
        <v>90672.21224084869</v>
      </c>
      <c r="J1570" s="19">
        <v>0</v>
      </c>
      <c r="K1570" s="19">
        <v>0.87724388734237357</v>
      </c>
      <c r="L1570" s="19">
        <v>0.12275611265762638</v>
      </c>
      <c r="M1570" s="20">
        <v>2</v>
      </c>
      <c r="N1570" s="19">
        <v>7.8604479499291488E-2</v>
      </c>
      <c r="O1570" s="19">
        <v>0</v>
      </c>
      <c r="P1570" s="19">
        <v>0.79863940784308207</v>
      </c>
      <c r="Q1570" s="19">
        <v>7.8121176752571055E-5</v>
      </c>
      <c r="R1570" s="19">
        <v>0.10456402625019359</v>
      </c>
      <c r="S1570" s="19">
        <v>1.8113965230680221E-2</v>
      </c>
      <c r="T1570" s="20">
        <v>21</v>
      </c>
      <c r="U1570" s="17">
        <v>2</v>
      </c>
      <c r="V1570" s="17">
        <v>34</v>
      </c>
    </row>
    <row r="1571" spans="1:22" x14ac:dyDescent="0.2">
      <c r="A1571" t="s">
        <v>4034</v>
      </c>
      <c r="B1571" t="s">
        <v>2719</v>
      </c>
      <c r="C1571" t="s">
        <v>2720</v>
      </c>
      <c r="D1571" t="s">
        <v>3988</v>
      </c>
      <c r="E1571" s="10" t="s">
        <v>4035</v>
      </c>
      <c r="F1571" s="10"/>
      <c r="G1571" s="10"/>
      <c r="H1571" s="10" t="s">
        <v>4035</v>
      </c>
      <c r="I1571" s="14">
        <v>38106.309023815673</v>
      </c>
      <c r="J1571" s="19">
        <v>0.50279551812355916</v>
      </c>
      <c r="K1571" s="19">
        <v>0.47605528620467025</v>
      </c>
      <c r="L1571" s="19">
        <v>2.1149195671770631E-2</v>
      </c>
      <c r="M1571" s="20">
        <v>3</v>
      </c>
      <c r="N1571" s="19">
        <v>1.1326215311611961E-4</v>
      </c>
      <c r="O1571" s="19">
        <v>0</v>
      </c>
      <c r="P1571" s="19">
        <v>0.47594202405155411</v>
      </c>
      <c r="Q1571" s="19">
        <v>0</v>
      </c>
      <c r="R1571" s="19">
        <v>1.9898577339315618E-2</v>
      </c>
      <c r="S1571" s="19">
        <v>1.2506183324550158E-3</v>
      </c>
      <c r="T1571" s="20">
        <v>30</v>
      </c>
      <c r="U1571" s="17">
        <v>2</v>
      </c>
      <c r="V1571" s="17">
        <v>34</v>
      </c>
    </row>
    <row r="1572" spans="1:22" x14ac:dyDescent="0.2">
      <c r="A1572" t="s">
        <v>4036</v>
      </c>
      <c r="B1572" t="s">
        <v>2719</v>
      </c>
      <c r="C1572" t="s">
        <v>2720</v>
      </c>
      <c r="D1572" t="s">
        <v>3988</v>
      </c>
      <c r="E1572" s="10" t="s">
        <v>3054</v>
      </c>
      <c r="F1572" s="10"/>
      <c r="G1572" s="10"/>
      <c r="H1572" s="10" t="s">
        <v>3054</v>
      </c>
      <c r="I1572" s="14">
        <v>36334.417923374102</v>
      </c>
      <c r="J1572" s="19">
        <v>0</v>
      </c>
      <c r="K1572" s="19">
        <v>0.70790968887722427</v>
      </c>
      <c r="L1572" s="19">
        <v>0.29209031112277573</v>
      </c>
      <c r="M1572" s="20">
        <v>2</v>
      </c>
      <c r="N1572" s="19">
        <v>0.14189697642630378</v>
      </c>
      <c r="O1572" s="19">
        <v>0.14712997902146627</v>
      </c>
      <c r="P1572" s="19">
        <v>0.4188827334294542</v>
      </c>
      <c r="Q1572" s="19">
        <v>5.2970414832486185E-2</v>
      </c>
      <c r="R1572" s="19">
        <v>0.22137370961278022</v>
      </c>
      <c r="S1572" s="19">
        <v>1.7746186677509337E-2</v>
      </c>
      <c r="T1572" s="20">
        <v>22</v>
      </c>
      <c r="U1572" s="17">
        <v>2</v>
      </c>
      <c r="V1572" s="17">
        <v>34</v>
      </c>
    </row>
    <row r="1573" spans="1:22" x14ac:dyDescent="0.2">
      <c r="A1573" t="s">
        <v>4037</v>
      </c>
      <c r="B1573" t="s">
        <v>2719</v>
      </c>
      <c r="C1573" t="s">
        <v>2720</v>
      </c>
      <c r="D1573" t="s">
        <v>3988</v>
      </c>
      <c r="E1573" s="10" t="s">
        <v>4038</v>
      </c>
      <c r="F1573" s="10"/>
      <c r="G1573" s="10"/>
      <c r="H1573" s="10" t="s">
        <v>4038</v>
      </c>
      <c r="I1573" s="14">
        <v>59523.385458281271</v>
      </c>
      <c r="J1573" s="19">
        <v>0</v>
      </c>
      <c r="K1573" s="19">
        <v>0.7364880056878742</v>
      </c>
      <c r="L1573" s="19">
        <v>0.26351199431212569</v>
      </c>
      <c r="M1573" s="20">
        <v>2</v>
      </c>
      <c r="N1573" s="19">
        <v>0.11990014204455103</v>
      </c>
      <c r="O1573" s="19">
        <v>0</v>
      </c>
      <c r="P1573" s="19">
        <v>0.61658786364332319</v>
      </c>
      <c r="Q1573" s="19">
        <v>0.11354049470877633</v>
      </c>
      <c r="R1573" s="19">
        <v>0.14065898748525632</v>
      </c>
      <c r="S1573" s="19">
        <v>9.3125121180930494E-3</v>
      </c>
      <c r="T1573" s="20">
        <v>21</v>
      </c>
      <c r="U1573" s="17">
        <v>2</v>
      </c>
      <c r="V1573" s="17">
        <v>34</v>
      </c>
    </row>
    <row r="1574" spans="1:22" x14ac:dyDescent="0.2">
      <c r="A1574" t="s">
        <v>4039</v>
      </c>
      <c r="B1574" t="s">
        <v>2719</v>
      </c>
      <c r="C1574" t="s">
        <v>2720</v>
      </c>
      <c r="D1574" t="s">
        <v>3988</v>
      </c>
      <c r="E1574" s="10" t="s">
        <v>4040</v>
      </c>
      <c r="F1574" s="10"/>
      <c r="G1574" s="10"/>
      <c r="H1574" s="10" t="s">
        <v>4040</v>
      </c>
      <c r="I1574" s="14">
        <v>45492.907047535293</v>
      </c>
      <c r="J1574" s="19">
        <v>0</v>
      </c>
      <c r="K1574" s="19">
        <v>0.86570751356426234</v>
      </c>
      <c r="L1574" s="19">
        <v>0.13429248643573763</v>
      </c>
      <c r="M1574" s="20">
        <v>2</v>
      </c>
      <c r="N1574" s="19">
        <v>0.17063137836237119</v>
      </c>
      <c r="O1574" s="19">
        <v>0</v>
      </c>
      <c r="P1574" s="19">
        <v>0.69507613520189115</v>
      </c>
      <c r="Q1574" s="19">
        <v>0</v>
      </c>
      <c r="R1574" s="19">
        <v>0.12719673629759362</v>
      </c>
      <c r="S1574" s="19">
        <v>7.0957501381439985E-3</v>
      </c>
      <c r="T1574" s="20">
        <v>21</v>
      </c>
      <c r="U1574" s="17">
        <v>2</v>
      </c>
      <c r="V1574" s="17">
        <v>34</v>
      </c>
    </row>
    <row r="1575" spans="1:22" x14ac:dyDescent="0.2">
      <c r="A1575" t="s">
        <v>4041</v>
      </c>
      <c r="B1575" t="s">
        <v>2719</v>
      </c>
      <c r="C1575" t="s">
        <v>2720</v>
      </c>
      <c r="D1575" t="s">
        <v>3988</v>
      </c>
      <c r="E1575" s="10" t="s">
        <v>4042</v>
      </c>
      <c r="F1575" s="10"/>
      <c r="G1575" s="10"/>
      <c r="H1575" s="10" t="s">
        <v>4042</v>
      </c>
      <c r="I1575" s="14">
        <v>82579.724424694199</v>
      </c>
      <c r="J1575" s="19">
        <v>0</v>
      </c>
      <c r="K1575" s="19">
        <v>0.90749426264324273</v>
      </c>
      <c r="L1575" s="19">
        <v>9.2505737356757309E-2</v>
      </c>
      <c r="M1575" s="20">
        <v>2</v>
      </c>
      <c r="N1575" s="19">
        <v>0.38110852597024292</v>
      </c>
      <c r="O1575" s="19">
        <v>0</v>
      </c>
      <c r="P1575" s="19">
        <v>0.5263857366729997</v>
      </c>
      <c r="Q1575" s="19">
        <v>0</v>
      </c>
      <c r="R1575" s="19">
        <v>9.066231963192059E-2</v>
      </c>
      <c r="S1575" s="19">
        <v>1.8434177248367167E-3</v>
      </c>
      <c r="T1575" s="20">
        <v>21</v>
      </c>
      <c r="U1575" s="17">
        <v>2</v>
      </c>
      <c r="V1575" s="17">
        <v>34</v>
      </c>
    </row>
    <row r="1576" spans="1:22" x14ac:dyDescent="0.2">
      <c r="A1576" t="s">
        <v>4043</v>
      </c>
      <c r="B1576" t="s">
        <v>2719</v>
      </c>
      <c r="C1576" t="s">
        <v>2720</v>
      </c>
      <c r="D1576" t="s">
        <v>3988</v>
      </c>
      <c r="E1576" s="10" t="s">
        <v>4044</v>
      </c>
      <c r="F1576" s="10"/>
      <c r="G1576" s="10"/>
      <c r="H1576" s="10" t="s">
        <v>4044</v>
      </c>
      <c r="I1576" s="14">
        <v>28914.861297344789</v>
      </c>
      <c r="J1576" s="19">
        <v>0</v>
      </c>
      <c r="K1576" s="19">
        <v>0.96122713143757521</v>
      </c>
      <c r="L1576" s="19">
        <v>3.8772868562424741E-2</v>
      </c>
      <c r="M1576" s="20">
        <v>2</v>
      </c>
      <c r="N1576" s="19">
        <v>0.28171870818041855</v>
      </c>
      <c r="O1576" s="19">
        <v>0</v>
      </c>
      <c r="P1576" s="19">
        <v>0.67950842325715666</v>
      </c>
      <c r="Q1576" s="19">
        <v>0</v>
      </c>
      <c r="R1576" s="19">
        <v>3.808088674492411E-2</v>
      </c>
      <c r="S1576" s="19">
        <v>6.9198181750063548E-4</v>
      </c>
      <c r="T1576" s="20">
        <v>21</v>
      </c>
      <c r="U1576" s="17">
        <v>2</v>
      </c>
      <c r="V1576" s="17">
        <v>34</v>
      </c>
    </row>
    <row r="1577" spans="1:22" x14ac:dyDescent="0.2">
      <c r="A1577" t="s">
        <v>4045</v>
      </c>
      <c r="B1577" t="s">
        <v>2719</v>
      </c>
      <c r="C1577" t="s">
        <v>2720</v>
      </c>
      <c r="D1577" t="s">
        <v>3988</v>
      </c>
      <c r="E1577" s="10" t="s">
        <v>4046</v>
      </c>
      <c r="F1577" s="10"/>
      <c r="G1577" s="10"/>
      <c r="H1577" s="10" t="s">
        <v>4046</v>
      </c>
      <c r="I1577" s="14">
        <v>27495.607279181946</v>
      </c>
      <c r="J1577" s="19">
        <v>0</v>
      </c>
      <c r="K1577" s="19">
        <v>0.92150254930307529</v>
      </c>
      <c r="L1577" s="19">
        <v>7.8497450696924848E-2</v>
      </c>
      <c r="M1577" s="20">
        <v>2</v>
      </c>
      <c r="N1577" s="19">
        <v>0</v>
      </c>
      <c r="O1577" s="19">
        <v>0</v>
      </c>
      <c r="P1577" s="19">
        <v>0.92150254930307518</v>
      </c>
      <c r="Q1577" s="19">
        <v>0</v>
      </c>
      <c r="R1577" s="19">
        <v>7.8497450696924848E-2</v>
      </c>
      <c r="S1577" s="19">
        <v>0</v>
      </c>
      <c r="T1577" s="20">
        <v>21</v>
      </c>
      <c r="U1577" s="17">
        <v>2</v>
      </c>
      <c r="V1577" s="17">
        <v>34</v>
      </c>
    </row>
    <row r="1578" spans="1:22" x14ac:dyDescent="0.2">
      <c r="A1578" t="s">
        <v>4047</v>
      </c>
      <c r="B1578" t="s">
        <v>2719</v>
      </c>
      <c r="C1578" t="s">
        <v>2720</v>
      </c>
      <c r="D1578" t="s">
        <v>3988</v>
      </c>
      <c r="E1578" s="10" t="s">
        <v>4048</v>
      </c>
      <c r="F1578" s="10"/>
      <c r="G1578" s="10"/>
      <c r="H1578" s="10" t="s">
        <v>4048</v>
      </c>
      <c r="I1578" s="14">
        <v>105379.81717906892</v>
      </c>
      <c r="J1578" s="19">
        <v>0.63032003496776245</v>
      </c>
      <c r="K1578" s="19">
        <v>0.33671415892516127</v>
      </c>
      <c r="L1578" s="19">
        <v>3.2965806107076306E-2</v>
      </c>
      <c r="M1578" s="20">
        <v>3</v>
      </c>
      <c r="N1578" s="19">
        <v>6.8382630393001792E-3</v>
      </c>
      <c r="O1578" s="19">
        <v>0</v>
      </c>
      <c r="P1578" s="19">
        <v>0.32987589588586108</v>
      </c>
      <c r="Q1578" s="19">
        <v>0</v>
      </c>
      <c r="R1578" s="19">
        <v>3.2965806107076306E-2</v>
      </c>
      <c r="S1578" s="19">
        <v>0</v>
      </c>
      <c r="T1578" s="20">
        <v>30</v>
      </c>
      <c r="U1578" s="17">
        <v>2</v>
      </c>
      <c r="V1578" s="17">
        <v>34</v>
      </c>
    </row>
    <row r="1579" spans="1:22" x14ac:dyDescent="0.2">
      <c r="A1579" t="s">
        <v>4049</v>
      </c>
      <c r="B1579" t="s">
        <v>2719</v>
      </c>
      <c r="C1579" t="s">
        <v>2720</v>
      </c>
      <c r="D1579" t="s">
        <v>3988</v>
      </c>
      <c r="E1579" s="10" t="s">
        <v>4050</v>
      </c>
      <c r="F1579" s="10"/>
      <c r="G1579" s="10"/>
      <c r="H1579" s="10" t="s">
        <v>4050</v>
      </c>
      <c r="I1579" s="14">
        <v>100393.23205225659</v>
      </c>
      <c r="J1579" s="19">
        <v>0</v>
      </c>
      <c r="K1579" s="19">
        <v>0.70921841331582169</v>
      </c>
      <c r="L1579" s="19">
        <v>0.29078158668417836</v>
      </c>
      <c r="M1579" s="20">
        <v>2</v>
      </c>
      <c r="N1579" s="19">
        <v>0.21972602970529045</v>
      </c>
      <c r="O1579" s="19">
        <v>0</v>
      </c>
      <c r="P1579" s="19">
        <v>0.48949238361053121</v>
      </c>
      <c r="Q1579" s="19">
        <v>6.2714641931783249E-2</v>
      </c>
      <c r="R1579" s="19">
        <v>0.22076461915395926</v>
      </c>
      <c r="S1579" s="19">
        <v>7.3023255984358245E-3</v>
      </c>
      <c r="T1579" s="20">
        <v>23</v>
      </c>
      <c r="U1579" s="17">
        <v>2</v>
      </c>
      <c r="V1579" s="17">
        <v>34</v>
      </c>
    </row>
    <row r="1580" spans="1:22" x14ac:dyDescent="0.2">
      <c r="A1580" t="s">
        <v>4051</v>
      </c>
      <c r="B1580" t="s">
        <v>2719</v>
      </c>
      <c r="C1580" t="s">
        <v>2720</v>
      </c>
      <c r="D1580" t="s">
        <v>3988</v>
      </c>
      <c r="E1580" s="10" t="s">
        <v>4052</v>
      </c>
      <c r="F1580" s="10"/>
      <c r="G1580" s="10"/>
      <c r="H1580" s="10" t="s">
        <v>4052</v>
      </c>
      <c r="I1580" s="14">
        <v>58539.071204846718</v>
      </c>
      <c r="J1580" s="19">
        <v>0.97170249419932631</v>
      </c>
      <c r="K1580" s="19">
        <v>2.5447552293159405E-2</v>
      </c>
      <c r="L1580" s="19">
        <v>2.8499535075143748E-3</v>
      </c>
      <c r="M1580" s="20">
        <v>3</v>
      </c>
      <c r="N1580" s="19">
        <v>2.276511938823519E-4</v>
      </c>
      <c r="O1580" s="19">
        <v>0</v>
      </c>
      <c r="P1580" s="19">
        <v>2.5219901099277051E-2</v>
      </c>
      <c r="Q1580" s="19">
        <v>0</v>
      </c>
      <c r="R1580" s="19">
        <v>2.8499535075143753E-3</v>
      </c>
      <c r="S1580" s="19">
        <v>0</v>
      </c>
      <c r="T1580" s="20">
        <v>30</v>
      </c>
      <c r="U1580" s="17">
        <v>2</v>
      </c>
      <c r="V1580" s="17">
        <v>34</v>
      </c>
    </row>
    <row r="1581" spans="1:22" x14ac:dyDescent="0.2">
      <c r="A1581" t="s">
        <v>4053</v>
      </c>
      <c r="B1581" t="s">
        <v>2719</v>
      </c>
      <c r="C1581" t="s">
        <v>2720</v>
      </c>
      <c r="D1581" t="s">
        <v>3988</v>
      </c>
      <c r="E1581" s="10" t="s">
        <v>4054</v>
      </c>
      <c r="F1581" s="10"/>
      <c r="G1581" s="10"/>
      <c r="H1581" s="10" t="s">
        <v>4054</v>
      </c>
      <c r="I1581" s="14">
        <v>89425.464251860976</v>
      </c>
      <c r="J1581" s="19">
        <v>0</v>
      </c>
      <c r="K1581" s="19">
        <v>0.96151071879306083</v>
      </c>
      <c r="L1581" s="19">
        <v>3.848928120693914E-2</v>
      </c>
      <c r="M1581" s="20">
        <v>2</v>
      </c>
      <c r="N1581" s="19">
        <v>0.26646797842699205</v>
      </c>
      <c r="O1581" s="19">
        <v>0</v>
      </c>
      <c r="P1581" s="19">
        <v>0.69504274036606895</v>
      </c>
      <c r="Q1581" s="19">
        <v>0</v>
      </c>
      <c r="R1581" s="19">
        <v>3.8220575213397764E-2</v>
      </c>
      <c r="S1581" s="19">
        <v>2.6870599354137585E-4</v>
      </c>
      <c r="T1581" s="20">
        <v>21</v>
      </c>
      <c r="U1581" s="17">
        <v>2</v>
      </c>
      <c r="V1581" s="17">
        <v>34</v>
      </c>
    </row>
    <row r="1582" spans="1:22" x14ac:dyDescent="0.2">
      <c r="A1582" t="s">
        <v>4055</v>
      </c>
      <c r="B1582" t="s">
        <v>2719</v>
      </c>
      <c r="C1582" t="s">
        <v>2720</v>
      </c>
      <c r="D1582" t="s">
        <v>3988</v>
      </c>
      <c r="E1582" s="10" t="s">
        <v>4056</v>
      </c>
      <c r="F1582" s="10"/>
      <c r="G1582" s="10"/>
      <c r="H1582" s="10" t="s">
        <v>4056</v>
      </c>
      <c r="I1582" s="14">
        <v>41488.2247776445</v>
      </c>
      <c r="J1582" s="19">
        <v>0</v>
      </c>
      <c r="K1582" s="19">
        <v>0.86711076476210791</v>
      </c>
      <c r="L1582" s="19">
        <v>0.13288923523789212</v>
      </c>
      <c r="M1582" s="20">
        <v>2</v>
      </c>
      <c r="N1582" s="19">
        <v>0.13083997429150565</v>
      </c>
      <c r="O1582" s="19">
        <v>0</v>
      </c>
      <c r="P1582" s="19">
        <v>0.73627079047060229</v>
      </c>
      <c r="Q1582" s="19">
        <v>2.1599137006872219E-2</v>
      </c>
      <c r="R1582" s="19">
        <v>0.10373622817595521</v>
      </c>
      <c r="S1582" s="19">
        <v>7.5538700550646775E-3</v>
      </c>
      <c r="T1582" s="20">
        <v>21</v>
      </c>
      <c r="U1582" s="17">
        <v>2</v>
      </c>
      <c r="V1582" s="17">
        <v>34</v>
      </c>
    </row>
    <row r="1583" spans="1:22" x14ac:dyDescent="0.2">
      <c r="A1583" t="s">
        <v>4057</v>
      </c>
      <c r="B1583" t="s">
        <v>2719</v>
      </c>
      <c r="C1583" t="s">
        <v>2720</v>
      </c>
      <c r="D1583" t="s">
        <v>3988</v>
      </c>
      <c r="E1583" s="10" t="s">
        <v>4058</v>
      </c>
      <c r="F1583" s="10"/>
      <c r="G1583" s="10"/>
      <c r="H1583" s="10" t="s">
        <v>4058</v>
      </c>
      <c r="I1583" s="14">
        <v>42185.086662315764</v>
      </c>
      <c r="J1583" s="19">
        <v>0</v>
      </c>
      <c r="K1583" s="19">
        <v>0.85628172846816253</v>
      </c>
      <c r="L1583" s="19">
        <v>0.14371827153183742</v>
      </c>
      <c r="M1583" s="20">
        <v>2</v>
      </c>
      <c r="N1583" s="19">
        <v>6.100660719958221E-4</v>
      </c>
      <c r="O1583" s="19">
        <v>0</v>
      </c>
      <c r="P1583" s="19">
        <v>0.85567166239616677</v>
      </c>
      <c r="Q1583" s="19">
        <v>0</v>
      </c>
      <c r="R1583" s="19">
        <v>0.13916263307758456</v>
      </c>
      <c r="S1583" s="19">
        <v>4.5556384542528661E-3</v>
      </c>
      <c r="T1583" s="20">
        <v>21</v>
      </c>
      <c r="U1583" s="17">
        <v>2</v>
      </c>
      <c r="V1583" s="17">
        <v>34</v>
      </c>
    </row>
    <row r="1584" spans="1:22" x14ac:dyDescent="0.2">
      <c r="A1584" t="s">
        <v>4059</v>
      </c>
      <c r="B1584" t="s">
        <v>2719</v>
      </c>
      <c r="C1584" t="s">
        <v>2720</v>
      </c>
      <c r="D1584" t="s">
        <v>3988</v>
      </c>
      <c r="E1584" s="10" t="s">
        <v>4060</v>
      </c>
      <c r="F1584" s="10"/>
      <c r="G1584" s="10"/>
      <c r="H1584" s="10" t="s">
        <v>4060</v>
      </c>
      <c r="I1584" s="14">
        <v>63186.705084126443</v>
      </c>
      <c r="J1584" s="19">
        <v>0</v>
      </c>
      <c r="K1584" s="19">
        <v>0.73289172097091349</v>
      </c>
      <c r="L1584" s="19">
        <v>0.2671082790290864</v>
      </c>
      <c r="M1584" s="20">
        <v>2</v>
      </c>
      <c r="N1584" s="19">
        <v>0.17097195287575934</v>
      </c>
      <c r="O1584" s="19">
        <v>0.12059032729405243</v>
      </c>
      <c r="P1584" s="19">
        <v>0.44132944080110187</v>
      </c>
      <c r="Q1584" s="19">
        <v>6.6856713823560801E-2</v>
      </c>
      <c r="R1584" s="19">
        <v>0.19030779990494329</v>
      </c>
      <c r="S1584" s="19">
        <v>9.9437653005823006E-3</v>
      </c>
      <c r="T1584" s="20">
        <v>23</v>
      </c>
      <c r="U1584" s="17">
        <v>2</v>
      </c>
      <c r="V1584" s="17">
        <v>34</v>
      </c>
    </row>
    <row r="1585" spans="1:22" x14ac:dyDescent="0.2">
      <c r="A1585" t="s">
        <v>4061</v>
      </c>
      <c r="B1585" t="s">
        <v>2719</v>
      </c>
      <c r="C1585" t="s">
        <v>2720</v>
      </c>
      <c r="D1585" t="s">
        <v>3988</v>
      </c>
      <c r="E1585" s="10" t="s">
        <v>3215</v>
      </c>
      <c r="F1585" s="10"/>
      <c r="G1585" s="10"/>
      <c r="H1585" s="10" t="s">
        <v>3215</v>
      </c>
      <c r="I1585" s="14">
        <v>31606.061099003069</v>
      </c>
      <c r="J1585" s="19">
        <v>1.2218172350269096E-2</v>
      </c>
      <c r="K1585" s="19">
        <v>0.95183314122407348</v>
      </c>
      <c r="L1585" s="19">
        <v>3.5948686425657406E-2</v>
      </c>
      <c r="M1585" s="20">
        <v>2</v>
      </c>
      <c r="N1585" s="19">
        <v>0.43868538233398996</v>
      </c>
      <c r="O1585" s="19">
        <v>0</v>
      </c>
      <c r="P1585" s="19">
        <v>0.51314775889008346</v>
      </c>
      <c r="Q1585" s="19">
        <v>0</v>
      </c>
      <c r="R1585" s="19">
        <v>3.5948686425657406E-2</v>
      </c>
      <c r="S1585" s="19">
        <v>0</v>
      </c>
      <c r="T1585" s="20">
        <v>21</v>
      </c>
      <c r="U1585" s="17">
        <v>2</v>
      </c>
      <c r="V1585" s="17">
        <v>34</v>
      </c>
    </row>
    <row r="1586" spans="1:22" x14ac:dyDescent="0.2">
      <c r="A1586" t="s">
        <v>4062</v>
      </c>
      <c r="B1586" t="s">
        <v>2719</v>
      </c>
      <c r="C1586" t="s">
        <v>2720</v>
      </c>
      <c r="D1586" t="s">
        <v>3988</v>
      </c>
      <c r="E1586" s="10" t="s">
        <v>3323</v>
      </c>
      <c r="F1586" s="10"/>
      <c r="G1586" s="10"/>
      <c r="H1586" s="10" t="s">
        <v>3323</v>
      </c>
      <c r="I1586" s="14">
        <v>18800.523976489902</v>
      </c>
      <c r="J1586" s="19">
        <v>0</v>
      </c>
      <c r="K1586" s="19">
        <v>0.69301422828119119</v>
      </c>
      <c r="L1586" s="19">
        <v>0.30698577171880881</v>
      </c>
      <c r="M1586" s="20">
        <v>2</v>
      </c>
      <c r="N1586" s="19">
        <v>0</v>
      </c>
      <c r="O1586" s="19">
        <v>0.67116525854703712</v>
      </c>
      <c r="P1586" s="19">
        <v>2.1848969734153983E-2</v>
      </c>
      <c r="Q1586" s="19">
        <v>9.499065719755749E-2</v>
      </c>
      <c r="R1586" s="19">
        <v>0.2005159318727672</v>
      </c>
      <c r="S1586" s="19">
        <v>1.1479182648484182E-2</v>
      </c>
      <c r="T1586" s="20">
        <v>22</v>
      </c>
      <c r="U1586" s="17">
        <v>2</v>
      </c>
      <c r="V1586" s="17">
        <v>34</v>
      </c>
    </row>
    <row r="1587" spans="1:22" x14ac:dyDescent="0.2">
      <c r="A1587" t="s">
        <v>4063</v>
      </c>
      <c r="B1587" t="s">
        <v>2719</v>
      </c>
      <c r="C1587" t="s">
        <v>2720</v>
      </c>
      <c r="D1587" t="s">
        <v>3988</v>
      </c>
      <c r="E1587" s="10" t="s">
        <v>4064</v>
      </c>
      <c r="F1587" s="10"/>
      <c r="G1587" s="10"/>
      <c r="H1587" s="10" t="s">
        <v>4064</v>
      </c>
      <c r="I1587" s="14">
        <v>72618.429929315578</v>
      </c>
      <c r="J1587" s="19">
        <v>0.4872174149595882</v>
      </c>
      <c r="K1587" s="19">
        <v>0.48502958612444225</v>
      </c>
      <c r="L1587" s="19">
        <v>2.7752998915969523E-2</v>
      </c>
      <c r="M1587" s="20">
        <v>2</v>
      </c>
      <c r="N1587" s="19">
        <v>8.0141645263879305E-2</v>
      </c>
      <c r="O1587" s="19">
        <v>0</v>
      </c>
      <c r="P1587" s="19">
        <v>0.40488794086056296</v>
      </c>
      <c r="Q1587" s="19">
        <v>0</v>
      </c>
      <c r="R1587" s="19">
        <v>2.7752998915969523E-2</v>
      </c>
      <c r="S1587" s="19">
        <v>0</v>
      </c>
      <c r="T1587" s="20">
        <v>23</v>
      </c>
      <c r="U1587" s="17">
        <v>2</v>
      </c>
      <c r="V1587" s="17">
        <v>34</v>
      </c>
    </row>
    <row r="1588" spans="1:22" x14ac:dyDescent="0.2">
      <c r="A1588" t="s">
        <v>4065</v>
      </c>
      <c r="B1588" t="s">
        <v>2719</v>
      </c>
      <c r="C1588" t="s">
        <v>2720</v>
      </c>
      <c r="D1588" t="s">
        <v>3988</v>
      </c>
      <c r="E1588" s="10" t="s">
        <v>4066</v>
      </c>
      <c r="F1588" s="10"/>
      <c r="G1588" s="10"/>
      <c r="H1588" s="10" t="s">
        <v>4066</v>
      </c>
      <c r="I1588" s="14">
        <v>58831.39031979534</v>
      </c>
      <c r="J1588" s="19">
        <v>0</v>
      </c>
      <c r="K1588" s="19">
        <v>0.75282829323595157</v>
      </c>
      <c r="L1588" s="19">
        <v>0.24717170676404854</v>
      </c>
      <c r="M1588" s="20">
        <v>2</v>
      </c>
      <c r="N1588" s="19">
        <v>0.20970386594785259</v>
      </c>
      <c r="O1588" s="19">
        <v>0</v>
      </c>
      <c r="P1588" s="19">
        <v>0.54312442728809895</v>
      </c>
      <c r="Q1588" s="19">
        <v>5.3320287440527865E-2</v>
      </c>
      <c r="R1588" s="19">
        <v>0.17455551100794725</v>
      </c>
      <c r="S1588" s="19">
        <v>1.9295908315573408E-2</v>
      </c>
      <c r="T1588" s="20">
        <v>21</v>
      </c>
      <c r="U1588" s="17">
        <v>2</v>
      </c>
      <c r="V1588" s="17">
        <v>34</v>
      </c>
    </row>
    <row r="1589" spans="1:22" x14ac:dyDescent="0.2">
      <c r="A1589" t="s">
        <v>4067</v>
      </c>
      <c r="B1589" t="s">
        <v>2719</v>
      </c>
      <c r="C1589" t="s">
        <v>2720</v>
      </c>
      <c r="D1589" t="s">
        <v>3988</v>
      </c>
      <c r="E1589" s="10" t="s">
        <v>4068</v>
      </c>
      <c r="F1589" s="10"/>
      <c r="G1589" s="10"/>
      <c r="H1589" s="10" t="s">
        <v>4068</v>
      </c>
      <c r="I1589" s="14">
        <v>75896.269010603442</v>
      </c>
      <c r="J1589" s="19">
        <v>0.43574980003050051</v>
      </c>
      <c r="K1589" s="19">
        <v>0.50644347427928282</v>
      </c>
      <c r="L1589" s="19">
        <v>5.7806725690216477E-2</v>
      </c>
      <c r="M1589" s="20">
        <v>2</v>
      </c>
      <c r="N1589" s="19">
        <v>0</v>
      </c>
      <c r="O1589" s="19">
        <v>0</v>
      </c>
      <c r="P1589" s="19">
        <v>0.50644347427928282</v>
      </c>
      <c r="Q1589" s="19">
        <v>0</v>
      </c>
      <c r="R1589" s="19">
        <v>5.6096957174582233E-2</v>
      </c>
      <c r="S1589" s="19">
        <v>1.709768515634241E-3</v>
      </c>
      <c r="T1589" s="20">
        <v>21</v>
      </c>
      <c r="U1589" s="17">
        <v>2</v>
      </c>
      <c r="V1589" s="17">
        <v>34</v>
      </c>
    </row>
    <row r="1590" spans="1:22" x14ac:dyDescent="0.2">
      <c r="A1590" t="s">
        <v>4069</v>
      </c>
      <c r="B1590" t="s">
        <v>2719</v>
      </c>
      <c r="C1590" t="s">
        <v>2720</v>
      </c>
      <c r="D1590" t="s">
        <v>3988</v>
      </c>
      <c r="E1590" s="10" t="s">
        <v>4070</v>
      </c>
      <c r="F1590" s="10"/>
      <c r="G1590" s="10"/>
      <c r="H1590" s="10" t="s">
        <v>4070</v>
      </c>
      <c r="I1590" s="14">
        <v>27007.487973351032</v>
      </c>
      <c r="J1590" s="19">
        <v>0</v>
      </c>
      <c r="K1590" s="19">
        <v>0.84369628101400473</v>
      </c>
      <c r="L1590" s="19">
        <v>0.15630371898599524</v>
      </c>
      <c r="M1590" s="20">
        <v>2</v>
      </c>
      <c r="N1590" s="19">
        <v>0</v>
      </c>
      <c r="O1590" s="19">
        <v>0</v>
      </c>
      <c r="P1590" s="19">
        <v>0.84369628101400473</v>
      </c>
      <c r="Q1590" s="19">
        <v>0</v>
      </c>
      <c r="R1590" s="19">
        <v>0.14702159454951103</v>
      </c>
      <c r="S1590" s="19">
        <v>9.2821244364842247E-3</v>
      </c>
      <c r="T1590" s="20">
        <v>21</v>
      </c>
      <c r="U1590" s="17">
        <v>2</v>
      </c>
      <c r="V1590" s="17">
        <v>34</v>
      </c>
    </row>
    <row r="1591" spans="1:22" x14ac:dyDescent="0.2">
      <c r="A1591" t="s">
        <v>4071</v>
      </c>
      <c r="B1591" t="s">
        <v>2719</v>
      </c>
      <c r="C1591" t="s">
        <v>2720</v>
      </c>
      <c r="D1591" t="s">
        <v>3988</v>
      </c>
      <c r="E1591" s="10" t="s">
        <v>4072</v>
      </c>
      <c r="F1591" s="10"/>
      <c r="G1591" s="10"/>
      <c r="H1591" s="10" t="s">
        <v>4072</v>
      </c>
      <c r="I1591" s="14">
        <v>31972.856233669445</v>
      </c>
      <c r="J1591" s="19">
        <v>0</v>
      </c>
      <c r="K1591" s="19">
        <v>0.97850910060012974</v>
      </c>
      <c r="L1591" s="19">
        <v>2.1490899399870242E-2</v>
      </c>
      <c r="M1591" s="20">
        <v>2</v>
      </c>
      <c r="N1591" s="19">
        <v>0.35116957117803399</v>
      </c>
      <c r="O1591" s="19">
        <v>0</v>
      </c>
      <c r="P1591" s="19">
        <v>0.6273395294220957</v>
      </c>
      <c r="Q1591" s="19">
        <v>0</v>
      </c>
      <c r="R1591" s="19">
        <v>2.0513497476037736E-2</v>
      </c>
      <c r="S1591" s="19">
        <v>9.7740192383250738E-4</v>
      </c>
      <c r="T1591" s="20">
        <v>21</v>
      </c>
      <c r="U1591" s="17">
        <v>2</v>
      </c>
      <c r="V1591" s="17">
        <v>34</v>
      </c>
    </row>
    <row r="1592" spans="1:22" x14ac:dyDescent="0.2">
      <c r="A1592" t="s">
        <v>4073</v>
      </c>
      <c r="B1592" t="s">
        <v>2719</v>
      </c>
      <c r="C1592" t="s">
        <v>2720</v>
      </c>
      <c r="D1592" t="s">
        <v>4074</v>
      </c>
      <c r="E1592" s="10" t="s">
        <v>3146</v>
      </c>
      <c r="F1592" s="10"/>
      <c r="G1592" s="10"/>
      <c r="H1592" s="10" t="s">
        <v>3146</v>
      </c>
      <c r="I1592" s="14">
        <v>81355.063119696453</v>
      </c>
      <c r="J1592" s="19">
        <v>0</v>
      </c>
      <c r="K1592" s="19">
        <v>0.83386507605636417</v>
      </c>
      <c r="L1592" s="19">
        <v>0.16613492394363583</v>
      </c>
      <c r="M1592" s="20">
        <v>2</v>
      </c>
      <c r="N1592" s="19">
        <v>0.25558319784245492</v>
      </c>
      <c r="O1592" s="19">
        <v>4.3246285195701947E-3</v>
      </c>
      <c r="P1592" s="19">
        <v>0.57395724969433903</v>
      </c>
      <c r="Q1592" s="19">
        <v>4.8610902252985554E-2</v>
      </c>
      <c r="R1592" s="19">
        <v>0.1081781628946526</v>
      </c>
      <c r="S1592" s="19">
        <v>9.3458587959976882E-3</v>
      </c>
      <c r="T1592" s="20">
        <v>21</v>
      </c>
      <c r="U1592" s="17">
        <v>2</v>
      </c>
      <c r="V1592" s="17">
        <v>34</v>
      </c>
    </row>
    <row r="1593" spans="1:22" x14ac:dyDescent="0.2">
      <c r="A1593" t="s">
        <v>4075</v>
      </c>
      <c r="B1593" t="s">
        <v>2719</v>
      </c>
      <c r="C1593" t="s">
        <v>2720</v>
      </c>
      <c r="D1593" t="s">
        <v>4074</v>
      </c>
      <c r="E1593" s="10" t="s">
        <v>4076</v>
      </c>
      <c r="F1593" s="10"/>
      <c r="G1593" s="10"/>
      <c r="H1593" s="10" t="s">
        <v>4076</v>
      </c>
      <c r="I1593" s="14">
        <v>47803.492183307884</v>
      </c>
      <c r="J1593" s="19">
        <v>0</v>
      </c>
      <c r="K1593" s="19">
        <v>0.50327768584293053</v>
      </c>
      <c r="L1593" s="19">
        <v>0.49672231415706952</v>
      </c>
      <c r="M1593" s="20">
        <v>2</v>
      </c>
      <c r="N1593" s="19">
        <v>7.3456312338822993E-2</v>
      </c>
      <c r="O1593" s="19">
        <v>0</v>
      </c>
      <c r="P1593" s="19">
        <v>0.42982137350410748</v>
      </c>
      <c r="Q1593" s="19">
        <v>0.27124881603245071</v>
      </c>
      <c r="R1593" s="19">
        <v>0.21070291959262505</v>
      </c>
      <c r="S1593" s="19">
        <v>1.4770578531993752E-2</v>
      </c>
      <c r="T1593" s="20">
        <v>23</v>
      </c>
      <c r="U1593" s="17">
        <v>2</v>
      </c>
      <c r="V1593" s="17">
        <v>34</v>
      </c>
    </row>
    <row r="1594" spans="1:22" x14ac:dyDescent="0.2">
      <c r="A1594" t="s">
        <v>4077</v>
      </c>
      <c r="B1594" t="s">
        <v>2719</v>
      </c>
      <c r="C1594" t="s">
        <v>2720</v>
      </c>
      <c r="D1594" t="s">
        <v>4074</v>
      </c>
      <c r="E1594" s="10" t="s">
        <v>2956</v>
      </c>
      <c r="F1594" s="10"/>
      <c r="G1594" s="10"/>
      <c r="H1594" s="10" t="s">
        <v>2956</v>
      </c>
      <c r="I1594" s="14">
        <v>41229.425895817578</v>
      </c>
      <c r="J1594" s="19">
        <v>0</v>
      </c>
      <c r="K1594" s="19">
        <v>0.85701181841440999</v>
      </c>
      <c r="L1594" s="19">
        <v>0.14298818158559004</v>
      </c>
      <c r="M1594" s="20">
        <v>2</v>
      </c>
      <c r="N1594" s="19">
        <v>0.15534227801546049</v>
      </c>
      <c r="O1594" s="19">
        <v>0.14292078998159607</v>
      </c>
      <c r="P1594" s="19">
        <v>0.55874875041735339</v>
      </c>
      <c r="Q1594" s="19">
        <v>8.7919704215341968E-2</v>
      </c>
      <c r="R1594" s="19">
        <v>4.8875434844702782E-2</v>
      </c>
      <c r="S1594" s="19">
        <v>6.1930425255452793E-3</v>
      </c>
      <c r="T1594" s="20">
        <v>21</v>
      </c>
      <c r="U1594" s="17">
        <v>2</v>
      </c>
      <c r="V1594" s="17">
        <v>34</v>
      </c>
    </row>
    <row r="1595" spans="1:22" x14ac:dyDescent="0.2">
      <c r="A1595" t="s">
        <v>4078</v>
      </c>
      <c r="B1595" t="s">
        <v>2719</v>
      </c>
      <c r="C1595" t="s">
        <v>2720</v>
      </c>
      <c r="D1595" t="s">
        <v>4074</v>
      </c>
      <c r="E1595" s="10" t="s">
        <v>4079</v>
      </c>
      <c r="F1595" s="10"/>
      <c r="G1595" s="10"/>
      <c r="H1595" s="10" t="s">
        <v>4079</v>
      </c>
      <c r="I1595" s="14">
        <v>35587.590029460145</v>
      </c>
      <c r="J1595" s="19">
        <v>0</v>
      </c>
      <c r="K1595" s="19">
        <v>0.50344890108103413</v>
      </c>
      <c r="L1595" s="19">
        <v>0.49655109891896593</v>
      </c>
      <c r="M1595" s="20">
        <v>2</v>
      </c>
      <c r="N1595" s="19">
        <v>2.7586475576283822E-5</v>
      </c>
      <c r="O1595" s="19">
        <v>0</v>
      </c>
      <c r="P1595" s="19">
        <v>0.5034213146054578</v>
      </c>
      <c r="Q1595" s="19">
        <v>0.15056794831317505</v>
      </c>
      <c r="R1595" s="19">
        <v>0.29320581224406367</v>
      </c>
      <c r="S1595" s="19">
        <v>5.277733836172719E-2</v>
      </c>
      <c r="T1595" s="20">
        <v>21</v>
      </c>
      <c r="U1595" s="17">
        <v>2</v>
      </c>
      <c r="V1595" s="17">
        <v>34</v>
      </c>
    </row>
    <row r="1596" spans="1:22" x14ac:dyDescent="0.2">
      <c r="A1596" t="s">
        <v>4080</v>
      </c>
      <c r="B1596" t="s">
        <v>2719</v>
      </c>
      <c r="C1596" t="s">
        <v>2720</v>
      </c>
      <c r="D1596" t="s">
        <v>4074</v>
      </c>
      <c r="E1596" s="10" t="s">
        <v>3893</v>
      </c>
      <c r="F1596" s="10"/>
      <c r="G1596" s="10"/>
      <c r="H1596" s="10" t="s">
        <v>3893</v>
      </c>
      <c r="I1596" s="14">
        <v>28537.108803967945</v>
      </c>
      <c r="J1596" s="19">
        <v>0</v>
      </c>
      <c r="K1596" s="19">
        <v>0.9093211835830628</v>
      </c>
      <c r="L1596" s="19">
        <v>9.0678816416937341E-2</v>
      </c>
      <c r="M1596" s="20">
        <v>2</v>
      </c>
      <c r="N1596" s="19">
        <v>0.20754926044711883</v>
      </c>
      <c r="O1596" s="19">
        <v>0</v>
      </c>
      <c r="P1596" s="19">
        <v>0.70177192313594383</v>
      </c>
      <c r="Q1596" s="19">
        <v>0</v>
      </c>
      <c r="R1596" s="19">
        <v>8.1001339437021258E-2</v>
      </c>
      <c r="S1596" s="19">
        <v>9.6774769799160849E-3</v>
      </c>
      <c r="T1596" s="20">
        <v>21</v>
      </c>
      <c r="U1596" s="17">
        <v>2</v>
      </c>
      <c r="V1596" s="17">
        <v>34</v>
      </c>
    </row>
    <row r="1597" spans="1:22" x14ac:dyDescent="0.2">
      <c r="A1597" t="s">
        <v>4081</v>
      </c>
      <c r="B1597" t="s">
        <v>2719</v>
      </c>
      <c r="C1597" t="s">
        <v>2720</v>
      </c>
      <c r="D1597" t="s">
        <v>4074</v>
      </c>
      <c r="E1597" s="10" t="s">
        <v>4082</v>
      </c>
      <c r="F1597" s="10"/>
      <c r="G1597" s="10"/>
      <c r="H1597" s="10" t="s">
        <v>4082</v>
      </c>
      <c r="I1597" s="14">
        <v>57077.28043839219</v>
      </c>
      <c r="J1597" s="19">
        <v>0</v>
      </c>
      <c r="K1597" s="19">
        <v>0.91383118626642312</v>
      </c>
      <c r="L1597" s="19">
        <v>8.6168813733576849E-2</v>
      </c>
      <c r="M1597" s="20">
        <v>2</v>
      </c>
      <c r="N1597" s="19">
        <v>0.47803161842689634</v>
      </c>
      <c r="O1597" s="19">
        <v>3.7705012247314447E-3</v>
      </c>
      <c r="P1597" s="19">
        <v>0.43202906661479534</v>
      </c>
      <c r="Q1597" s="19">
        <v>5.6418463034501208E-3</v>
      </c>
      <c r="R1597" s="19">
        <v>6.9589292271474507E-2</v>
      </c>
      <c r="S1597" s="19">
        <v>1.0937675158652233E-2</v>
      </c>
      <c r="T1597" s="20">
        <v>23</v>
      </c>
      <c r="U1597" s="17">
        <v>2</v>
      </c>
      <c r="V1597" s="17">
        <v>34</v>
      </c>
    </row>
    <row r="1598" spans="1:22" x14ac:dyDescent="0.2">
      <c r="A1598" t="s">
        <v>4083</v>
      </c>
      <c r="B1598" t="s">
        <v>2719</v>
      </c>
      <c r="C1598" t="s">
        <v>2720</v>
      </c>
      <c r="D1598" t="s">
        <v>4074</v>
      </c>
      <c r="E1598" s="10" t="s">
        <v>4009</v>
      </c>
      <c r="F1598" s="10"/>
      <c r="G1598" s="10"/>
      <c r="H1598" s="10" t="s">
        <v>4009</v>
      </c>
      <c r="I1598" s="14">
        <v>48690.955632551108</v>
      </c>
      <c r="J1598" s="19">
        <v>0</v>
      </c>
      <c r="K1598" s="19">
        <v>0.93435933464644605</v>
      </c>
      <c r="L1598" s="19">
        <v>6.5640665353553909E-2</v>
      </c>
      <c r="M1598" s="20">
        <v>2</v>
      </c>
      <c r="N1598" s="19">
        <v>0.42688174612267699</v>
      </c>
      <c r="O1598" s="19">
        <v>0</v>
      </c>
      <c r="P1598" s="19">
        <v>0.50747758852376901</v>
      </c>
      <c r="Q1598" s="19">
        <v>1.5350366122676727E-2</v>
      </c>
      <c r="R1598" s="19">
        <v>4.6524571686955889E-2</v>
      </c>
      <c r="S1598" s="19">
        <v>3.765727543921293E-3</v>
      </c>
      <c r="T1598" s="20">
        <v>21</v>
      </c>
      <c r="U1598" s="17">
        <v>2</v>
      </c>
      <c r="V1598" s="17">
        <v>34</v>
      </c>
    </row>
    <row r="1599" spans="1:22" x14ac:dyDescent="0.2">
      <c r="A1599" t="s">
        <v>4084</v>
      </c>
      <c r="B1599" t="s">
        <v>2719</v>
      </c>
      <c r="C1599" t="s">
        <v>2720</v>
      </c>
      <c r="D1599" t="s">
        <v>4074</v>
      </c>
      <c r="E1599" s="10" t="s">
        <v>4085</v>
      </c>
      <c r="F1599" s="10"/>
      <c r="G1599" s="10"/>
      <c r="H1599" s="10" t="s">
        <v>4085</v>
      </c>
      <c r="I1599" s="14">
        <v>156183.25224969117</v>
      </c>
      <c r="J1599" s="19">
        <v>0</v>
      </c>
      <c r="K1599" s="19">
        <v>0.8441723272438959</v>
      </c>
      <c r="L1599" s="19">
        <v>0.15582767275610412</v>
      </c>
      <c r="M1599" s="20">
        <v>2</v>
      </c>
      <c r="N1599" s="19">
        <v>0.30022847406144937</v>
      </c>
      <c r="O1599" s="19">
        <v>3.3896983015177386E-2</v>
      </c>
      <c r="P1599" s="19">
        <v>0.51004687016726902</v>
      </c>
      <c r="Q1599" s="19">
        <v>7.3352330673920926E-2</v>
      </c>
      <c r="R1599" s="19">
        <v>7.550364971342885E-2</v>
      </c>
      <c r="S1599" s="19">
        <v>6.9716923687543472E-3</v>
      </c>
      <c r="T1599" s="20">
        <v>21</v>
      </c>
      <c r="U1599" s="17">
        <v>2</v>
      </c>
      <c r="V1599" s="17">
        <v>34</v>
      </c>
    </row>
    <row r="1600" spans="1:22" x14ac:dyDescent="0.2">
      <c r="A1600" t="s">
        <v>4086</v>
      </c>
      <c r="B1600" t="s">
        <v>2719</v>
      </c>
      <c r="C1600" t="s">
        <v>2720</v>
      </c>
      <c r="D1600" t="s">
        <v>4074</v>
      </c>
      <c r="E1600" s="10" t="s">
        <v>4087</v>
      </c>
      <c r="F1600" s="10"/>
      <c r="G1600" s="10"/>
      <c r="H1600" s="10" t="s">
        <v>4087</v>
      </c>
      <c r="I1600" s="14">
        <v>52361.262756392942</v>
      </c>
      <c r="J1600" s="19">
        <v>1.8241439975084213E-2</v>
      </c>
      <c r="K1600" s="19">
        <v>0.77117442209324816</v>
      </c>
      <c r="L1600" s="19">
        <v>0.21058413793166761</v>
      </c>
      <c r="M1600" s="20">
        <v>2</v>
      </c>
      <c r="N1600" s="19">
        <v>0.36757581516645293</v>
      </c>
      <c r="O1600" s="19">
        <v>0.15616327026196239</v>
      </c>
      <c r="P1600" s="19">
        <v>0.24743533666483286</v>
      </c>
      <c r="Q1600" s="19">
        <v>0.10297151193559032</v>
      </c>
      <c r="R1600" s="19">
        <v>9.4743813889296757E-2</v>
      </c>
      <c r="S1600" s="19">
        <v>1.2868812106780536E-2</v>
      </c>
      <c r="T1600" s="20">
        <v>23</v>
      </c>
      <c r="U1600" s="17">
        <v>2</v>
      </c>
      <c r="V1600" s="17">
        <v>34</v>
      </c>
    </row>
    <row r="1601" spans="1:22" x14ac:dyDescent="0.2">
      <c r="A1601" t="s">
        <v>4088</v>
      </c>
      <c r="B1601" t="s">
        <v>2719</v>
      </c>
      <c r="C1601" t="s">
        <v>2720</v>
      </c>
      <c r="D1601" t="s">
        <v>4074</v>
      </c>
      <c r="E1601" s="10" t="s">
        <v>4089</v>
      </c>
      <c r="F1601" s="10"/>
      <c r="G1601" s="10"/>
      <c r="H1601" s="10" t="s">
        <v>4089</v>
      </c>
      <c r="I1601" s="14">
        <v>30613.495415070094</v>
      </c>
      <c r="J1601" s="19">
        <v>0</v>
      </c>
      <c r="K1601" s="19">
        <v>0.57172092193780311</v>
      </c>
      <c r="L1601" s="19">
        <v>0.42827907806219684</v>
      </c>
      <c r="M1601" s="20">
        <v>2</v>
      </c>
      <c r="N1601" s="19">
        <v>1.3415750464263449E-4</v>
      </c>
      <c r="O1601" s="19">
        <v>0</v>
      </c>
      <c r="P1601" s="19">
        <v>0.57158676443316048</v>
      </c>
      <c r="Q1601" s="19">
        <v>0.24729011133114476</v>
      </c>
      <c r="R1601" s="19">
        <v>0.1670298030289343</v>
      </c>
      <c r="S1601" s="19">
        <v>1.39591637021178E-2</v>
      </c>
      <c r="T1601" s="20">
        <v>21</v>
      </c>
      <c r="U1601" s="17">
        <v>2</v>
      </c>
      <c r="V1601" s="17">
        <v>34</v>
      </c>
    </row>
    <row r="1602" spans="1:22" x14ac:dyDescent="0.2">
      <c r="A1602" t="s">
        <v>4090</v>
      </c>
      <c r="B1602" t="s">
        <v>2719</v>
      </c>
      <c r="C1602" t="s">
        <v>2720</v>
      </c>
      <c r="D1602" t="s">
        <v>4074</v>
      </c>
      <c r="E1602" s="10" t="s">
        <v>4091</v>
      </c>
      <c r="F1602" s="10"/>
      <c r="G1602" s="10"/>
      <c r="H1602" s="10" t="s">
        <v>4091</v>
      </c>
      <c r="I1602" s="14">
        <v>7529.2774414066225</v>
      </c>
      <c r="J1602" s="19">
        <v>0</v>
      </c>
      <c r="K1602" s="19">
        <v>0</v>
      </c>
      <c r="L1602" s="19">
        <v>1</v>
      </c>
      <c r="M1602" s="20">
        <v>1</v>
      </c>
      <c r="N1602" s="19">
        <v>0</v>
      </c>
      <c r="O1602" s="19">
        <v>0</v>
      </c>
      <c r="P1602" s="19">
        <v>0</v>
      </c>
      <c r="Q1602" s="19">
        <v>0.67978025884156967</v>
      </c>
      <c r="R1602" s="19">
        <v>0.25050245954809841</v>
      </c>
      <c r="S1602" s="19">
        <v>6.9717281610331916E-2</v>
      </c>
      <c r="T1602" s="20">
        <v>13</v>
      </c>
      <c r="U1602" s="17">
        <v>2</v>
      </c>
      <c r="V1602" s="17">
        <v>34</v>
      </c>
    </row>
    <row r="1603" spans="1:22" x14ac:dyDescent="0.2">
      <c r="A1603" t="s">
        <v>4092</v>
      </c>
      <c r="B1603" t="s">
        <v>2719</v>
      </c>
      <c r="C1603" t="s">
        <v>2720</v>
      </c>
      <c r="D1603" t="s">
        <v>4074</v>
      </c>
      <c r="E1603" s="10" t="s">
        <v>4093</v>
      </c>
      <c r="F1603" s="10"/>
      <c r="G1603" s="10"/>
      <c r="H1603" s="10" t="s">
        <v>4093</v>
      </c>
      <c r="I1603" s="14">
        <v>6544.7341786912866</v>
      </c>
      <c r="J1603" s="19">
        <v>0</v>
      </c>
      <c r="K1603" s="19">
        <v>0</v>
      </c>
      <c r="L1603" s="19">
        <v>1</v>
      </c>
      <c r="M1603" s="20">
        <v>1</v>
      </c>
      <c r="N1603" s="19">
        <v>0</v>
      </c>
      <c r="O1603" s="19">
        <v>0</v>
      </c>
      <c r="P1603" s="19">
        <v>0</v>
      </c>
      <c r="Q1603" s="19">
        <v>0.33814357609484647</v>
      </c>
      <c r="R1603" s="19">
        <v>0.46120097240213359</v>
      </c>
      <c r="S1603" s="19">
        <v>0.20065545150302008</v>
      </c>
      <c r="T1603" s="20">
        <v>12</v>
      </c>
      <c r="U1603" s="17">
        <v>2</v>
      </c>
      <c r="V1603" s="17">
        <v>34</v>
      </c>
    </row>
    <row r="1604" spans="1:22" x14ac:dyDescent="0.2">
      <c r="A1604" t="s">
        <v>4094</v>
      </c>
      <c r="B1604" t="s">
        <v>2719</v>
      </c>
      <c r="C1604" t="s">
        <v>2720</v>
      </c>
      <c r="D1604" t="s">
        <v>4074</v>
      </c>
      <c r="E1604" s="10" t="s">
        <v>4095</v>
      </c>
      <c r="F1604" s="10"/>
      <c r="G1604" s="10"/>
      <c r="H1604" s="10" t="s">
        <v>4095</v>
      </c>
      <c r="I1604" s="14">
        <v>98821.008631316014</v>
      </c>
      <c r="J1604" s="19">
        <v>0</v>
      </c>
      <c r="K1604" s="19">
        <v>0.71253637872167574</v>
      </c>
      <c r="L1604" s="19">
        <v>0.2874636212783242</v>
      </c>
      <c r="M1604" s="20">
        <v>2</v>
      </c>
      <c r="N1604" s="19">
        <v>0.27202428673088619</v>
      </c>
      <c r="O1604" s="19">
        <v>7.6819071307165809E-2</v>
      </c>
      <c r="P1604" s="19">
        <v>0.36369302068362375</v>
      </c>
      <c r="Q1604" s="19">
        <v>8.9964482449217897E-2</v>
      </c>
      <c r="R1604" s="19">
        <v>0.17829502252784388</v>
      </c>
      <c r="S1604" s="19">
        <v>1.9204116301262449E-2</v>
      </c>
      <c r="T1604" s="20">
        <v>23</v>
      </c>
      <c r="U1604" s="17">
        <v>2</v>
      </c>
      <c r="V1604" s="17">
        <v>34</v>
      </c>
    </row>
    <row r="1605" spans="1:22" x14ac:dyDescent="0.2">
      <c r="A1605" t="s">
        <v>4096</v>
      </c>
      <c r="B1605" t="s">
        <v>2719</v>
      </c>
      <c r="C1605" t="s">
        <v>2720</v>
      </c>
      <c r="D1605" t="s">
        <v>4074</v>
      </c>
      <c r="E1605" s="10" t="s">
        <v>4097</v>
      </c>
      <c r="F1605" s="10"/>
      <c r="G1605" s="10"/>
      <c r="H1605" s="10" t="s">
        <v>4097</v>
      </c>
      <c r="I1605" s="14">
        <v>35508.368283058517</v>
      </c>
      <c r="J1605" s="19">
        <v>0</v>
      </c>
      <c r="K1605" s="19">
        <v>0.89255232150964048</v>
      </c>
      <c r="L1605" s="19">
        <v>0.10744767849035951</v>
      </c>
      <c r="M1605" s="20">
        <v>2</v>
      </c>
      <c r="N1605" s="19">
        <v>0.18805872739110399</v>
      </c>
      <c r="O1605" s="19">
        <v>0</v>
      </c>
      <c r="P1605" s="19">
        <v>0.70449359411853651</v>
      </c>
      <c r="Q1605" s="19">
        <v>0</v>
      </c>
      <c r="R1605" s="19">
        <v>9.9487925807470887E-2</v>
      </c>
      <c r="S1605" s="19">
        <v>7.9597526828886368E-3</v>
      </c>
      <c r="T1605" s="20">
        <v>21</v>
      </c>
      <c r="U1605" s="17">
        <v>2</v>
      </c>
      <c r="V1605" s="17">
        <v>34</v>
      </c>
    </row>
    <row r="1606" spans="1:22" x14ac:dyDescent="0.2">
      <c r="A1606" t="s">
        <v>4098</v>
      </c>
      <c r="B1606" t="s">
        <v>2719</v>
      </c>
      <c r="C1606" t="s">
        <v>2720</v>
      </c>
      <c r="D1606" t="s">
        <v>4074</v>
      </c>
      <c r="E1606" s="10" t="s">
        <v>4099</v>
      </c>
      <c r="F1606" s="10"/>
      <c r="G1606" s="10"/>
      <c r="H1606" s="10" t="s">
        <v>4099</v>
      </c>
      <c r="I1606" s="14">
        <v>165436.92173738638</v>
      </c>
      <c r="J1606" s="19">
        <v>0</v>
      </c>
      <c r="K1606" s="19">
        <v>0.85972799636965513</v>
      </c>
      <c r="L1606" s="19">
        <v>0.14027200363034487</v>
      </c>
      <c r="M1606" s="20">
        <v>2</v>
      </c>
      <c r="N1606" s="19">
        <v>0.28448034242008552</v>
      </c>
      <c r="O1606" s="19">
        <v>3.2573000582149091E-2</v>
      </c>
      <c r="P1606" s="19">
        <v>0.5426746533674206</v>
      </c>
      <c r="Q1606" s="19">
        <v>2.3759333266332849E-2</v>
      </c>
      <c r="R1606" s="19">
        <v>0.10769497273999581</v>
      </c>
      <c r="S1606" s="19">
        <v>8.8176976240161974E-3</v>
      </c>
      <c r="T1606" s="20">
        <v>21</v>
      </c>
      <c r="U1606" s="17">
        <v>2</v>
      </c>
      <c r="V1606" s="17">
        <v>34</v>
      </c>
    </row>
    <row r="1607" spans="1:22" x14ac:dyDescent="0.2">
      <c r="A1607" t="s">
        <v>4100</v>
      </c>
      <c r="B1607" t="s">
        <v>2719</v>
      </c>
      <c r="C1607" t="s">
        <v>2720</v>
      </c>
      <c r="D1607" t="s">
        <v>4074</v>
      </c>
      <c r="E1607" s="10" t="s">
        <v>4101</v>
      </c>
      <c r="F1607" s="10"/>
      <c r="G1607" s="10"/>
      <c r="H1607" s="10" t="s">
        <v>4101</v>
      </c>
      <c r="I1607" s="14">
        <v>56462.405072509311</v>
      </c>
      <c r="J1607" s="19">
        <v>0</v>
      </c>
      <c r="K1607" s="19">
        <v>0.57589643991120765</v>
      </c>
      <c r="L1607" s="19">
        <v>0.42410356008879224</v>
      </c>
      <c r="M1607" s="20">
        <v>2</v>
      </c>
      <c r="N1607" s="19">
        <v>8.9617674349633192E-2</v>
      </c>
      <c r="O1607" s="19">
        <v>0.28129409932797961</v>
      </c>
      <c r="P1607" s="19">
        <v>0.2049846662335949</v>
      </c>
      <c r="Q1607" s="19">
        <v>0.15879849252693162</v>
      </c>
      <c r="R1607" s="19">
        <v>0.24479450248995482</v>
      </c>
      <c r="S1607" s="19">
        <v>2.0510565071905826E-2</v>
      </c>
      <c r="T1607" s="20">
        <v>22</v>
      </c>
      <c r="U1607" s="17">
        <v>2</v>
      </c>
      <c r="V1607" s="17">
        <v>34</v>
      </c>
    </row>
    <row r="1608" spans="1:22" x14ac:dyDescent="0.2">
      <c r="A1608" t="s">
        <v>4102</v>
      </c>
      <c r="B1608" t="s">
        <v>2719</v>
      </c>
      <c r="C1608" t="s">
        <v>2720</v>
      </c>
      <c r="D1608" t="s">
        <v>4074</v>
      </c>
      <c r="E1608" s="10" t="s">
        <v>2950</v>
      </c>
      <c r="F1608" s="10"/>
      <c r="G1608" s="10"/>
      <c r="H1608" s="10" t="s">
        <v>2950</v>
      </c>
      <c r="I1608" s="14">
        <v>24315.112770434469</v>
      </c>
      <c r="J1608" s="19">
        <v>0</v>
      </c>
      <c r="K1608" s="19">
        <v>0.93702383020644553</v>
      </c>
      <c r="L1608" s="19">
        <v>6.2976169793554457E-2</v>
      </c>
      <c r="M1608" s="20">
        <v>2</v>
      </c>
      <c r="N1608" s="19">
        <v>9.3419687014769574E-4</v>
      </c>
      <c r="O1608" s="19">
        <v>0</v>
      </c>
      <c r="P1608" s="19">
        <v>0.9360896333362978</v>
      </c>
      <c r="Q1608" s="19">
        <v>0</v>
      </c>
      <c r="R1608" s="19">
        <v>5.4885258519169998E-2</v>
      </c>
      <c r="S1608" s="19">
        <v>8.0909112743844606E-3</v>
      </c>
      <c r="T1608" s="20">
        <v>21</v>
      </c>
      <c r="U1608" s="17">
        <v>2</v>
      </c>
      <c r="V1608" s="17">
        <v>34</v>
      </c>
    </row>
    <row r="1609" spans="1:22" x14ac:dyDescent="0.2">
      <c r="A1609" t="s">
        <v>4103</v>
      </c>
      <c r="B1609" t="s">
        <v>2719</v>
      </c>
      <c r="C1609" t="s">
        <v>2720</v>
      </c>
      <c r="D1609" t="s">
        <v>4074</v>
      </c>
      <c r="E1609" s="10" t="s">
        <v>4104</v>
      </c>
      <c r="F1609" s="10"/>
      <c r="G1609" s="10"/>
      <c r="H1609" s="10" t="s">
        <v>4104</v>
      </c>
      <c r="I1609" s="14">
        <v>3799.2863796283491</v>
      </c>
      <c r="J1609" s="19">
        <v>0</v>
      </c>
      <c r="K1609" s="19">
        <v>0</v>
      </c>
      <c r="L1609" s="19">
        <v>1</v>
      </c>
      <c r="M1609" s="20">
        <v>1</v>
      </c>
      <c r="N1609" s="19">
        <v>0</v>
      </c>
      <c r="O1609" s="19">
        <v>0</v>
      </c>
      <c r="P1609" s="19">
        <v>0</v>
      </c>
      <c r="Q1609" s="19">
        <v>0.63213376774518837</v>
      </c>
      <c r="R1609" s="19">
        <v>0.32153091764069142</v>
      </c>
      <c r="S1609" s="19">
        <v>4.6335314614120243E-2</v>
      </c>
      <c r="T1609" s="20">
        <v>13</v>
      </c>
      <c r="U1609" s="17">
        <v>2</v>
      </c>
      <c r="V1609" s="17">
        <v>34</v>
      </c>
    </row>
    <row r="1610" spans="1:22" x14ac:dyDescent="0.2">
      <c r="A1610" t="s">
        <v>4105</v>
      </c>
      <c r="B1610" t="s">
        <v>2719</v>
      </c>
      <c r="C1610" t="s">
        <v>2720</v>
      </c>
      <c r="D1610" t="s">
        <v>4074</v>
      </c>
      <c r="E1610" s="10" t="s">
        <v>4106</v>
      </c>
      <c r="F1610" s="10"/>
      <c r="G1610" s="10"/>
      <c r="H1610" s="10" t="s">
        <v>4106</v>
      </c>
      <c r="I1610" s="14">
        <v>35201.924625335261</v>
      </c>
      <c r="J1610" s="19">
        <v>0</v>
      </c>
      <c r="K1610" s="19">
        <v>0.80213290844112972</v>
      </c>
      <c r="L1610" s="19">
        <v>0.1978670915588702</v>
      </c>
      <c r="M1610" s="20">
        <v>2</v>
      </c>
      <c r="N1610" s="19">
        <v>0</v>
      </c>
      <c r="O1610" s="19">
        <v>0.18633405475499823</v>
      </c>
      <c r="P1610" s="19">
        <v>0.61579885368613152</v>
      </c>
      <c r="Q1610" s="19">
        <v>6.9802144529110238E-2</v>
      </c>
      <c r="R1610" s="19">
        <v>0.11074107202178993</v>
      </c>
      <c r="S1610" s="19">
        <v>1.7323875007970061E-2</v>
      </c>
      <c r="T1610" s="20">
        <v>21</v>
      </c>
      <c r="U1610" s="17">
        <v>2</v>
      </c>
      <c r="V1610" s="17">
        <v>34</v>
      </c>
    </row>
    <row r="1611" spans="1:22" x14ac:dyDescent="0.2">
      <c r="A1611" t="s">
        <v>4107</v>
      </c>
      <c r="B1611" t="s">
        <v>2719</v>
      </c>
      <c r="C1611" t="s">
        <v>2720</v>
      </c>
      <c r="D1611" t="s">
        <v>4074</v>
      </c>
      <c r="E1611" s="10" t="s">
        <v>4108</v>
      </c>
      <c r="F1611" s="10"/>
      <c r="G1611" s="10"/>
      <c r="H1611" s="10" t="s">
        <v>4108</v>
      </c>
      <c r="I1611" s="14">
        <v>37199.061058088206</v>
      </c>
      <c r="J1611" s="19">
        <v>0</v>
      </c>
      <c r="K1611" s="19">
        <v>0.64703106468543103</v>
      </c>
      <c r="L1611" s="19">
        <v>0.35296893531456885</v>
      </c>
      <c r="M1611" s="20">
        <v>2</v>
      </c>
      <c r="N1611" s="19">
        <v>4.4678571316736269E-2</v>
      </c>
      <c r="O1611" s="19">
        <v>0</v>
      </c>
      <c r="P1611" s="19">
        <v>0.60235249336869479</v>
      </c>
      <c r="Q1611" s="19">
        <v>0.2822644905864431</v>
      </c>
      <c r="R1611" s="19">
        <v>6.4173730179821822E-2</v>
      </c>
      <c r="S1611" s="19">
        <v>6.5307145483039942E-3</v>
      </c>
      <c r="T1611" s="20">
        <v>21</v>
      </c>
      <c r="U1611" s="17">
        <v>2</v>
      </c>
      <c r="V1611" s="17">
        <v>34</v>
      </c>
    </row>
    <row r="1612" spans="1:22" x14ac:dyDescent="0.2">
      <c r="A1612" t="s">
        <v>4109</v>
      </c>
      <c r="B1612" t="s">
        <v>2719</v>
      </c>
      <c r="C1612" t="s">
        <v>2720</v>
      </c>
      <c r="D1612" t="s">
        <v>4074</v>
      </c>
      <c r="E1612" s="10" t="s">
        <v>4110</v>
      </c>
      <c r="F1612" s="10"/>
      <c r="G1612" s="10"/>
      <c r="H1612" s="10" t="s">
        <v>4110</v>
      </c>
      <c r="I1612" s="14">
        <v>18849.63040011283</v>
      </c>
      <c r="J1612" s="19">
        <v>0</v>
      </c>
      <c r="K1612" s="19">
        <v>0</v>
      </c>
      <c r="L1612" s="19">
        <v>1</v>
      </c>
      <c r="M1612" s="20">
        <v>1</v>
      </c>
      <c r="N1612" s="19">
        <v>0</v>
      </c>
      <c r="O1612" s="19">
        <v>0</v>
      </c>
      <c r="P1612" s="19">
        <v>0</v>
      </c>
      <c r="Q1612" s="19">
        <v>0.47471610021360289</v>
      </c>
      <c r="R1612" s="19">
        <v>0.41318460907030896</v>
      </c>
      <c r="S1612" s="19">
        <v>0.11209929071608817</v>
      </c>
      <c r="T1612" s="20">
        <v>13</v>
      </c>
      <c r="U1612" s="17">
        <v>2</v>
      </c>
      <c r="V1612" s="17">
        <v>34</v>
      </c>
    </row>
    <row r="1613" spans="1:22" x14ac:dyDescent="0.2">
      <c r="A1613" t="s">
        <v>4111</v>
      </c>
      <c r="B1613" t="s">
        <v>2719</v>
      </c>
      <c r="C1613" t="s">
        <v>2720</v>
      </c>
      <c r="D1613" t="s">
        <v>4074</v>
      </c>
      <c r="E1613" s="10" t="s">
        <v>3270</v>
      </c>
      <c r="F1613" s="10"/>
      <c r="G1613" s="10"/>
      <c r="H1613" s="10" t="s">
        <v>3270</v>
      </c>
      <c r="I1613" s="14">
        <v>32534.793222344484</v>
      </c>
      <c r="J1613" s="19">
        <v>0</v>
      </c>
      <c r="K1613" s="19">
        <v>0.39940341092357062</v>
      </c>
      <c r="L1613" s="19">
        <v>0.60059658907642921</v>
      </c>
      <c r="M1613" s="20">
        <v>1</v>
      </c>
      <c r="N1613" s="19">
        <v>0</v>
      </c>
      <c r="O1613" s="19">
        <v>0.23416945901213315</v>
      </c>
      <c r="P1613" s="19">
        <v>0.16523395191143753</v>
      </c>
      <c r="Q1613" s="19">
        <v>0.43933619231600324</v>
      </c>
      <c r="R1613" s="19">
        <v>0.13053621952175892</v>
      </c>
      <c r="S1613" s="19">
        <v>3.0724177238667036E-2</v>
      </c>
      <c r="T1613" s="20">
        <v>13</v>
      </c>
      <c r="U1613" s="17">
        <v>2</v>
      </c>
      <c r="V1613" s="17">
        <v>34</v>
      </c>
    </row>
    <row r="1614" spans="1:22" x14ac:dyDescent="0.2">
      <c r="A1614" t="s">
        <v>4112</v>
      </c>
      <c r="B1614" t="s">
        <v>2719</v>
      </c>
      <c r="C1614" t="s">
        <v>2720</v>
      </c>
      <c r="D1614" t="s">
        <v>4074</v>
      </c>
      <c r="E1614" s="10" t="s">
        <v>3956</v>
      </c>
      <c r="F1614" s="10"/>
      <c r="G1614" s="10"/>
      <c r="H1614" s="10" t="s">
        <v>3956</v>
      </c>
      <c r="I1614" s="14">
        <v>27911.073894056957</v>
      </c>
      <c r="J1614" s="19">
        <v>0</v>
      </c>
      <c r="K1614" s="19">
        <v>0.51805980119846684</v>
      </c>
      <c r="L1614" s="19">
        <v>0.4819401988015331</v>
      </c>
      <c r="M1614" s="20">
        <v>2</v>
      </c>
      <c r="N1614" s="19">
        <v>8.6508465165827012E-2</v>
      </c>
      <c r="O1614" s="19">
        <v>0</v>
      </c>
      <c r="P1614" s="19">
        <v>0.43155133603263979</v>
      </c>
      <c r="Q1614" s="19">
        <v>0.2821119491957696</v>
      </c>
      <c r="R1614" s="19">
        <v>0.17986171424961458</v>
      </c>
      <c r="S1614" s="19">
        <v>1.9966535356148948E-2</v>
      </c>
      <c r="T1614" s="20">
        <v>23</v>
      </c>
      <c r="U1614" s="17">
        <v>2</v>
      </c>
      <c r="V1614" s="17">
        <v>34</v>
      </c>
    </row>
    <row r="1615" spans="1:22" x14ac:dyDescent="0.2">
      <c r="A1615" t="s">
        <v>4113</v>
      </c>
      <c r="B1615" t="s">
        <v>2719</v>
      </c>
      <c r="C1615" t="s">
        <v>2720</v>
      </c>
      <c r="D1615" t="s">
        <v>4074</v>
      </c>
      <c r="E1615" s="10" t="s">
        <v>4114</v>
      </c>
      <c r="F1615" s="10"/>
      <c r="G1615" s="10"/>
      <c r="H1615" s="10" t="s">
        <v>4114</v>
      </c>
      <c r="I1615" s="14">
        <v>65579.613008109387</v>
      </c>
      <c r="J1615" s="19">
        <v>0</v>
      </c>
      <c r="K1615" s="19">
        <v>0.95371007184919965</v>
      </c>
      <c r="L1615" s="19">
        <v>4.6289928150800325E-2</v>
      </c>
      <c r="M1615" s="20">
        <v>2</v>
      </c>
      <c r="N1615" s="19">
        <v>0.62706880910291141</v>
      </c>
      <c r="O1615" s="19">
        <v>7.2972632337457044E-2</v>
      </c>
      <c r="P1615" s="19">
        <v>0.2536686304088312</v>
      </c>
      <c r="Q1615" s="19">
        <v>0</v>
      </c>
      <c r="R1615" s="19">
        <v>4.0031508858988457E-2</v>
      </c>
      <c r="S1615" s="19">
        <v>6.2584192918118597E-3</v>
      </c>
      <c r="T1615" s="20">
        <v>23</v>
      </c>
      <c r="U1615" s="17">
        <v>2</v>
      </c>
      <c r="V1615" s="17">
        <v>34</v>
      </c>
    </row>
    <row r="1616" spans="1:22" x14ac:dyDescent="0.2">
      <c r="A1616" t="s">
        <v>4115</v>
      </c>
      <c r="B1616" t="s">
        <v>2719</v>
      </c>
      <c r="C1616" t="s">
        <v>2720</v>
      </c>
      <c r="D1616" t="s">
        <v>4074</v>
      </c>
      <c r="E1616" s="10" t="s">
        <v>4116</v>
      </c>
      <c r="F1616" s="10"/>
      <c r="G1616" s="10"/>
      <c r="H1616" s="10" t="s">
        <v>4116</v>
      </c>
      <c r="I1616" s="14">
        <v>30027.924028442703</v>
      </c>
      <c r="J1616" s="19">
        <v>0</v>
      </c>
      <c r="K1616" s="19">
        <v>0.93446556732666786</v>
      </c>
      <c r="L1616" s="19">
        <v>6.5534432673332296E-2</v>
      </c>
      <c r="M1616" s="20">
        <v>2</v>
      </c>
      <c r="N1616" s="19">
        <v>0.36983127394855908</v>
      </c>
      <c r="O1616" s="19">
        <v>0</v>
      </c>
      <c r="P1616" s="19">
        <v>0.56463429337810878</v>
      </c>
      <c r="Q1616" s="19">
        <v>0</v>
      </c>
      <c r="R1616" s="19">
        <v>6.44937212014383E-2</v>
      </c>
      <c r="S1616" s="19">
        <v>1.0407114718939811E-3</v>
      </c>
      <c r="T1616" s="20">
        <v>21</v>
      </c>
      <c r="U1616" s="17">
        <v>2</v>
      </c>
      <c r="V1616" s="17">
        <v>34</v>
      </c>
    </row>
    <row r="1617" spans="1:22" x14ac:dyDescent="0.2">
      <c r="A1617" t="s">
        <v>4117</v>
      </c>
      <c r="B1617" t="s">
        <v>2719</v>
      </c>
      <c r="C1617" t="s">
        <v>2720</v>
      </c>
      <c r="D1617" t="s">
        <v>4074</v>
      </c>
      <c r="E1617" s="10" t="s">
        <v>4118</v>
      </c>
      <c r="F1617" s="10"/>
      <c r="G1617" s="10"/>
      <c r="H1617" s="10" t="s">
        <v>4118</v>
      </c>
      <c r="I1617" s="14">
        <v>73978.300601502764</v>
      </c>
      <c r="J1617" s="19">
        <v>0</v>
      </c>
      <c r="K1617" s="19">
        <v>0.87722278826709787</v>
      </c>
      <c r="L1617" s="19">
        <v>0.12277721173290213</v>
      </c>
      <c r="M1617" s="20">
        <v>2</v>
      </c>
      <c r="N1617" s="19">
        <v>0.32285317606796649</v>
      </c>
      <c r="O1617" s="19">
        <v>0</v>
      </c>
      <c r="P1617" s="19">
        <v>0.55436961219913139</v>
      </c>
      <c r="Q1617" s="19">
        <v>4.8771545704098022E-2</v>
      </c>
      <c r="R1617" s="19">
        <v>6.7602157185138734E-2</v>
      </c>
      <c r="S1617" s="19">
        <v>6.4035088436653646E-3</v>
      </c>
      <c r="T1617" s="20">
        <v>21</v>
      </c>
      <c r="U1617" s="17">
        <v>2</v>
      </c>
      <c r="V1617" s="17">
        <v>34</v>
      </c>
    </row>
    <row r="1618" spans="1:22" x14ac:dyDescent="0.2">
      <c r="A1618" t="s">
        <v>4119</v>
      </c>
      <c r="B1618" t="s">
        <v>2719</v>
      </c>
      <c r="C1618" t="s">
        <v>2720</v>
      </c>
      <c r="D1618" t="s">
        <v>4074</v>
      </c>
      <c r="E1618" s="10" t="s">
        <v>4120</v>
      </c>
      <c r="F1618" s="10"/>
      <c r="G1618" s="10"/>
      <c r="H1618" s="10" t="s">
        <v>4120</v>
      </c>
      <c r="I1618" s="14">
        <v>27449.023085563444</v>
      </c>
      <c r="J1618" s="19">
        <v>0</v>
      </c>
      <c r="K1618" s="19">
        <v>0.52797721177382284</v>
      </c>
      <c r="L1618" s="19">
        <v>0.47202278822617721</v>
      </c>
      <c r="M1618" s="20">
        <v>2</v>
      </c>
      <c r="N1618" s="19">
        <v>0</v>
      </c>
      <c r="O1618" s="19">
        <v>0.52797721177382284</v>
      </c>
      <c r="P1618" s="19">
        <v>0</v>
      </c>
      <c r="Q1618" s="19">
        <v>0.14992440808927188</v>
      </c>
      <c r="R1618" s="19">
        <v>0.27846817619115966</v>
      </c>
      <c r="S1618" s="19">
        <v>4.3630203945745683E-2</v>
      </c>
      <c r="T1618" s="20">
        <v>22</v>
      </c>
      <c r="U1618" s="17">
        <v>2</v>
      </c>
      <c r="V1618" s="17">
        <v>34</v>
      </c>
    </row>
    <row r="1619" spans="1:22" x14ac:dyDescent="0.2">
      <c r="A1619" t="s">
        <v>4121</v>
      </c>
      <c r="B1619" t="s">
        <v>2719</v>
      </c>
      <c r="C1619" t="s">
        <v>2720</v>
      </c>
      <c r="D1619" t="s">
        <v>4074</v>
      </c>
      <c r="E1619" s="10" t="s">
        <v>4122</v>
      </c>
      <c r="F1619" s="10"/>
      <c r="G1619" s="10"/>
      <c r="H1619" s="10" t="s">
        <v>4122</v>
      </c>
      <c r="I1619" s="14">
        <v>24032.010286831766</v>
      </c>
      <c r="J1619" s="19">
        <v>0</v>
      </c>
      <c r="K1619" s="19">
        <v>0.24893744174436322</v>
      </c>
      <c r="L1619" s="19">
        <v>0.75106255825563661</v>
      </c>
      <c r="M1619" s="20">
        <v>1</v>
      </c>
      <c r="N1619" s="19">
        <v>0</v>
      </c>
      <c r="O1619" s="19">
        <v>0.24893744174436322</v>
      </c>
      <c r="P1619" s="19">
        <v>0</v>
      </c>
      <c r="Q1619" s="19">
        <v>0.37021105900313411</v>
      </c>
      <c r="R1619" s="19">
        <v>0.3128593279324457</v>
      </c>
      <c r="S1619" s="19">
        <v>6.7992171320056818E-2</v>
      </c>
      <c r="T1619" s="20">
        <v>13</v>
      </c>
      <c r="U1619" s="17">
        <v>2</v>
      </c>
      <c r="V1619" s="17">
        <v>34</v>
      </c>
    </row>
    <row r="1620" spans="1:22" x14ac:dyDescent="0.2">
      <c r="A1620" t="s">
        <v>4123</v>
      </c>
      <c r="B1620" t="s">
        <v>2719</v>
      </c>
      <c r="C1620" t="s">
        <v>2720</v>
      </c>
      <c r="D1620" t="s">
        <v>4074</v>
      </c>
      <c r="E1620" s="10" t="s">
        <v>2762</v>
      </c>
      <c r="F1620" s="10"/>
      <c r="G1620" s="10"/>
      <c r="H1620" s="10" t="s">
        <v>2762</v>
      </c>
      <c r="I1620" s="14">
        <v>29063.583275451325</v>
      </c>
      <c r="J1620" s="19">
        <v>0</v>
      </c>
      <c r="K1620" s="19">
        <v>0.85096077279968063</v>
      </c>
      <c r="L1620" s="19">
        <v>0.1490392272003194</v>
      </c>
      <c r="M1620" s="20">
        <v>2</v>
      </c>
      <c r="N1620" s="19">
        <v>0</v>
      </c>
      <c r="O1620" s="19">
        <v>0</v>
      </c>
      <c r="P1620" s="19">
        <v>0.85096077279968063</v>
      </c>
      <c r="Q1620" s="19">
        <v>0</v>
      </c>
      <c r="R1620" s="19">
        <v>0.14576823702219943</v>
      </c>
      <c r="S1620" s="19">
        <v>3.2709901781199538E-3</v>
      </c>
      <c r="T1620" s="20">
        <v>21</v>
      </c>
      <c r="U1620" s="17">
        <v>2</v>
      </c>
      <c r="V1620" s="17">
        <v>34</v>
      </c>
    </row>
    <row r="1621" spans="1:22" x14ac:dyDescent="0.2">
      <c r="A1621" t="s">
        <v>4124</v>
      </c>
      <c r="B1621" t="s">
        <v>2719</v>
      </c>
      <c r="C1621" t="s">
        <v>2720</v>
      </c>
      <c r="D1621" t="s">
        <v>4074</v>
      </c>
      <c r="E1621" s="10" t="s">
        <v>4125</v>
      </c>
      <c r="F1621" s="10"/>
      <c r="G1621" s="10"/>
      <c r="H1621" s="10" t="s">
        <v>4125</v>
      </c>
      <c r="I1621" s="14">
        <v>38680.236928986968</v>
      </c>
      <c r="J1621" s="19">
        <v>0</v>
      </c>
      <c r="K1621" s="19">
        <v>0.90018977730135064</v>
      </c>
      <c r="L1621" s="19">
        <v>9.9810222698649337E-2</v>
      </c>
      <c r="M1621" s="20">
        <v>2</v>
      </c>
      <c r="N1621" s="19">
        <v>0.17489314274265494</v>
      </c>
      <c r="O1621" s="19">
        <v>0</v>
      </c>
      <c r="P1621" s="19">
        <v>0.72529663455869564</v>
      </c>
      <c r="Q1621" s="19">
        <v>0</v>
      </c>
      <c r="R1621" s="19">
        <v>9.2222192978254305E-2</v>
      </c>
      <c r="S1621" s="19">
        <v>7.5880297203950332E-3</v>
      </c>
      <c r="T1621" s="20">
        <v>21</v>
      </c>
      <c r="U1621" s="17">
        <v>2</v>
      </c>
      <c r="V1621" s="17">
        <v>34</v>
      </c>
    </row>
    <row r="1622" spans="1:22" x14ac:dyDescent="0.2">
      <c r="A1622" t="s">
        <v>4126</v>
      </c>
      <c r="B1622" t="s">
        <v>2719</v>
      </c>
      <c r="C1622" t="s">
        <v>2720</v>
      </c>
      <c r="D1622" t="s">
        <v>4074</v>
      </c>
      <c r="E1622" s="10" t="s">
        <v>4127</v>
      </c>
      <c r="F1622" s="10"/>
      <c r="G1622" s="10"/>
      <c r="H1622" s="10" t="s">
        <v>4127</v>
      </c>
      <c r="I1622" s="14">
        <v>70954.483786693541</v>
      </c>
      <c r="J1622" s="19">
        <v>0</v>
      </c>
      <c r="K1622" s="19">
        <v>0.56115444234131207</v>
      </c>
      <c r="L1622" s="19">
        <v>0.43884555765868799</v>
      </c>
      <c r="M1622" s="20">
        <v>2</v>
      </c>
      <c r="N1622" s="19">
        <v>0.17390731950120553</v>
      </c>
      <c r="O1622" s="19">
        <v>8.550597123760377E-2</v>
      </c>
      <c r="P1622" s="19">
        <v>0.3017411516025027</v>
      </c>
      <c r="Q1622" s="19">
        <v>0.16843811780463636</v>
      </c>
      <c r="R1622" s="19">
        <v>0.24017165052659245</v>
      </c>
      <c r="S1622" s="19">
        <v>3.0235789327459166E-2</v>
      </c>
      <c r="T1622" s="20">
        <v>23</v>
      </c>
      <c r="U1622" s="17">
        <v>2</v>
      </c>
      <c r="V1622" s="17">
        <v>34</v>
      </c>
    </row>
    <row r="1623" spans="1:22" x14ac:dyDescent="0.2">
      <c r="A1623" t="s">
        <v>4128</v>
      </c>
      <c r="B1623" t="s">
        <v>2719</v>
      </c>
      <c r="C1623" t="s">
        <v>2720</v>
      </c>
      <c r="D1623" t="s">
        <v>4074</v>
      </c>
      <c r="E1623" s="10" t="s">
        <v>4129</v>
      </c>
      <c r="F1623" s="10"/>
      <c r="G1623" s="10"/>
      <c r="H1623" s="10" t="s">
        <v>4129</v>
      </c>
      <c r="I1623" s="14">
        <v>76081.216687143082</v>
      </c>
      <c r="J1623" s="19">
        <v>0</v>
      </c>
      <c r="K1623" s="19">
        <v>0.93908621638316203</v>
      </c>
      <c r="L1623" s="19">
        <v>6.091378361683799E-2</v>
      </c>
      <c r="M1623" s="20">
        <v>2</v>
      </c>
      <c r="N1623" s="19">
        <v>0.3584282366956747</v>
      </c>
      <c r="O1623" s="19">
        <v>0</v>
      </c>
      <c r="P1623" s="19">
        <v>0.58065797968748734</v>
      </c>
      <c r="Q1623" s="19">
        <v>9.3987448663650219E-3</v>
      </c>
      <c r="R1623" s="19">
        <v>4.9262125545357902E-2</v>
      </c>
      <c r="S1623" s="19">
        <v>2.2529132051150686E-3</v>
      </c>
      <c r="T1623" s="20">
        <v>21</v>
      </c>
      <c r="U1623" s="17">
        <v>2</v>
      </c>
      <c r="V1623" s="17">
        <v>34</v>
      </c>
    </row>
    <row r="1624" spans="1:22" x14ac:dyDescent="0.2">
      <c r="A1624" t="s">
        <v>4130</v>
      </c>
      <c r="B1624" t="s">
        <v>2719</v>
      </c>
      <c r="C1624" t="s">
        <v>2720</v>
      </c>
      <c r="D1624" t="s">
        <v>4074</v>
      </c>
      <c r="E1624" s="10" t="s">
        <v>4131</v>
      </c>
      <c r="F1624" s="10"/>
      <c r="G1624" s="10"/>
      <c r="H1624" s="10" t="s">
        <v>4131</v>
      </c>
      <c r="I1624" s="14">
        <v>28760.402083246969</v>
      </c>
      <c r="J1624" s="19">
        <v>0</v>
      </c>
      <c r="K1624" s="19">
        <v>0.58577254734497963</v>
      </c>
      <c r="L1624" s="19">
        <v>0.41422745265502042</v>
      </c>
      <c r="M1624" s="20">
        <v>2</v>
      </c>
      <c r="N1624" s="19">
        <v>0.18677798511224269</v>
      </c>
      <c r="O1624" s="19">
        <v>0</v>
      </c>
      <c r="P1624" s="19">
        <v>0.39899456223273688</v>
      </c>
      <c r="Q1624" s="19">
        <v>0.27888444313384608</v>
      </c>
      <c r="R1624" s="19">
        <v>0.11202003657197555</v>
      </c>
      <c r="S1624" s="19">
        <v>2.3322972949198845E-2</v>
      </c>
      <c r="T1624" s="20">
        <v>23</v>
      </c>
      <c r="U1624" s="17">
        <v>2</v>
      </c>
      <c r="V1624" s="17">
        <v>34</v>
      </c>
    </row>
    <row r="1625" spans="1:22" x14ac:dyDescent="0.2">
      <c r="A1625" t="s">
        <v>4132</v>
      </c>
      <c r="B1625" t="s">
        <v>2719</v>
      </c>
      <c r="C1625" t="s">
        <v>2720</v>
      </c>
      <c r="D1625" t="s">
        <v>4074</v>
      </c>
      <c r="E1625" s="10" t="s">
        <v>3325</v>
      </c>
      <c r="F1625" s="10"/>
      <c r="G1625" s="10"/>
      <c r="H1625" s="10" t="s">
        <v>3325</v>
      </c>
      <c r="I1625" s="14">
        <v>30133.59613183426</v>
      </c>
      <c r="J1625" s="19">
        <v>0</v>
      </c>
      <c r="K1625" s="19">
        <v>0.78912405207734759</v>
      </c>
      <c r="L1625" s="19">
        <v>0.21087594792265241</v>
      </c>
      <c r="M1625" s="20">
        <v>2</v>
      </c>
      <c r="N1625" s="19">
        <v>0.23866595245489314</v>
      </c>
      <c r="O1625" s="19">
        <v>0</v>
      </c>
      <c r="P1625" s="19">
        <v>0.55045809962245451</v>
      </c>
      <c r="Q1625" s="19">
        <v>5.843931147695982E-2</v>
      </c>
      <c r="R1625" s="19">
        <v>0.13262857554848095</v>
      </c>
      <c r="S1625" s="19">
        <v>1.9808060897211585E-2</v>
      </c>
      <c r="T1625" s="20">
        <v>21</v>
      </c>
      <c r="U1625" s="17">
        <v>2</v>
      </c>
      <c r="V1625" s="17">
        <v>34</v>
      </c>
    </row>
    <row r="1626" spans="1:22" x14ac:dyDescent="0.2">
      <c r="A1626" t="s">
        <v>4133</v>
      </c>
      <c r="B1626" t="s">
        <v>2719</v>
      </c>
      <c r="C1626" t="s">
        <v>2720</v>
      </c>
      <c r="D1626" t="s">
        <v>4074</v>
      </c>
      <c r="E1626" s="10" t="s">
        <v>4134</v>
      </c>
      <c r="F1626" s="10"/>
      <c r="G1626" s="10"/>
      <c r="H1626" s="10" t="s">
        <v>4134</v>
      </c>
      <c r="I1626" s="14">
        <v>166287.19111919089</v>
      </c>
      <c r="J1626" s="19">
        <v>0.59845100793973816</v>
      </c>
      <c r="K1626" s="19">
        <v>0.31911201492922087</v>
      </c>
      <c r="L1626" s="19">
        <v>8.2436977131041034E-2</v>
      </c>
      <c r="M1626" s="20">
        <v>3</v>
      </c>
      <c r="N1626" s="19">
        <v>0.14105774921839148</v>
      </c>
      <c r="O1626" s="19">
        <v>4.4986195510249131E-4</v>
      </c>
      <c r="P1626" s="19">
        <v>0.17760440375572686</v>
      </c>
      <c r="Q1626" s="19">
        <v>3.1284443939524989E-3</v>
      </c>
      <c r="R1626" s="19">
        <v>7.1468267301295588E-2</v>
      </c>
      <c r="S1626" s="19">
        <v>7.8402654357929494E-3</v>
      </c>
      <c r="T1626" s="20">
        <v>30</v>
      </c>
      <c r="U1626" s="17">
        <v>2</v>
      </c>
      <c r="V1626" s="17">
        <v>34</v>
      </c>
    </row>
    <row r="1627" spans="1:22" x14ac:dyDescent="0.2">
      <c r="A1627" t="s">
        <v>4135</v>
      </c>
      <c r="B1627" t="s">
        <v>2719</v>
      </c>
      <c r="C1627" t="s">
        <v>2720</v>
      </c>
      <c r="D1627" t="s">
        <v>4074</v>
      </c>
      <c r="E1627" s="10" t="s">
        <v>3082</v>
      </c>
      <c r="F1627" s="10"/>
      <c r="G1627" s="10"/>
      <c r="H1627" s="10" t="s">
        <v>3082</v>
      </c>
      <c r="I1627" s="14">
        <v>25207.841385797597</v>
      </c>
      <c r="J1627" s="19">
        <v>0</v>
      </c>
      <c r="K1627" s="19">
        <v>0.86865182882938996</v>
      </c>
      <c r="L1627" s="19">
        <v>0.13134817117061007</v>
      </c>
      <c r="M1627" s="20">
        <v>2</v>
      </c>
      <c r="N1627" s="19">
        <v>0.32539409936241881</v>
      </c>
      <c r="O1627" s="19">
        <v>0</v>
      </c>
      <c r="P1627" s="19">
        <v>0.54325772946697115</v>
      </c>
      <c r="Q1627" s="19">
        <v>3.7077635155247854E-2</v>
      </c>
      <c r="R1627" s="19">
        <v>8.887713134247259E-2</v>
      </c>
      <c r="S1627" s="19">
        <v>5.3934046728896113E-3</v>
      </c>
      <c r="T1627" s="20">
        <v>21</v>
      </c>
      <c r="U1627" s="17">
        <v>2</v>
      </c>
      <c r="V1627" s="17">
        <v>34</v>
      </c>
    </row>
    <row r="1628" spans="1:22" x14ac:dyDescent="0.2">
      <c r="A1628" t="s">
        <v>4136</v>
      </c>
      <c r="B1628" t="s">
        <v>2719</v>
      </c>
      <c r="C1628" t="s">
        <v>2720</v>
      </c>
      <c r="D1628" t="s">
        <v>4074</v>
      </c>
      <c r="E1628" s="10" t="s">
        <v>4137</v>
      </c>
      <c r="F1628" s="10"/>
      <c r="G1628" s="10"/>
      <c r="H1628" s="10" t="s">
        <v>4137</v>
      </c>
      <c r="I1628" s="14">
        <v>73990.8840520503</v>
      </c>
      <c r="J1628" s="19">
        <v>0</v>
      </c>
      <c r="K1628" s="19">
        <v>0.87991912806796679</v>
      </c>
      <c r="L1628" s="19">
        <v>0.12008087193203322</v>
      </c>
      <c r="M1628" s="20">
        <v>2</v>
      </c>
      <c r="N1628" s="19">
        <v>0.15947000093670047</v>
      </c>
      <c r="O1628" s="19">
        <v>0.18496090774194712</v>
      </c>
      <c r="P1628" s="19">
        <v>0.53548821938931912</v>
      </c>
      <c r="Q1628" s="19">
        <v>2.4025927591737797E-2</v>
      </c>
      <c r="R1628" s="19">
        <v>9.0909264085861183E-2</v>
      </c>
      <c r="S1628" s="19">
        <v>5.1456802544342373E-3</v>
      </c>
      <c r="T1628" s="20">
        <v>21</v>
      </c>
      <c r="U1628" s="17">
        <v>2</v>
      </c>
      <c r="V1628" s="17">
        <v>34</v>
      </c>
    </row>
    <row r="1629" spans="1:22" x14ac:dyDescent="0.2">
      <c r="A1629" t="s">
        <v>4138</v>
      </c>
      <c r="B1629" t="s">
        <v>2719</v>
      </c>
      <c r="C1629" t="s">
        <v>2720</v>
      </c>
      <c r="D1629" t="s">
        <v>4139</v>
      </c>
      <c r="E1629" s="10" t="s">
        <v>4140</v>
      </c>
      <c r="F1629" s="10"/>
      <c r="G1629" s="10"/>
      <c r="H1629" s="10" t="s">
        <v>4140</v>
      </c>
      <c r="I1629" s="14">
        <v>15621.98474726826</v>
      </c>
      <c r="J1629" s="19">
        <v>0</v>
      </c>
      <c r="K1629" s="19">
        <v>0</v>
      </c>
      <c r="L1629" s="19">
        <v>1</v>
      </c>
      <c r="M1629" s="20">
        <v>1</v>
      </c>
      <c r="N1629" s="19">
        <v>0</v>
      </c>
      <c r="O1629" s="19">
        <v>0</v>
      </c>
      <c r="P1629" s="19">
        <v>0</v>
      </c>
      <c r="Q1629" s="19">
        <v>0.46336859031386846</v>
      </c>
      <c r="R1629" s="19">
        <v>0.48113213866854626</v>
      </c>
      <c r="S1629" s="19">
        <v>5.5499271017585297E-2</v>
      </c>
      <c r="T1629" s="20">
        <v>12</v>
      </c>
      <c r="U1629" s="17">
        <v>2</v>
      </c>
      <c r="V1629" s="17">
        <v>34</v>
      </c>
    </row>
    <row r="1630" spans="1:22" x14ac:dyDescent="0.2">
      <c r="A1630" t="s">
        <v>4141</v>
      </c>
      <c r="B1630" t="s">
        <v>2719</v>
      </c>
      <c r="C1630" t="s">
        <v>2720</v>
      </c>
      <c r="D1630" t="s">
        <v>4139</v>
      </c>
      <c r="E1630" s="10" t="s">
        <v>4142</v>
      </c>
      <c r="F1630" s="10"/>
      <c r="G1630" s="10"/>
      <c r="H1630" s="10" t="s">
        <v>4142</v>
      </c>
      <c r="I1630" s="14">
        <v>11030.365049622953</v>
      </c>
      <c r="J1630" s="19">
        <v>0</v>
      </c>
      <c r="K1630" s="19">
        <v>0</v>
      </c>
      <c r="L1630" s="19">
        <v>1</v>
      </c>
      <c r="M1630" s="20">
        <v>1</v>
      </c>
      <c r="N1630" s="19">
        <v>0</v>
      </c>
      <c r="O1630" s="19">
        <v>0</v>
      </c>
      <c r="P1630" s="19">
        <v>0</v>
      </c>
      <c r="Q1630" s="19">
        <v>0.57925023583941038</v>
      </c>
      <c r="R1630" s="19">
        <v>0.39233571843801812</v>
      </c>
      <c r="S1630" s="19">
        <v>2.8414045722571547E-2</v>
      </c>
      <c r="T1630" s="20">
        <v>13</v>
      </c>
      <c r="U1630" s="17">
        <v>2</v>
      </c>
      <c r="V1630" s="17">
        <v>34</v>
      </c>
    </row>
    <row r="1631" spans="1:22" x14ac:dyDescent="0.2">
      <c r="A1631" t="s">
        <v>4143</v>
      </c>
      <c r="B1631" t="s">
        <v>2719</v>
      </c>
      <c r="C1631" t="s">
        <v>2720</v>
      </c>
      <c r="D1631" t="s">
        <v>4139</v>
      </c>
      <c r="E1631" s="10" t="s">
        <v>4144</v>
      </c>
      <c r="F1631" s="10"/>
      <c r="G1631" s="10"/>
      <c r="H1631" s="10" t="s">
        <v>4144</v>
      </c>
      <c r="I1631" s="14">
        <v>11807.504037868233</v>
      </c>
      <c r="J1631" s="19">
        <v>0</v>
      </c>
      <c r="K1631" s="19">
        <v>0.50499373861225172</v>
      </c>
      <c r="L1631" s="19">
        <v>0.49500626138774817</v>
      </c>
      <c r="M1631" s="20">
        <v>2</v>
      </c>
      <c r="N1631" s="19">
        <v>0</v>
      </c>
      <c r="O1631" s="19">
        <v>0.50499373861225172</v>
      </c>
      <c r="P1631" s="19">
        <v>0</v>
      </c>
      <c r="Q1631" s="19">
        <v>0.20711469866542936</v>
      </c>
      <c r="R1631" s="19">
        <v>0.26714186771882542</v>
      </c>
      <c r="S1631" s="19">
        <v>2.0749695003493419E-2</v>
      </c>
      <c r="T1631" s="20">
        <v>22</v>
      </c>
      <c r="U1631" s="17">
        <v>2</v>
      </c>
      <c r="V1631" s="17">
        <v>34</v>
      </c>
    </row>
    <row r="1632" spans="1:22" x14ac:dyDescent="0.2">
      <c r="A1632" t="s">
        <v>4145</v>
      </c>
      <c r="B1632" t="s">
        <v>2719</v>
      </c>
      <c r="C1632" t="s">
        <v>2720</v>
      </c>
      <c r="D1632" t="s">
        <v>4139</v>
      </c>
      <c r="E1632" s="10" t="s">
        <v>4146</v>
      </c>
      <c r="F1632" s="10"/>
      <c r="G1632" s="10"/>
      <c r="H1632" s="10" t="s">
        <v>4146</v>
      </c>
      <c r="I1632" s="14">
        <v>41351.322017369152</v>
      </c>
      <c r="J1632" s="19">
        <v>0</v>
      </c>
      <c r="K1632" s="19">
        <v>0.43426200648894198</v>
      </c>
      <c r="L1632" s="19">
        <v>0.56573799351105791</v>
      </c>
      <c r="M1632" s="20">
        <v>1</v>
      </c>
      <c r="N1632" s="19">
        <v>0</v>
      </c>
      <c r="O1632" s="19">
        <v>0.42423668471864473</v>
      </c>
      <c r="P1632" s="19">
        <v>1.0025321770297219E-2</v>
      </c>
      <c r="Q1632" s="19">
        <v>0.22703282766573091</v>
      </c>
      <c r="R1632" s="19">
        <v>0.26631870046840767</v>
      </c>
      <c r="S1632" s="19">
        <v>7.2386465376919437E-2</v>
      </c>
      <c r="T1632" s="20">
        <v>12</v>
      </c>
      <c r="U1632" s="17">
        <v>2</v>
      </c>
      <c r="V1632" s="17">
        <v>34</v>
      </c>
    </row>
    <row r="1633" spans="1:22" x14ac:dyDescent="0.2">
      <c r="A1633" t="s">
        <v>4147</v>
      </c>
      <c r="B1633" t="s">
        <v>2719</v>
      </c>
      <c r="C1633" t="s">
        <v>2720</v>
      </c>
      <c r="D1633" t="s">
        <v>4139</v>
      </c>
      <c r="E1633" s="10" t="s">
        <v>3368</v>
      </c>
      <c r="F1633" s="10"/>
      <c r="G1633" s="10"/>
      <c r="H1633" s="10" t="s">
        <v>3368</v>
      </c>
      <c r="I1633" s="14">
        <v>22564.095968483944</v>
      </c>
      <c r="J1633" s="19">
        <v>0</v>
      </c>
      <c r="K1633" s="19">
        <v>0</v>
      </c>
      <c r="L1633" s="19">
        <v>1</v>
      </c>
      <c r="M1633" s="20">
        <v>1</v>
      </c>
      <c r="N1633" s="19">
        <v>0</v>
      </c>
      <c r="O1633" s="19">
        <v>0</v>
      </c>
      <c r="P1633" s="19">
        <v>0</v>
      </c>
      <c r="Q1633" s="19">
        <v>0.62154599814151745</v>
      </c>
      <c r="R1633" s="19">
        <v>0.32567939331975065</v>
      </c>
      <c r="S1633" s="19">
        <v>5.2774608538732094E-2</v>
      </c>
      <c r="T1633" s="20">
        <v>13</v>
      </c>
      <c r="U1633" s="17">
        <v>2</v>
      </c>
      <c r="V1633" s="17">
        <v>34</v>
      </c>
    </row>
    <row r="1634" spans="1:22" x14ac:dyDescent="0.2">
      <c r="A1634" t="s">
        <v>4148</v>
      </c>
      <c r="B1634" t="s">
        <v>2719</v>
      </c>
      <c r="C1634" t="s">
        <v>2720</v>
      </c>
      <c r="D1634" t="s">
        <v>4139</v>
      </c>
      <c r="E1634" s="10" t="s">
        <v>4149</v>
      </c>
      <c r="F1634" s="10"/>
      <c r="G1634" s="10"/>
      <c r="H1634" s="10" t="s">
        <v>4149</v>
      </c>
      <c r="I1634" s="14">
        <v>160507.34462591074</v>
      </c>
      <c r="J1634" s="19">
        <v>0</v>
      </c>
      <c r="K1634" s="19">
        <v>0.67557533439635598</v>
      </c>
      <c r="L1634" s="19">
        <v>0.32442466560364397</v>
      </c>
      <c r="M1634" s="20">
        <v>2</v>
      </c>
      <c r="N1634" s="19">
        <v>0.39527848068192462</v>
      </c>
      <c r="O1634" s="19">
        <v>6.3181603272379191E-2</v>
      </c>
      <c r="P1634" s="19">
        <v>0.21711525044205229</v>
      </c>
      <c r="Q1634" s="19">
        <v>0.18409185617644463</v>
      </c>
      <c r="R1634" s="19">
        <v>0.12111684539109291</v>
      </c>
      <c r="S1634" s="19">
        <v>1.9215964036106373E-2</v>
      </c>
      <c r="T1634" s="20">
        <v>23</v>
      </c>
      <c r="U1634" s="17">
        <v>2</v>
      </c>
      <c r="V1634" s="17">
        <v>34</v>
      </c>
    </row>
    <row r="1635" spans="1:22" x14ac:dyDescent="0.2">
      <c r="A1635" t="s">
        <v>4150</v>
      </c>
      <c r="B1635" t="s">
        <v>2719</v>
      </c>
      <c r="C1635" t="s">
        <v>2720</v>
      </c>
      <c r="D1635" t="s">
        <v>4139</v>
      </c>
      <c r="E1635" s="10" t="s">
        <v>4151</v>
      </c>
      <c r="F1635" s="10"/>
      <c r="G1635" s="10"/>
      <c r="H1635" s="10" t="s">
        <v>4151</v>
      </c>
      <c r="I1635" s="14">
        <v>11581.415882565081</v>
      </c>
      <c r="J1635" s="19">
        <v>0</v>
      </c>
      <c r="K1635" s="19">
        <v>0</v>
      </c>
      <c r="L1635" s="19">
        <v>1</v>
      </c>
      <c r="M1635" s="20">
        <v>1</v>
      </c>
      <c r="N1635" s="19">
        <v>0</v>
      </c>
      <c r="O1635" s="19">
        <v>0</v>
      </c>
      <c r="P1635" s="19">
        <v>0</v>
      </c>
      <c r="Q1635" s="19">
        <v>0.31979272226223904</v>
      </c>
      <c r="R1635" s="19">
        <v>0.58922536089176514</v>
      </c>
      <c r="S1635" s="19">
        <v>9.098191684599588E-2</v>
      </c>
      <c r="T1635" s="20">
        <v>12</v>
      </c>
      <c r="U1635" s="17">
        <v>2</v>
      </c>
      <c r="V1635" s="17">
        <v>34</v>
      </c>
    </row>
    <row r="1636" spans="1:22" x14ac:dyDescent="0.2">
      <c r="A1636" t="s">
        <v>4152</v>
      </c>
      <c r="B1636" t="s">
        <v>2719</v>
      </c>
      <c r="C1636" t="s">
        <v>2720</v>
      </c>
      <c r="D1636" t="s">
        <v>4139</v>
      </c>
      <c r="E1636" s="10" t="s">
        <v>4153</v>
      </c>
      <c r="F1636" s="10"/>
      <c r="G1636" s="10"/>
      <c r="H1636" s="10" t="s">
        <v>4153</v>
      </c>
      <c r="I1636" s="14">
        <v>17607.442860942334</v>
      </c>
      <c r="J1636" s="19">
        <v>0</v>
      </c>
      <c r="K1636" s="19">
        <v>0.28783332647133947</v>
      </c>
      <c r="L1636" s="19">
        <v>0.71216667352866059</v>
      </c>
      <c r="M1636" s="20">
        <v>1</v>
      </c>
      <c r="N1636" s="19">
        <v>0</v>
      </c>
      <c r="O1636" s="19">
        <v>0.28783332647133947</v>
      </c>
      <c r="P1636" s="19">
        <v>0</v>
      </c>
      <c r="Q1636" s="19">
        <v>0.43699884524213228</v>
      </c>
      <c r="R1636" s="19">
        <v>0.25143366778683518</v>
      </c>
      <c r="S1636" s="19">
        <v>2.3734160499693041E-2</v>
      </c>
      <c r="T1636" s="20">
        <v>13</v>
      </c>
      <c r="U1636" s="17">
        <v>2</v>
      </c>
      <c r="V1636" s="17">
        <v>34</v>
      </c>
    </row>
    <row r="1637" spans="1:22" x14ac:dyDescent="0.2">
      <c r="A1637" t="s">
        <v>4154</v>
      </c>
      <c r="B1637" t="s">
        <v>2719</v>
      </c>
      <c r="C1637" t="s">
        <v>2720</v>
      </c>
      <c r="D1637" t="s">
        <v>4155</v>
      </c>
      <c r="E1637" s="10" t="s">
        <v>4156</v>
      </c>
      <c r="F1637" s="10"/>
      <c r="G1637" s="10"/>
      <c r="H1637" s="10" t="s">
        <v>4156</v>
      </c>
      <c r="I1637" s="14">
        <v>70107.204260410741</v>
      </c>
      <c r="J1637" s="19">
        <v>0.88081739819754878</v>
      </c>
      <c r="K1637" s="19">
        <v>0.10744439204170286</v>
      </c>
      <c r="L1637" s="19">
        <v>1.1738209760748403E-2</v>
      </c>
      <c r="M1637" s="20">
        <v>3</v>
      </c>
      <c r="N1637" s="19">
        <v>0</v>
      </c>
      <c r="O1637" s="19">
        <v>0</v>
      </c>
      <c r="P1637" s="19">
        <v>0.10744439204170286</v>
      </c>
      <c r="Q1637" s="19">
        <v>0</v>
      </c>
      <c r="R1637" s="19">
        <v>1.0947088087549895E-2</v>
      </c>
      <c r="S1637" s="19">
        <v>7.9112167319850572E-4</v>
      </c>
      <c r="T1637" s="20">
        <v>30</v>
      </c>
      <c r="U1637" s="17">
        <v>2</v>
      </c>
      <c r="V1637" s="17">
        <v>34</v>
      </c>
    </row>
    <row r="1638" spans="1:22" x14ac:dyDescent="0.2">
      <c r="A1638" t="s">
        <v>4157</v>
      </c>
      <c r="B1638" t="s">
        <v>2719</v>
      </c>
      <c r="C1638" t="s">
        <v>2720</v>
      </c>
      <c r="D1638" t="s">
        <v>4155</v>
      </c>
      <c r="E1638" s="10" t="s">
        <v>4158</v>
      </c>
      <c r="F1638" s="10"/>
      <c r="G1638" s="10"/>
      <c r="H1638" s="10" t="s">
        <v>4158</v>
      </c>
      <c r="I1638" s="14">
        <v>51687.407294855453</v>
      </c>
      <c r="J1638" s="19">
        <v>8.7951734756075969E-2</v>
      </c>
      <c r="K1638" s="19">
        <v>0.76696142175744575</v>
      </c>
      <c r="L1638" s="19">
        <v>0.1450868434864783</v>
      </c>
      <c r="M1638" s="20">
        <v>2</v>
      </c>
      <c r="N1638" s="19">
        <v>0.36332494935917387</v>
      </c>
      <c r="O1638" s="19">
        <v>0</v>
      </c>
      <c r="P1638" s="19">
        <v>0.40363647239827188</v>
      </c>
      <c r="Q1638" s="19">
        <v>5.4323974763215752E-2</v>
      </c>
      <c r="R1638" s="19">
        <v>8.0157156258349987E-2</v>
      </c>
      <c r="S1638" s="19">
        <v>1.0605712464912542E-2</v>
      </c>
      <c r="T1638" s="20">
        <v>23</v>
      </c>
      <c r="U1638" s="17">
        <v>2</v>
      </c>
      <c r="V1638" s="17">
        <v>34</v>
      </c>
    </row>
    <row r="1639" spans="1:22" x14ac:dyDescent="0.2">
      <c r="A1639" t="s">
        <v>4159</v>
      </c>
      <c r="B1639" t="s">
        <v>2719</v>
      </c>
      <c r="C1639" t="s">
        <v>2720</v>
      </c>
      <c r="D1639" t="s">
        <v>4155</v>
      </c>
      <c r="E1639" s="10" t="s">
        <v>4160</v>
      </c>
      <c r="F1639" s="10"/>
      <c r="G1639" s="10"/>
      <c r="H1639" s="10" t="s">
        <v>4160</v>
      </c>
      <c r="I1639" s="14">
        <v>46442.640581564046</v>
      </c>
      <c r="J1639" s="19">
        <v>0</v>
      </c>
      <c r="K1639" s="19">
        <v>0.9039415714658986</v>
      </c>
      <c r="L1639" s="19">
        <v>9.6058428534101431E-2</v>
      </c>
      <c r="M1639" s="20">
        <v>2</v>
      </c>
      <c r="N1639" s="19">
        <v>0.28916487539934543</v>
      </c>
      <c r="O1639" s="19">
        <v>0</v>
      </c>
      <c r="P1639" s="19">
        <v>0.61477669606655316</v>
      </c>
      <c r="Q1639" s="19">
        <v>1.7629756405411225E-2</v>
      </c>
      <c r="R1639" s="19">
        <v>7.5242885800315948E-2</v>
      </c>
      <c r="S1639" s="19">
        <v>3.1857863283742591E-3</v>
      </c>
      <c r="T1639" s="20">
        <v>21</v>
      </c>
      <c r="U1639" s="17">
        <v>2</v>
      </c>
      <c r="V1639" s="17">
        <v>34</v>
      </c>
    </row>
    <row r="1640" spans="1:22" x14ac:dyDescent="0.2">
      <c r="A1640" t="s">
        <v>4161</v>
      </c>
      <c r="B1640" t="s">
        <v>2719</v>
      </c>
      <c r="C1640" t="s">
        <v>2720</v>
      </c>
      <c r="D1640" t="s">
        <v>4155</v>
      </c>
      <c r="E1640" s="10" t="s">
        <v>4162</v>
      </c>
      <c r="F1640" s="10"/>
      <c r="G1640" s="10"/>
      <c r="H1640" s="10" t="s">
        <v>4162</v>
      </c>
      <c r="I1640" s="14">
        <v>14060.186529070139</v>
      </c>
      <c r="J1640" s="19">
        <v>0</v>
      </c>
      <c r="K1640" s="19">
        <v>0.51904311052090568</v>
      </c>
      <c r="L1640" s="19">
        <v>0.48095688947909421</v>
      </c>
      <c r="M1640" s="20">
        <v>2</v>
      </c>
      <c r="N1640" s="19">
        <v>0</v>
      </c>
      <c r="O1640" s="19">
        <v>0.38975984855203588</v>
      </c>
      <c r="P1640" s="19">
        <v>0.12928326196886986</v>
      </c>
      <c r="Q1640" s="19">
        <v>0.10896031052990902</v>
      </c>
      <c r="R1640" s="19">
        <v>0.33853250274247593</v>
      </c>
      <c r="S1640" s="19">
        <v>3.3464076206709346E-2</v>
      </c>
      <c r="T1640" s="20">
        <v>22</v>
      </c>
      <c r="U1640" s="17">
        <v>2</v>
      </c>
      <c r="V1640" s="17">
        <v>34</v>
      </c>
    </row>
    <row r="1641" spans="1:22" x14ac:dyDescent="0.2">
      <c r="A1641" t="s">
        <v>4163</v>
      </c>
      <c r="B1641" t="s">
        <v>2719</v>
      </c>
      <c r="C1641" t="s">
        <v>2720</v>
      </c>
      <c r="D1641" t="s">
        <v>4155</v>
      </c>
      <c r="E1641" s="10" t="s">
        <v>4164</v>
      </c>
      <c r="F1641" s="10"/>
      <c r="G1641" s="10"/>
      <c r="H1641" s="10" t="s">
        <v>4164</v>
      </c>
      <c r="I1641" s="14">
        <v>43280.428552773781</v>
      </c>
      <c r="J1641" s="19">
        <v>0</v>
      </c>
      <c r="K1641" s="19">
        <v>0.92660467209975772</v>
      </c>
      <c r="L1641" s="19">
        <v>7.3395327900242294E-2</v>
      </c>
      <c r="M1641" s="20">
        <v>2</v>
      </c>
      <c r="N1641" s="19">
        <v>5.8767098081578081E-2</v>
      </c>
      <c r="O1641" s="19">
        <v>0</v>
      </c>
      <c r="P1641" s="19">
        <v>0.86783757401817962</v>
      </c>
      <c r="Q1641" s="19">
        <v>0</v>
      </c>
      <c r="R1641" s="19">
        <v>7.0300072639594285E-2</v>
      </c>
      <c r="S1641" s="19">
        <v>3.0952552606480143E-3</v>
      </c>
      <c r="T1641" s="20">
        <v>21</v>
      </c>
      <c r="U1641" s="17">
        <v>2</v>
      </c>
      <c r="V1641" s="17">
        <v>34</v>
      </c>
    </row>
    <row r="1642" spans="1:22" x14ac:dyDescent="0.2">
      <c r="A1642" t="s">
        <v>4165</v>
      </c>
      <c r="B1642" t="s">
        <v>2719</v>
      </c>
      <c r="C1642" t="s">
        <v>2720</v>
      </c>
      <c r="D1642" t="s">
        <v>4155</v>
      </c>
      <c r="E1642" s="10" t="s">
        <v>4166</v>
      </c>
      <c r="F1642" s="10"/>
      <c r="G1642" s="10"/>
      <c r="H1642" s="10" t="s">
        <v>4166</v>
      </c>
      <c r="I1642" s="14">
        <v>39265.785502931103</v>
      </c>
      <c r="J1642" s="19">
        <v>0</v>
      </c>
      <c r="K1642" s="19">
        <v>0.95924376751606488</v>
      </c>
      <c r="L1642" s="19">
        <v>4.0756232483935111E-2</v>
      </c>
      <c r="M1642" s="20">
        <v>2</v>
      </c>
      <c r="N1642" s="19">
        <v>0.56496981537363011</v>
      </c>
      <c r="O1642" s="19">
        <v>0</v>
      </c>
      <c r="P1642" s="19">
        <v>0.39427395214243477</v>
      </c>
      <c r="Q1642" s="19">
        <v>0</v>
      </c>
      <c r="R1642" s="19">
        <v>3.7116529457919052E-2</v>
      </c>
      <c r="S1642" s="19">
        <v>3.6397030260160563E-3</v>
      </c>
      <c r="T1642" s="20">
        <v>23</v>
      </c>
      <c r="U1642" s="17">
        <v>2</v>
      </c>
      <c r="V1642" s="17">
        <v>34</v>
      </c>
    </row>
    <row r="1643" spans="1:22" x14ac:dyDescent="0.2">
      <c r="A1643" t="s">
        <v>4167</v>
      </c>
      <c r="B1643" t="s">
        <v>2719</v>
      </c>
      <c r="C1643" t="s">
        <v>2720</v>
      </c>
      <c r="D1643" t="s">
        <v>4155</v>
      </c>
      <c r="E1643" s="10" t="s">
        <v>4168</v>
      </c>
      <c r="F1643" s="10"/>
      <c r="G1643" s="10"/>
      <c r="H1643" s="10" t="s">
        <v>4168</v>
      </c>
      <c r="I1643" s="14">
        <v>79383.359598881565</v>
      </c>
      <c r="J1643" s="19">
        <v>0.2119034646998611</v>
      </c>
      <c r="K1643" s="19">
        <v>0.72044823171027783</v>
      </c>
      <c r="L1643" s="19">
        <v>6.7648303589861097E-2</v>
      </c>
      <c r="M1643" s="20">
        <v>2</v>
      </c>
      <c r="N1643" s="19">
        <v>0.47262702977943466</v>
      </c>
      <c r="O1643" s="19">
        <v>0</v>
      </c>
      <c r="P1643" s="19">
        <v>0.24782120193084312</v>
      </c>
      <c r="Q1643" s="19">
        <v>1.2838646998677641E-2</v>
      </c>
      <c r="R1643" s="19">
        <v>5.1486562636148342E-2</v>
      </c>
      <c r="S1643" s="19">
        <v>3.3230939550351044E-3</v>
      </c>
      <c r="T1643" s="20">
        <v>23</v>
      </c>
      <c r="U1643" s="17">
        <v>2</v>
      </c>
      <c r="V1643" s="17">
        <v>34</v>
      </c>
    </row>
    <row r="1644" spans="1:22" x14ac:dyDescent="0.2">
      <c r="A1644" t="s">
        <v>4169</v>
      </c>
      <c r="B1644" t="s">
        <v>2719</v>
      </c>
      <c r="C1644" t="s">
        <v>2720</v>
      </c>
      <c r="D1644" t="s">
        <v>4155</v>
      </c>
      <c r="E1644" s="10" t="s">
        <v>3893</v>
      </c>
      <c r="F1644" s="10"/>
      <c r="G1644" s="10"/>
      <c r="H1644" s="10" t="s">
        <v>3893</v>
      </c>
      <c r="I1644" s="14">
        <v>8263.5311635136604</v>
      </c>
      <c r="J1644" s="19">
        <v>0</v>
      </c>
      <c r="K1644" s="19">
        <v>0.55604369720473446</v>
      </c>
      <c r="L1644" s="19">
        <v>0.44395630279526554</v>
      </c>
      <c r="M1644" s="20">
        <v>2</v>
      </c>
      <c r="N1644" s="19">
        <v>0</v>
      </c>
      <c r="O1644" s="19">
        <v>8.7948774754265005E-2</v>
      </c>
      <c r="P1644" s="19">
        <v>0.46809492245046941</v>
      </c>
      <c r="Q1644" s="19">
        <v>7.1611695092164335E-2</v>
      </c>
      <c r="R1644" s="19">
        <v>0.33776115897012715</v>
      </c>
      <c r="S1644" s="19">
        <v>3.4583448732974108E-2</v>
      </c>
      <c r="T1644" s="20">
        <v>22</v>
      </c>
      <c r="U1644" s="17">
        <v>2</v>
      </c>
      <c r="V1644" s="17">
        <v>34</v>
      </c>
    </row>
    <row r="1645" spans="1:22" x14ac:dyDescent="0.2">
      <c r="A1645" t="s">
        <v>4170</v>
      </c>
      <c r="B1645" t="s">
        <v>2719</v>
      </c>
      <c r="C1645" t="s">
        <v>2720</v>
      </c>
      <c r="D1645" t="s">
        <v>4155</v>
      </c>
      <c r="E1645" s="10" t="s">
        <v>4171</v>
      </c>
      <c r="F1645" s="10"/>
      <c r="G1645" s="10"/>
      <c r="H1645" s="10" t="s">
        <v>4171</v>
      </c>
      <c r="I1645" s="14">
        <v>23929.625810944475</v>
      </c>
      <c r="J1645" s="19">
        <v>0</v>
      </c>
      <c r="K1645" s="19">
        <v>0.85870064449650751</v>
      </c>
      <c r="L1645" s="19">
        <v>0.14129935550349251</v>
      </c>
      <c r="M1645" s="20">
        <v>2</v>
      </c>
      <c r="N1645" s="19">
        <v>0</v>
      </c>
      <c r="O1645" s="19">
        <v>0</v>
      </c>
      <c r="P1645" s="19">
        <v>0.85870064449650751</v>
      </c>
      <c r="Q1645" s="19">
        <v>0</v>
      </c>
      <c r="R1645" s="19">
        <v>0.13128779325789083</v>
      </c>
      <c r="S1645" s="19">
        <v>1.0011562245601671E-2</v>
      </c>
      <c r="T1645" s="20">
        <v>21</v>
      </c>
      <c r="U1645" s="17">
        <v>2</v>
      </c>
      <c r="V1645" s="17">
        <v>34</v>
      </c>
    </row>
    <row r="1646" spans="1:22" x14ac:dyDescent="0.2">
      <c r="A1646" t="s">
        <v>4172</v>
      </c>
      <c r="B1646" t="s">
        <v>2719</v>
      </c>
      <c r="C1646" t="s">
        <v>2720</v>
      </c>
      <c r="D1646" t="s">
        <v>4155</v>
      </c>
      <c r="E1646" s="10" t="s">
        <v>2950</v>
      </c>
      <c r="F1646" s="10"/>
      <c r="G1646" s="10"/>
      <c r="H1646" s="10" t="s">
        <v>2950</v>
      </c>
      <c r="I1646" s="14">
        <v>39126.008468908258</v>
      </c>
      <c r="J1646" s="19">
        <v>0</v>
      </c>
      <c r="K1646" s="19">
        <v>0.9532515595540777</v>
      </c>
      <c r="L1646" s="19">
        <v>4.6748440445922357E-2</v>
      </c>
      <c r="M1646" s="20">
        <v>2</v>
      </c>
      <c r="N1646" s="19">
        <v>0.39161760519512862</v>
      </c>
      <c r="O1646" s="19">
        <v>0</v>
      </c>
      <c r="P1646" s="19">
        <v>0.56163395435894903</v>
      </c>
      <c r="Q1646" s="19">
        <v>0</v>
      </c>
      <c r="R1646" s="19">
        <v>4.5242613580838149E-2</v>
      </c>
      <c r="S1646" s="19">
        <v>1.5058268650841983E-3</v>
      </c>
      <c r="T1646" s="20">
        <v>21</v>
      </c>
      <c r="U1646" s="17">
        <v>2</v>
      </c>
      <c r="V1646" s="17">
        <v>34</v>
      </c>
    </row>
    <row r="1647" spans="1:22" x14ac:dyDescent="0.2">
      <c r="A1647" t="s">
        <v>4173</v>
      </c>
      <c r="B1647" t="s">
        <v>2719</v>
      </c>
      <c r="C1647" t="s">
        <v>2720</v>
      </c>
      <c r="D1647" t="s">
        <v>4155</v>
      </c>
      <c r="E1647" s="10" t="s">
        <v>4108</v>
      </c>
      <c r="F1647" s="10"/>
      <c r="G1647" s="10"/>
      <c r="H1647" s="10" t="s">
        <v>4108</v>
      </c>
      <c r="I1647" s="14">
        <v>57669.623984608799</v>
      </c>
      <c r="J1647" s="19">
        <v>0</v>
      </c>
      <c r="K1647" s="19">
        <v>0.87973901165847168</v>
      </c>
      <c r="L1647" s="19">
        <v>0.12026098834152837</v>
      </c>
      <c r="M1647" s="20">
        <v>2</v>
      </c>
      <c r="N1647" s="19">
        <v>0.37786525031131118</v>
      </c>
      <c r="O1647" s="19">
        <v>0</v>
      </c>
      <c r="P1647" s="19">
        <v>0.50187376134716044</v>
      </c>
      <c r="Q1647" s="19">
        <v>8.9616198703677333E-3</v>
      </c>
      <c r="R1647" s="19">
        <v>0.10631242771386784</v>
      </c>
      <c r="S1647" s="19">
        <v>4.9869407572927784E-3</v>
      </c>
      <c r="T1647" s="20">
        <v>21</v>
      </c>
      <c r="U1647" s="17">
        <v>2</v>
      </c>
      <c r="V1647" s="17">
        <v>34</v>
      </c>
    </row>
    <row r="1648" spans="1:22" x14ac:dyDescent="0.2">
      <c r="A1648" t="s">
        <v>4174</v>
      </c>
      <c r="B1648" t="s">
        <v>2719</v>
      </c>
      <c r="C1648" t="s">
        <v>2720</v>
      </c>
      <c r="D1648" t="s">
        <v>4155</v>
      </c>
      <c r="E1648" s="10" t="s">
        <v>4175</v>
      </c>
      <c r="F1648" s="10"/>
      <c r="G1648" s="10"/>
      <c r="H1648" s="10" t="s">
        <v>4175</v>
      </c>
      <c r="I1648" s="14">
        <v>16406.397626992315</v>
      </c>
      <c r="J1648" s="19">
        <v>0</v>
      </c>
      <c r="K1648" s="19">
        <v>0.93244899665837266</v>
      </c>
      <c r="L1648" s="19">
        <v>6.7551003341627308E-2</v>
      </c>
      <c r="M1648" s="20">
        <v>2</v>
      </c>
      <c r="N1648" s="19">
        <v>0</v>
      </c>
      <c r="O1648" s="19">
        <v>0</v>
      </c>
      <c r="P1648" s="19">
        <v>0.93244899665837266</v>
      </c>
      <c r="Q1648" s="19">
        <v>4.5698550324955415E-5</v>
      </c>
      <c r="R1648" s="19">
        <v>5.450208876770795E-2</v>
      </c>
      <c r="S1648" s="19">
        <v>1.3003216023594399E-2</v>
      </c>
      <c r="T1648" s="20">
        <v>21</v>
      </c>
      <c r="U1648" s="17">
        <v>2</v>
      </c>
      <c r="V1648" s="17">
        <v>34</v>
      </c>
    </row>
    <row r="1649" spans="1:22" x14ac:dyDescent="0.2">
      <c r="A1649" t="s">
        <v>4176</v>
      </c>
      <c r="B1649" t="s">
        <v>2719</v>
      </c>
      <c r="C1649" t="s">
        <v>2720</v>
      </c>
      <c r="D1649" t="s">
        <v>4155</v>
      </c>
      <c r="E1649" s="10" t="s">
        <v>2815</v>
      </c>
      <c r="F1649" s="10"/>
      <c r="G1649" s="10"/>
      <c r="H1649" s="10" t="s">
        <v>2815</v>
      </c>
      <c r="I1649" s="14">
        <v>63021.846396418754</v>
      </c>
      <c r="J1649" s="19">
        <v>0</v>
      </c>
      <c r="K1649" s="19">
        <v>0.9688323048970684</v>
      </c>
      <c r="L1649" s="19">
        <v>3.1167695102931624E-2</v>
      </c>
      <c r="M1649" s="20">
        <v>2</v>
      </c>
      <c r="N1649" s="19">
        <v>0.4497669746293031</v>
      </c>
      <c r="O1649" s="19">
        <v>0</v>
      </c>
      <c r="P1649" s="19">
        <v>0.51906533026776525</v>
      </c>
      <c r="Q1649" s="19">
        <v>0</v>
      </c>
      <c r="R1649" s="19">
        <v>3.0494412258679854E-2</v>
      </c>
      <c r="S1649" s="19">
        <v>6.7328284425177264E-4</v>
      </c>
      <c r="T1649" s="20">
        <v>21</v>
      </c>
      <c r="U1649" s="17">
        <v>2</v>
      </c>
      <c r="V1649" s="17">
        <v>34</v>
      </c>
    </row>
    <row r="1650" spans="1:22" x14ac:dyDescent="0.2">
      <c r="A1650" t="s">
        <v>4177</v>
      </c>
      <c r="B1650" t="s">
        <v>2719</v>
      </c>
      <c r="C1650" t="s">
        <v>2720</v>
      </c>
      <c r="D1650" t="s">
        <v>4155</v>
      </c>
      <c r="E1650" s="10" t="s">
        <v>4178</v>
      </c>
      <c r="F1650" s="10"/>
      <c r="G1650" s="10"/>
      <c r="H1650" s="10" t="s">
        <v>4178</v>
      </c>
      <c r="I1650" s="14">
        <v>126607.45815819969</v>
      </c>
      <c r="J1650" s="19">
        <v>0.77740678366116722</v>
      </c>
      <c r="K1650" s="19">
        <v>0.15944398946274424</v>
      </c>
      <c r="L1650" s="19">
        <v>6.3149226876088399E-2</v>
      </c>
      <c r="M1650" s="20">
        <v>3</v>
      </c>
      <c r="N1650" s="19">
        <v>0</v>
      </c>
      <c r="O1650" s="19">
        <v>0</v>
      </c>
      <c r="P1650" s="19">
        <v>0.15944398946274424</v>
      </c>
      <c r="Q1650" s="19">
        <v>9.8485652479916776E-4</v>
      </c>
      <c r="R1650" s="19">
        <v>5.8671848692906751E-2</v>
      </c>
      <c r="S1650" s="19">
        <v>3.4925216583824776E-3</v>
      </c>
      <c r="T1650" s="20">
        <v>30</v>
      </c>
      <c r="U1650" s="17">
        <v>2</v>
      </c>
      <c r="V1650" s="17">
        <v>34</v>
      </c>
    </row>
    <row r="1651" spans="1:22" x14ac:dyDescent="0.2">
      <c r="A1651" t="s">
        <v>4179</v>
      </c>
      <c r="B1651" t="s">
        <v>2719</v>
      </c>
      <c r="C1651" t="s">
        <v>2720</v>
      </c>
      <c r="D1651" t="s">
        <v>4155</v>
      </c>
      <c r="E1651" s="10" t="s">
        <v>4180</v>
      </c>
      <c r="F1651" s="10"/>
      <c r="G1651" s="10"/>
      <c r="H1651" s="10" t="s">
        <v>4180</v>
      </c>
      <c r="I1651" s="14">
        <v>19498.106661193073</v>
      </c>
      <c r="J1651" s="19">
        <v>0</v>
      </c>
      <c r="K1651" s="19">
        <v>0.32654561495182199</v>
      </c>
      <c r="L1651" s="19">
        <v>0.67345438504817812</v>
      </c>
      <c r="M1651" s="20">
        <v>1</v>
      </c>
      <c r="N1651" s="19">
        <v>0</v>
      </c>
      <c r="O1651" s="19">
        <v>0</v>
      </c>
      <c r="P1651" s="19">
        <v>0.32654561495182199</v>
      </c>
      <c r="Q1651" s="19">
        <v>0.17541785448686581</v>
      </c>
      <c r="R1651" s="19">
        <v>0.43960542271388831</v>
      </c>
      <c r="S1651" s="19">
        <v>5.8431107847423877E-2</v>
      </c>
      <c r="T1651" s="20">
        <v>12</v>
      </c>
      <c r="U1651" s="17">
        <v>2</v>
      </c>
      <c r="V1651" s="17">
        <v>34</v>
      </c>
    </row>
    <row r="1652" spans="1:22" x14ac:dyDescent="0.2">
      <c r="A1652" t="s">
        <v>4181</v>
      </c>
      <c r="B1652" t="s">
        <v>2719</v>
      </c>
      <c r="C1652" t="s">
        <v>2720</v>
      </c>
      <c r="D1652" t="s">
        <v>4155</v>
      </c>
      <c r="E1652" s="10" t="s">
        <v>2764</v>
      </c>
      <c r="F1652" s="10"/>
      <c r="G1652" s="10"/>
      <c r="H1652" s="10" t="s">
        <v>2764</v>
      </c>
      <c r="I1652" s="14">
        <v>41553.804255743045</v>
      </c>
      <c r="J1652" s="19">
        <v>5.241668248203165E-2</v>
      </c>
      <c r="K1652" s="19">
        <v>0.90323637475400076</v>
      </c>
      <c r="L1652" s="19">
        <v>4.4346942763967577E-2</v>
      </c>
      <c r="M1652" s="20">
        <v>2</v>
      </c>
      <c r="N1652" s="19">
        <v>0.22352972921778788</v>
      </c>
      <c r="O1652" s="19">
        <v>0</v>
      </c>
      <c r="P1652" s="19">
        <v>0.67970664553621296</v>
      </c>
      <c r="Q1652" s="19">
        <v>0</v>
      </c>
      <c r="R1652" s="19">
        <v>4.2154727109531068E-2</v>
      </c>
      <c r="S1652" s="19">
        <v>2.1922156544365067E-3</v>
      </c>
      <c r="T1652" s="20">
        <v>21</v>
      </c>
      <c r="U1652" s="17">
        <v>2</v>
      </c>
      <c r="V1652" s="17">
        <v>34</v>
      </c>
    </row>
    <row r="1653" spans="1:22" x14ac:dyDescent="0.2">
      <c r="A1653" t="s">
        <v>4182</v>
      </c>
      <c r="B1653" t="s">
        <v>2719</v>
      </c>
      <c r="C1653" t="s">
        <v>2720</v>
      </c>
      <c r="D1653" t="s">
        <v>4155</v>
      </c>
      <c r="E1653" s="10" t="s">
        <v>3082</v>
      </c>
      <c r="F1653" s="10"/>
      <c r="G1653" s="10"/>
      <c r="H1653" s="10" t="s">
        <v>3082</v>
      </c>
      <c r="I1653" s="14">
        <v>42591.829955650494</v>
      </c>
      <c r="J1653" s="19">
        <v>1.4384705711803537E-3</v>
      </c>
      <c r="K1653" s="19">
        <v>0.93854079485505393</v>
      </c>
      <c r="L1653" s="19">
        <v>6.002073457376577E-2</v>
      </c>
      <c r="M1653" s="20">
        <v>2</v>
      </c>
      <c r="N1653" s="19">
        <v>0.22543636023741662</v>
      </c>
      <c r="O1653" s="19">
        <v>0</v>
      </c>
      <c r="P1653" s="19">
        <v>0.71310443461763728</v>
      </c>
      <c r="Q1653" s="19">
        <v>0</v>
      </c>
      <c r="R1653" s="19">
        <v>5.9241745967871164E-2</v>
      </c>
      <c r="S1653" s="19">
        <v>7.7898860589460835E-4</v>
      </c>
      <c r="T1653" s="20">
        <v>21</v>
      </c>
      <c r="U1653" s="17">
        <v>2</v>
      </c>
      <c r="V1653" s="17">
        <v>34</v>
      </c>
    </row>
    <row r="1654" spans="1:22" x14ac:dyDescent="0.2">
      <c r="A1654" t="s">
        <v>4183</v>
      </c>
      <c r="B1654" t="s">
        <v>2719</v>
      </c>
      <c r="C1654" t="s">
        <v>2720</v>
      </c>
      <c r="D1654" t="s">
        <v>4155</v>
      </c>
      <c r="E1654" s="10" t="s">
        <v>4184</v>
      </c>
      <c r="F1654" s="10"/>
      <c r="G1654" s="10"/>
      <c r="H1654" s="10" t="s">
        <v>4184</v>
      </c>
      <c r="I1654" s="14">
        <v>13634.927489286289</v>
      </c>
      <c r="J1654" s="19">
        <v>0</v>
      </c>
      <c r="K1654" s="19">
        <v>0.41518131331384184</v>
      </c>
      <c r="L1654" s="19">
        <v>0.58481868668615822</v>
      </c>
      <c r="M1654" s="20">
        <v>1</v>
      </c>
      <c r="N1654" s="19">
        <v>0</v>
      </c>
      <c r="O1654" s="19">
        <v>0</v>
      </c>
      <c r="P1654" s="19">
        <v>0.41518131331384184</v>
      </c>
      <c r="Q1654" s="19">
        <v>0.13401048113493694</v>
      </c>
      <c r="R1654" s="19">
        <v>0.40696488341706616</v>
      </c>
      <c r="S1654" s="19">
        <v>4.3843322134155115E-2</v>
      </c>
      <c r="T1654" s="20">
        <v>12</v>
      </c>
      <c r="U1654" s="17">
        <v>2</v>
      </c>
      <c r="V1654" s="17">
        <v>34</v>
      </c>
    </row>
    <row r="1655" spans="1:22" x14ac:dyDescent="0.2">
      <c r="A1655" t="s">
        <v>4185</v>
      </c>
      <c r="B1655" t="s">
        <v>2719</v>
      </c>
      <c r="C1655" t="s">
        <v>2720</v>
      </c>
      <c r="D1655" t="s">
        <v>4155</v>
      </c>
      <c r="E1655" s="10" t="s">
        <v>4186</v>
      </c>
      <c r="F1655" s="10"/>
      <c r="G1655" s="10"/>
      <c r="H1655" s="10" t="s">
        <v>4186</v>
      </c>
      <c r="I1655" s="14">
        <v>19140.774257943965</v>
      </c>
      <c r="J1655" s="19">
        <v>0</v>
      </c>
      <c r="K1655" s="19">
        <v>0.48317655704795692</v>
      </c>
      <c r="L1655" s="19">
        <v>0.51682344295204308</v>
      </c>
      <c r="M1655" s="20">
        <v>1</v>
      </c>
      <c r="N1655" s="19">
        <v>0</v>
      </c>
      <c r="O1655" s="19">
        <v>0</v>
      </c>
      <c r="P1655" s="19">
        <v>0.48317655704795692</v>
      </c>
      <c r="Q1655" s="19">
        <v>0.3629294098492391</v>
      </c>
      <c r="R1655" s="19">
        <v>0.13009799227581739</v>
      </c>
      <c r="S1655" s="19">
        <v>2.3796040826986577E-2</v>
      </c>
      <c r="T1655" s="20">
        <v>13</v>
      </c>
      <c r="U1655" s="17">
        <v>2</v>
      </c>
      <c r="V1655" s="17">
        <v>34</v>
      </c>
    </row>
    <row r="1656" spans="1:22" x14ac:dyDescent="0.2">
      <c r="A1656" t="s">
        <v>4187</v>
      </c>
      <c r="B1656" t="s">
        <v>2719</v>
      </c>
      <c r="C1656" t="s">
        <v>2720</v>
      </c>
      <c r="D1656" t="s">
        <v>4155</v>
      </c>
      <c r="E1656" s="10" t="s">
        <v>4188</v>
      </c>
      <c r="F1656" s="10"/>
      <c r="G1656" s="10"/>
      <c r="H1656" s="10" t="s">
        <v>4188</v>
      </c>
      <c r="I1656" s="14">
        <v>30615.299816836603</v>
      </c>
      <c r="J1656" s="19">
        <v>0</v>
      </c>
      <c r="K1656" s="19">
        <v>0.9550862270659638</v>
      </c>
      <c r="L1656" s="19">
        <v>4.4913772934036228E-2</v>
      </c>
      <c r="M1656" s="20">
        <v>2</v>
      </c>
      <c r="N1656" s="19">
        <v>0</v>
      </c>
      <c r="O1656" s="19">
        <v>0</v>
      </c>
      <c r="P1656" s="19">
        <v>0.9550862270659638</v>
      </c>
      <c r="Q1656" s="19">
        <v>0</v>
      </c>
      <c r="R1656" s="19">
        <v>3.9737605756499352E-2</v>
      </c>
      <c r="S1656" s="19">
        <v>5.1761671775368782E-3</v>
      </c>
      <c r="T1656" s="20">
        <v>21</v>
      </c>
      <c r="U1656" s="17">
        <v>2</v>
      </c>
      <c r="V1656" s="17">
        <v>34</v>
      </c>
    </row>
    <row r="1657" spans="1:22" x14ac:dyDescent="0.2">
      <c r="A1657" t="s">
        <v>4189</v>
      </c>
      <c r="B1657" t="s">
        <v>2719</v>
      </c>
      <c r="C1657" t="s">
        <v>2720</v>
      </c>
      <c r="D1657" t="s">
        <v>4190</v>
      </c>
      <c r="E1657" s="10" t="s">
        <v>4191</v>
      </c>
      <c r="F1657" s="10"/>
      <c r="G1657" s="10"/>
      <c r="H1657" s="10" t="s">
        <v>4191</v>
      </c>
      <c r="I1657" s="14">
        <v>58188.391800897196</v>
      </c>
      <c r="J1657" s="19">
        <v>0.53052597762870191</v>
      </c>
      <c r="K1657" s="19">
        <v>0.43360283953000073</v>
      </c>
      <c r="L1657" s="19">
        <v>3.5871182841297374E-2</v>
      </c>
      <c r="M1657" s="20">
        <v>3</v>
      </c>
      <c r="N1657" s="19">
        <v>2.6901602453051764E-3</v>
      </c>
      <c r="O1657" s="19">
        <v>0</v>
      </c>
      <c r="P1657" s="19">
        <v>0.43091267928469551</v>
      </c>
      <c r="Q1657" s="19">
        <v>0</v>
      </c>
      <c r="R1657" s="19">
        <v>3.4670969193891461E-2</v>
      </c>
      <c r="S1657" s="19">
        <v>1.2002136474059128E-3</v>
      </c>
      <c r="T1657" s="20">
        <v>30</v>
      </c>
      <c r="U1657" s="17">
        <v>2</v>
      </c>
      <c r="V1657" s="17">
        <v>34</v>
      </c>
    </row>
    <row r="1658" spans="1:22" x14ac:dyDescent="0.2">
      <c r="A1658" t="s">
        <v>4192</v>
      </c>
      <c r="B1658" t="s">
        <v>2719</v>
      </c>
      <c r="C1658" t="s">
        <v>2720</v>
      </c>
      <c r="D1658" t="s">
        <v>4190</v>
      </c>
      <c r="E1658" s="10" t="s">
        <v>4193</v>
      </c>
      <c r="F1658" s="10"/>
      <c r="G1658" s="10"/>
      <c r="H1658" s="10" t="s">
        <v>4193</v>
      </c>
      <c r="I1658" s="14">
        <v>75532.256474778056</v>
      </c>
      <c r="J1658" s="19">
        <v>0.55148066775133886</v>
      </c>
      <c r="K1658" s="19">
        <v>0.43456849417121179</v>
      </c>
      <c r="L1658" s="19">
        <v>1.3950838077449356E-2</v>
      </c>
      <c r="M1658" s="20">
        <v>3</v>
      </c>
      <c r="N1658" s="19">
        <v>0.2639056639490257</v>
      </c>
      <c r="O1658" s="19">
        <v>0</v>
      </c>
      <c r="P1658" s="19">
        <v>0.17066283022218606</v>
      </c>
      <c r="Q1658" s="19">
        <v>0</v>
      </c>
      <c r="R1658" s="19">
        <v>1.2602753593981351E-2</v>
      </c>
      <c r="S1658" s="19">
        <v>1.3480844834680066E-3</v>
      </c>
      <c r="T1658" s="20">
        <v>30</v>
      </c>
      <c r="U1658" s="17">
        <v>2</v>
      </c>
      <c r="V1658" s="17">
        <v>34</v>
      </c>
    </row>
    <row r="1659" spans="1:22" x14ac:dyDescent="0.2">
      <c r="A1659" t="s">
        <v>4194</v>
      </c>
      <c r="B1659" t="s">
        <v>2719</v>
      </c>
      <c r="C1659" t="s">
        <v>2720</v>
      </c>
      <c r="D1659" t="s">
        <v>4190</v>
      </c>
      <c r="E1659" s="10" t="s">
        <v>4195</v>
      </c>
      <c r="F1659" s="10"/>
      <c r="G1659" s="10"/>
      <c r="H1659" s="10" t="s">
        <v>4195</v>
      </c>
      <c r="I1659" s="14">
        <v>387626.33133153955</v>
      </c>
      <c r="J1659" s="19">
        <v>0.99333262658398069</v>
      </c>
      <c r="K1659" s="19">
        <v>6.3643052101415229E-3</v>
      </c>
      <c r="L1659" s="19">
        <v>3.0306820587778176E-4</v>
      </c>
      <c r="M1659" s="20">
        <v>3</v>
      </c>
      <c r="N1659" s="19">
        <v>0</v>
      </c>
      <c r="O1659" s="19">
        <v>0</v>
      </c>
      <c r="P1659" s="19">
        <v>6.3643052101415229E-3</v>
      </c>
      <c r="Q1659" s="19">
        <v>0</v>
      </c>
      <c r="R1659" s="19">
        <v>2.1023885514646117E-4</v>
      </c>
      <c r="S1659" s="19">
        <v>9.2829350731320602E-5</v>
      </c>
      <c r="T1659" s="20">
        <v>30</v>
      </c>
      <c r="U1659" s="17">
        <v>2</v>
      </c>
      <c r="V1659" s="17">
        <v>34</v>
      </c>
    </row>
    <row r="1660" spans="1:22" x14ac:dyDescent="0.2">
      <c r="A1660" t="s">
        <v>4196</v>
      </c>
      <c r="B1660" t="s">
        <v>2719</v>
      </c>
      <c r="C1660" t="s">
        <v>2720</v>
      </c>
      <c r="D1660" t="s">
        <v>4190</v>
      </c>
      <c r="E1660" s="10" t="s">
        <v>4197</v>
      </c>
      <c r="F1660" s="10"/>
      <c r="G1660" s="10"/>
      <c r="H1660" s="10" t="s">
        <v>4197</v>
      </c>
      <c r="I1660" s="14">
        <v>337156.53798131435</v>
      </c>
      <c r="J1660" s="19">
        <v>0.98336420056109697</v>
      </c>
      <c r="K1660" s="19">
        <v>1.4087730645152804E-2</v>
      </c>
      <c r="L1660" s="19">
        <v>2.548068793750231E-3</v>
      </c>
      <c r="M1660" s="20">
        <v>3</v>
      </c>
      <c r="N1660" s="19">
        <v>0</v>
      </c>
      <c r="O1660" s="19">
        <v>0</v>
      </c>
      <c r="P1660" s="19">
        <v>1.4087730645152804E-2</v>
      </c>
      <c r="Q1660" s="19">
        <v>0</v>
      </c>
      <c r="R1660" s="19">
        <v>2.5465152609416503E-3</v>
      </c>
      <c r="S1660" s="19">
        <v>1.553532808580829E-6</v>
      </c>
      <c r="T1660" s="20">
        <v>30</v>
      </c>
      <c r="U1660" s="17">
        <v>2</v>
      </c>
      <c r="V1660" s="17">
        <v>34</v>
      </c>
    </row>
    <row r="1661" spans="1:22" x14ac:dyDescent="0.2">
      <c r="A1661" t="s">
        <v>4198</v>
      </c>
      <c r="B1661" t="s">
        <v>2719</v>
      </c>
      <c r="C1661" t="s">
        <v>2720</v>
      </c>
      <c r="D1661" t="s">
        <v>4190</v>
      </c>
      <c r="E1661" s="10" t="s">
        <v>4199</v>
      </c>
      <c r="F1661" s="10"/>
      <c r="G1661" s="10"/>
      <c r="H1661" s="10" t="s">
        <v>4199</v>
      </c>
      <c r="I1661" s="14">
        <v>538035.35287168482</v>
      </c>
      <c r="J1661" s="19">
        <v>0.89912201214449838</v>
      </c>
      <c r="K1661" s="19">
        <v>9.5491891609942522E-2</v>
      </c>
      <c r="L1661" s="19">
        <v>5.3860962455592413E-3</v>
      </c>
      <c r="M1661" s="20">
        <v>3</v>
      </c>
      <c r="N1661" s="19">
        <v>2.8167765128694181E-2</v>
      </c>
      <c r="O1661" s="19">
        <v>0</v>
      </c>
      <c r="P1661" s="19">
        <v>6.7324126481248331E-2</v>
      </c>
      <c r="Q1661" s="19">
        <v>0</v>
      </c>
      <c r="R1661" s="19">
        <v>5.3857174775024941E-3</v>
      </c>
      <c r="S1661" s="19">
        <v>3.7876805674665122E-7</v>
      </c>
      <c r="T1661" s="20">
        <v>30</v>
      </c>
      <c r="U1661" s="17">
        <v>2</v>
      </c>
      <c r="V1661" s="17">
        <v>34</v>
      </c>
    </row>
    <row r="1662" spans="1:22" x14ac:dyDescent="0.2">
      <c r="A1662" t="s">
        <v>4200</v>
      </c>
      <c r="B1662" t="s">
        <v>2719</v>
      </c>
      <c r="C1662" t="s">
        <v>2720</v>
      </c>
      <c r="D1662" t="s">
        <v>4190</v>
      </c>
      <c r="E1662" s="10" t="s">
        <v>4201</v>
      </c>
      <c r="F1662" s="10"/>
      <c r="G1662" s="10"/>
      <c r="H1662" s="10" t="s">
        <v>4201</v>
      </c>
      <c r="I1662" s="14">
        <v>129940.40210827252</v>
      </c>
      <c r="J1662" s="19">
        <v>0.7948135950189944</v>
      </c>
      <c r="K1662" s="19">
        <v>0.18571598586880975</v>
      </c>
      <c r="L1662" s="19">
        <v>1.947041911219596E-2</v>
      </c>
      <c r="M1662" s="20">
        <v>3</v>
      </c>
      <c r="N1662" s="19">
        <v>2.4007025748349661E-2</v>
      </c>
      <c r="O1662" s="19">
        <v>0</v>
      </c>
      <c r="P1662" s="19">
        <v>0.1617089601204601</v>
      </c>
      <c r="Q1662" s="19">
        <v>0</v>
      </c>
      <c r="R1662" s="19">
        <v>1.8301367833433623E-2</v>
      </c>
      <c r="S1662" s="19">
        <v>1.1690512787623395E-3</v>
      </c>
      <c r="T1662" s="20">
        <v>30</v>
      </c>
      <c r="U1662" s="17">
        <v>2</v>
      </c>
      <c r="V1662" s="17">
        <v>34</v>
      </c>
    </row>
    <row r="1663" spans="1:22" x14ac:dyDescent="0.2">
      <c r="A1663" t="s">
        <v>4202</v>
      </c>
      <c r="B1663" t="s">
        <v>2719</v>
      </c>
      <c r="C1663" t="s">
        <v>2720</v>
      </c>
      <c r="D1663" t="s">
        <v>4190</v>
      </c>
      <c r="E1663" s="10" t="s">
        <v>4203</v>
      </c>
      <c r="F1663" s="10"/>
      <c r="G1663" s="10"/>
      <c r="H1663" s="10" t="s">
        <v>4203</v>
      </c>
      <c r="I1663" s="14">
        <v>25946.568923037499</v>
      </c>
      <c r="J1663" s="19">
        <v>0</v>
      </c>
      <c r="K1663" s="19">
        <v>0.82405156624855536</v>
      </c>
      <c r="L1663" s="19">
        <v>0.17594843375144467</v>
      </c>
      <c r="M1663" s="20">
        <v>2</v>
      </c>
      <c r="N1663" s="19">
        <v>0.47191643785305065</v>
      </c>
      <c r="O1663" s="19">
        <v>0</v>
      </c>
      <c r="P1663" s="19">
        <v>0.3521351283955047</v>
      </c>
      <c r="Q1663" s="19">
        <v>6.4616964407108082E-2</v>
      </c>
      <c r="R1663" s="19">
        <v>0.10015801361846771</v>
      </c>
      <c r="S1663" s="19">
        <v>1.1173455725868878E-2</v>
      </c>
      <c r="T1663" s="20">
        <v>23</v>
      </c>
      <c r="U1663" s="17">
        <v>2</v>
      </c>
      <c r="V1663" s="17">
        <v>34</v>
      </c>
    </row>
    <row r="1664" spans="1:22" x14ac:dyDescent="0.2">
      <c r="A1664" t="s">
        <v>4204</v>
      </c>
      <c r="B1664" t="s">
        <v>2719</v>
      </c>
      <c r="C1664" t="s">
        <v>2720</v>
      </c>
      <c r="D1664" t="s">
        <v>4190</v>
      </c>
      <c r="E1664" s="10" t="s">
        <v>4205</v>
      </c>
      <c r="F1664" s="10"/>
      <c r="G1664" s="10"/>
      <c r="H1664" s="10" t="s">
        <v>4205</v>
      </c>
      <c r="I1664" s="14">
        <v>20708.02265188843</v>
      </c>
      <c r="J1664" s="19">
        <v>0</v>
      </c>
      <c r="K1664" s="19">
        <v>0.94133397995032542</v>
      </c>
      <c r="L1664" s="19">
        <v>5.8666020049674597E-2</v>
      </c>
      <c r="M1664" s="20">
        <v>2</v>
      </c>
      <c r="N1664" s="19">
        <v>0.66181113469882125</v>
      </c>
      <c r="O1664" s="19">
        <v>0</v>
      </c>
      <c r="P1664" s="19">
        <v>0.27952284525150423</v>
      </c>
      <c r="Q1664" s="19">
        <v>0</v>
      </c>
      <c r="R1664" s="19">
        <v>5.2939622141428361E-2</v>
      </c>
      <c r="S1664" s="19">
        <v>5.726397908246238E-3</v>
      </c>
      <c r="T1664" s="20">
        <v>23</v>
      </c>
      <c r="U1664" s="17">
        <v>2</v>
      </c>
      <c r="V1664" s="17">
        <v>34</v>
      </c>
    </row>
    <row r="1665" spans="1:22" x14ac:dyDescent="0.2">
      <c r="A1665" t="s">
        <v>4206</v>
      </c>
      <c r="B1665" t="s">
        <v>2719</v>
      </c>
      <c r="C1665" t="s">
        <v>2720</v>
      </c>
      <c r="D1665" t="s">
        <v>4190</v>
      </c>
      <c r="E1665" s="10" t="s">
        <v>4207</v>
      </c>
      <c r="F1665" s="10"/>
      <c r="G1665" s="10"/>
      <c r="H1665" s="10" t="s">
        <v>4207</v>
      </c>
      <c r="I1665" s="14">
        <v>25303.286277741194</v>
      </c>
      <c r="J1665" s="19">
        <v>0.50686755923191118</v>
      </c>
      <c r="K1665" s="19">
        <v>0.45829258331846401</v>
      </c>
      <c r="L1665" s="19">
        <v>3.4839857449624839E-2</v>
      </c>
      <c r="M1665" s="20">
        <v>3</v>
      </c>
      <c r="N1665" s="19">
        <v>0.3401409380310591</v>
      </c>
      <c r="O1665" s="19">
        <v>0</v>
      </c>
      <c r="P1665" s="19">
        <v>0.11815164528740495</v>
      </c>
      <c r="Q1665" s="19">
        <v>0</v>
      </c>
      <c r="R1665" s="19">
        <v>2.9526629768528347E-2</v>
      </c>
      <c r="S1665" s="19">
        <v>5.3132276810964963E-3</v>
      </c>
      <c r="T1665" s="20">
        <v>30</v>
      </c>
      <c r="U1665" s="17">
        <v>2</v>
      </c>
      <c r="V1665" s="17">
        <v>34</v>
      </c>
    </row>
    <row r="1666" spans="1:22" x14ac:dyDescent="0.2">
      <c r="A1666" t="s">
        <v>4208</v>
      </c>
      <c r="B1666" t="s">
        <v>2719</v>
      </c>
      <c r="C1666" t="s">
        <v>2720</v>
      </c>
      <c r="D1666" t="s">
        <v>4190</v>
      </c>
      <c r="E1666" s="10" t="s">
        <v>4209</v>
      </c>
      <c r="F1666" s="10"/>
      <c r="G1666" s="10"/>
      <c r="H1666" s="10" t="s">
        <v>4209</v>
      </c>
      <c r="I1666" s="14">
        <v>0</v>
      </c>
      <c r="J1666" s="19">
        <v>0</v>
      </c>
      <c r="K1666" s="19">
        <v>0</v>
      </c>
      <c r="L1666" s="19">
        <v>0</v>
      </c>
      <c r="M1666" s="20">
        <v>1</v>
      </c>
      <c r="N1666" s="19">
        <v>0</v>
      </c>
      <c r="O1666" s="19">
        <v>0</v>
      </c>
      <c r="P1666" s="19">
        <v>0</v>
      </c>
      <c r="Q1666" s="19">
        <v>0</v>
      </c>
      <c r="R1666" s="19">
        <v>0</v>
      </c>
      <c r="S1666" s="19">
        <v>0</v>
      </c>
      <c r="T1666" s="20">
        <v>11</v>
      </c>
      <c r="U1666" s="17">
        <v>2</v>
      </c>
      <c r="V1666" s="17">
        <v>34</v>
      </c>
    </row>
    <row r="1667" spans="1:22" x14ac:dyDescent="0.2">
      <c r="A1667" t="s">
        <v>4210</v>
      </c>
      <c r="B1667" t="s">
        <v>2719</v>
      </c>
      <c r="C1667" t="s">
        <v>2720</v>
      </c>
      <c r="D1667" t="s">
        <v>4190</v>
      </c>
      <c r="E1667" s="10" t="s">
        <v>4211</v>
      </c>
      <c r="F1667" s="10"/>
      <c r="G1667" s="10"/>
      <c r="H1667" s="10" t="s">
        <v>4211</v>
      </c>
      <c r="I1667" s="14">
        <v>41417.899025416933</v>
      </c>
      <c r="J1667" s="19">
        <v>0.34038389248729939</v>
      </c>
      <c r="K1667" s="19">
        <v>0.65410820382415269</v>
      </c>
      <c r="L1667" s="19">
        <v>5.5079036885479086E-3</v>
      </c>
      <c r="M1667" s="20">
        <v>2</v>
      </c>
      <c r="N1667" s="19">
        <v>0.36910205997402573</v>
      </c>
      <c r="O1667" s="19">
        <v>0</v>
      </c>
      <c r="P1667" s="19">
        <v>0.28500614385012696</v>
      </c>
      <c r="Q1667" s="19">
        <v>0</v>
      </c>
      <c r="R1667" s="19">
        <v>5.2946874436559169E-3</v>
      </c>
      <c r="S1667" s="19">
        <v>2.1321624489198992E-4</v>
      </c>
      <c r="T1667" s="20">
        <v>23</v>
      </c>
      <c r="U1667" s="17">
        <v>2</v>
      </c>
      <c r="V1667" s="17">
        <v>34</v>
      </c>
    </row>
    <row r="1668" spans="1:22" x14ac:dyDescent="0.2">
      <c r="A1668" t="s">
        <v>4212</v>
      </c>
      <c r="B1668" t="s">
        <v>2719</v>
      </c>
      <c r="C1668" t="s">
        <v>2720</v>
      </c>
      <c r="D1668" t="s">
        <v>4190</v>
      </c>
      <c r="E1668" s="10" t="s">
        <v>4213</v>
      </c>
      <c r="F1668" s="10"/>
      <c r="G1668" s="10"/>
      <c r="H1668" s="10" t="s">
        <v>4213</v>
      </c>
      <c r="I1668" s="14">
        <v>41809.108061206527</v>
      </c>
      <c r="J1668" s="19">
        <v>0.64583800526363677</v>
      </c>
      <c r="K1668" s="19">
        <v>0.33425071683254493</v>
      </c>
      <c r="L1668" s="19">
        <v>1.9911277903818261E-2</v>
      </c>
      <c r="M1668" s="20">
        <v>3</v>
      </c>
      <c r="N1668" s="19">
        <v>0.20706514417052968</v>
      </c>
      <c r="O1668" s="19">
        <v>0</v>
      </c>
      <c r="P1668" s="19">
        <v>0.12718557266201524</v>
      </c>
      <c r="Q1668" s="19">
        <v>0</v>
      </c>
      <c r="R1668" s="19">
        <v>1.9115682801520848E-2</v>
      </c>
      <c r="S1668" s="19">
        <v>7.9559510229741854E-4</v>
      </c>
      <c r="T1668" s="20">
        <v>30</v>
      </c>
      <c r="U1668" s="17">
        <v>2</v>
      </c>
      <c r="V1668" s="17">
        <v>34</v>
      </c>
    </row>
    <row r="1669" spans="1:22" x14ac:dyDescent="0.2">
      <c r="A1669" t="s">
        <v>4214</v>
      </c>
      <c r="B1669" t="s">
        <v>2719</v>
      </c>
      <c r="C1669" t="s">
        <v>2720</v>
      </c>
      <c r="D1669" t="s">
        <v>4190</v>
      </c>
      <c r="E1669" s="10" t="s">
        <v>4215</v>
      </c>
      <c r="F1669" s="10"/>
      <c r="G1669" s="10"/>
      <c r="H1669" s="10" t="s">
        <v>4215</v>
      </c>
      <c r="I1669" s="14">
        <v>129328.76890326664</v>
      </c>
      <c r="J1669" s="19">
        <v>0.90022769993655449</v>
      </c>
      <c r="K1669" s="19">
        <v>8.612403113941082E-2</v>
      </c>
      <c r="L1669" s="19">
        <v>1.3648268924034715E-2</v>
      </c>
      <c r="M1669" s="20">
        <v>3</v>
      </c>
      <c r="N1669" s="19">
        <v>6.5351843886310101E-2</v>
      </c>
      <c r="O1669" s="19">
        <v>0</v>
      </c>
      <c r="P1669" s="19">
        <v>2.0772187253100708E-2</v>
      </c>
      <c r="Q1669" s="19">
        <v>0</v>
      </c>
      <c r="R1669" s="19">
        <v>1.3445352144121053E-2</v>
      </c>
      <c r="S1669" s="19">
        <v>2.0291677991366255E-4</v>
      </c>
      <c r="T1669" s="20">
        <v>30</v>
      </c>
      <c r="U1669" s="17">
        <v>2</v>
      </c>
      <c r="V1669" s="17">
        <v>34</v>
      </c>
    </row>
    <row r="1670" spans="1:22" x14ac:dyDescent="0.2">
      <c r="A1670" t="s">
        <v>4216</v>
      </c>
      <c r="B1670" t="s">
        <v>2719</v>
      </c>
      <c r="C1670" t="s">
        <v>2720</v>
      </c>
      <c r="D1670" t="s">
        <v>4190</v>
      </c>
      <c r="E1670" s="10" t="s">
        <v>4217</v>
      </c>
      <c r="F1670" s="10"/>
      <c r="G1670" s="10"/>
      <c r="H1670" s="10" t="s">
        <v>4217</v>
      </c>
      <c r="I1670" s="14">
        <v>25919.618595860898</v>
      </c>
      <c r="J1670" s="19">
        <v>0</v>
      </c>
      <c r="K1670" s="19">
        <v>0.75818798284511812</v>
      </c>
      <c r="L1670" s="19">
        <v>0.24181201715488193</v>
      </c>
      <c r="M1670" s="20">
        <v>2</v>
      </c>
      <c r="N1670" s="19">
        <v>0.56306745169398109</v>
      </c>
      <c r="O1670" s="19">
        <v>0</v>
      </c>
      <c r="P1670" s="19">
        <v>0.19512053115113698</v>
      </c>
      <c r="Q1670" s="19">
        <v>0.15628312607706707</v>
      </c>
      <c r="R1670" s="19">
        <v>7.7877618092178261E-2</v>
      </c>
      <c r="S1670" s="19">
        <v>7.6512729856365869E-3</v>
      </c>
      <c r="T1670" s="20">
        <v>23</v>
      </c>
      <c r="U1670" s="17">
        <v>2</v>
      </c>
      <c r="V1670" s="17">
        <v>34</v>
      </c>
    </row>
    <row r="1671" spans="1:22" x14ac:dyDescent="0.2">
      <c r="A1671" t="s">
        <v>4218</v>
      </c>
      <c r="B1671" t="s">
        <v>2719</v>
      </c>
      <c r="C1671" t="s">
        <v>2720</v>
      </c>
      <c r="D1671" t="s">
        <v>4190</v>
      </c>
      <c r="E1671" s="10" t="s">
        <v>4219</v>
      </c>
      <c r="F1671" s="10"/>
      <c r="G1671" s="10"/>
      <c r="H1671" s="10" t="s">
        <v>4219</v>
      </c>
      <c r="I1671" s="14">
        <v>37343.670792035758</v>
      </c>
      <c r="J1671" s="19">
        <v>0.93027710325274127</v>
      </c>
      <c r="K1671" s="19">
        <v>2.1620257648045479E-2</v>
      </c>
      <c r="L1671" s="19">
        <v>4.8102639099213237E-2</v>
      </c>
      <c r="M1671" s="20">
        <v>3</v>
      </c>
      <c r="N1671" s="19">
        <v>0</v>
      </c>
      <c r="O1671" s="19">
        <v>0</v>
      </c>
      <c r="P1671" s="19">
        <v>2.1620257648045479E-2</v>
      </c>
      <c r="Q1671" s="19">
        <v>0</v>
      </c>
      <c r="R1671" s="19">
        <v>4.1529325331943388E-2</v>
      </c>
      <c r="S1671" s="19">
        <v>6.5733137672698535E-3</v>
      </c>
      <c r="T1671" s="20">
        <v>30</v>
      </c>
      <c r="U1671" s="17">
        <v>2</v>
      </c>
      <c r="V1671" s="17">
        <v>34</v>
      </c>
    </row>
    <row r="1672" spans="1:22" x14ac:dyDescent="0.2">
      <c r="A1672" t="s">
        <v>4220</v>
      </c>
      <c r="B1672" t="s">
        <v>2719</v>
      </c>
      <c r="C1672" t="s">
        <v>2720</v>
      </c>
      <c r="D1672" t="s">
        <v>4190</v>
      </c>
      <c r="E1672" s="10" t="s">
        <v>4221</v>
      </c>
      <c r="F1672" s="10"/>
      <c r="G1672" s="10"/>
      <c r="H1672" s="10" t="s">
        <v>4221</v>
      </c>
      <c r="I1672" s="14">
        <v>24307.091347411275</v>
      </c>
      <c r="J1672" s="19">
        <v>0</v>
      </c>
      <c r="K1672" s="19">
        <v>0.90862712528425416</v>
      </c>
      <c r="L1672" s="19">
        <v>9.1372874715745803E-2</v>
      </c>
      <c r="M1672" s="20">
        <v>2</v>
      </c>
      <c r="N1672" s="19">
        <v>6.7342738349325665E-2</v>
      </c>
      <c r="O1672" s="19">
        <v>0</v>
      </c>
      <c r="P1672" s="19">
        <v>0.84128438693492857</v>
      </c>
      <c r="Q1672" s="19">
        <v>2.3915783107226883E-2</v>
      </c>
      <c r="R1672" s="19">
        <v>6.0819522192669034E-2</v>
      </c>
      <c r="S1672" s="19">
        <v>6.63756941584988E-3</v>
      </c>
      <c r="T1672" s="20">
        <v>21</v>
      </c>
      <c r="U1672" s="17">
        <v>2</v>
      </c>
      <c r="V1672" s="17">
        <v>34</v>
      </c>
    </row>
    <row r="1673" spans="1:22" x14ac:dyDescent="0.2">
      <c r="A1673" t="s">
        <v>4222</v>
      </c>
      <c r="B1673" t="s">
        <v>2719</v>
      </c>
      <c r="C1673" t="s">
        <v>2720</v>
      </c>
      <c r="D1673" t="s">
        <v>4190</v>
      </c>
      <c r="E1673" s="10" t="s">
        <v>4223</v>
      </c>
      <c r="F1673" s="10"/>
      <c r="G1673" s="10"/>
      <c r="H1673" s="10" t="s">
        <v>4223</v>
      </c>
      <c r="I1673" s="14">
        <v>33451.816961543635</v>
      </c>
      <c r="J1673" s="19">
        <v>0</v>
      </c>
      <c r="K1673" s="19">
        <v>0.97086915815196306</v>
      </c>
      <c r="L1673" s="19">
        <v>2.9130841848036822E-2</v>
      </c>
      <c r="M1673" s="20">
        <v>2</v>
      </c>
      <c r="N1673" s="19">
        <v>0.6972585871691892</v>
      </c>
      <c r="O1673" s="19">
        <v>0</v>
      </c>
      <c r="P1673" s="19">
        <v>0.27361057098277403</v>
      </c>
      <c r="Q1673" s="19">
        <v>0</v>
      </c>
      <c r="R1673" s="19">
        <v>2.600040390425867E-2</v>
      </c>
      <c r="S1673" s="19">
        <v>3.1304379437781518E-3</v>
      </c>
      <c r="T1673" s="20">
        <v>23</v>
      </c>
      <c r="U1673" s="17">
        <v>2</v>
      </c>
      <c r="V1673" s="17">
        <v>34</v>
      </c>
    </row>
    <row r="1674" spans="1:22" x14ac:dyDescent="0.2">
      <c r="A1674" t="s">
        <v>4224</v>
      </c>
      <c r="B1674" t="s">
        <v>2719</v>
      </c>
      <c r="C1674" t="s">
        <v>2720</v>
      </c>
      <c r="D1674" t="s">
        <v>4190</v>
      </c>
      <c r="E1674" s="10" t="s">
        <v>4225</v>
      </c>
      <c r="F1674" s="10"/>
      <c r="G1674" s="10"/>
      <c r="H1674" s="10" t="s">
        <v>4225</v>
      </c>
      <c r="I1674" s="14">
        <v>36790.241148699075</v>
      </c>
      <c r="J1674" s="19">
        <v>0.35938142218219743</v>
      </c>
      <c r="K1674" s="19">
        <v>0.4990619659433071</v>
      </c>
      <c r="L1674" s="19">
        <v>0.14155661187449545</v>
      </c>
      <c r="M1674" s="20">
        <v>2</v>
      </c>
      <c r="N1674" s="19">
        <v>0</v>
      </c>
      <c r="O1674" s="19">
        <v>0</v>
      </c>
      <c r="P1674" s="19">
        <v>0.4990619659433071</v>
      </c>
      <c r="Q1674" s="19">
        <v>3.6430965700497017E-2</v>
      </c>
      <c r="R1674" s="19">
        <v>9.8936590773621949E-2</v>
      </c>
      <c r="S1674" s="19">
        <v>6.1890554003764852E-3</v>
      </c>
      <c r="T1674" s="20">
        <v>23</v>
      </c>
      <c r="U1674" s="17">
        <v>2</v>
      </c>
      <c r="V1674" s="17">
        <v>34</v>
      </c>
    </row>
    <row r="1675" spans="1:22" x14ac:dyDescent="0.2">
      <c r="A1675" t="s">
        <v>4226</v>
      </c>
      <c r="B1675" t="s">
        <v>2719</v>
      </c>
      <c r="C1675" t="s">
        <v>2720</v>
      </c>
      <c r="D1675" t="s">
        <v>4190</v>
      </c>
      <c r="E1675" s="10" t="s">
        <v>4227</v>
      </c>
      <c r="F1675" s="10"/>
      <c r="G1675" s="10"/>
      <c r="H1675" s="10" t="s">
        <v>4227</v>
      </c>
      <c r="I1675" s="14">
        <v>76985.91822878737</v>
      </c>
      <c r="J1675" s="19">
        <v>0.68376404053273221</v>
      </c>
      <c r="K1675" s="19">
        <v>0.29355885193131298</v>
      </c>
      <c r="L1675" s="19">
        <v>2.2677107535954786E-2</v>
      </c>
      <c r="M1675" s="20">
        <v>3</v>
      </c>
      <c r="N1675" s="19">
        <v>1.7472371626901899E-2</v>
      </c>
      <c r="O1675" s="19">
        <v>0</v>
      </c>
      <c r="P1675" s="19">
        <v>0.27608648030441113</v>
      </c>
      <c r="Q1675" s="19">
        <v>0</v>
      </c>
      <c r="R1675" s="19">
        <v>2.1339082757197862E-2</v>
      </c>
      <c r="S1675" s="19">
        <v>1.3380247787569226E-3</v>
      </c>
      <c r="T1675" s="20">
        <v>30</v>
      </c>
      <c r="U1675" s="17">
        <v>2</v>
      </c>
      <c r="V1675" s="17">
        <v>34</v>
      </c>
    </row>
    <row r="1676" spans="1:22" x14ac:dyDescent="0.2">
      <c r="A1676" t="s">
        <v>4228</v>
      </c>
      <c r="B1676" t="s">
        <v>2719</v>
      </c>
      <c r="C1676" t="s">
        <v>2720</v>
      </c>
      <c r="D1676" t="s">
        <v>4190</v>
      </c>
      <c r="E1676" s="10" t="s">
        <v>4229</v>
      </c>
      <c r="F1676" s="10"/>
      <c r="G1676" s="10"/>
      <c r="H1676" s="10" t="s">
        <v>4229</v>
      </c>
      <c r="I1676" s="14">
        <v>27292.762120295782</v>
      </c>
      <c r="J1676" s="19">
        <v>0</v>
      </c>
      <c r="K1676" s="19">
        <v>0.80576956637096508</v>
      </c>
      <c r="L1676" s="19">
        <v>0.19423043362903494</v>
      </c>
      <c r="M1676" s="20">
        <v>2</v>
      </c>
      <c r="N1676" s="19">
        <v>0.21912124235376931</v>
      </c>
      <c r="O1676" s="19">
        <v>0.56948200702650553</v>
      </c>
      <c r="P1676" s="19">
        <v>1.7166316990690197E-2</v>
      </c>
      <c r="Q1676" s="19">
        <v>5.580716380706955E-2</v>
      </c>
      <c r="R1676" s="19">
        <v>0.12816408264354864</v>
      </c>
      <c r="S1676" s="19">
        <v>1.0259187178416748E-2</v>
      </c>
      <c r="T1676" s="20">
        <v>22</v>
      </c>
      <c r="U1676" s="17">
        <v>2</v>
      </c>
      <c r="V1676" s="17">
        <v>34</v>
      </c>
    </row>
    <row r="1677" spans="1:22" x14ac:dyDescent="0.2">
      <c r="A1677" t="s">
        <v>4230</v>
      </c>
      <c r="B1677" t="s">
        <v>2719</v>
      </c>
      <c r="C1677" t="s">
        <v>2720</v>
      </c>
      <c r="D1677" t="s">
        <v>4190</v>
      </c>
      <c r="E1677" s="10" t="s">
        <v>4231</v>
      </c>
      <c r="F1677" s="10"/>
      <c r="G1677" s="10"/>
      <c r="H1677" s="10" t="s">
        <v>4231</v>
      </c>
      <c r="I1677" s="14">
        <v>52851.568889479153</v>
      </c>
      <c r="J1677" s="19">
        <v>0.78696781000635496</v>
      </c>
      <c r="K1677" s="19">
        <v>0.2022746459680976</v>
      </c>
      <c r="L1677" s="19">
        <v>1.0757544025547397E-2</v>
      </c>
      <c r="M1677" s="20">
        <v>3</v>
      </c>
      <c r="N1677" s="19">
        <v>4.314006987469224E-3</v>
      </c>
      <c r="O1677" s="19">
        <v>0</v>
      </c>
      <c r="P1677" s="19">
        <v>0.19796063898062838</v>
      </c>
      <c r="Q1677" s="19">
        <v>0</v>
      </c>
      <c r="R1677" s="19">
        <v>7.0337654531009092E-3</v>
      </c>
      <c r="S1677" s="19">
        <v>3.7237785724464879E-3</v>
      </c>
      <c r="T1677" s="20">
        <v>30</v>
      </c>
      <c r="U1677" s="17">
        <v>2</v>
      </c>
      <c r="V1677" s="17">
        <v>34</v>
      </c>
    </row>
    <row r="1678" spans="1:22" x14ac:dyDescent="0.2">
      <c r="A1678" t="s">
        <v>4232</v>
      </c>
      <c r="B1678" t="s">
        <v>2719</v>
      </c>
      <c r="C1678" t="s">
        <v>2720</v>
      </c>
      <c r="D1678" t="s">
        <v>4190</v>
      </c>
      <c r="E1678" s="10" t="s">
        <v>4233</v>
      </c>
      <c r="F1678" s="10"/>
      <c r="G1678" s="10"/>
      <c r="H1678" s="10" t="s">
        <v>4233</v>
      </c>
      <c r="I1678" s="14">
        <v>26319.749340785198</v>
      </c>
      <c r="J1678" s="19">
        <v>0</v>
      </c>
      <c r="K1678" s="19">
        <v>0.95574031173567986</v>
      </c>
      <c r="L1678" s="19">
        <v>4.4259688264320286E-2</v>
      </c>
      <c r="M1678" s="20">
        <v>2</v>
      </c>
      <c r="N1678" s="19">
        <v>0.61520238050293952</v>
      </c>
      <c r="O1678" s="19">
        <v>0.20861019680965567</v>
      </c>
      <c r="P1678" s="19">
        <v>0.13192773442308467</v>
      </c>
      <c r="Q1678" s="19">
        <v>0</v>
      </c>
      <c r="R1678" s="19">
        <v>3.9702216414396745E-2</v>
      </c>
      <c r="S1678" s="19">
        <v>4.5574718499235469E-3</v>
      </c>
      <c r="T1678" s="20">
        <v>23</v>
      </c>
      <c r="U1678" s="17">
        <v>2</v>
      </c>
      <c r="V1678" s="17">
        <v>34</v>
      </c>
    </row>
    <row r="1679" spans="1:22" x14ac:dyDescent="0.2">
      <c r="A1679" t="s">
        <v>4234</v>
      </c>
      <c r="B1679" t="s">
        <v>2719</v>
      </c>
      <c r="C1679" t="s">
        <v>2720</v>
      </c>
      <c r="D1679" t="s">
        <v>4190</v>
      </c>
      <c r="E1679" s="10" t="s">
        <v>4235</v>
      </c>
      <c r="F1679" s="10"/>
      <c r="G1679" s="10"/>
      <c r="H1679" s="10" t="s">
        <v>4235</v>
      </c>
      <c r="I1679" s="14">
        <v>10.603644713759422</v>
      </c>
      <c r="J1679" s="19">
        <v>0</v>
      </c>
      <c r="K1679" s="19">
        <v>1</v>
      </c>
      <c r="L1679" s="19">
        <v>0</v>
      </c>
      <c r="M1679" s="20">
        <v>2</v>
      </c>
      <c r="N1679" s="19">
        <v>1</v>
      </c>
      <c r="O1679" s="19">
        <v>0</v>
      </c>
      <c r="P1679" s="19">
        <v>0</v>
      </c>
      <c r="Q1679" s="19">
        <v>0</v>
      </c>
      <c r="R1679" s="19">
        <v>0</v>
      </c>
      <c r="S1679" s="19">
        <v>0</v>
      </c>
      <c r="T1679" s="20">
        <v>23</v>
      </c>
      <c r="U1679" s="17">
        <v>2</v>
      </c>
      <c r="V1679" s="17">
        <v>34</v>
      </c>
    </row>
    <row r="1680" spans="1:22" x14ac:dyDescent="0.2">
      <c r="A1680" t="s">
        <v>4236</v>
      </c>
      <c r="B1680" t="s">
        <v>2719</v>
      </c>
      <c r="C1680" t="s">
        <v>2720</v>
      </c>
      <c r="D1680" t="s">
        <v>4190</v>
      </c>
      <c r="E1680" s="10" t="s">
        <v>4237</v>
      </c>
      <c r="F1680" s="10"/>
      <c r="G1680" s="10"/>
      <c r="H1680" s="10" t="s">
        <v>4237</v>
      </c>
      <c r="I1680" s="14">
        <v>28094.858981584664</v>
      </c>
      <c r="J1680" s="19">
        <v>0</v>
      </c>
      <c r="K1680" s="19">
        <v>0.99070351140245583</v>
      </c>
      <c r="L1680" s="19">
        <v>9.2964885975441672E-3</v>
      </c>
      <c r="M1680" s="20">
        <v>2</v>
      </c>
      <c r="N1680" s="19">
        <v>0.70576565604549291</v>
      </c>
      <c r="O1680" s="19">
        <v>3.5910511662962115E-2</v>
      </c>
      <c r="P1680" s="19">
        <v>0.24902734369400084</v>
      </c>
      <c r="Q1680" s="19">
        <v>0</v>
      </c>
      <c r="R1680" s="19">
        <v>6.9775240706412599E-3</v>
      </c>
      <c r="S1680" s="19">
        <v>2.3189645269029069E-3</v>
      </c>
      <c r="T1680" s="20">
        <v>23</v>
      </c>
      <c r="U1680" s="17">
        <v>2</v>
      </c>
      <c r="V1680" s="17">
        <v>34</v>
      </c>
    </row>
    <row r="1681" spans="1:22" x14ac:dyDescent="0.2">
      <c r="A1681" t="s">
        <v>4238</v>
      </c>
      <c r="B1681" t="s">
        <v>2719</v>
      </c>
      <c r="C1681" t="s">
        <v>2720</v>
      </c>
      <c r="D1681" t="s">
        <v>4190</v>
      </c>
      <c r="E1681" s="10" t="s">
        <v>4239</v>
      </c>
      <c r="F1681" s="10"/>
      <c r="G1681" s="10"/>
      <c r="H1681" s="10" t="s">
        <v>4239</v>
      </c>
      <c r="I1681" s="14">
        <v>60352.619278716847</v>
      </c>
      <c r="J1681" s="19">
        <v>0.81737934746710428</v>
      </c>
      <c r="K1681" s="19">
        <v>0.17463088825222972</v>
      </c>
      <c r="L1681" s="19">
        <v>7.9897642806662957E-3</v>
      </c>
      <c r="M1681" s="20">
        <v>3</v>
      </c>
      <c r="N1681" s="19">
        <v>1.3454612018232426E-3</v>
      </c>
      <c r="O1681" s="19">
        <v>0</v>
      </c>
      <c r="P1681" s="19">
        <v>0.17328542705040648</v>
      </c>
      <c r="Q1681" s="19">
        <v>0</v>
      </c>
      <c r="R1681" s="19">
        <v>7.9897642806662957E-3</v>
      </c>
      <c r="S1681" s="19">
        <v>0</v>
      </c>
      <c r="T1681" s="20">
        <v>30</v>
      </c>
      <c r="U1681" s="17">
        <v>2</v>
      </c>
      <c r="V1681" s="17">
        <v>34</v>
      </c>
    </row>
    <row r="1682" spans="1:22" x14ac:dyDescent="0.2">
      <c r="A1682" t="s">
        <v>4240</v>
      </c>
      <c r="B1682" t="s">
        <v>2719</v>
      </c>
      <c r="C1682" t="s">
        <v>2720</v>
      </c>
      <c r="D1682" t="s">
        <v>4190</v>
      </c>
      <c r="E1682" s="10" t="s">
        <v>3368</v>
      </c>
      <c r="F1682" s="10"/>
      <c r="G1682" s="10"/>
      <c r="H1682" s="10" t="s">
        <v>3368</v>
      </c>
      <c r="I1682" s="14">
        <v>19096.312480166554</v>
      </c>
      <c r="J1682" s="19">
        <v>0.86121504856961151</v>
      </c>
      <c r="K1682" s="19">
        <v>8.7419639442693917E-2</v>
      </c>
      <c r="L1682" s="19">
        <v>5.1365311987694631E-2</v>
      </c>
      <c r="M1682" s="20">
        <v>3</v>
      </c>
      <c r="N1682" s="19">
        <v>0</v>
      </c>
      <c r="O1682" s="19">
        <v>0</v>
      </c>
      <c r="P1682" s="19">
        <v>8.7419639442693917E-2</v>
      </c>
      <c r="Q1682" s="19">
        <v>3.3514076903531996E-2</v>
      </c>
      <c r="R1682" s="19">
        <v>1.4592205656268247E-2</v>
      </c>
      <c r="S1682" s="19">
        <v>3.2590294278943841E-3</v>
      </c>
      <c r="T1682" s="20">
        <v>30</v>
      </c>
      <c r="U1682" s="17">
        <v>2</v>
      </c>
      <c r="V1682" s="17">
        <v>34</v>
      </c>
    </row>
    <row r="1683" spans="1:22" x14ac:dyDescent="0.2">
      <c r="A1683" t="s">
        <v>4241</v>
      </c>
      <c r="B1683" t="s">
        <v>2719</v>
      </c>
      <c r="C1683" t="s">
        <v>2720</v>
      </c>
      <c r="D1683" t="s">
        <v>4190</v>
      </c>
      <c r="E1683" s="10" t="s">
        <v>4242</v>
      </c>
      <c r="F1683" s="10"/>
      <c r="G1683" s="10"/>
      <c r="H1683" s="10" t="s">
        <v>4242</v>
      </c>
      <c r="I1683" s="14">
        <v>2229.3306409753859</v>
      </c>
      <c r="J1683" s="19">
        <v>1</v>
      </c>
      <c r="K1683" s="19">
        <v>0</v>
      </c>
      <c r="L1683" s="19">
        <v>0</v>
      </c>
      <c r="M1683" s="20">
        <v>3</v>
      </c>
      <c r="N1683" s="19">
        <v>0</v>
      </c>
      <c r="O1683" s="19">
        <v>0</v>
      </c>
      <c r="P1683" s="19">
        <v>0</v>
      </c>
      <c r="Q1683" s="19">
        <v>0</v>
      </c>
      <c r="R1683" s="19">
        <v>0</v>
      </c>
      <c r="S1683" s="19">
        <v>0</v>
      </c>
      <c r="T1683" s="20">
        <v>30</v>
      </c>
      <c r="U1683" s="17">
        <v>2</v>
      </c>
      <c r="V1683" s="17">
        <v>34</v>
      </c>
    </row>
    <row r="1684" spans="1:22" x14ac:dyDescent="0.2">
      <c r="A1684" t="s">
        <v>4243</v>
      </c>
      <c r="B1684" t="s">
        <v>2719</v>
      </c>
      <c r="C1684" t="s">
        <v>2720</v>
      </c>
      <c r="D1684" t="s">
        <v>4190</v>
      </c>
      <c r="E1684" s="10" t="s">
        <v>4244</v>
      </c>
      <c r="F1684" s="10"/>
      <c r="G1684" s="10"/>
      <c r="H1684" s="10" t="s">
        <v>4244</v>
      </c>
      <c r="I1684" s="14">
        <v>318493.65985020623</v>
      </c>
      <c r="J1684" s="19">
        <v>0.66211618733560262</v>
      </c>
      <c r="K1684" s="19">
        <v>0.32071911861758201</v>
      </c>
      <c r="L1684" s="19">
        <v>1.7164694046815393E-2</v>
      </c>
      <c r="M1684" s="20">
        <v>3</v>
      </c>
      <c r="N1684" s="19">
        <v>0.11871748518643453</v>
      </c>
      <c r="O1684" s="19">
        <v>0</v>
      </c>
      <c r="P1684" s="19">
        <v>0.20200163343114749</v>
      </c>
      <c r="Q1684" s="19">
        <v>5.4168726587751426E-3</v>
      </c>
      <c r="R1684" s="19">
        <v>1.1211438495371937E-2</v>
      </c>
      <c r="S1684" s="19">
        <v>5.3638289266831282E-4</v>
      </c>
      <c r="T1684" s="20">
        <v>30</v>
      </c>
      <c r="U1684" s="17">
        <v>2</v>
      </c>
      <c r="V1684" s="17">
        <v>34</v>
      </c>
    </row>
    <row r="1685" spans="1:22" x14ac:dyDescent="0.2">
      <c r="A1685" t="s">
        <v>4245</v>
      </c>
      <c r="B1685" t="s">
        <v>2719</v>
      </c>
      <c r="C1685" t="s">
        <v>2720</v>
      </c>
      <c r="D1685" t="s">
        <v>4190</v>
      </c>
      <c r="E1685" s="10" t="s">
        <v>4246</v>
      </c>
      <c r="F1685" s="10"/>
      <c r="G1685" s="10"/>
      <c r="H1685" s="10" t="s">
        <v>4246</v>
      </c>
      <c r="I1685" s="14">
        <v>355906.05290393648</v>
      </c>
      <c r="J1685" s="19">
        <v>1</v>
      </c>
      <c r="K1685" s="19">
        <v>0</v>
      </c>
      <c r="L1685" s="19">
        <v>0</v>
      </c>
      <c r="M1685" s="20">
        <v>3</v>
      </c>
      <c r="N1685" s="19">
        <v>0</v>
      </c>
      <c r="O1685" s="19">
        <v>0</v>
      </c>
      <c r="P1685" s="19">
        <v>0</v>
      </c>
      <c r="Q1685" s="19">
        <v>0</v>
      </c>
      <c r="R1685" s="19">
        <v>0</v>
      </c>
      <c r="S1685" s="19">
        <v>0</v>
      </c>
      <c r="T1685" s="20">
        <v>30</v>
      </c>
      <c r="U1685" s="17">
        <v>2</v>
      </c>
      <c r="V1685" s="17">
        <v>34</v>
      </c>
    </row>
    <row r="1686" spans="1:22" x14ac:dyDescent="0.2">
      <c r="A1686" t="s">
        <v>4247</v>
      </c>
      <c r="B1686" t="s">
        <v>2719</v>
      </c>
      <c r="C1686" t="s">
        <v>2720</v>
      </c>
      <c r="D1686" t="s">
        <v>4190</v>
      </c>
      <c r="E1686" s="10" t="s">
        <v>3760</v>
      </c>
      <c r="F1686" s="10"/>
      <c r="G1686" s="10"/>
      <c r="H1686" s="10" t="s">
        <v>3760</v>
      </c>
      <c r="I1686" s="14">
        <v>149158.48697670083</v>
      </c>
      <c r="J1686" s="19">
        <v>0.93401928808152213</v>
      </c>
      <c r="K1686" s="19">
        <v>6.2778287733133417E-2</v>
      </c>
      <c r="L1686" s="19">
        <v>3.2024241853445008E-3</v>
      </c>
      <c r="M1686" s="20">
        <v>3</v>
      </c>
      <c r="N1686" s="19">
        <v>3.713441490575476E-2</v>
      </c>
      <c r="O1686" s="19">
        <v>0</v>
      </c>
      <c r="P1686" s="19">
        <v>2.5643872827378653E-2</v>
      </c>
      <c r="Q1686" s="19">
        <v>0</v>
      </c>
      <c r="R1686" s="19">
        <v>3.2024241853445008E-3</v>
      </c>
      <c r="S1686" s="19">
        <v>0</v>
      </c>
      <c r="T1686" s="20">
        <v>30</v>
      </c>
      <c r="U1686" s="17">
        <v>2</v>
      </c>
      <c r="V1686" s="17">
        <v>34</v>
      </c>
    </row>
    <row r="1687" spans="1:22" x14ac:dyDescent="0.2">
      <c r="A1687" t="s">
        <v>4248</v>
      </c>
      <c r="B1687" t="s">
        <v>2719</v>
      </c>
      <c r="C1687" t="s">
        <v>2720</v>
      </c>
      <c r="D1687" t="s">
        <v>4190</v>
      </c>
      <c r="E1687" s="10" t="s">
        <v>3325</v>
      </c>
      <c r="F1687" s="10"/>
      <c r="G1687" s="10"/>
      <c r="H1687" s="10" t="s">
        <v>3325</v>
      </c>
      <c r="I1687" s="14">
        <v>33761.376429351978</v>
      </c>
      <c r="J1687" s="19">
        <v>0</v>
      </c>
      <c r="K1687" s="19">
        <v>0.59727888200485779</v>
      </c>
      <c r="L1687" s="19">
        <v>0.40272111799514215</v>
      </c>
      <c r="M1687" s="20">
        <v>2</v>
      </c>
      <c r="N1687" s="19">
        <v>0.30901438289215832</v>
      </c>
      <c r="O1687" s="19">
        <v>0</v>
      </c>
      <c r="P1687" s="19">
        <v>0.28826449911269952</v>
      </c>
      <c r="Q1687" s="19">
        <v>0.1923293679590353</v>
      </c>
      <c r="R1687" s="19">
        <v>0.19301368224863633</v>
      </c>
      <c r="S1687" s="19">
        <v>1.7378067787470541E-2</v>
      </c>
      <c r="T1687" s="20">
        <v>23</v>
      </c>
      <c r="U1687" s="17">
        <v>2</v>
      </c>
      <c r="V1687" s="17">
        <v>34</v>
      </c>
    </row>
    <row r="1688" spans="1:22" x14ac:dyDescent="0.2">
      <c r="A1688" t="s">
        <v>4249</v>
      </c>
      <c r="B1688" t="s">
        <v>2719</v>
      </c>
      <c r="C1688" t="s">
        <v>2720</v>
      </c>
      <c r="D1688" t="s">
        <v>4190</v>
      </c>
      <c r="E1688" s="10" t="s">
        <v>4250</v>
      </c>
      <c r="F1688" s="10"/>
      <c r="G1688" s="10"/>
      <c r="H1688" s="10" t="s">
        <v>4250</v>
      </c>
      <c r="I1688" s="14">
        <v>373946.2161408239</v>
      </c>
      <c r="J1688" s="19">
        <v>0.99734017676662001</v>
      </c>
      <c r="K1688" s="19">
        <v>7.7354379184239256E-4</v>
      </c>
      <c r="L1688" s="19">
        <v>1.8862794415376292E-3</v>
      </c>
      <c r="M1688" s="20">
        <v>3</v>
      </c>
      <c r="N1688" s="19">
        <v>0</v>
      </c>
      <c r="O1688" s="19">
        <v>0</v>
      </c>
      <c r="P1688" s="19">
        <v>7.7354379184239256E-4</v>
      </c>
      <c r="Q1688" s="19">
        <v>0</v>
      </c>
      <c r="R1688" s="19">
        <v>1.6062452735334549E-3</v>
      </c>
      <c r="S1688" s="19">
        <v>2.8003416800417407E-4</v>
      </c>
      <c r="T1688" s="20">
        <v>30</v>
      </c>
      <c r="U1688" s="17">
        <v>2</v>
      </c>
      <c r="V1688" s="17">
        <v>34</v>
      </c>
    </row>
    <row r="1689" spans="1:22" x14ac:dyDescent="0.2">
      <c r="A1689" t="s">
        <v>4251</v>
      </c>
      <c r="B1689" t="s">
        <v>2719</v>
      </c>
      <c r="C1689" t="s">
        <v>2720</v>
      </c>
      <c r="D1689" t="s">
        <v>4190</v>
      </c>
      <c r="E1689" s="10" t="s">
        <v>4252</v>
      </c>
      <c r="F1689" s="10"/>
      <c r="G1689" s="10"/>
      <c r="H1689" s="10" t="s">
        <v>4252</v>
      </c>
      <c r="I1689" s="14">
        <v>43777.590243910905</v>
      </c>
      <c r="J1689" s="19">
        <v>0</v>
      </c>
      <c r="K1689" s="19">
        <v>0.96993270706830725</v>
      </c>
      <c r="L1689" s="19">
        <v>3.006729293169276E-2</v>
      </c>
      <c r="M1689" s="20">
        <v>2</v>
      </c>
      <c r="N1689" s="19">
        <v>0.7321575877915224</v>
      </c>
      <c r="O1689" s="19">
        <v>0</v>
      </c>
      <c r="P1689" s="19">
        <v>0.23777511927678471</v>
      </c>
      <c r="Q1689" s="19">
        <v>0</v>
      </c>
      <c r="R1689" s="19">
        <v>2.8075094021914389E-2</v>
      </c>
      <c r="S1689" s="19">
        <v>1.9921989097783695E-3</v>
      </c>
      <c r="T1689" s="20">
        <v>23</v>
      </c>
      <c r="U1689" s="17">
        <v>2</v>
      </c>
      <c r="V1689" s="17">
        <v>34</v>
      </c>
    </row>
    <row r="1690" spans="1:22" x14ac:dyDescent="0.2">
      <c r="A1690" t="s">
        <v>4253</v>
      </c>
      <c r="B1690" t="s">
        <v>2719</v>
      </c>
      <c r="C1690" t="s">
        <v>2720</v>
      </c>
      <c r="D1690" t="s">
        <v>4190</v>
      </c>
      <c r="E1690" s="10" t="s">
        <v>4254</v>
      </c>
      <c r="F1690" s="10"/>
      <c r="G1690" s="10"/>
      <c r="H1690" s="10" t="s">
        <v>4254</v>
      </c>
      <c r="I1690" s="14">
        <v>43442.708400186151</v>
      </c>
      <c r="J1690" s="19">
        <v>0.38259432502188706</v>
      </c>
      <c r="K1690" s="19">
        <v>0.60563947645270122</v>
      </c>
      <c r="L1690" s="19">
        <v>1.1766198525411713E-2</v>
      </c>
      <c r="M1690" s="20">
        <v>2</v>
      </c>
      <c r="N1690" s="19">
        <v>0.47138231793633584</v>
      </c>
      <c r="O1690" s="19">
        <v>0</v>
      </c>
      <c r="P1690" s="19">
        <v>0.13425715851636538</v>
      </c>
      <c r="Q1690" s="19">
        <v>0</v>
      </c>
      <c r="R1690" s="19">
        <v>9.6445699793635681E-3</v>
      </c>
      <c r="S1690" s="19">
        <v>2.121628546048145E-3</v>
      </c>
      <c r="T1690" s="20">
        <v>23</v>
      </c>
      <c r="U1690" s="17">
        <v>2</v>
      </c>
      <c r="V1690" s="17">
        <v>34</v>
      </c>
    </row>
    <row r="1691" spans="1:22" x14ac:dyDescent="0.2">
      <c r="A1691" t="s">
        <v>4255</v>
      </c>
      <c r="B1691" t="s">
        <v>2719</v>
      </c>
      <c r="C1691" t="s">
        <v>2720</v>
      </c>
      <c r="D1691" t="s">
        <v>4190</v>
      </c>
      <c r="E1691" s="10" t="s">
        <v>4256</v>
      </c>
      <c r="F1691" s="10"/>
      <c r="G1691" s="10"/>
      <c r="H1691" s="10" t="s">
        <v>4256</v>
      </c>
      <c r="I1691" s="14">
        <v>0.36348021030426025</v>
      </c>
      <c r="J1691" s="19">
        <v>0</v>
      </c>
      <c r="K1691" s="19">
        <v>1</v>
      </c>
      <c r="L1691" s="19">
        <v>0</v>
      </c>
      <c r="M1691" s="20">
        <v>2</v>
      </c>
      <c r="N1691" s="19">
        <v>0</v>
      </c>
      <c r="O1691" s="19">
        <v>0</v>
      </c>
      <c r="P1691" s="19">
        <v>1</v>
      </c>
      <c r="Q1691" s="19">
        <v>0</v>
      </c>
      <c r="R1691" s="19">
        <v>0</v>
      </c>
      <c r="S1691" s="19">
        <v>0</v>
      </c>
      <c r="T1691" s="20">
        <v>21</v>
      </c>
      <c r="U1691" s="17">
        <v>2</v>
      </c>
      <c r="V1691" s="17">
        <v>34</v>
      </c>
    </row>
    <row r="1692" spans="1:22" x14ac:dyDescent="0.2">
      <c r="A1692" t="s">
        <v>4257</v>
      </c>
      <c r="B1692" t="s">
        <v>2719</v>
      </c>
      <c r="C1692" t="s">
        <v>2720</v>
      </c>
      <c r="D1692" t="s">
        <v>4258</v>
      </c>
      <c r="E1692" s="10" t="s">
        <v>4259</v>
      </c>
      <c r="F1692" s="10"/>
      <c r="G1692" s="10"/>
      <c r="H1692" s="10" t="s">
        <v>4259</v>
      </c>
      <c r="I1692" s="14">
        <v>32982.3081988208</v>
      </c>
      <c r="J1692" s="19">
        <v>0</v>
      </c>
      <c r="K1692" s="19">
        <v>0.78717774648448535</v>
      </c>
      <c r="L1692" s="19">
        <v>0.21282225351551465</v>
      </c>
      <c r="M1692" s="20">
        <v>2</v>
      </c>
      <c r="N1692" s="19">
        <v>0.64109649500879506</v>
      </c>
      <c r="O1692" s="19">
        <v>9.6107181733115235E-2</v>
      </c>
      <c r="P1692" s="19">
        <v>4.9974069742575102E-2</v>
      </c>
      <c r="Q1692" s="19">
        <v>0.11928320675980505</v>
      </c>
      <c r="R1692" s="19">
        <v>9.1800782352696883E-2</v>
      </c>
      <c r="S1692" s="19">
        <v>1.7382644030126961E-3</v>
      </c>
      <c r="T1692" s="20">
        <v>23</v>
      </c>
      <c r="U1692" s="17">
        <v>2</v>
      </c>
      <c r="V1692" s="17">
        <v>34</v>
      </c>
    </row>
    <row r="1693" spans="1:22" x14ac:dyDescent="0.2">
      <c r="A1693" t="s">
        <v>4260</v>
      </c>
      <c r="B1693" t="s">
        <v>2719</v>
      </c>
      <c r="C1693" t="s">
        <v>2720</v>
      </c>
      <c r="D1693" t="s">
        <v>4258</v>
      </c>
      <c r="E1693" s="10" t="s">
        <v>4261</v>
      </c>
      <c r="F1693" s="10"/>
      <c r="G1693" s="10"/>
      <c r="H1693" s="10" t="s">
        <v>4261</v>
      </c>
      <c r="I1693" s="14">
        <v>78146.538427381776</v>
      </c>
      <c r="J1693" s="19">
        <v>0</v>
      </c>
      <c r="K1693" s="19">
        <v>0.97302171453286967</v>
      </c>
      <c r="L1693" s="19">
        <v>2.6978285467130304E-2</v>
      </c>
      <c r="M1693" s="20">
        <v>2</v>
      </c>
      <c r="N1693" s="19">
        <v>0.67217837899166488</v>
      </c>
      <c r="O1693" s="19">
        <v>0</v>
      </c>
      <c r="P1693" s="19">
        <v>0.30084333554120479</v>
      </c>
      <c r="Q1693" s="19">
        <v>0</v>
      </c>
      <c r="R1693" s="19">
        <v>2.5542639928019178E-2</v>
      </c>
      <c r="S1693" s="19">
        <v>1.4356455391111276E-3</v>
      </c>
      <c r="T1693" s="20">
        <v>23</v>
      </c>
      <c r="U1693" s="17">
        <v>2</v>
      </c>
      <c r="V1693" s="17">
        <v>34</v>
      </c>
    </row>
    <row r="1694" spans="1:22" x14ac:dyDescent="0.2">
      <c r="A1694" t="s">
        <v>4262</v>
      </c>
      <c r="B1694" t="s">
        <v>2719</v>
      </c>
      <c r="C1694" t="s">
        <v>2720</v>
      </c>
      <c r="D1694" t="s">
        <v>4258</v>
      </c>
      <c r="E1694" s="10" t="s">
        <v>4263</v>
      </c>
      <c r="F1694" s="10"/>
      <c r="G1694" s="10"/>
      <c r="H1694" s="10" t="s">
        <v>4263</v>
      </c>
      <c r="I1694" s="14">
        <v>27453.511546418071</v>
      </c>
      <c r="J1694" s="19">
        <v>0</v>
      </c>
      <c r="K1694" s="19">
        <v>0.86893712475808604</v>
      </c>
      <c r="L1694" s="19">
        <v>0.13106287524191398</v>
      </c>
      <c r="M1694" s="20">
        <v>2</v>
      </c>
      <c r="N1694" s="19">
        <v>0.24360116016251537</v>
      </c>
      <c r="O1694" s="19">
        <v>0</v>
      </c>
      <c r="P1694" s="19">
        <v>0.62533596459557061</v>
      </c>
      <c r="Q1694" s="19">
        <v>0</v>
      </c>
      <c r="R1694" s="19">
        <v>0.12315332819147699</v>
      </c>
      <c r="S1694" s="19">
        <v>7.9095470504370012E-3</v>
      </c>
      <c r="T1694" s="20">
        <v>21</v>
      </c>
      <c r="U1694" s="17">
        <v>2</v>
      </c>
      <c r="V1694" s="17">
        <v>34</v>
      </c>
    </row>
    <row r="1695" spans="1:22" x14ac:dyDescent="0.2">
      <c r="A1695" t="s">
        <v>4264</v>
      </c>
      <c r="B1695" t="s">
        <v>2719</v>
      </c>
      <c r="C1695" t="s">
        <v>2720</v>
      </c>
      <c r="D1695" t="s">
        <v>4258</v>
      </c>
      <c r="E1695" s="10" t="s">
        <v>4265</v>
      </c>
      <c r="F1695" s="10"/>
      <c r="G1695" s="10"/>
      <c r="H1695" s="10" t="s">
        <v>4265</v>
      </c>
      <c r="I1695" s="14">
        <v>381978.25279401243</v>
      </c>
      <c r="J1695" s="19">
        <v>0.80198184371941306</v>
      </c>
      <c r="K1695" s="19">
        <v>0.12134181253426887</v>
      </c>
      <c r="L1695" s="19">
        <v>7.6676343746318057E-2</v>
      </c>
      <c r="M1695" s="20">
        <v>3</v>
      </c>
      <c r="N1695" s="19">
        <v>3.7908048171587036E-2</v>
      </c>
      <c r="O1695" s="19">
        <v>0</v>
      </c>
      <c r="P1695" s="19">
        <v>8.3433764362681836E-2</v>
      </c>
      <c r="Q1695" s="19">
        <v>3.114526640201138E-2</v>
      </c>
      <c r="R1695" s="19">
        <v>3.9569954146825757E-2</v>
      </c>
      <c r="S1695" s="19">
        <v>5.961123197480914E-3</v>
      </c>
      <c r="T1695" s="20">
        <v>30</v>
      </c>
      <c r="U1695" s="17">
        <v>2</v>
      </c>
      <c r="V1695" s="17">
        <v>34</v>
      </c>
    </row>
    <row r="1696" spans="1:22" x14ac:dyDescent="0.2">
      <c r="A1696" t="s">
        <v>4266</v>
      </c>
      <c r="B1696" t="s">
        <v>2719</v>
      </c>
      <c r="C1696" t="s">
        <v>2720</v>
      </c>
      <c r="D1696" t="s">
        <v>4258</v>
      </c>
      <c r="E1696" s="10" t="s">
        <v>4267</v>
      </c>
      <c r="F1696" s="10"/>
      <c r="G1696" s="10"/>
      <c r="H1696" s="10" t="s">
        <v>4267</v>
      </c>
      <c r="I1696" s="14">
        <v>80424.451347287744</v>
      </c>
      <c r="J1696" s="19">
        <v>0</v>
      </c>
      <c r="K1696" s="19">
        <v>0.81340681628274036</v>
      </c>
      <c r="L1696" s="19">
        <v>0.18659318371725958</v>
      </c>
      <c r="M1696" s="20">
        <v>2</v>
      </c>
      <c r="N1696" s="19">
        <v>0.28857567576736054</v>
      </c>
      <c r="O1696" s="19">
        <v>1.6784052467833974E-2</v>
      </c>
      <c r="P1696" s="19">
        <v>0.50804708804754584</v>
      </c>
      <c r="Q1696" s="19">
        <v>7.8752970644450387E-2</v>
      </c>
      <c r="R1696" s="19">
        <v>9.9498190069295736E-2</v>
      </c>
      <c r="S1696" s="19">
        <v>8.3420230035134834E-3</v>
      </c>
      <c r="T1696" s="20">
        <v>21</v>
      </c>
      <c r="U1696" s="17">
        <v>2</v>
      </c>
      <c r="V1696" s="17">
        <v>34</v>
      </c>
    </row>
    <row r="1697" spans="1:22" x14ac:dyDescent="0.2">
      <c r="A1697" t="s">
        <v>4268</v>
      </c>
      <c r="B1697" t="s">
        <v>2719</v>
      </c>
      <c r="C1697" t="s">
        <v>2720</v>
      </c>
      <c r="D1697" t="s">
        <v>4258</v>
      </c>
      <c r="E1697" s="10" t="s">
        <v>4269</v>
      </c>
      <c r="F1697" s="10"/>
      <c r="G1697" s="10"/>
      <c r="H1697" s="10" t="s">
        <v>4269</v>
      </c>
      <c r="I1697" s="14">
        <v>31532.304366668686</v>
      </c>
      <c r="J1697" s="19">
        <v>0.2622631136713523</v>
      </c>
      <c r="K1697" s="19">
        <v>0.613209818645439</v>
      </c>
      <c r="L1697" s="19">
        <v>0.12452706768320869</v>
      </c>
      <c r="M1697" s="20">
        <v>2</v>
      </c>
      <c r="N1697" s="19">
        <v>0.23575574853585485</v>
      </c>
      <c r="O1697" s="19">
        <v>0.14830242990296905</v>
      </c>
      <c r="P1697" s="19">
        <v>0.22915164020661508</v>
      </c>
      <c r="Q1697" s="19">
        <v>0</v>
      </c>
      <c r="R1697" s="19">
        <v>0.11883860192959279</v>
      </c>
      <c r="S1697" s="19">
        <v>5.6884657536159129E-3</v>
      </c>
      <c r="T1697" s="20">
        <v>23</v>
      </c>
      <c r="U1697" s="17">
        <v>2</v>
      </c>
      <c r="V1697" s="17">
        <v>34</v>
      </c>
    </row>
    <row r="1698" spans="1:22" x14ac:dyDescent="0.2">
      <c r="A1698" t="s">
        <v>4270</v>
      </c>
      <c r="B1698" t="s">
        <v>2719</v>
      </c>
      <c r="C1698" t="s">
        <v>2720</v>
      </c>
      <c r="D1698" t="s">
        <v>4258</v>
      </c>
      <c r="E1698" s="10" t="s">
        <v>4271</v>
      </c>
      <c r="F1698" s="10"/>
      <c r="G1698" s="10"/>
      <c r="H1698" s="10" t="s">
        <v>4271</v>
      </c>
      <c r="I1698" s="14">
        <v>37343.062788259238</v>
      </c>
      <c r="J1698" s="19">
        <v>0</v>
      </c>
      <c r="K1698" s="19">
        <v>0.83754355404177361</v>
      </c>
      <c r="L1698" s="19">
        <v>0.16245644595822642</v>
      </c>
      <c r="M1698" s="20">
        <v>2</v>
      </c>
      <c r="N1698" s="19">
        <v>0.60016227172017478</v>
      </c>
      <c r="O1698" s="19">
        <v>0</v>
      </c>
      <c r="P1698" s="19">
        <v>0.23738128232159877</v>
      </c>
      <c r="Q1698" s="19">
        <v>9.7778305198879256E-2</v>
      </c>
      <c r="R1698" s="19">
        <v>5.9673191046487307E-2</v>
      </c>
      <c r="S1698" s="19">
        <v>5.0049497128598778E-3</v>
      </c>
      <c r="T1698" s="20">
        <v>23</v>
      </c>
      <c r="U1698" s="17">
        <v>2</v>
      </c>
      <c r="V1698" s="17">
        <v>34</v>
      </c>
    </row>
    <row r="1699" spans="1:22" x14ac:dyDescent="0.2">
      <c r="A1699" t="s">
        <v>4272</v>
      </c>
      <c r="B1699" t="s">
        <v>2719</v>
      </c>
      <c r="C1699" t="s">
        <v>2720</v>
      </c>
      <c r="D1699" t="s">
        <v>4258</v>
      </c>
      <c r="E1699" s="10" t="s">
        <v>4273</v>
      </c>
      <c r="F1699" s="10"/>
      <c r="G1699" s="10"/>
      <c r="H1699" s="10" t="s">
        <v>4273</v>
      </c>
      <c r="I1699" s="14">
        <v>99343.513467567973</v>
      </c>
      <c r="J1699" s="19">
        <v>0</v>
      </c>
      <c r="K1699" s="19">
        <v>0.92537387037522156</v>
      </c>
      <c r="L1699" s="19">
        <v>7.4626129624778492E-2</v>
      </c>
      <c r="M1699" s="20">
        <v>2</v>
      </c>
      <c r="N1699" s="19">
        <v>0.40300594671829099</v>
      </c>
      <c r="O1699" s="19">
        <v>0</v>
      </c>
      <c r="P1699" s="19">
        <v>0.52236792365693052</v>
      </c>
      <c r="Q1699" s="19">
        <v>2.9780570296992805E-2</v>
      </c>
      <c r="R1699" s="19">
        <v>4.296537009837581E-2</v>
      </c>
      <c r="S1699" s="19">
        <v>1.8801892294098659E-3</v>
      </c>
      <c r="T1699" s="20">
        <v>21</v>
      </c>
      <c r="U1699" s="17">
        <v>2</v>
      </c>
      <c r="V1699" s="17">
        <v>34</v>
      </c>
    </row>
    <row r="1700" spans="1:22" x14ac:dyDescent="0.2">
      <c r="A1700" t="s">
        <v>4274</v>
      </c>
      <c r="B1700" t="s">
        <v>2719</v>
      </c>
      <c r="C1700" t="s">
        <v>2720</v>
      </c>
      <c r="D1700" t="s">
        <v>4258</v>
      </c>
      <c r="E1700" s="10" t="s">
        <v>4275</v>
      </c>
      <c r="F1700" s="10"/>
      <c r="G1700" s="10"/>
      <c r="H1700" s="10" t="s">
        <v>4275</v>
      </c>
      <c r="I1700" s="14">
        <v>24616.044058962725</v>
      </c>
      <c r="J1700" s="19">
        <v>0.69409062415391531</v>
      </c>
      <c r="K1700" s="19">
        <v>0.27466471154755501</v>
      </c>
      <c r="L1700" s="19">
        <v>3.1244664298529699E-2</v>
      </c>
      <c r="M1700" s="20">
        <v>3</v>
      </c>
      <c r="N1700" s="19">
        <v>0</v>
      </c>
      <c r="O1700" s="19">
        <v>0</v>
      </c>
      <c r="P1700" s="19">
        <v>0.27466471154755501</v>
      </c>
      <c r="Q1700" s="19">
        <v>0</v>
      </c>
      <c r="R1700" s="19">
        <v>2.5151339204298389E-2</v>
      </c>
      <c r="S1700" s="19">
        <v>6.0933250942313113E-3</v>
      </c>
      <c r="T1700" s="20">
        <v>30</v>
      </c>
      <c r="U1700" s="17">
        <v>2</v>
      </c>
      <c r="V1700" s="17">
        <v>34</v>
      </c>
    </row>
    <row r="1701" spans="1:22" x14ac:dyDescent="0.2">
      <c r="A1701" t="s">
        <v>4276</v>
      </c>
      <c r="B1701" t="s">
        <v>2719</v>
      </c>
      <c r="C1701" t="s">
        <v>2720</v>
      </c>
      <c r="D1701" t="s">
        <v>4258</v>
      </c>
      <c r="E1701" s="10" t="s">
        <v>3750</v>
      </c>
      <c r="F1701" s="10"/>
      <c r="G1701" s="10"/>
      <c r="H1701" s="10" t="s">
        <v>3750</v>
      </c>
      <c r="I1701" s="14">
        <v>29765.704570136964</v>
      </c>
      <c r="J1701" s="19">
        <v>0</v>
      </c>
      <c r="K1701" s="19">
        <v>0.66047224397356052</v>
      </c>
      <c r="L1701" s="19">
        <v>0.33952775602643936</v>
      </c>
      <c r="M1701" s="20">
        <v>2</v>
      </c>
      <c r="N1701" s="19">
        <v>0.17780222059811451</v>
      </c>
      <c r="O1701" s="19">
        <v>2.1065910034459056E-3</v>
      </c>
      <c r="P1701" s="19">
        <v>0.48056343237200022</v>
      </c>
      <c r="Q1701" s="19">
        <v>0.22398203682421133</v>
      </c>
      <c r="R1701" s="19">
        <v>0.10223217130025949</v>
      </c>
      <c r="S1701" s="19">
        <v>1.3313547901968634E-2</v>
      </c>
      <c r="T1701" s="20">
        <v>23</v>
      </c>
      <c r="U1701" s="17">
        <v>2</v>
      </c>
      <c r="V1701" s="17">
        <v>34</v>
      </c>
    </row>
    <row r="1702" spans="1:22" x14ac:dyDescent="0.2">
      <c r="A1702" t="s">
        <v>4277</v>
      </c>
      <c r="B1702" t="s">
        <v>2719</v>
      </c>
      <c r="C1702" t="s">
        <v>2720</v>
      </c>
      <c r="D1702" t="s">
        <v>4258</v>
      </c>
      <c r="E1702" s="10" t="s">
        <v>4278</v>
      </c>
      <c r="F1702" s="10"/>
      <c r="G1702" s="10"/>
      <c r="H1702" s="10" t="s">
        <v>4278</v>
      </c>
      <c r="I1702" s="14">
        <v>29064.516631620008</v>
      </c>
      <c r="J1702" s="19">
        <v>0</v>
      </c>
      <c r="K1702" s="19">
        <v>0.83068464660008523</v>
      </c>
      <c r="L1702" s="19">
        <v>0.16931535339991449</v>
      </c>
      <c r="M1702" s="20">
        <v>2</v>
      </c>
      <c r="N1702" s="19">
        <v>0.54617250990089772</v>
      </c>
      <c r="O1702" s="19">
        <v>0</v>
      </c>
      <c r="P1702" s="19">
        <v>0.28451213669918768</v>
      </c>
      <c r="Q1702" s="19">
        <v>6.2076914165746788E-2</v>
      </c>
      <c r="R1702" s="19">
        <v>9.4835157889341395E-2</v>
      </c>
      <c r="S1702" s="19">
        <v>1.2403281344826296E-2</v>
      </c>
      <c r="T1702" s="20">
        <v>23</v>
      </c>
      <c r="U1702" s="17">
        <v>2</v>
      </c>
      <c r="V1702" s="17">
        <v>34</v>
      </c>
    </row>
    <row r="1703" spans="1:22" x14ac:dyDescent="0.2">
      <c r="A1703" t="s">
        <v>4279</v>
      </c>
      <c r="B1703" t="s">
        <v>2719</v>
      </c>
      <c r="C1703" t="s">
        <v>2720</v>
      </c>
      <c r="D1703" t="s">
        <v>4258</v>
      </c>
      <c r="E1703" s="10" t="s">
        <v>4280</v>
      </c>
      <c r="F1703" s="10"/>
      <c r="G1703" s="10"/>
      <c r="H1703" s="10" t="s">
        <v>4280</v>
      </c>
      <c r="I1703" s="14">
        <v>20364.358230613172</v>
      </c>
      <c r="J1703" s="19">
        <v>0</v>
      </c>
      <c r="K1703" s="19">
        <v>0.82158855266752706</v>
      </c>
      <c r="L1703" s="19">
        <v>0.17841144733247294</v>
      </c>
      <c r="M1703" s="20">
        <v>2</v>
      </c>
      <c r="N1703" s="19">
        <v>0</v>
      </c>
      <c r="O1703" s="19">
        <v>4.610809349153417E-2</v>
      </c>
      <c r="P1703" s="19">
        <v>0.77548045917599284</v>
      </c>
      <c r="Q1703" s="19">
        <v>0</v>
      </c>
      <c r="R1703" s="19">
        <v>0.16961371779303014</v>
      </c>
      <c r="S1703" s="19">
        <v>8.7977295394427758E-3</v>
      </c>
      <c r="T1703" s="20">
        <v>21</v>
      </c>
      <c r="U1703" s="17">
        <v>2</v>
      </c>
      <c r="V1703" s="17">
        <v>34</v>
      </c>
    </row>
    <row r="1704" spans="1:22" x14ac:dyDescent="0.2">
      <c r="A1704" t="s">
        <v>4281</v>
      </c>
      <c r="B1704" t="s">
        <v>2719</v>
      </c>
      <c r="C1704" t="s">
        <v>2720</v>
      </c>
      <c r="D1704" t="s">
        <v>4258</v>
      </c>
      <c r="E1704" s="10" t="s">
        <v>4282</v>
      </c>
      <c r="F1704" s="10"/>
      <c r="G1704" s="10"/>
      <c r="H1704" s="10" t="s">
        <v>4282</v>
      </c>
      <c r="I1704" s="14">
        <v>50807.671889878809</v>
      </c>
      <c r="J1704" s="19">
        <v>0</v>
      </c>
      <c r="K1704" s="19">
        <v>0.78457904924524979</v>
      </c>
      <c r="L1704" s="19">
        <v>0.21542095075475026</v>
      </c>
      <c r="M1704" s="20">
        <v>2</v>
      </c>
      <c r="N1704" s="19">
        <v>0.3997235519034199</v>
      </c>
      <c r="O1704" s="19">
        <v>0</v>
      </c>
      <c r="P1704" s="19">
        <v>0.38485549734182983</v>
      </c>
      <c r="Q1704" s="19">
        <v>0.13433460023776794</v>
      </c>
      <c r="R1704" s="19">
        <v>7.1898412592948671E-2</v>
      </c>
      <c r="S1704" s="19">
        <v>9.187937924033631E-3</v>
      </c>
      <c r="T1704" s="20">
        <v>23</v>
      </c>
      <c r="U1704" s="17">
        <v>2</v>
      </c>
      <c r="V1704" s="17">
        <v>34</v>
      </c>
    </row>
    <row r="1705" spans="1:22" x14ac:dyDescent="0.2">
      <c r="A1705" t="s">
        <v>4283</v>
      </c>
      <c r="B1705" t="s">
        <v>2719</v>
      </c>
      <c r="C1705" t="s">
        <v>2720</v>
      </c>
      <c r="D1705" t="s">
        <v>4258</v>
      </c>
      <c r="E1705" s="10" t="s">
        <v>4284</v>
      </c>
      <c r="F1705" s="10"/>
      <c r="G1705" s="10"/>
      <c r="H1705" s="10" t="s">
        <v>4284</v>
      </c>
      <c r="I1705" s="14">
        <v>26022.95175001118</v>
      </c>
      <c r="J1705" s="19">
        <v>0</v>
      </c>
      <c r="K1705" s="19">
        <v>7.3487342461098615E-2</v>
      </c>
      <c r="L1705" s="19">
        <v>0.92651265753890155</v>
      </c>
      <c r="M1705" s="20">
        <v>1</v>
      </c>
      <c r="N1705" s="19">
        <v>0</v>
      </c>
      <c r="O1705" s="19">
        <v>0</v>
      </c>
      <c r="P1705" s="19">
        <v>7.3487342461098615E-2</v>
      </c>
      <c r="Q1705" s="19">
        <v>0.51641077278772518</v>
      </c>
      <c r="R1705" s="19">
        <v>0.36822256661195646</v>
      </c>
      <c r="S1705" s="19">
        <v>4.1879318139219905E-2</v>
      </c>
      <c r="T1705" s="20">
        <v>13</v>
      </c>
      <c r="U1705" s="17">
        <v>2</v>
      </c>
      <c r="V1705" s="17">
        <v>34</v>
      </c>
    </row>
    <row r="1706" spans="1:22" x14ac:dyDescent="0.2">
      <c r="A1706" t="s">
        <v>4285</v>
      </c>
      <c r="B1706" t="s">
        <v>2719</v>
      </c>
      <c r="C1706" t="s">
        <v>2720</v>
      </c>
      <c r="D1706" t="s">
        <v>4258</v>
      </c>
      <c r="E1706" s="10" t="s">
        <v>4286</v>
      </c>
      <c r="F1706" s="10"/>
      <c r="G1706" s="10"/>
      <c r="H1706" s="10" t="s">
        <v>4286</v>
      </c>
      <c r="I1706" s="14">
        <v>36204.988340105861</v>
      </c>
      <c r="J1706" s="19">
        <v>0</v>
      </c>
      <c r="K1706" s="19">
        <v>0.92546218382599044</v>
      </c>
      <c r="L1706" s="19">
        <v>7.4537816174009605E-2</v>
      </c>
      <c r="M1706" s="20">
        <v>2</v>
      </c>
      <c r="N1706" s="19">
        <v>0</v>
      </c>
      <c r="O1706" s="19">
        <v>0</v>
      </c>
      <c r="P1706" s="19">
        <v>0.92546218382599044</v>
      </c>
      <c r="Q1706" s="19">
        <v>0</v>
      </c>
      <c r="R1706" s="19">
        <v>6.9979203551149394E-2</v>
      </c>
      <c r="S1706" s="19">
        <v>4.558612622860214E-3</v>
      </c>
      <c r="T1706" s="20">
        <v>21</v>
      </c>
      <c r="U1706" s="17">
        <v>2</v>
      </c>
      <c r="V1706" s="17">
        <v>34</v>
      </c>
    </row>
    <row r="1707" spans="1:22" x14ac:dyDescent="0.2">
      <c r="A1707" t="s">
        <v>4287</v>
      </c>
      <c r="B1707" t="s">
        <v>2719</v>
      </c>
      <c r="C1707" t="s">
        <v>2720</v>
      </c>
      <c r="D1707" t="s">
        <v>4258</v>
      </c>
      <c r="E1707" s="10" t="s">
        <v>4288</v>
      </c>
      <c r="F1707" s="10"/>
      <c r="G1707" s="10"/>
      <c r="H1707" s="10" t="s">
        <v>4288</v>
      </c>
      <c r="I1707" s="14">
        <v>29213.251186527315</v>
      </c>
      <c r="J1707" s="19">
        <v>0</v>
      </c>
      <c r="K1707" s="19">
        <v>0.91281277954394924</v>
      </c>
      <c r="L1707" s="19">
        <v>8.7187220456050665E-2</v>
      </c>
      <c r="M1707" s="20">
        <v>2</v>
      </c>
      <c r="N1707" s="19">
        <v>7.7983788535913007E-2</v>
      </c>
      <c r="O1707" s="19">
        <v>0</v>
      </c>
      <c r="P1707" s="19">
        <v>0.8348289910080362</v>
      </c>
      <c r="Q1707" s="19">
        <v>3.2839902182178582E-2</v>
      </c>
      <c r="R1707" s="19">
        <v>5.3302720621359136E-2</v>
      </c>
      <c r="S1707" s="19">
        <v>1.0445976525129378E-3</v>
      </c>
      <c r="T1707" s="20">
        <v>21</v>
      </c>
      <c r="U1707" s="17">
        <v>2</v>
      </c>
      <c r="V1707" s="17">
        <v>34</v>
      </c>
    </row>
    <row r="1708" spans="1:22" x14ac:dyDescent="0.2">
      <c r="A1708" t="s">
        <v>4289</v>
      </c>
      <c r="B1708" t="s">
        <v>2719</v>
      </c>
      <c r="C1708" t="s">
        <v>2720</v>
      </c>
      <c r="D1708" t="s">
        <v>4258</v>
      </c>
      <c r="E1708" s="10" t="s">
        <v>4290</v>
      </c>
      <c r="F1708" s="10"/>
      <c r="G1708" s="10"/>
      <c r="H1708" s="10" t="s">
        <v>4290</v>
      </c>
      <c r="I1708" s="14">
        <v>39354.457750342786</v>
      </c>
      <c r="J1708" s="19">
        <v>0</v>
      </c>
      <c r="K1708" s="19">
        <v>0.88419393753397124</v>
      </c>
      <c r="L1708" s="19">
        <v>0.11580606246602881</v>
      </c>
      <c r="M1708" s="20">
        <v>2</v>
      </c>
      <c r="N1708" s="19">
        <v>0</v>
      </c>
      <c r="O1708" s="19">
        <v>0.37590950470827861</v>
      </c>
      <c r="P1708" s="19">
        <v>0.50828443282569258</v>
      </c>
      <c r="Q1708" s="19">
        <v>2.4516748948321013E-2</v>
      </c>
      <c r="R1708" s="19">
        <v>8.4876984851187415E-2</v>
      </c>
      <c r="S1708" s="19">
        <v>6.4123286665203807E-3</v>
      </c>
      <c r="T1708" s="20">
        <v>21</v>
      </c>
      <c r="U1708" s="17">
        <v>2</v>
      </c>
      <c r="V1708" s="17">
        <v>34</v>
      </c>
    </row>
    <row r="1709" spans="1:22" x14ac:dyDescent="0.2">
      <c r="A1709" t="s">
        <v>4291</v>
      </c>
      <c r="B1709" t="s">
        <v>2719</v>
      </c>
      <c r="C1709" t="s">
        <v>2720</v>
      </c>
      <c r="D1709" t="s">
        <v>4258</v>
      </c>
      <c r="E1709" s="10" t="s">
        <v>4292</v>
      </c>
      <c r="F1709" s="10"/>
      <c r="G1709" s="10"/>
      <c r="H1709" s="10" t="s">
        <v>4292</v>
      </c>
      <c r="I1709" s="14">
        <v>43931.290486373007</v>
      </c>
      <c r="J1709" s="19">
        <v>0</v>
      </c>
      <c r="K1709" s="19">
        <v>0.96163846386789364</v>
      </c>
      <c r="L1709" s="19">
        <v>3.8361536132106341E-2</v>
      </c>
      <c r="M1709" s="20">
        <v>2</v>
      </c>
      <c r="N1709" s="19">
        <v>0.32015759403058008</v>
      </c>
      <c r="O1709" s="19">
        <v>0</v>
      </c>
      <c r="P1709" s="19">
        <v>0.64148086983731356</v>
      </c>
      <c r="Q1709" s="19">
        <v>0</v>
      </c>
      <c r="R1709" s="19">
        <v>3.6506548532436449E-2</v>
      </c>
      <c r="S1709" s="19">
        <v>1.854987599669893E-3</v>
      </c>
      <c r="T1709" s="20">
        <v>21</v>
      </c>
      <c r="U1709" s="17">
        <v>2</v>
      </c>
      <c r="V1709" s="17">
        <v>34</v>
      </c>
    </row>
    <row r="1710" spans="1:22" x14ac:dyDescent="0.2">
      <c r="A1710" t="s">
        <v>4293</v>
      </c>
      <c r="B1710" t="s">
        <v>2719</v>
      </c>
      <c r="C1710" t="s">
        <v>2720</v>
      </c>
      <c r="D1710" t="s">
        <v>4258</v>
      </c>
      <c r="E1710" s="10" t="s">
        <v>4294</v>
      </c>
      <c r="F1710" s="10"/>
      <c r="G1710" s="10"/>
      <c r="H1710" s="10" t="s">
        <v>4294</v>
      </c>
      <c r="I1710" s="14">
        <v>29958.271322675046</v>
      </c>
      <c r="J1710" s="19">
        <v>0</v>
      </c>
      <c r="K1710" s="19">
        <v>0.92566217177571219</v>
      </c>
      <c r="L1710" s="19">
        <v>7.4337828224287889E-2</v>
      </c>
      <c r="M1710" s="20">
        <v>2</v>
      </c>
      <c r="N1710" s="19">
        <v>0.26973823524707558</v>
      </c>
      <c r="O1710" s="19">
        <v>0</v>
      </c>
      <c r="P1710" s="19">
        <v>0.65592393652863668</v>
      </c>
      <c r="Q1710" s="19">
        <v>0</v>
      </c>
      <c r="R1710" s="19">
        <v>7.3238846809485419E-2</v>
      </c>
      <c r="S1710" s="19">
        <v>1.098981414802471E-3</v>
      </c>
      <c r="T1710" s="20">
        <v>21</v>
      </c>
      <c r="U1710" s="17">
        <v>2</v>
      </c>
      <c r="V1710" s="17">
        <v>34</v>
      </c>
    </row>
    <row r="1711" spans="1:22" x14ac:dyDescent="0.2">
      <c r="A1711" t="s">
        <v>4295</v>
      </c>
      <c r="B1711" t="s">
        <v>2719</v>
      </c>
      <c r="C1711" t="s">
        <v>2720</v>
      </c>
      <c r="D1711" t="s">
        <v>4258</v>
      </c>
      <c r="E1711" s="10" t="s">
        <v>4296</v>
      </c>
      <c r="F1711" s="10"/>
      <c r="G1711" s="10"/>
      <c r="H1711" s="10" t="s">
        <v>4296</v>
      </c>
      <c r="I1711" s="14">
        <v>80673.127900602296</v>
      </c>
      <c r="J1711" s="19">
        <v>0</v>
      </c>
      <c r="K1711" s="19">
        <v>0.8851093432900039</v>
      </c>
      <c r="L1711" s="19">
        <v>0.11489065670999611</v>
      </c>
      <c r="M1711" s="20">
        <v>2</v>
      </c>
      <c r="N1711" s="19">
        <v>0.41472355497628416</v>
      </c>
      <c r="O1711" s="19">
        <v>7.8824780544601465E-3</v>
      </c>
      <c r="P1711" s="19">
        <v>0.46250331025925956</v>
      </c>
      <c r="Q1711" s="19">
        <v>5.0598599939545838E-2</v>
      </c>
      <c r="R1711" s="19">
        <v>5.8931082146445747E-2</v>
      </c>
      <c r="S1711" s="19">
        <v>5.3609746240045201E-3</v>
      </c>
      <c r="T1711" s="20">
        <v>23</v>
      </c>
      <c r="U1711" s="17">
        <v>2</v>
      </c>
      <c r="V1711" s="17">
        <v>34</v>
      </c>
    </row>
    <row r="1712" spans="1:22" x14ac:dyDescent="0.2">
      <c r="A1712" t="s">
        <v>4297</v>
      </c>
      <c r="B1712" t="s">
        <v>2719</v>
      </c>
      <c r="C1712" t="s">
        <v>2720</v>
      </c>
      <c r="D1712" t="s">
        <v>4258</v>
      </c>
      <c r="E1712" s="10" t="s">
        <v>4298</v>
      </c>
      <c r="F1712" s="10"/>
      <c r="G1712" s="10"/>
      <c r="H1712" s="10" t="s">
        <v>4298</v>
      </c>
      <c r="I1712" s="14">
        <v>19689.143802270293</v>
      </c>
      <c r="J1712" s="19">
        <v>0</v>
      </c>
      <c r="K1712" s="19">
        <v>0.95823040974796647</v>
      </c>
      <c r="L1712" s="19">
        <v>4.1769590252033501E-2</v>
      </c>
      <c r="M1712" s="20">
        <v>2</v>
      </c>
      <c r="N1712" s="19">
        <v>0.17836322350603137</v>
      </c>
      <c r="O1712" s="19">
        <v>0</v>
      </c>
      <c r="P1712" s="19">
        <v>0.77986718624193518</v>
      </c>
      <c r="Q1712" s="19">
        <v>0</v>
      </c>
      <c r="R1712" s="19">
        <v>4.1769590252033494E-2</v>
      </c>
      <c r="S1712" s="19">
        <v>0</v>
      </c>
      <c r="T1712" s="20">
        <v>21</v>
      </c>
      <c r="U1712" s="17">
        <v>2</v>
      </c>
      <c r="V1712" s="17">
        <v>34</v>
      </c>
    </row>
    <row r="1713" spans="1:22" x14ac:dyDescent="0.2">
      <c r="A1713" t="s">
        <v>4299</v>
      </c>
      <c r="B1713" t="s">
        <v>2719</v>
      </c>
      <c r="C1713" t="s">
        <v>2720</v>
      </c>
      <c r="D1713" t="s">
        <v>4258</v>
      </c>
      <c r="E1713" s="10" t="s">
        <v>4300</v>
      </c>
      <c r="F1713" s="10"/>
      <c r="G1713" s="10"/>
      <c r="H1713" s="10" t="s">
        <v>4300</v>
      </c>
      <c r="I1713" s="14">
        <v>23697.248501092196</v>
      </c>
      <c r="J1713" s="19">
        <v>0</v>
      </c>
      <c r="K1713" s="19">
        <v>0.51568466426559345</v>
      </c>
      <c r="L1713" s="19">
        <v>0.48431533573440644</v>
      </c>
      <c r="M1713" s="20">
        <v>2</v>
      </c>
      <c r="N1713" s="19">
        <v>0.26455578208608926</v>
      </c>
      <c r="O1713" s="19">
        <v>6.8227318799506137E-2</v>
      </c>
      <c r="P1713" s="19">
        <v>0.18290156337999811</v>
      </c>
      <c r="Q1713" s="19">
        <v>0.19834297722810779</v>
      </c>
      <c r="R1713" s="19">
        <v>0.25808425483502445</v>
      </c>
      <c r="S1713" s="19">
        <v>2.7888103671274297E-2</v>
      </c>
      <c r="T1713" s="20">
        <v>23</v>
      </c>
      <c r="U1713" s="17">
        <v>2</v>
      </c>
      <c r="V1713" s="17">
        <v>34</v>
      </c>
    </row>
    <row r="1714" spans="1:22" x14ac:dyDescent="0.2">
      <c r="A1714" t="s">
        <v>4301</v>
      </c>
      <c r="B1714" t="s">
        <v>2719</v>
      </c>
      <c r="C1714" t="s">
        <v>2720</v>
      </c>
      <c r="D1714" t="s">
        <v>4258</v>
      </c>
      <c r="E1714" s="10" t="s">
        <v>4302</v>
      </c>
      <c r="F1714" s="10"/>
      <c r="G1714" s="10"/>
      <c r="H1714" s="10" t="s">
        <v>4302</v>
      </c>
      <c r="I1714" s="14">
        <v>65641.71361832507</v>
      </c>
      <c r="J1714" s="19">
        <v>0</v>
      </c>
      <c r="K1714" s="19">
        <v>0.86387252239986123</v>
      </c>
      <c r="L1714" s="19">
        <v>0.1361274776001388</v>
      </c>
      <c r="M1714" s="20">
        <v>2</v>
      </c>
      <c r="N1714" s="19">
        <v>0.35918118486290884</v>
      </c>
      <c r="O1714" s="19">
        <v>0.1535236578972887</v>
      </c>
      <c r="P1714" s="19">
        <v>0.35116767963966361</v>
      </c>
      <c r="Q1714" s="19">
        <v>5.0541105595934936E-2</v>
      </c>
      <c r="R1714" s="19">
        <v>8.1164788162938553E-2</v>
      </c>
      <c r="S1714" s="19">
        <v>4.4215838412652968E-3</v>
      </c>
      <c r="T1714" s="20">
        <v>23</v>
      </c>
      <c r="U1714" s="17">
        <v>2</v>
      </c>
      <c r="V1714" s="17">
        <v>34</v>
      </c>
    </row>
    <row r="1715" spans="1:22" x14ac:dyDescent="0.2">
      <c r="A1715" t="s">
        <v>4303</v>
      </c>
      <c r="B1715" t="s">
        <v>2719</v>
      </c>
      <c r="C1715" t="s">
        <v>2720</v>
      </c>
      <c r="D1715" t="s">
        <v>4304</v>
      </c>
      <c r="E1715" s="10" t="s">
        <v>4305</v>
      </c>
      <c r="F1715" s="10"/>
      <c r="G1715" s="10"/>
      <c r="H1715" s="10" t="s">
        <v>4305</v>
      </c>
      <c r="I1715" s="14">
        <v>8299.3621391877532</v>
      </c>
      <c r="J1715" s="19">
        <v>0</v>
      </c>
      <c r="K1715" s="19">
        <v>0.98133810911724739</v>
      </c>
      <c r="L1715" s="19">
        <v>1.866189088275259E-2</v>
      </c>
      <c r="M1715" s="20">
        <v>2</v>
      </c>
      <c r="N1715" s="19">
        <v>0</v>
      </c>
      <c r="O1715" s="19">
        <v>0</v>
      </c>
      <c r="P1715" s="19">
        <v>0.98133810911724739</v>
      </c>
      <c r="Q1715" s="19">
        <v>0</v>
      </c>
      <c r="R1715" s="19">
        <v>1.866189088275259E-2</v>
      </c>
      <c r="S1715" s="19">
        <v>0</v>
      </c>
      <c r="T1715" s="20">
        <v>21</v>
      </c>
      <c r="U1715" s="17">
        <v>2</v>
      </c>
      <c r="V1715" s="17">
        <v>34</v>
      </c>
    </row>
    <row r="1716" spans="1:22" x14ac:dyDescent="0.2">
      <c r="A1716" t="s">
        <v>4306</v>
      </c>
      <c r="B1716" t="s">
        <v>2719</v>
      </c>
      <c r="C1716" t="s">
        <v>2720</v>
      </c>
      <c r="D1716" t="s">
        <v>4304</v>
      </c>
      <c r="E1716" s="10" t="s">
        <v>4307</v>
      </c>
      <c r="F1716" s="10"/>
      <c r="G1716" s="10"/>
      <c r="H1716" s="10" t="s">
        <v>4307</v>
      </c>
      <c r="I1716" s="14">
        <v>14617.126782230102</v>
      </c>
      <c r="J1716" s="19">
        <v>0</v>
      </c>
      <c r="K1716" s="19">
        <v>0.30171687034120798</v>
      </c>
      <c r="L1716" s="19">
        <v>0.69828312965879202</v>
      </c>
      <c r="M1716" s="20">
        <v>1</v>
      </c>
      <c r="N1716" s="19">
        <v>0</v>
      </c>
      <c r="O1716" s="19">
        <v>0.30171687034120798</v>
      </c>
      <c r="P1716" s="19">
        <v>0</v>
      </c>
      <c r="Q1716" s="19">
        <v>0.37090852631150772</v>
      </c>
      <c r="R1716" s="19">
        <v>0.3110406766906213</v>
      </c>
      <c r="S1716" s="19">
        <v>1.6333926656663014E-2</v>
      </c>
      <c r="T1716" s="20">
        <v>13</v>
      </c>
      <c r="U1716" s="17">
        <v>2</v>
      </c>
      <c r="V1716" s="17">
        <v>34</v>
      </c>
    </row>
    <row r="1717" spans="1:22" x14ac:dyDescent="0.2">
      <c r="A1717" t="s">
        <v>4308</v>
      </c>
      <c r="B1717" t="s">
        <v>2719</v>
      </c>
      <c r="C1717" t="s">
        <v>2720</v>
      </c>
      <c r="D1717" t="s">
        <v>4304</v>
      </c>
      <c r="E1717" s="10" t="s">
        <v>4309</v>
      </c>
      <c r="F1717" s="10"/>
      <c r="G1717" s="10"/>
      <c r="H1717" s="10" t="s">
        <v>4309</v>
      </c>
      <c r="I1717" s="14">
        <v>7515.7754471488288</v>
      </c>
      <c r="J1717" s="19">
        <v>0</v>
      </c>
      <c r="K1717" s="19">
        <v>0.22114500751623836</v>
      </c>
      <c r="L1717" s="19">
        <v>0.77885499248376178</v>
      </c>
      <c r="M1717" s="20">
        <v>1</v>
      </c>
      <c r="N1717" s="19">
        <v>0</v>
      </c>
      <c r="O1717" s="19">
        <v>0</v>
      </c>
      <c r="P1717" s="19">
        <v>0.22114500751623836</v>
      </c>
      <c r="Q1717" s="19">
        <v>0.41894103201918276</v>
      </c>
      <c r="R1717" s="19">
        <v>0.32593972314421599</v>
      </c>
      <c r="S1717" s="19">
        <v>3.397423732036306E-2</v>
      </c>
      <c r="T1717" s="20">
        <v>13</v>
      </c>
      <c r="U1717" s="17">
        <v>2</v>
      </c>
      <c r="V1717" s="17">
        <v>34</v>
      </c>
    </row>
    <row r="1718" spans="1:22" x14ac:dyDescent="0.2">
      <c r="A1718" t="s">
        <v>4310</v>
      </c>
      <c r="B1718" t="s">
        <v>2719</v>
      </c>
      <c r="C1718" t="s">
        <v>2720</v>
      </c>
      <c r="D1718" t="s">
        <v>4304</v>
      </c>
      <c r="E1718" s="10" t="s">
        <v>4311</v>
      </c>
      <c r="F1718" s="10"/>
      <c r="G1718" s="10"/>
      <c r="H1718" s="10" t="s">
        <v>4311</v>
      </c>
      <c r="I1718" s="14">
        <v>13026.731644617394</v>
      </c>
      <c r="J1718" s="19">
        <v>0</v>
      </c>
      <c r="K1718" s="19">
        <v>0.71598647307040764</v>
      </c>
      <c r="L1718" s="19">
        <v>0.28401352692959242</v>
      </c>
      <c r="M1718" s="20">
        <v>2</v>
      </c>
      <c r="N1718" s="19">
        <v>0.43127457063790176</v>
      </c>
      <c r="O1718" s="19">
        <v>0</v>
      </c>
      <c r="P1718" s="19">
        <v>0.28471190243250588</v>
      </c>
      <c r="Q1718" s="19">
        <v>0</v>
      </c>
      <c r="R1718" s="19">
        <v>0.26594983324798299</v>
      </c>
      <c r="S1718" s="19">
        <v>1.8063693681609393E-2</v>
      </c>
      <c r="T1718" s="20">
        <v>23</v>
      </c>
      <c r="U1718" s="17">
        <v>2</v>
      </c>
      <c r="V1718" s="17">
        <v>34</v>
      </c>
    </row>
    <row r="1719" spans="1:22" x14ac:dyDescent="0.2">
      <c r="A1719" t="s">
        <v>4312</v>
      </c>
      <c r="B1719" t="s">
        <v>2719</v>
      </c>
      <c r="C1719" t="s">
        <v>2720</v>
      </c>
      <c r="D1719" t="s">
        <v>4304</v>
      </c>
      <c r="E1719" s="10" t="s">
        <v>4313</v>
      </c>
      <c r="F1719" s="10"/>
      <c r="G1719" s="10"/>
      <c r="H1719" s="10" t="s">
        <v>4313</v>
      </c>
      <c r="I1719" s="14">
        <v>13646.686186125036</v>
      </c>
      <c r="J1719" s="19">
        <v>0</v>
      </c>
      <c r="K1719" s="19">
        <v>0.64349223207185191</v>
      </c>
      <c r="L1719" s="19">
        <v>0.35650776792814814</v>
      </c>
      <c r="M1719" s="20">
        <v>2</v>
      </c>
      <c r="N1719" s="19">
        <v>0.44975990693818779</v>
      </c>
      <c r="O1719" s="19">
        <v>0</v>
      </c>
      <c r="P1719" s="19">
        <v>0.19373232513366415</v>
      </c>
      <c r="Q1719" s="19">
        <v>0.12081040919125663</v>
      </c>
      <c r="R1719" s="19">
        <v>0.19867694941503086</v>
      </c>
      <c r="S1719" s="19">
        <v>3.7020409321860619E-2</v>
      </c>
      <c r="T1719" s="20">
        <v>23</v>
      </c>
      <c r="U1719" s="17">
        <v>2</v>
      </c>
      <c r="V1719" s="17">
        <v>34</v>
      </c>
    </row>
    <row r="1720" spans="1:22" x14ac:dyDescent="0.2">
      <c r="A1720" t="s">
        <v>4314</v>
      </c>
      <c r="B1720" t="s">
        <v>2719</v>
      </c>
      <c r="C1720" t="s">
        <v>2720</v>
      </c>
      <c r="D1720" t="s">
        <v>4304</v>
      </c>
      <c r="E1720" s="10" t="s">
        <v>4315</v>
      </c>
      <c r="F1720" s="10"/>
      <c r="G1720" s="10"/>
      <c r="H1720" s="10" t="s">
        <v>4315</v>
      </c>
      <c r="I1720" s="14">
        <v>17270.283460937906</v>
      </c>
      <c r="J1720" s="19">
        <v>0</v>
      </c>
      <c r="K1720" s="19">
        <v>0.83985026628522408</v>
      </c>
      <c r="L1720" s="19">
        <v>0.16014973371477595</v>
      </c>
      <c r="M1720" s="20">
        <v>2</v>
      </c>
      <c r="N1720" s="19">
        <v>0.29353528574775956</v>
      </c>
      <c r="O1720" s="19">
        <v>0</v>
      </c>
      <c r="P1720" s="19">
        <v>0.54631498053746452</v>
      </c>
      <c r="Q1720" s="19">
        <v>5.8581220022400377E-2</v>
      </c>
      <c r="R1720" s="19">
        <v>9.7943132563752006E-2</v>
      </c>
      <c r="S1720" s="19">
        <v>3.6253811286235706E-3</v>
      </c>
      <c r="T1720" s="20">
        <v>21</v>
      </c>
      <c r="U1720" s="17">
        <v>2</v>
      </c>
      <c r="V1720" s="17">
        <v>34</v>
      </c>
    </row>
    <row r="1721" spans="1:22" x14ac:dyDescent="0.2">
      <c r="A1721" t="s">
        <v>4316</v>
      </c>
      <c r="B1721" t="s">
        <v>2719</v>
      </c>
      <c r="C1721" t="s">
        <v>2720</v>
      </c>
      <c r="D1721" t="s">
        <v>4304</v>
      </c>
      <c r="E1721" s="10" t="s">
        <v>4317</v>
      </c>
      <c r="F1721" s="10"/>
      <c r="G1721" s="10"/>
      <c r="H1721" s="10" t="s">
        <v>4317</v>
      </c>
      <c r="I1721" s="14">
        <v>9346.4711955682269</v>
      </c>
      <c r="J1721" s="19">
        <v>0</v>
      </c>
      <c r="K1721" s="19">
        <v>0.6015488865118771</v>
      </c>
      <c r="L1721" s="19">
        <v>0.3984511134881229</v>
      </c>
      <c r="M1721" s="20">
        <v>2</v>
      </c>
      <c r="N1721" s="19">
        <v>0</v>
      </c>
      <c r="O1721" s="19">
        <v>0</v>
      </c>
      <c r="P1721" s="19">
        <v>0.6015488865118771</v>
      </c>
      <c r="Q1721" s="19">
        <v>1.03456568083788E-4</v>
      </c>
      <c r="R1721" s="19">
        <v>0.2239241481402667</v>
      </c>
      <c r="S1721" s="19">
        <v>0.17442350877977239</v>
      </c>
      <c r="T1721" s="20">
        <v>21</v>
      </c>
      <c r="U1721" s="17">
        <v>2</v>
      </c>
      <c r="V1721" s="17">
        <v>34</v>
      </c>
    </row>
    <row r="1722" spans="1:22" x14ac:dyDescent="0.2">
      <c r="A1722" t="s">
        <v>4318</v>
      </c>
      <c r="B1722" t="s">
        <v>2719</v>
      </c>
      <c r="C1722" t="s">
        <v>2720</v>
      </c>
      <c r="D1722" t="s">
        <v>4304</v>
      </c>
      <c r="E1722" s="10" t="s">
        <v>4319</v>
      </c>
      <c r="F1722" s="10"/>
      <c r="G1722" s="10"/>
      <c r="H1722" s="10" t="s">
        <v>4319</v>
      </c>
      <c r="I1722" s="14">
        <v>7349.609278339427</v>
      </c>
      <c r="J1722" s="19">
        <v>0</v>
      </c>
      <c r="K1722" s="19">
        <v>0</v>
      </c>
      <c r="L1722" s="19">
        <v>1</v>
      </c>
      <c r="M1722" s="20">
        <v>1</v>
      </c>
      <c r="N1722" s="19">
        <v>0</v>
      </c>
      <c r="O1722" s="19">
        <v>0</v>
      </c>
      <c r="P1722" s="19">
        <v>0</v>
      </c>
      <c r="Q1722" s="19">
        <v>0.24003553651755055</v>
      </c>
      <c r="R1722" s="19">
        <v>0.41622180090405936</v>
      </c>
      <c r="S1722" s="19">
        <v>0.34374266257839009</v>
      </c>
      <c r="T1722" s="20">
        <v>12</v>
      </c>
      <c r="U1722" s="17">
        <v>2</v>
      </c>
      <c r="V1722" s="17">
        <v>34</v>
      </c>
    </row>
    <row r="1723" spans="1:22" x14ac:dyDescent="0.2">
      <c r="A1723" t="s">
        <v>4320</v>
      </c>
      <c r="B1723" t="s">
        <v>2719</v>
      </c>
      <c r="C1723" t="s">
        <v>2720</v>
      </c>
      <c r="D1723" t="s">
        <v>4304</v>
      </c>
      <c r="E1723" s="10" t="s">
        <v>4321</v>
      </c>
      <c r="F1723" s="10"/>
      <c r="G1723" s="10"/>
      <c r="H1723" s="10" t="s">
        <v>4321</v>
      </c>
      <c r="I1723" s="14">
        <v>11579.075584598817</v>
      </c>
      <c r="J1723" s="19">
        <v>0</v>
      </c>
      <c r="K1723" s="19">
        <v>0.55847152517234899</v>
      </c>
      <c r="L1723" s="19">
        <v>0.44152847482765106</v>
      </c>
      <c r="M1723" s="20">
        <v>2</v>
      </c>
      <c r="N1723" s="19">
        <v>0</v>
      </c>
      <c r="O1723" s="19">
        <v>0</v>
      </c>
      <c r="P1723" s="19">
        <v>0.55847152517234899</v>
      </c>
      <c r="Q1723" s="19">
        <v>0.14983776042295191</v>
      </c>
      <c r="R1723" s="19">
        <v>0.253246637891618</v>
      </c>
      <c r="S1723" s="19">
        <v>3.8444076513081155E-2</v>
      </c>
      <c r="T1723" s="20">
        <v>21</v>
      </c>
      <c r="U1723" s="17">
        <v>2</v>
      </c>
      <c r="V1723" s="17">
        <v>34</v>
      </c>
    </row>
    <row r="1724" spans="1:22" x14ac:dyDescent="0.2">
      <c r="A1724" t="s">
        <v>4322</v>
      </c>
      <c r="B1724" t="s">
        <v>2719</v>
      </c>
      <c r="C1724" t="s">
        <v>2720</v>
      </c>
      <c r="D1724" t="s">
        <v>4304</v>
      </c>
      <c r="E1724" s="10" t="s">
        <v>4323</v>
      </c>
      <c r="F1724" s="10"/>
      <c r="G1724" s="10"/>
      <c r="H1724" s="10" t="s">
        <v>4323</v>
      </c>
      <c r="I1724" s="14">
        <v>10455.581338018179</v>
      </c>
      <c r="J1724" s="19">
        <v>0</v>
      </c>
      <c r="K1724" s="19">
        <v>6.2139989941889844E-2</v>
      </c>
      <c r="L1724" s="19">
        <v>0.93786001005811015</v>
      </c>
      <c r="M1724" s="20">
        <v>1</v>
      </c>
      <c r="N1724" s="19">
        <v>0</v>
      </c>
      <c r="O1724" s="19">
        <v>0</v>
      </c>
      <c r="P1724" s="19">
        <v>6.2139989941889844E-2</v>
      </c>
      <c r="Q1724" s="19">
        <v>0.64593391710454751</v>
      </c>
      <c r="R1724" s="19">
        <v>0.26625723028862514</v>
      </c>
      <c r="S1724" s="19">
        <v>2.5668862664937571E-2</v>
      </c>
      <c r="T1724" s="20">
        <v>13</v>
      </c>
      <c r="U1724" s="17">
        <v>2</v>
      </c>
      <c r="V1724" s="17">
        <v>34</v>
      </c>
    </row>
    <row r="1725" spans="1:22" x14ac:dyDescent="0.2">
      <c r="A1725" t="s">
        <v>4324</v>
      </c>
      <c r="B1725" t="s">
        <v>2719</v>
      </c>
      <c r="C1725" t="s">
        <v>2720</v>
      </c>
      <c r="D1725" t="s">
        <v>4304</v>
      </c>
      <c r="E1725" s="10" t="s">
        <v>4325</v>
      </c>
      <c r="F1725" s="10"/>
      <c r="G1725" s="10"/>
      <c r="H1725" s="10" t="s">
        <v>4325</v>
      </c>
      <c r="I1725" s="14">
        <v>935.68900651484728</v>
      </c>
      <c r="J1725" s="19">
        <v>0</v>
      </c>
      <c r="K1725" s="19">
        <v>0.950282611386567</v>
      </c>
      <c r="L1725" s="19">
        <v>4.9717388613433007E-2</v>
      </c>
      <c r="M1725" s="20">
        <v>2</v>
      </c>
      <c r="N1725" s="19">
        <v>0</v>
      </c>
      <c r="O1725" s="19">
        <v>0</v>
      </c>
      <c r="P1725" s="19">
        <v>0.950282611386567</v>
      </c>
      <c r="Q1725" s="19">
        <v>0</v>
      </c>
      <c r="R1725" s="19">
        <v>4.7291781169225514E-2</v>
      </c>
      <c r="S1725" s="19">
        <v>2.4256074442074935E-3</v>
      </c>
      <c r="T1725" s="20">
        <v>21</v>
      </c>
      <c r="U1725" s="17">
        <v>2</v>
      </c>
      <c r="V1725" s="17">
        <v>34</v>
      </c>
    </row>
    <row r="1726" spans="1:22" x14ac:dyDescent="0.2">
      <c r="A1726" t="s">
        <v>4326</v>
      </c>
      <c r="B1726" t="s">
        <v>2719</v>
      </c>
      <c r="C1726" t="s">
        <v>2720</v>
      </c>
      <c r="D1726" t="s">
        <v>4304</v>
      </c>
      <c r="E1726" s="10" t="s">
        <v>4327</v>
      </c>
      <c r="F1726" s="10"/>
      <c r="G1726" s="10"/>
      <c r="H1726" s="10" t="s">
        <v>4327</v>
      </c>
      <c r="I1726" s="14">
        <v>5665.897857233882</v>
      </c>
      <c r="J1726" s="19">
        <v>7.4137573104353843E-2</v>
      </c>
      <c r="K1726" s="19">
        <v>0.89274950544336695</v>
      </c>
      <c r="L1726" s="19">
        <v>3.3112921452279231E-2</v>
      </c>
      <c r="M1726" s="20">
        <v>2</v>
      </c>
      <c r="N1726" s="19">
        <v>0.56058731646473758</v>
      </c>
      <c r="O1726" s="19">
        <v>0</v>
      </c>
      <c r="P1726" s="19">
        <v>0.33216218897862931</v>
      </c>
      <c r="Q1726" s="19">
        <v>0</v>
      </c>
      <c r="R1726" s="19">
        <v>3.3112921452279231E-2</v>
      </c>
      <c r="S1726" s="19">
        <v>0</v>
      </c>
      <c r="T1726" s="20">
        <v>23</v>
      </c>
      <c r="U1726" s="17">
        <v>2</v>
      </c>
      <c r="V1726" s="17">
        <v>34</v>
      </c>
    </row>
    <row r="1727" spans="1:22" x14ac:dyDescent="0.2">
      <c r="A1727" t="s">
        <v>4328</v>
      </c>
      <c r="B1727" t="s">
        <v>2719</v>
      </c>
      <c r="C1727" t="s">
        <v>2720</v>
      </c>
      <c r="D1727" t="s">
        <v>4304</v>
      </c>
      <c r="E1727" s="10" t="s">
        <v>4329</v>
      </c>
      <c r="F1727" s="10"/>
      <c r="G1727" s="10"/>
      <c r="H1727" s="10" t="s">
        <v>4329</v>
      </c>
      <c r="I1727" s="14">
        <v>12316.996299318504</v>
      </c>
      <c r="J1727" s="19">
        <v>0</v>
      </c>
      <c r="K1727" s="19">
        <v>0.70905908859600753</v>
      </c>
      <c r="L1727" s="19">
        <v>0.29094091140399247</v>
      </c>
      <c r="M1727" s="20">
        <v>2</v>
      </c>
      <c r="N1727" s="19">
        <v>0</v>
      </c>
      <c r="O1727" s="19">
        <v>0</v>
      </c>
      <c r="P1727" s="19">
        <v>0.70905908859600753</v>
      </c>
      <c r="Q1727" s="19">
        <v>3.3191046354826714E-4</v>
      </c>
      <c r="R1727" s="19">
        <v>0.27145722563325753</v>
      </c>
      <c r="S1727" s="19">
        <v>1.9151775307186668E-2</v>
      </c>
      <c r="T1727" s="20">
        <v>21</v>
      </c>
      <c r="U1727" s="17">
        <v>2</v>
      </c>
      <c r="V1727" s="17">
        <v>34</v>
      </c>
    </row>
    <row r="1728" spans="1:22" x14ac:dyDescent="0.2">
      <c r="A1728" t="s">
        <v>4330</v>
      </c>
      <c r="B1728" t="s">
        <v>2719</v>
      </c>
      <c r="C1728" t="s">
        <v>2720</v>
      </c>
      <c r="D1728" t="s">
        <v>4304</v>
      </c>
      <c r="E1728" s="10" t="s">
        <v>4331</v>
      </c>
      <c r="F1728" s="10"/>
      <c r="G1728" s="10"/>
      <c r="H1728" s="10" t="s">
        <v>4331</v>
      </c>
      <c r="I1728" s="14">
        <v>12597.693237832747</v>
      </c>
      <c r="J1728" s="19">
        <v>0</v>
      </c>
      <c r="K1728" s="19">
        <v>0.51155553690769329</v>
      </c>
      <c r="L1728" s="19">
        <v>0.48844446309230671</v>
      </c>
      <c r="M1728" s="20">
        <v>2</v>
      </c>
      <c r="N1728" s="19">
        <v>0</v>
      </c>
      <c r="O1728" s="19">
        <v>0</v>
      </c>
      <c r="P1728" s="19">
        <v>0.51155553690769329</v>
      </c>
      <c r="Q1728" s="19">
        <v>0.13512499170489656</v>
      </c>
      <c r="R1728" s="19">
        <v>0.28922663166397666</v>
      </c>
      <c r="S1728" s="19">
        <v>6.4092839723433478E-2</v>
      </c>
      <c r="T1728" s="20">
        <v>21</v>
      </c>
      <c r="U1728" s="17">
        <v>2</v>
      </c>
      <c r="V1728" s="17">
        <v>34</v>
      </c>
    </row>
    <row r="1729" spans="1:22" x14ac:dyDescent="0.2">
      <c r="A1729" t="s">
        <v>4332</v>
      </c>
      <c r="B1729" t="s">
        <v>2719</v>
      </c>
      <c r="C1729" t="s">
        <v>2720</v>
      </c>
      <c r="D1729" t="s">
        <v>4304</v>
      </c>
      <c r="E1729" s="10" t="s">
        <v>4267</v>
      </c>
      <c r="F1729" s="10"/>
      <c r="G1729" s="10"/>
      <c r="H1729" s="10" t="s">
        <v>4267</v>
      </c>
      <c r="I1729" s="14">
        <v>11154.388171989469</v>
      </c>
      <c r="J1729" s="19">
        <v>0</v>
      </c>
      <c r="K1729" s="19">
        <v>0</v>
      </c>
      <c r="L1729" s="19">
        <v>1</v>
      </c>
      <c r="M1729" s="20">
        <v>1</v>
      </c>
      <c r="N1729" s="19">
        <v>0</v>
      </c>
      <c r="O1729" s="19">
        <v>0</v>
      </c>
      <c r="P1729" s="19">
        <v>0</v>
      </c>
      <c r="Q1729" s="19">
        <v>0.5172703474269128</v>
      </c>
      <c r="R1729" s="19">
        <v>0.42066451514108844</v>
      </c>
      <c r="S1729" s="19">
        <v>6.206513743199895E-2</v>
      </c>
      <c r="T1729" s="20">
        <v>13</v>
      </c>
      <c r="U1729" s="17">
        <v>2</v>
      </c>
      <c r="V1729" s="17">
        <v>34</v>
      </c>
    </row>
    <row r="1730" spans="1:22" x14ac:dyDescent="0.2">
      <c r="A1730" t="s">
        <v>4333</v>
      </c>
      <c r="B1730" t="s">
        <v>2719</v>
      </c>
      <c r="C1730" t="s">
        <v>2720</v>
      </c>
      <c r="D1730" t="s">
        <v>4304</v>
      </c>
      <c r="E1730" s="10" t="s">
        <v>4334</v>
      </c>
      <c r="F1730" s="10"/>
      <c r="G1730" s="10"/>
      <c r="H1730" s="10" t="s">
        <v>4334</v>
      </c>
      <c r="I1730" s="14">
        <v>98206.993228583597</v>
      </c>
      <c r="J1730" s="19">
        <v>0.48636295625285109</v>
      </c>
      <c r="K1730" s="19">
        <v>0.50552561370356308</v>
      </c>
      <c r="L1730" s="19">
        <v>8.1114300435857784E-3</v>
      </c>
      <c r="M1730" s="20">
        <v>2</v>
      </c>
      <c r="N1730" s="19">
        <v>0.22967470101017573</v>
      </c>
      <c r="O1730" s="19">
        <v>0</v>
      </c>
      <c r="P1730" s="19">
        <v>0.27585091269338735</v>
      </c>
      <c r="Q1730" s="19">
        <v>0</v>
      </c>
      <c r="R1730" s="19">
        <v>7.8981212749174527E-3</v>
      </c>
      <c r="S1730" s="19">
        <v>2.1330876866832536E-4</v>
      </c>
      <c r="T1730" s="20">
        <v>23</v>
      </c>
      <c r="U1730" s="17">
        <v>2</v>
      </c>
      <c r="V1730" s="17">
        <v>34</v>
      </c>
    </row>
    <row r="1731" spans="1:22" x14ac:dyDescent="0.2">
      <c r="A1731" t="s">
        <v>4335</v>
      </c>
      <c r="B1731" t="s">
        <v>2719</v>
      </c>
      <c r="C1731" t="s">
        <v>2720</v>
      </c>
      <c r="D1731" t="s">
        <v>4304</v>
      </c>
      <c r="E1731" s="10" t="s">
        <v>4336</v>
      </c>
      <c r="F1731" s="10"/>
      <c r="G1731" s="10"/>
      <c r="H1731" s="10" t="s">
        <v>4336</v>
      </c>
      <c r="I1731" s="14">
        <v>34452.476743018255</v>
      </c>
      <c r="J1731" s="19">
        <v>0</v>
      </c>
      <c r="K1731" s="19">
        <v>0.63031739824439514</v>
      </c>
      <c r="L1731" s="19">
        <v>0.36968260175560486</v>
      </c>
      <c r="M1731" s="20">
        <v>2</v>
      </c>
      <c r="N1731" s="19">
        <v>9.1982223384145856E-2</v>
      </c>
      <c r="O1731" s="19">
        <v>0</v>
      </c>
      <c r="P1731" s="19">
        <v>0.53833517486024929</v>
      </c>
      <c r="Q1731" s="19">
        <v>7.788656608978832E-2</v>
      </c>
      <c r="R1731" s="19">
        <v>0.23254330501546452</v>
      </c>
      <c r="S1731" s="19">
        <v>5.9252730650352053E-2</v>
      </c>
      <c r="T1731" s="20">
        <v>21</v>
      </c>
      <c r="U1731" s="17">
        <v>2</v>
      </c>
      <c r="V1731" s="17">
        <v>34</v>
      </c>
    </row>
    <row r="1732" spans="1:22" x14ac:dyDescent="0.2">
      <c r="A1732" t="s">
        <v>4337</v>
      </c>
      <c r="B1732" t="s">
        <v>2719</v>
      </c>
      <c r="C1732" t="s">
        <v>2720</v>
      </c>
      <c r="D1732" t="s">
        <v>4304</v>
      </c>
      <c r="E1732" s="10" t="s">
        <v>4338</v>
      </c>
      <c r="F1732" s="10"/>
      <c r="G1732" s="10"/>
      <c r="H1732" s="10" t="s">
        <v>4338</v>
      </c>
      <c r="I1732" s="14">
        <v>4552.8088264679536</v>
      </c>
      <c r="J1732" s="19">
        <v>0</v>
      </c>
      <c r="K1732" s="19">
        <v>0.94754183225777933</v>
      </c>
      <c r="L1732" s="19">
        <v>5.2458167742220729E-2</v>
      </c>
      <c r="M1732" s="20">
        <v>2</v>
      </c>
      <c r="N1732" s="19">
        <v>0</v>
      </c>
      <c r="O1732" s="19">
        <v>0</v>
      </c>
      <c r="P1732" s="19">
        <v>0.94754183225777933</v>
      </c>
      <c r="Q1732" s="19">
        <v>0</v>
      </c>
      <c r="R1732" s="19">
        <v>4.5813366861444021E-2</v>
      </c>
      <c r="S1732" s="19">
        <v>6.6448008807767044E-3</v>
      </c>
      <c r="T1732" s="20">
        <v>21</v>
      </c>
      <c r="U1732" s="17">
        <v>2</v>
      </c>
      <c r="V1732" s="17">
        <v>34</v>
      </c>
    </row>
    <row r="1733" spans="1:22" x14ac:dyDescent="0.2">
      <c r="A1733" t="s">
        <v>4339</v>
      </c>
      <c r="B1733" t="s">
        <v>2719</v>
      </c>
      <c r="C1733" t="s">
        <v>2720</v>
      </c>
      <c r="D1733" t="s">
        <v>4304</v>
      </c>
      <c r="E1733" s="10" t="s">
        <v>4340</v>
      </c>
      <c r="F1733" s="10"/>
      <c r="G1733" s="10"/>
      <c r="H1733" s="10" t="s">
        <v>4340</v>
      </c>
      <c r="I1733" s="14">
        <v>13742.017582922243</v>
      </c>
      <c r="J1733" s="19">
        <v>0</v>
      </c>
      <c r="K1733" s="19">
        <v>0.8856194752471056</v>
      </c>
      <c r="L1733" s="19">
        <v>0.1143805247528943</v>
      </c>
      <c r="M1733" s="20">
        <v>2</v>
      </c>
      <c r="N1733" s="19">
        <v>0</v>
      </c>
      <c r="O1733" s="19">
        <v>0</v>
      </c>
      <c r="P1733" s="19">
        <v>0.8856194752471056</v>
      </c>
      <c r="Q1733" s="19">
        <v>0</v>
      </c>
      <c r="R1733" s="19">
        <v>0.1133030781682188</v>
      </c>
      <c r="S1733" s="19">
        <v>1.0774465846754928E-3</v>
      </c>
      <c r="T1733" s="20">
        <v>21</v>
      </c>
      <c r="U1733" s="17">
        <v>2</v>
      </c>
      <c r="V1733" s="17">
        <v>34</v>
      </c>
    </row>
    <row r="1734" spans="1:22" x14ac:dyDescent="0.2">
      <c r="A1734" t="s">
        <v>4341</v>
      </c>
      <c r="B1734" t="s">
        <v>2719</v>
      </c>
      <c r="C1734" t="s">
        <v>2720</v>
      </c>
      <c r="D1734" t="s">
        <v>4304</v>
      </c>
      <c r="E1734" s="10" t="s">
        <v>4342</v>
      </c>
      <c r="F1734" s="10"/>
      <c r="G1734" s="10"/>
      <c r="H1734" s="10" t="s">
        <v>4342</v>
      </c>
      <c r="I1734" s="14">
        <v>11578.971292428672</v>
      </c>
      <c r="J1734" s="19">
        <v>0</v>
      </c>
      <c r="K1734" s="19">
        <v>0.89086201210409088</v>
      </c>
      <c r="L1734" s="19">
        <v>0.10913798789590906</v>
      </c>
      <c r="M1734" s="20">
        <v>2</v>
      </c>
      <c r="N1734" s="19">
        <v>0</v>
      </c>
      <c r="O1734" s="19">
        <v>0</v>
      </c>
      <c r="P1734" s="19">
        <v>0.89086201210409088</v>
      </c>
      <c r="Q1734" s="19">
        <v>0</v>
      </c>
      <c r="R1734" s="19">
        <v>0.10913798789590906</v>
      </c>
      <c r="S1734" s="19">
        <v>0</v>
      </c>
      <c r="T1734" s="20">
        <v>21</v>
      </c>
      <c r="U1734" s="17">
        <v>2</v>
      </c>
      <c r="V1734" s="17">
        <v>34</v>
      </c>
    </row>
    <row r="1735" spans="1:22" x14ac:dyDescent="0.2">
      <c r="A1735" t="s">
        <v>4343</v>
      </c>
      <c r="B1735" t="s">
        <v>2719</v>
      </c>
      <c r="C1735" t="s">
        <v>2720</v>
      </c>
      <c r="D1735" t="s">
        <v>4304</v>
      </c>
      <c r="E1735" s="10" t="s">
        <v>4344</v>
      </c>
      <c r="F1735" s="10"/>
      <c r="G1735" s="10"/>
      <c r="H1735" s="10" t="s">
        <v>4344</v>
      </c>
      <c r="I1735" s="14">
        <v>10026.499264609069</v>
      </c>
      <c r="J1735" s="19">
        <v>0</v>
      </c>
      <c r="K1735" s="19">
        <v>0.96105989210008802</v>
      </c>
      <c r="L1735" s="19">
        <v>3.894010789991198E-2</v>
      </c>
      <c r="M1735" s="20">
        <v>2</v>
      </c>
      <c r="N1735" s="19">
        <v>0</v>
      </c>
      <c r="O1735" s="19">
        <v>0</v>
      </c>
      <c r="P1735" s="19">
        <v>0.96105989210008802</v>
      </c>
      <c r="Q1735" s="19">
        <v>0</v>
      </c>
      <c r="R1735" s="19">
        <v>3.894010789991198E-2</v>
      </c>
      <c r="S1735" s="19">
        <v>0</v>
      </c>
      <c r="T1735" s="20">
        <v>21</v>
      </c>
      <c r="U1735" s="17">
        <v>2</v>
      </c>
      <c r="V1735" s="17">
        <v>34</v>
      </c>
    </row>
    <row r="1736" spans="1:22" x14ac:dyDescent="0.2">
      <c r="A1736" t="s">
        <v>4345</v>
      </c>
      <c r="B1736" t="s">
        <v>2719</v>
      </c>
      <c r="C1736" t="s">
        <v>2720</v>
      </c>
      <c r="D1736" t="s">
        <v>4304</v>
      </c>
      <c r="E1736" s="10" t="s">
        <v>4346</v>
      </c>
      <c r="F1736" s="10"/>
      <c r="G1736" s="10"/>
      <c r="H1736" s="10" t="s">
        <v>4346</v>
      </c>
      <c r="I1736" s="14">
        <v>8850.8214853266254</v>
      </c>
      <c r="J1736" s="19">
        <v>0</v>
      </c>
      <c r="K1736" s="19">
        <v>0.55258699341327577</v>
      </c>
      <c r="L1736" s="19">
        <v>0.44741300658672428</v>
      </c>
      <c r="M1736" s="20">
        <v>2</v>
      </c>
      <c r="N1736" s="19">
        <v>0</v>
      </c>
      <c r="O1736" s="19">
        <v>0</v>
      </c>
      <c r="P1736" s="19">
        <v>0.55258699341327577</v>
      </c>
      <c r="Q1736" s="19">
        <v>0</v>
      </c>
      <c r="R1736" s="19">
        <v>0.43424530659120264</v>
      </c>
      <c r="S1736" s="19">
        <v>1.3167699995521625E-2</v>
      </c>
      <c r="T1736" s="20">
        <v>21</v>
      </c>
      <c r="U1736" s="17">
        <v>2</v>
      </c>
      <c r="V1736" s="17">
        <v>34</v>
      </c>
    </row>
    <row r="1737" spans="1:22" x14ac:dyDescent="0.2">
      <c r="A1737" t="s">
        <v>4347</v>
      </c>
      <c r="B1737" t="s">
        <v>2719</v>
      </c>
      <c r="C1737" t="s">
        <v>2720</v>
      </c>
      <c r="D1737" t="s">
        <v>4304</v>
      </c>
      <c r="E1737" s="10" t="s">
        <v>4348</v>
      </c>
      <c r="F1737" s="10"/>
      <c r="G1737" s="10"/>
      <c r="H1737" s="10" t="s">
        <v>4348</v>
      </c>
      <c r="I1737" s="14">
        <v>12693.913700292818</v>
      </c>
      <c r="J1737" s="19">
        <v>0</v>
      </c>
      <c r="K1737" s="19">
        <v>0.65790581840425766</v>
      </c>
      <c r="L1737" s="19">
        <v>0.34209418159574229</v>
      </c>
      <c r="M1737" s="20">
        <v>2</v>
      </c>
      <c r="N1737" s="19">
        <v>0</v>
      </c>
      <c r="O1737" s="19">
        <v>0</v>
      </c>
      <c r="P1737" s="19">
        <v>0.65790581840425766</v>
      </c>
      <c r="Q1737" s="19">
        <v>1.7275372867726733E-4</v>
      </c>
      <c r="R1737" s="19">
        <v>0.27929290337713858</v>
      </c>
      <c r="S1737" s="19">
        <v>6.262852448992641E-2</v>
      </c>
      <c r="T1737" s="20">
        <v>21</v>
      </c>
      <c r="U1737" s="17">
        <v>2</v>
      </c>
      <c r="V1737" s="17">
        <v>34</v>
      </c>
    </row>
    <row r="1738" spans="1:22" x14ac:dyDescent="0.2">
      <c r="A1738" t="s">
        <v>4349</v>
      </c>
      <c r="B1738" t="s">
        <v>2719</v>
      </c>
      <c r="C1738" t="s">
        <v>2720</v>
      </c>
      <c r="D1738" t="s">
        <v>4304</v>
      </c>
      <c r="E1738" s="10" t="s">
        <v>4350</v>
      </c>
      <c r="F1738" s="10"/>
      <c r="G1738" s="10"/>
      <c r="H1738" s="10" t="s">
        <v>4350</v>
      </c>
      <c r="I1738" s="14">
        <v>28377.850993947126</v>
      </c>
      <c r="J1738" s="19">
        <v>0</v>
      </c>
      <c r="K1738" s="19">
        <v>0.74383230031598246</v>
      </c>
      <c r="L1738" s="19">
        <v>0.25616769968401754</v>
      </c>
      <c r="M1738" s="20">
        <v>2</v>
      </c>
      <c r="N1738" s="19">
        <v>0.38698031763123975</v>
      </c>
      <c r="O1738" s="19">
        <v>2.267205861582804E-2</v>
      </c>
      <c r="P1738" s="19">
        <v>0.33417992406891467</v>
      </c>
      <c r="Q1738" s="19">
        <v>0.11857213518426372</v>
      </c>
      <c r="R1738" s="19">
        <v>0.12765420764133242</v>
      </c>
      <c r="S1738" s="19">
        <v>9.9413568584213567E-3</v>
      </c>
      <c r="T1738" s="20">
        <v>23</v>
      </c>
      <c r="U1738" s="17">
        <v>2</v>
      </c>
      <c r="V1738" s="17">
        <v>34</v>
      </c>
    </row>
    <row r="1739" spans="1:22" x14ac:dyDescent="0.2">
      <c r="A1739" t="s">
        <v>4351</v>
      </c>
      <c r="B1739" t="s">
        <v>2719</v>
      </c>
      <c r="C1739" t="s">
        <v>2720</v>
      </c>
      <c r="D1739" t="s">
        <v>4304</v>
      </c>
      <c r="E1739" s="10" t="s">
        <v>4352</v>
      </c>
      <c r="F1739" s="10"/>
      <c r="G1739" s="10"/>
      <c r="H1739" s="10" t="s">
        <v>4352</v>
      </c>
      <c r="I1739" s="14">
        <v>9447.7627605656162</v>
      </c>
      <c r="J1739" s="19">
        <v>0.43475341305483561</v>
      </c>
      <c r="K1739" s="19">
        <v>0.29023684692935109</v>
      </c>
      <c r="L1739" s="19">
        <v>0.2750097400158133</v>
      </c>
      <c r="M1739" s="20">
        <v>2</v>
      </c>
      <c r="N1739" s="19">
        <v>1.0140083861041519E-2</v>
      </c>
      <c r="O1739" s="19">
        <v>0</v>
      </c>
      <c r="P1739" s="19">
        <v>0.28009676306830955</v>
      </c>
      <c r="Q1739" s="19">
        <v>3.5588575777528528E-3</v>
      </c>
      <c r="R1739" s="19">
        <v>0.19571995611925119</v>
      </c>
      <c r="S1739" s="19">
        <v>7.5730926318809288E-2</v>
      </c>
      <c r="T1739" s="20">
        <v>23</v>
      </c>
      <c r="U1739" s="17">
        <v>2</v>
      </c>
      <c r="V1739" s="17">
        <v>34</v>
      </c>
    </row>
    <row r="1740" spans="1:22" x14ac:dyDescent="0.2">
      <c r="A1740" t="s">
        <v>4353</v>
      </c>
      <c r="B1740" t="s">
        <v>2719</v>
      </c>
      <c r="C1740" t="s">
        <v>2720</v>
      </c>
      <c r="D1740" t="s">
        <v>4304</v>
      </c>
      <c r="E1740" s="10" t="s">
        <v>4354</v>
      </c>
      <c r="F1740" s="10"/>
      <c r="G1740" s="10"/>
      <c r="H1740" s="10" t="s">
        <v>4354</v>
      </c>
      <c r="I1740" s="14">
        <v>107576.95907051767</v>
      </c>
      <c r="J1740" s="19">
        <v>0.73401135582067878</v>
      </c>
      <c r="K1740" s="19">
        <v>0.22672797355799593</v>
      </c>
      <c r="L1740" s="19">
        <v>3.926067062132544E-2</v>
      </c>
      <c r="M1740" s="20">
        <v>3</v>
      </c>
      <c r="N1740" s="19">
        <v>9.3894912574092951E-2</v>
      </c>
      <c r="O1740" s="19">
        <v>0</v>
      </c>
      <c r="P1740" s="19">
        <v>0.13283306098390293</v>
      </c>
      <c r="Q1740" s="19">
        <v>3.127738491133928E-2</v>
      </c>
      <c r="R1740" s="19">
        <v>7.4660807447548272E-3</v>
      </c>
      <c r="S1740" s="19">
        <v>5.1720496523133719E-4</v>
      </c>
      <c r="T1740" s="20">
        <v>30</v>
      </c>
      <c r="U1740" s="17">
        <v>2</v>
      </c>
      <c r="V1740" s="17">
        <v>34</v>
      </c>
    </row>
    <row r="1741" spans="1:22" x14ac:dyDescent="0.2">
      <c r="A1741" t="s">
        <v>4355</v>
      </c>
      <c r="B1741" t="s">
        <v>2719</v>
      </c>
      <c r="C1741" t="s">
        <v>2720</v>
      </c>
      <c r="D1741" t="s">
        <v>4304</v>
      </c>
      <c r="E1741" s="10" t="s">
        <v>4356</v>
      </c>
      <c r="F1741" s="10"/>
      <c r="G1741" s="10"/>
      <c r="H1741" s="10" t="s">
        <v>4356</v>
      </c>
      <c r="I1741" s="14">
        <v>12480.34555956698</v>
      </c>
      <c r="J1741" s="19">
        <v>0</v>
      </c>
      <c r="K1741" s="19">
        <v>0</v>
      </c>
      <c r="L1741" s="19">
        <v>1</v>
      </c>
      <c r="M1741" s="20">
        <v>1</v>
      </c>
      <c r="N1741" s="19">
        <v>0</v>
      </c>
      <c r="O1741" s="19">
        <v>0</v>
      </c>
      <c r="P1741" s="19">
        <v>0</v>
      </c>
      <c r="Q1741" s="19">
        <v>0.24092224145436253</v>
      </c>
      <c r="R1741" s="19">
        <v>0.58917126301734069</v>
      </c>
      <c r="S1741" s="19">
        <v>0.16990649552829684</v>
      </c>
      <c r="T1741" s="20">
        <v>12</v>
      </c>
      <c r="U1741" s="17">
        <v>2</v>
      </c>
      <c r="V1741" s="17">
        <v>34</v>
      </c>
    </row>
    <row r="1742" spans="1:22" x14ac:dyDescent="0.2">
      <c r="A1742" t="s">
        <v>4357</v>
      </c>
      <c r="B1742" t="s">
        <v>2719</v>
      </c>
      <c r="C1742" t="s">
        <v>2720</v>
      </c>
      <c r="D1742" t="s">
        <v>4304</v>
      </c>
      <c r="E1742" s="10" t="s">
        <v>4358</v>
      </c>
      <c r="F1742" s="10"/>
      <c r="G1742" s="10"/>
      <c r="H1742" s="10" t="s">
        <v>4358</v>
      </c>
      <c r="I1742" s="14">
        <v>14795.262501168996</v>
      </c>
      <c r="J1742" s="19">
        <v>0</v>
      </c>
      <c r="K1742" s="19">
        <v>1.0000000000000002</v>
      </c>
      <c r="L1742" s="19">
        <v>0</v>
      </c>
      <c r="M1742" s="20">
        <v>2</v>
      </c>
      <c r="N1742" s="19">
        <v>0</v>
      </c>
      <c r="O1742" s="19">
        <v>0</v>
      </c>
      <c r="P1742" s="19">
        <v>1.0000000000000002</v>
      </c>
      <c r="Q1742" s="19">
        <v>0</v>
      </c>
      <c r="R1742" s="19">
        <v>0</v>
      </c>
      <c r="S1742" s="19">
        <v>0</v>
      </c>
      <c r="T1742" s="20">
        <v>21</v>
      </c>
      <c r="U1742" s="17">
        <v>2</v>
      </c>
      <c r="V1742" s="17">
        <v>34</v>
      </c>
    </row>
    <row r="1743" spans="1:22" x14ac:dyDescent="0.2">
      <c r="A1743" t="s">
        <v>4359</v>
      </c>
      <c r="B1743" t="s">
        <v>2719</v>
      </c>
      <c r="C1743" t="s">
        <v>2720</v>
      </c>
      <c r="D1743" t="s">
        <v>4304</v>
      </c>
      <c r="E1743" s="10" t="s">
        <v>4360</v>
      </c>
      <c r="F1743" s="10"/>
      <c r="G1743" s="10"/>
      <c r="H1743" s="10" t="s">
        <v>4360</v>
      </c>
      <c r="I1743" s="14">
        <v>8741.833427388221</v>
      </c>
      <c r="J1743" s="19">
        <v>0</v>
      </c>
      <c r="K1743" s="19">
        <v>0.87539880540153225</v>
      </c>
      <c r="L1743" s="19">
        <v>0.12460119459846775</v>
      </c>
      <c r="M1743" s="20">
        <v>2</v>
      </c>
      <c r="N1743" s="19">
        <v>0</v>
      </c>
      <c r="O1743" s="19">
        <v>0</v>
      </c>
      <c r="P1743" s="19">
        <v>0.87539880540153225</v>
      </c>
      <c r="Q1743" s="19">
        <v>0</v>
      </c>
      <c r="R1743" s="19">
        <v>0.10527793696832737</v>
      </c>
      <c r="S1743" s="19">
        <v>1.9323257630140388E-2</v>
      </c>
      <c r="T1743" s="20">
        <v>21</v>
      </c>
      <c r="U1743" s="17">
        <v>2</v>
      </c>
      <c r="V1743" s="17">
        <v>34</v>
      </c>
    </row>
    <row r="1744" spans="1:22" x14ac:dyDescent="0.2">
      <c r="A1744" t="s">
        <v>4361</v>
      </c>
      <c r="B1744" t="s">
        <v>2719</v>
      </c>
      <c r="C1744" t="s">
        <v>2720</v>
      </c>
      <c r="D1744" t="s">
        <v>4304</v>
      </c>
      <c r="E1744" s="10" t="s">
        <v>4362</v>
      </c>
      <c r="F1744" s="10"/>
      <c r="G1744" s="10"/>
      <c r="H1744" s="10" t="s">
        <v>4362</v>
      </c>
      <c r="I1744" s="14">
        <v>9265.6224792543799</v>
      </c>
      <c r="J1744" s="19">
        <v>0</v>
      </c>
      <c r="K1744" s="19">
        <v>0</v>
      </c>
      <c r="L1744" s="19">
        <v>1</v>
      </c>
      <c r="M1744" s="20">
        <v>1</v>
      </c>
      <c r="N1744" s="19">
        <v>0</v>
      </c>
      <c r="O1744" s="19">
        <v>0</v>
      </c>
      <c r="P1744" s="19">
        <v>0</v>
      </c>
      <c r="Q1744" s="19">
        <v>0.55658420077177317</v>
      </c>
      <c r="R1744" s="19">
        <v>0.44075120293233971</v>
      </c>
      <c r="S1744" s="19">
        <v>2.6645962958870878E-3</v>
      </c>
      <c r="T1744" s="20">
        <v>13</v>
      </c>
      <c r="U1744" s="17">
        <v>2</v>
      </c>
      <c r="V1744" s="17">
        <v>34</v>
      </c>
    </row>
    <row r="1745" spans="1:22" x14ac:dyDescent="0.2">
      <c r="A1745" t="s">
        <v>4363</v>
      </c>
      <c r="B1745" t="s">
        <v>2719</v>
      </c>
      <c r="C1745" t="s">
        <v>2720</v>
      </c>
      <c r="D1745" t="s">
        <v>4304</v>
      </c>
      <c r="E1745" s="10" t="s">
        <v>4364</v>
      </c>
      <c r="F1745" s="10"/>
      <c r="G1745" s="10"/>
      <c r="H1745" s="10" t="s">
        <v>4364</v>
      </c>
      <c r="I1745" s="14">
        <v>15710.201195046304</v>
      </c>
      <c r="J1745" s="19">
        <v>0</v>
      </c>
      <c r="K1745" s="19">
        <v>0.94820707756567046</v>
      </c>
      <c r="L1745" s="19">
        <v>5.1792922434329626E-2</v>
      </c>
      <c r="M1745" s="20">
        <v>2</v>
      </c>
      <c r="N1745" s="19">
        <v>0.35006490492028319</v>
      </c>
      <c r="O1745" s="19">
        <v>0</v>
      </c>
      <c r="P1745" s="19">
        <v>0.59814217264538727</v>
      </c>
      <c r="Q1745" s="19">
        <v>0</v>
      </c>
      <c r="R1745" s="19">
        <v>4.9048956232165944E-2</v>
      </c>
      <c r="S1745" s="19">
        <v>2.7439662021636751E-3</v>
      </c>
      <c r="T1745" s="20">
        <v>21</v>
      </c>
      <c r="U1745" s="17">
        <v>2</v>
      </c>
      <c r="V1745" s="17">
        <v>34</v>
      </c>
    </row>
    <row r="1746" spans="1:22" x14ac:dyDescent="0.2">
      <c r="A1746" t="s">
        <v>4365</v>
      </c>
      <c r="B1746" t="s">
        <v>2719</v>
      </c>
      <c r="C1746" t="s">
        <v>2720</v>
      </c>
      <c r="D1746" t="s">
        <v>4304</v>
      </c>
      <c r="E1746" s="10" t="s">
        <v>4366</v>
      </c>
      <c r="F1746" s="10"/>
      <c r="G1746" s="10"/>
      <c r="H1746" s="10" t="s">
        <v>4366</v>
      </c>
      <c r="I1746" s="14">
        <v>11899.07906407211</v>
      </c>
      <c r="J1746" s="19">
        <v>0</v>
      </c>
      <c r="K1746" s="19">
        <v>1.1634008548635119E-2</v>
      </c>
      <c r="L1746" s="19">
        <v>0.98836599145136494</v>
      </c>
      <c r="M1746" s="20">
        <v>1</v>
      </c>
      <c r="N1746" s="19">
        <v>0</v>
      </c>
      <c r="O1746" s="19">
        <v>0</v>
      </c>
      <c r="P1746" s="19">
        <v>1.1634008548635119E-2</v>
      </c>
      <c r="Q1746" s="19">
        <v>0.44849078986432156</v>
      </c>
      <c r="R1746" s="19">
        <v>0.50749390818400109</v>
      </c>
      <c r="S1746" s="19">
        <v>3.2381293403042265E-2</v>
      </c>
      <c r="T1746" s="20">
        <v>12</v>
      </c>
      <c r="U1746" s="17">
        <v>2</v>
      </c>
      <c r="V1746" s="17">
        <v>34</v>
      </c>
    </row>
    <row r="1747" spans="1:22" x14ac:dyDescent="0.2">
      <c r="A1747" t="s">
        <v>4367</v>
      </c>
      <c r="B1747" t="s">
        <v>2719</v>
      </c>
      <c r="C1747" t="s">
        <v>2720</v>
      </c>
      <c r="D1747" t="s">
        <v>4304</v>
      </c>
      <c r="E1747" s="10" t="s">
        <v>4368</v>
      </c>
      <c r="F1747" s="10"/>
      <c r="G1747" s="10"/>
      <c r="H1747" s="10" t="s">
        <v>4368</v>
      </c>
      <c r="I1747" s="14">
        <v>13617.617541169748</v>
      </c>
      <c r="J1747" s="19">
        <v>0</v>
      </c>
      <c r="K1747" s="19">
        <v>0.96931606067511833</v>
      </c>
      <c r="L1747" s="19">
        <v>3.0683939324881723E-2</v>
      </c>
      <c r="M1747" s="20">
        <v>2</v>
      </c>
      <c r="N1747" s="19">
        <v>0</v>
      </c>
      <c r="O1747" s="19">
        <v>0</v>
      </c>
      <c r="P1747" s="19">
        <v>0.96931606067511833</v>
      </c>
      <c r="Q1747" s="19">
        <v>0</v>
      </c>
      <c r="R1747" s="19">
        <v>2.8724272301988645E-2</v>
      </c>
      <c r="S1747" s="19">
        <v>1.9596670228930802E-3</v>
      </c>
      <c r="T1747" s="20">
        <v>21</v>
      </c>
      <c r="U1747" s="17">
        <v>2</v>
      </c>
      <c r="V1747" s="17">
        <v>34</v>
      </c>
    </row>
    <row r="1748" spans="1:22" x14ac:dyDescent="0.2">
      <c r="A1748" t="s">
        <v>4369</v>
      </c>
      <c r="B1748" t="s">
        <v>2719</v>
      </c>
      <c r="C1748" t="s">
        <v>2720</v>
      </c>
      <c r="D1748" t="s">
        <v>4304</v>
      </c>
      <c r="E1748" s="10" t="s">
        <v>4370</v>
      </c>
      <c r="F1748" s="10"/>
      <c r="G1748" s="10"/>
      <c r="H1748" s="10" t="s">
        <v>4370</v>
      </c>
      <c r="I1748" s="14">
        <v>9027.9696076754481</v>
      </c>
      <c r="J1748" s="19">
        <v>0</v>
      </c>
      <c r="K1748" s="19">
        <v>0.69003991136705656</v>
      </c>
      <c r="L1748" s="19">
        <v>0.3099600886329435</v>
      </c>
      <c r="M1748" s="20">
        <v>2</v>
      </c>
      <c r="N1748" s="19">
        <v>0</v>
      </c>
      <c r="O1748" s="19">
        <v>0</v>
      </c>
      <c r="P1748" s="19">
        <v>0.69003991136705656</v>
      </c>
      <c r="Q1748" s="19">
        <v>0.17299063240103368</v>
      </c>
      <c r="R1748" s="19">
        <v>0.13321066693958977</v>
      </c>
      <c r="S1748" s="19">
        <v>3.7587892923200369E-3</v>
      </c>
      <c r="T1748" s="20">
        <v>21</v>
      </c>
      <c r="U1748" s="17">
        <v>2</v>
      </c>
      <c r="V1748" s="17">
        <v>34</v>
      </c>
    </row>
    <row r="1749" spans="1:22" x14ac:dyDescent="0.2">
      <c r="A1749" t="s">
        <v>4371</v>
      </c>
      <c r="B1749" t="s">
        <v>2719</v>
      </c>
      <c r="C1749" t="s">
        <v>2720</v>
      </c>
      <c r="D1749" t="s">
        <v>4304</v>
      </c>
      <c r="E1749" s="10" t="s">
        <v>4372</v>
      </c>
      <c r="F1749" s="10"/>
      <c r="G1749" s="10"/>
      <c r="H1749" s="10" t="s">
        <v>4372</v>
      </c>
      <c r="I1749" s="14">
        <v>15249.943033847025</v>
      </c>
      <c r="J1749" s="19">
        <v>0</v>
      </c>
      <c r="K1749" s="19">
        <v>0.90549300436682734</v>
      </c>
      <c r="L1749" s="19">
        <v>9.450699563317283E-2</v>
      </c>
      <c r="M1749" s="20">
        <v>2</v>
      </c>
      <c r="N1749" s="19">
        <v>0</v>
      </c>
      <c r="O1749" s="19">
        <v>0</v>
      </c>
      <c r="P1749" s="19">
        <v>0.90549300436682734</v>
      </c>
      <c r="Q1749" s="19">
        <v>0</v>
      </c>
      <c r="R1749" s="19">
        <v>8.8659542117694237E-2</v>
      </c>
      <c r="S1749" s="19">
        <v>5.8474535154785894E-3</v>
      </c>
      <c r="T1749" s="20">
        <v>21</v>
      </c>
      <c r="U1749" s="17">
        <v>2</v>
      </c>
      <c r="V1749" s="17">
        <v>34</v>
      </c>
    </row>
    <row r="1750" spans="1:22" x14ac:dyDescent="0.2">
      <c r="A1750" t="s">
        <v>4373</v>
      </c>
      <c r="B1750" t="s">
        <v>2719</v>
      </c>
      <c r="C1750" t="s">
        <v>2720</v>
      </c>
      <c r="D1750" t="s">
        <v>4304</v>
      </c>
      <c r="E1750" s="10" t="s">
        <v>4374</v>
      </c>
      <c r="F1750" s="10"/>
      <c r="G1750" s="10"/>
      <c r="H1750" s="10" t="s">
        <v>4374</v>
      </c>
      <c r="I1750" s="14">
        <v>7214.8898581787944</v>
      </c>
      <c r="J1750" s="19">
        <v>0</v>
      </c>
      <c r="K1750" s="19">
        <v>0.44215745088264341</v>
      </c>
      <c r="L1750" s="19">
        <v>0.55784254911735665</v>
      </c>
      <c r="M1750" s="20">
        <v>1</v>
      </c>
      <c r="N1750" s="19">
        <v>0</v>
      </c>
      <c r="O1750" s="19">
        <v>0</v>
      </c>
      <c r="P1750" s="19">
        <v>0.44215745088264341</v>
      </c>
      <c r="Q1750" s="19">
        <v>1.3739672694962298E-3</v>
      </c>
      <c r="R1750" s="19">
        <v>0.33531274023543567</v>
      </c>
      <c r="S1750" s="19">
        <v>0.22115584161242471</v>
      </c>
      <c r="T1750" s="20">
        <v>12</v>
      </c>
      <c r="U1750" s="17">
        <v>2</v>
      </c>
      <c r="V1750" s="17">
        <v>34</v>
      </c>
    </row>
    <row r="1751" spans="1:22" x14ac:dyDescent="0.2">
      <c r="A1751" t="s">
        <v>4375</v>
      </c>
      <c r="B1751" t="s">
        <v>2719</v>
      </c>
      <c r="C1751" t="s">
        <v>2720</v>
      </c>
      <c r="D1751" t="s">
        <v>4304</v>
      </c>
      <c r="E1751" s="10" t="s">
        <v>4376</v>
      </c>
      <c r="F1751" s="10"/>
      <c r="G1751" s="10"/>
      <c r="H1751" s="10" t="s">
        <v>4376</v>
      </c>
      <c r="I1751" s="14">
        <v>6984.2384852003306</v>
      </c>
      <c r="J1751" s="19">
        <v>0</v>
      </c>
      <c r="K1751" s="19">
        <v>0</v>
      </c>
      <c r="L1751" s="19">
        <v>1</v>
      </c>
      <c r="M1751" s="20">
        <v>1</v>
      </c>
      <c r="N1751" s="19">
        <v>0</v>
      </c>
      <c r="O1751" s="19">
        <v>0</v>
      </c>
      <c r="P1751" s="19">
        <v>0</v>
      </c>
      <c r="Q1751" s="19">
        <v>0.25822599186032674</v>
      </c>
      <c r="R1751" s="19">
        <v>0.30107251867812718</v>
      </c>
      <c r="S1751" s="19">
        <v>0.44070148946154608</v>
      </c>
      <c r="T1751" s="20">
        <v>11</v>
      </c>
      <c r="U1751" s="17">
        <v>2</v>
      </c>
      <c r="V1751" s="17">
        <v>34</v>
      </c>
    </row>
    <row r="1752" spans="1:22" x14ac:dyDescent="0.2">
      <c r="A1752" t="s">
        <v>4377</v>
      </c>
      <c r="B1752" t="s">
        <v>2719</v>
      </c>
      <c r="C1752" t="s">
        <v>2720</v>
      </c>
      <c r="D1752" t="s">
        <v>4304</v>
      </c>
      <c r="E1752" s="10" t="s">
        <v>4378</v>
      </c>
      <c r="F1752" s="10"/>
      <c r="G1752" s="10"/>
      <c r="H1752" s="10" t="s">
        <v>4378</v>
      </c>
      <c r="I1752" s="14">
        <v>9680.9904594048858</v>
      </c>
      <c r="J1752" s="19">
        <v>0</v>
      </c>
      <c r="K1752" s="19">
        <v>1</v>
      </c>
      <c r="L1752" s="19">
        <v>0</v>
      </c>
      <c r="M1752" s="20">
        <v>2</v>
      </c>
      <c r="N1752" s="19">
        <v>0.6423623693153846</v>
      </c>
      <c r="O1752" s="19">
        <v>0</v>
      </c>
      <c r="P1752" s="19">
        <v>0.3576376306846154</v>
      </c>
      <c r="Q1752" s="19">
        <v>0</v>
      </c>
      <c r="R1752" s="19">
        <v>0</v>
      </c>
      <c r="S1752" s="19">
        <v>0</v>
      </c>
      <c r="T1752" s="20">
        <v>23</v>
      </c>
      <c r="U1752" s="17">
        <v>2</v>
      </c>
      <c r="V1752" s="17">
        <v>34</v>
      </c>
    </row>
    <row r="1753" spans="1:22" x14ac:dyDescent="0.2">
      <c r="A1753" t="s">
        <v>4379</v>
      </c>
      <c r="B1753" t="s">
        <v>2719</v>
      </c>
      <c r="C1753" t="s">
        <v>2720</v>
      </c>
      <c r="D1753" t="s">
        <v>4304</v>
      </c>
      <c r="E1753" s="10" t="s">
        <v>4380</v>
      </c>
      <c r="F1753" s="10"/>
      <c r="G1753" s="10"/>
      <c r="H1753" s="10" t="s">
        <v>4380</v>
      </c>
      <c r="I1753" s="14">
        <v>10984.05454967916</v>
      </c>
      <c r="J1753" s="19">
        <v>0</v>
      </c>
      <c r="K1753" s="19">
        <v>0.97858244530068061</v>
      </c>
      <c r="L1753" s="19">
        <v>2.1417554699319333E-2</v>
      </c>
      <c r="M1753" s="20">
        <v>2</v>
      </c>
      <c r="N1753" s="19">
        <v>0.46397070714217115</v>
      </c>
      <c r="O1753" s="19">
        <v>0</v>
      </c>
      <c r="P1753" s="19">
        <v>0.51461173815850947</v>
      </c>
      <c r="Q1753" s="19">
        <v>0</v>
      </c>
      <c r="R1753" s="19">
        <v>2.1417554699319333E-2</v>
      </c>
      <c r="S1753" s="19">
        <v>0</v>
      </c>
      <c r="T1753" s="20">
        <v>21</v>
      </c>
      <c r="U1753" s="17">
        <v>2</v>
      </c>
      <c r="V1753" s="17">
        <v>34</v>
      </c>
    </row>
    <row r="1754" spans="1:22" x14ac:dyDescent="0.2">
      <c r="A1754" t="s">
        <v>4381</v>
      </c>
      <c r="B1754" t="s">
        <v>2719</v>
      </c>
      <c r="C1754" t="s">
        <v>2720</v>
      </c>
      <c r="D1754" t="s">
        <v>4304</v>
      </c>
      <c r="E1754" s="10" t="s">
        <v>4382</v>
      </c>
      <c r="F1754" s="10"/>
      <c r="G1754" s="10"/>
      <c r="H1754" s="10" t="s">
        <v>4382</v>
      </c>
      <c r="I1754" s="14">
        <v>10681.45103682694</v>
      </c>
      <c r="J1754" s="19">
        <v>0</v>
      </c>
      <c r="K1754" s="19">
        <v>0</v>
      </c>
      <c r="L1754" s="19">
        <v>1</v>
      </c>
      <c r="M1754" s="20">
        <v>1</v>
      </c>
      <c r="N1754" s="19">
        <v>0</v>
      </c>
      <c r="O1754" s="19">
        <v>0</v>
      </c>
      <c r="P1754" s="19">
        <v>0</v>
      </c>
      <c r="Q1754" s="19">
        <v>0.38647001068885273</v>
      </c>
      <c r="R1754" s="19">
        <v>0.57141878179629035</v>
      </c>
      <c r="S1754" s="19">
        <v>4.2111207514856898E-2</v>
      </c>
      <c r="T1754" s="20">
        <v>12</v>
      </c>
      <c r="U1754" s="17">
        <v>2</v>
      </c>
      <c r="V1754" s="17">
        <v>34</v>
      </c>
    </row>
    <row r="1755" spans="1:22" x14ac:dyDescent="0.2">
      <c r="A1755" t="s">
        <v>4383</v>
      </c>
      <c r="B1755" t="s">
        <v>2719</v>
      </c>
      <c r="C1755" t="s">
        <v>2720</v>
      </c>
      <c r="D1755" t="s">
        <v>4304</v>
      </c>
      <c r="E1755" s="10" t="s">
        <v>4384</v>
      </c>
      <c r="F1755" s="10"/>
      <c r="G1755" s="10"/>
      <c r="H1755" s="10" t="s">
        <v>4384</v>
      </c>
      <c r="I1755" s="14">
        <v>5874.8472732938826</v>
      </c>
      <c r="J1755" s="19">
        <v>0</v>
      </c>
      <c r="K1755" s="19">
        <v>0.82784977943347615</v>
      </c>
      <c r="L1755" s="19">
        <v>0.17215022056652388</v>
      </c>
      <c r="M1755" s="20">
        <v>2</v>
      </c>
      <c r="N1755" s="19">
        <v>0.76648350080129157</v>
      </c>
      <c r="O1755" s="19">
        <v>0</v>
      </c>
      <c r="P1755" s="19">
        <v>6.1366278632184558E-2</v>
      </c>
      <c r="Q1755" s="19">
        <v>4.5708879929255864E-3</v>
      </c>
      <c r="R1755" s="19">
        <v>0.16520718763643188</v>
      </c>
      <c r="S1755" s="19">
        <v>2.3721449371664214E-3</v>
      </c>
      <c r="T1755" s="20">
        <v>23</v>
      </c>
      <c r="U1755" s="17">
        <v>2</v>
      </c>
      <c r="V1755" s="17">
        <v>34</v>
      </c>
    </row>
    <row r="1756" spans="1:22" x14ac:dyDescent="0.2">
      <c r="A1756" t="s">
        <v>4385</v>
      </c>
      <c r="B1756" t="s">
        <v>2719</v>
      </c>
      <c r="C1756" t="s">
        <v>2720</v>
      </c>
      <c r="D1756" t="s">
        <v>4304</v>
      </c>
      <c r="E1756" s="10" t="s">
        <v>4386</v>
      </c>
      <c r="F1756" s="10"/>
      <c r="G1756" s="10"/>
      <c r="H1756" s="10" t="s">
        <v>4386</v>
      </c>
      <c r="I1756" s="14">
        <v>30393.526135629978</v>
      </c>
      <c r="J1756" s="19">
        <v>0</v>
      </c>
      <c r="K1756" s="19">
        <v>0.69139110073008858</v>
      </c>
      <c r="L1756" s="19">
        <v>0.30860889926991125</v>
      </c>
      <c r="M1756" s="20">
        <v>2</v>
      </c>
      <c r="N1756" s="19">
        <v>0.50167460368365102</v>
      </c>
      <c r="O1756" s="19">
        <v>0</v>
      </c>
      <c r="P1756" s="19">
        <v>0.18971649704643759</v>
      </c>
      <c r="Q1756" s="19">
        <v>0.17948047994964617</v>
      </c>
      <c r="R1756" s="19">
        <v>0.11373432686035524</v>
      </c>
      <c r="S1756" s="19">
        <v>1.5394092459909853E-2</v>
      </c>
      <c r="T1756" s="20">
        <v>23</v>
      </c>
      <c r="U1756" s="17">
        <v>2</v>
      </c>
      <c r="V1756" s="17">
        <v>34</v>
      </c>
    </row>
    <row r="1757" spans="1:22" x14ac:dyDescent="0.2">
      <c r="A1757" t="s">
        <v>4387</v>
      </c>
      <c r="B1757" t="s">
        <v>2719</v>
      </c>
      <c r="C1757" t="s">
        <v>2720</v>
      </c>
      <c r="D1757" t="s">
        <v>4388</v>
      </c>
      <c r="E1757" s="10" t="s">
        <v>4389</v>
      </c>
      <c r="F1757" s="10"/>
      <c r="G1757" s="10"/>
      <c r="H1757" s="10" t="s">
        <v>4389</v>
      </c>
      <c r="I1757" s="14">
        <v>64882.191833865065</v>
      </c>
      <c r="J1757" s="19">
        <v>0</v>
      </c>
      <c r="K1757" s="19">
        <v>0.6398834309183743</v>
      </c>
      <c r="L1757" s="19">
        <v>0.36011656908162576</v>
      </c>
      <c r="M1757" s="20">
        <v>2</v>
      </c>
      <c r="N1757" s="19">
        <v>0.32451349646269972</v>
      </c>
      <c r="O1757" s="19">
        <v>0</v>
      </c>
      <c r="P1757" s="19">
        <v>0.31536993445567452</v>
      </c>
      <c r="Q1757" s="19">
        <v>0.21760291571390339</v>
      </c>
      <c r="R1757" s="19">
        <v>0.12471058374874142</v>
      </c>
      <c r="S1757" s="19">
        <v>1.7803069618981014E-2</v>
      </c>
      <c r="T1757" s="20">
        <v>23</v>
      </c>
      <c r="U1757" s="17">
        <v>2</v>
      </c>
      <c r="V1757" s="17">
        <v>34</v>
      </c>
    </row>
    <row r="1758" spans="1:22" x14ac:dyDescent="0.2">
      <c r="A1758" t="s">
        <v>4390</v>
      </c>
      <c r="B1758" t="s">
        <v>2719</v>
      </c>
      <c r="C1758" t="s">
        <v>2720</v>
      </c>
      <c r="D1758" t="s">
        <v>4388</v>
      </c>
      <c r="E1758" s="10" t="s">
        <v>4391</v>
      </c>
      <c r="F1758" s="10"/>
      <c r="G1758" s="10"/>
      <c r="H1758" s="10" t="s">
        <v>4391</v>
      </c>
      <c r="I1758" s="14">
        <v>56264.475821581669</v>
      </c>
      <c r="J1758" s="19">
        <v>0</v>
      </c>
      <c r="K1758" s="19">
        <v>0.83796244691782207</v>
      </c>
      <c r="L1758" s="19">
        <v>0.16203755308217779</v>
      </c>
      <c r="M1758" s="20">
        <v>2</v>
      </c>
      <c r="N1758" s="19">
        <v>0.20900631847455542</v>
      </c>
      <c r="O1758" s="19">
        <v>0</v>
      </c>
      <c r="P1758" s="19">
        <v>0.62895612844326676</v>
      </c>
      <c r="Q1758" s="19">
        <v>3.1680251932646675E-2</v>
      </c>
      <c r="R1758" s="19">
        <v>0.1214938501230291</v>
      </c>
      <c r="S1758" s="19">
        <v>8.8634510265020103E-3</v>
      </c>
      <c r="T1758" s="20">
        <v>21</v>
      </c>
      <c r="U1758" s="17">
        <v>2</v>
      </c>
      <c r="V1758" s="17">
        <v>34</v>
      </c>
    </row>
    <row r="1759" spans="1:22" x14ac:dyDescent="0.2">
      <c r="A1759" t="s">
        <v>4392</v>
      </c>
      <c r="B1759" t="s">
        <v>2719</v>
      </c>
      <c r="C1759" t="s">
        <v>2720</v>
      </c>
      <c r="D1759" t="s">
        <v>4388</v>
      </c>
      <c r="E1759" s="10" t="s">
        <v>4393</v>
      </c>
      <c r="F1759" s="10"/>
      <c r="G1759" s="10"/>
      <c r="H1759" s="10" t="s">
        <v>4393</v>
      </c>
      <c r="I1759" s="14">
        <v>47222.572750763968</v>
      </c>
      <c r="J1759" s="19">
        <v>0</v>
      </c>
      <c r="K1759" s="19">
        <v>0.90861691468093253</v>
      </c>
      <c r="L1759" s="19">
        <v>9.1383085319067525E-2</v>
      </c>
      <c r="M1759" s="20">
        <v>2</v>
      </c>
      <c r="N1759" s="19">
        <v>0.55805945538558688</v>
      </c>
      <c r="O1759" s="19">
        <v>0</v>
      </c>
      <c r="P1759" s="19">
        <v>0.3505574592953456</v>
      </c>
      <c r="Q1759" s="19">
        <v>4.4671808675013414E-2</v>
      </c>
      <c r="R1759" s="19">
        <v>4.0831428884167818E-2</v>
      </c>
      <c r="S1759" s="19">
        <v>5.8798477598862907E-3</v>
      </c>
      <c r="T1759" s="20">
        <v>23</v>
      </c>
      <c r="U1759" s="17">
        <v>2</v>
      </c>
      <c r="V1759" s="17">
        <v>34</v>
      </c>
    </row>
    <row r="1760" spans="1:22" x14ac:dyDescent="0.2">
      <c r="A1760" t="s">
        <v>4394</v>
      </c>
      <c r="B1760" t="s">
        <v>2719</v>
      </c>
      <c r="C1760" t="s">
        <v>2720</v>
      </c>
      <c r="D1760" t="s">
        <v>4388</v>
      </c>
      <c r="E1760" s="10" t="s">
        <v>4395</v>
      </c>
      <c r="F1760" s="10"/>
      <c r="G1760" s="10"/>
      <c r="H1760" s="10" t="s">
        <v>4395</v>
      </c>
      <c r="I1760" s="14">
        <v>30025.65859519225</v>
      </c>
      <c r="J1760" s="19">
        <v>0</v>
      </c>
      <c r="K1760" s="19">
        <v>0.78157471997444039</v>
      </c>
      <c r="L1760" s="19">
        <v>0.21842528002555953</v>
      </c>
      <c r="M1760" s="20">
        <v>2</v>
      </c>
      <c r="N1760" s="19">
        <v>0</v>
      </c>
      <c r="O1760" s="19">
        <v>0.78157471997444039</v>
      </c>
      <c r="P1760" s="19">
        <v>0</v>
      </c>
      <c r="Q1760" s="19">
        <v>9.6236831496401137E-2</v>
      </c>
      <c r="R1760" s="19">
        <v>0.11335094244144707</v>
      </c>
      <c r="S1760" s="19">
        <v>8.8375060877113193E-3</v>
      </c>
      <c r="T1760" s="20">
        <v>22</v>
      </c>
      <c r="U1760" s="17">
        <v>2</v>
      </c>
      <c r="V1760" s="17">
        <v>34</v>
      </c>
    </row>
    <row r="1761" spans="1:22" x14ac:dyDescent="0.2">
      <c r="A1761" t="s">
        <v>4396</v>
      </c>
      <c r="B1761" t="s">
        <v>2719</v>
      </c>
      <c r="C1761" t="s">
        <v>2720</v>
      </c>
      <c r="D1761" t="s">
        <v>4388</v>
      </c>
      <c r="E1761" s="10" t="s">
        <v>4397</v>
      </c>
      <c r="F1761" s="10"/>
      <c r="G1761" s="10"/>
      <c r="H1761" s="10" t="s">
        <v>4397</v>
      </c>
      <c r="I1761" s="14">
        <v>37266.49429967301</v>
      </c>
      <c r="J1761" s="19">
        <v>0</v>
      </c>
      <c r="K1761" s="19">
        <v>0.86628525563509029</v>
      </c>
      <c r="L1761" s="19">
        <v>0.13371474436490974</v>
      </c>
      <c r="M1761" s="20">
        <v>2</v>
      </c>
      <c r="N1761" s="19">
        <v>0.27742344905857347</v>
      </c>
      <c r="O1761" s="19">
        <v>0</v>
      </c>
      <c r="P1761" s="19">
        <v>0.58886180657651677</v>
      </c>
      <c r="Q1761" s="19">
        <v>6.2717689975350212E-3</v>
      </c>
      <c r="R1761" s="19">
        <v>0.12436198938128405</v>
      </c>
      <c r="S1761" s="19">
        <v>3.0809859860906658E-3</v>
      </c>
      <c r="T1761" s="20">
        <v>21</v>
      </c>
      <c r="U1761" s="17">
        <v>2</v>
      </c>
      <c r="V1761" s="17">
        <v>34</v>
      </c>
    </row>
    <row r="1762" spans="1:22" x14ac:dyDescent="0.2">
      <c r="A1762" t="s">
        <v>4398</v>
      </c>
      <c r="B1762" t="s">
        <v>2719</v>
      </c>
      <c r="C1762" t="s">
        <v>2720</v>
      </c>
      <c r="D1762" t="s">
        <v>4388</v>
      </c>
      <c r="E1762" s="10" t="s">
        <v>3414</v>
      </c>
      <c r="F1762" s="10"/>
      <c r="G1762" s="10"/>
      <c r="H1762" s="10" t="s">
        <v>3414</v>
      </c>
      <c r="I1762" s="14">
        <v>40496.9606834203</v>
      </c>
      <c r="J1762" s="19">
        <v>0</v>
      </c>
      <c r="K1762" s="19">
        <v>0.9055222990554278</v>
      </c>
      <c r="L1762" s="19">
        <v>9.4477700944572252E-2</v>
      </c>
      <c r="M1762" s="20">
        <v>2</v>
      </c>
      <c r="N1762" s="19">
        <v>0.45331535836495701</v>
      </c>
      <c r="O1762" s="19">
        <v>0</v>
      </c>
      <c r="P1762" s="19">
        <v>0.45220694069047074</v>
      </c>
      <c r="Q1762" s="19">
        <v>0</v>
      </c>
      <c r="R1762" s="19">
        <v>9.1297438541406026E-2</v>
      </c>
      <c r="S1762" s="19">
        <v>3.1802624031662292E-3</v>
      </c>
      <c r="T1762" s="20">
        <v>23</v>
      </c>
      <c r="U1762" s="17">
        <v>2</v>
      </c>
      <c r="V1762" s="17">
        <v>34</v>
      </c>
    </row>
    <row r="1763" spans="1:22" x14ac:dyDescent="0.2">
      <c r="A1763" t="s">
        <v>4399</v>
      </c>
      <c r="B1763" t="s">
        <v>2719</v>
      </c>
      <c r="C1763" t="s">
        <v>2720</v>
      </c>
      <c r="D1763" t="s">
        <v>4388</v>
      </c>
      <c r="E1763" s="10" t="s">
        <v>4400</v>
      </c>
      <c r="F1763" s="10"/>
      <c r="G1763" s="10"/>
      <c r="H1763" s="10" t="s">
        <v>4400</v>
      </c>
      <c r="I1763" s="14">
        <v>116300.70163665853</v>
      </c>
      <c r="J1763" s="19">
        <v>0</v>
      </c>
      <c r="K1763" s="19">
        <v>0.80132657191482959</v>
      </c>
      <c r="L1763" s="19">
        <v>0.19867342808517033</v>
      </c>
      <c r="M1763" s="20">
        <v>2</v>
      </c>
      <c r="N1763" s="19">
        <v>0.37667617128826553</v>
      </c>
      <c r="O1763" s="19">
        <v>0</v>
      </c>
      <c r="P1763" s="19">
        <v>0.42465040062656406</v>
      </c>
      <c r="Q1763" s="19">
        <v>0.12024310145362149</v>
      </c>
      <c r="R1763" s="19">
        <v>7.0945528160466745E-2</v>
      </c>
      <c r="S1763" s="19">
        <v>7.4847984710820787E-3</v>
      </c>
      <c r="T1763" s="20">
        <v>23</v>
      </c>
      <c r="U1763" s="17">
        <v>2</v>
      </c>
      <c r="V1763" s="17">
        <v>34</v>
      </c>
    </row>
    <row r="1764" spans="1:22" x14ac:dyDescent="0.2">
      <c r="A1764" t="s">
        <v>4401</v>
      </c>
      <c r="B1764" t="s">
        <v>2719</v>
      </c>
      <c r="C1764" t="s">
        <v>2720</v>
      </c>
      <c r="D1764" t="s">
        <v>4388</v>
      </c>
      <c r="E1764" s="10" t="s">
        <v>4402</v>
      </c>
      <c r="F1764" s="10"/>
      <c r="G1764" s="10"/>
      <c r="H1764" s="10" t="s">
        <v>4402</v>
      </c>
      <c r="I1764" s="14">
        <v>55788.585148856975</v>
      </c>
      <c r="J1764" s="19">
        <v>0</v>
      </c>
      <c r="K1764" s="19">
        <v>0.65752912140613629</v>
      </c>
      <c r="L1764" s="19">
        <v>0.34247087859386371</v>
      </c>
      <c r="M1764" s="20">
        <v>2</v>
      </c>
      <c r="N1764" s="19">
        <v>0.24103973726725078</v>
      </c>
      <c r="O1764" s="19">
        <v>0</v>
      </c>
      <c r="P1764" s="19">
        <v>0.41648938413888553</v>
      </c>
      <c r="Q1764" s="19">
        <v>0.18393965707919574</v>
      </c>
      <c r="R1764" s="19">
        <v>0.14970462566864354</v>
      </c>
      <c r="S1764" s="19">
        <v>8.8265958460243803E-3</v>
      </c>
      <c r="T1764" s="20">
        <v>23</v>
      </c>
      <c r="U1764" s="17">
        <v>2</v>
      </c>
      <c r="V1764" s="17">
        <v>34</v>
      </c>
    </row>
    <row r="1765" spans="1:22" x14ac:dyDescent="0.2">
      <c r="A1765" t="s">
        <v>4403</v>
      </c>
      <c r="B1765" t="s">
        <v>2719</v>
      </c>
      <c r="C1765" t="s">
        <v>2720</v>
      </c>
      <c r="D1765" t="s">
        <v>4388</v>
      </c>
      <c r="E1765" s="10" t="s">
        <v>4404</v>
      </c>
      <c r="F1765" s="10"/>
      <c r="G1765" s="10"/>
      <c r="H1765" s="10" t="s">
        <v>4404</v>
      </c>
      <c r="I1765" s="14">
        <v>31666.390370436944</v>
      </c>
      <c r="J1765" s="19">
        <v>0</v>
      </c>
      <c r="K1765" s="19">
        <v>0.62996931425189595</v>
      </c>
      <c r="L1765" s="19">
        <v>0.37003068574810416</v>
      </c>
      <c r="M1765" s="20">
        <v>2</v>
      </c>
      <c r="N1765" s="19">
        <v>0</v>
      </c>
      <c r="O1765" s="19">
        <v>0</v>
      </c>
      <c r="P1765" s="19">
        <v>0.62996931425189595</v>
      </c>
      <c r="Q1765" s="19">
        <v>0.14072192923016283</v>
      </c>
      <c r="R1765" s="19">
        <v>0.20808735136664255</v>
      </c>
      <c r="S1765" s="19">
        <v>2.1221405151298708E-2</v>
      </c>
      <c r="T1765" s="20">
        <v>21</v>
      </c>
      <c r="U1765" s="17">
        <v>2</v>
      </c>
      <c r="V1765" s="17">
        <v>34</v>
      </c>
    </row>
    <row r="1766" spans="1:22" x14ac:dyDescent="0.2">
      <c r="A1766" t="s">
        <v>4405</v>
      </c>
      <c r="B1766" t="s">
        <v>2719</v>
      </c>
      <c r="C1766" t="s">
        <v>2720</v>
      </c>
      <c r="D1766" t="s">
        <v>4388</v>
      </c>
      <c r="E1766" s="10" t="s">
        <v>4406</v>
      </c>
      <c r="F1766" s="10"/>
      <c r="G1766" s="10"/>
      <c r="H1766" s="10" t="s">
        <v>4406</v>
      </c>
      <c r="I1766" s="14">
        <v>34516.149989616126</v>
      </c>
      <c r="J1766" s="19">
        <v>0</v>
      </c>
      <c r="K1766" s="19">
        <v>0.81927121463713903</v>
      </c>
      <c r="L1766" s="19">
        <v>0.18072878536286102</v>
      </c>
      <c r="M1766" s="20">
        <v>2</v>
      </c>
      <c r="N1766" s="19">
        <v>0.26083176385810986</v>
      </c>
      <c r="O1766" s="19">
        <v>0</v>
      </c>
      <c r="P1766" s="19">
        <v>0.55843945077902912</v>
      </c>
      <c r="Q1766" s="19">
        <v>6.0711804577399969E-2</v>
      </c>
      <c r="R1766" s="19">
        <v>0.10497991164873957</v>
      </c>
      <c r="S1766" s="19">
        <v>1.5037069136721481E-2</v>
      </c>
      <c r="T1766" s="20">
        <v>21</v>
      </c>
      <c r="U1766" s="17">
        <v>2</v>
      </c>
      <c r="V1766" s="17">
        <v>34</v>
      </c>
    </row>
    <row r="1767" spans="1:22" x14ac:dyDescent="0.2">
      <c r="A1767" t="s">
        <v>4407</v>
      </c>
      <c r="B1767" t="s">
        <v>2719</v>
      </c>
      <c r="C1767" t="s">
        <v>2720</v>
      </c>
      <c r="D1767" t="s">
        <v>4388</v>
      </c>
      <c r="E1767" s="10" t="s">
        <v>4408</v>
      </c>
      <c r="F1767" s="10"/>
      <c r="G1767" s="10"/>
      <c r="H1767" s="10" t="s">
        <v>4408</v>
      </c>
      <c r="I1767" s="14">
        <v>55920.550777163829</v>
      </c>
      <c r="J1767" s="19">
        <v>0</v>
      </c>
      <c r="K1767" s="19">
        <v>0.91237544140825277</v>
      </c>
      <c r="L1767" s="19">
        <v>8.7624558591747045E-2</v>
      </c>
      <c r="M1767" s="20">
        <v>2</v>
      </c>
      <c r="N1767" s="19">
        <v>0.40602829074269925</v>
      </c>
      <c r="O1767" s="19">
        <v>0</v>
      </c>
      <c r="P1767" s="19">
        <v>0.50634715066555358</v>
      </c>
      <c r="Q1767" s="19">
        <v>6.7263771587833905E-3</v>
      </c>
      <c r="R1767" s="19">
        <v>8.0040016438661765E-2</v>
      </c>
      <c r="S1767" s="19">
        <v>8.5816499430188542E-4</v>
      </c>
      <c r="T1767" s="20">
        <v>21</v>
      </c>
      <c r="U1767" s="17">
        <v>2</v>
      </c>
      <c r="V1767" s="17">
        <v>34</v>
      </c>
    </row>
    <row r="1768" spans="1:22" x14ac:dyDescent="0.2">
      <c r="A1768" t="s">
        <v>4409</v>
      </c>
      <c r="B1768" t="s">
        <v>2719</v>
      </c>
      <c r="C1768" t="s">
        <v>2720</v>
      </c>
      <c r="D1768" t="s">
        <v>4388</v>
      </c>
      <c r="E1768" s="10" t="s">
        <v>4410</v>
      </c>
      <c r="F1768" s="10"/>
      <c r="G1768" s="10"/>
      <c r="H1768" s="10" t="s">
        <v>4410</v>
      </c>
      <c r="I1768" s="14">
        <v>36948.894218852744</v>
      </c>
      <c r="J1768" s="19">
        <v>0</v>
      </c>
      <c r="K1768" s="19">
        <v>0.83141078429569037</v>
      </c>
      <c r="L1768" s="19">
        <v>0.16858921570430974</v>
      </c>
      <c r="M1768" s="20">
        <v>2</v>
      </c>
      <c r="N1768" s="19">
        <v>0.1725746012689206</v>
      </c>
      <c r="O1768" s="19">
        <v>0</v>
      </c>
      <c r="P1768" s="19">
        <v>0.65883618302676972</v>
      </c>
      <c r="Q1768" s="19">
        <v>1.541101366506235E-2</v>
      </c>
      <c r="R1768" s="19">
        <v>0.14344486796552491</v>
      </c>
      <c r="S1768" s="19">
        <v>9.7333340737224671E-3</v>
      </c>
      <c r="T1768" s="20">
        <v>21</v>
      </c>
      <c r="U1768" s="17">
        <v>2</v>
      </c>
      <c r="V1768" s="17">
        <v>34</v>
      </c>
    </row>
    <row r="1769" spans="1:22" x14ac:dyDescent="0.2">
      <c r="A1769" t="s">
        <v>4411</v>
      </c>
      <c r="B1769" t="s">
        <v>2719</v>
      </c>
      <c r="C1769" t="s">
        <v>2720</v>
      </c>
      <c r="D1769" t="s">
        <v>4388</v>
      </c>
      <c r="E1769" s="10" t="s">
        <v>4412</v>
      </c>
      <c r="F1769" s="10"/>
      <c r="G1769" s="10"/>
      <c r="H1769" s="10" t="s">
        <v>4412</v>
      </c>
      <c r="I1769" s="14">
        <v>48695.968803469557</v>
      </c>
      <c r="J1769" s="19">
        <v>0</v>
      </c>
      <c r="K1769" s="19">
        <v>0.95677634599773642</v>
      </c>
      <c r="L1769" s="19">
        <v>4.3223654002263592E-2</v>
      </c>
      <c r="M1769" s="20">
        <v>2</v>
      </c>
      <c r="N1769" s="19">
        <v>0.25268015285305317</v>
      </c>
      <c r="O1769" s="19">
        <v>0</v>
      </c>
      <c r="P1769" s="19">
        <v>0.70409619314468319</v>
      </c>
      <c r="Q1769" s="19">
        <v>0</v>
      </c>
      <c r="R1769" s="19">
        <v>4.1953897470269792E-2</v>
      </c>
      <c r="S1769" s="19">
        <v>1.2697565319937972E-3</v>
      </c>
      <c r="T1769" s="20">
        <v>21</v>
      </c>
      <c r="U1769" s="17">
        <v>2</v>
      </c>
      <c r="V1769" s="17">
        <v>34</v>
      </c>
    </row>
    <row r="1770" spans="1:22" x14ac:dyDescent="0.2">
      <c r="A1770" t="s">
        <v>4413</v>
      </c>
      <c r="B1770" t="s">
        <v>2719</v>
      </c>
      <c r="C1770" t="s">
        <v>2720</v>
      </c>
      <c r="D1770" t="s">
        <v>4388</v>
      </c>
      <c r="E1770" s="10" t="s">
        <v>4414</v>
      </c>
      <c r="F1770" s="10"/>
      <c r="G1770" s="10"/>
      <c r="H1770" s="10" t="s">
        <v>4414</v>
      </c>
      <c r="I1770" s="14">
        <v>68027.907599796541</v>
      </c>
      <c r="J1770" s="19">
        <v>0</v>
      </c>
      <c r="K1770" s="19">
        <v>0.80467253639636083</v>
      </c>
      <c r="L1770" s="19">
        <v>0.19532746360363917</v>
      </c>
      <c r="M1770" s="20">
        <v>2</v>
      </c>
      <c r="N1770" s="19">
        <v>0.34275745337817026</v>
      </c>
      <c r="O1770" s="19">
        <v>0</v>
      </c>
      <c r="P1770" s="19">
        <v>0.46191508301819056</v>
      </c>
      <c r="Q1770" s="19">
        <v>6.9691696375639017E-2</v>
      </c>
      <c r="R1770" s="19">
        <v>0.11729266059900406</v>
      </c>
      <c r="S1770" s="19">
        <v>8.3431066289960786E-3</v>
      </c>
      <c r="T1770" s="20">
        <v>23</v>
      </c>
      <c r="U1770" s="17">
        <v>2</v>
      </c>
      <c r="V1770" s="17">
        <v>34</v>
      </c>
    </row>
    <row r="1771" spans="1:22" x14ac:dyDescent="0.2">
      <c r="A1771" t="s">
        <v>4415</v>
      </c>
      <c r="B1771" t="s">
        <v>2719</v>
      </c>
      <c r="C1771" t="s">
        <v>2720</v>
      </c>
      <c r="D1771" t="s">
        <v>4388</v>
      </c>
      <c r="E1771" s="10" t="s">
        <v>4416</v>
      </c>
      <c r="F1771" s="10"/>
      <c r="G1771" s="10"/>
      <c r="H1771" s="10" t="s">
        <v>4416</v>
      </c>
      <c r="I1771" s="14">
        <v>22876.619158698246</v>
      </c>
      <c r="J1771" s="19">
        <v>0</v>
      </c>
      <c r="K1771" s="19">
        <v>0.77374756104891684</v>
      </c>
      <c r="L1771" s="19">
        <v>0.22625243895108313</v>
      </c>
      <c r="M1771" s="20">
        <v>2</v>
      </c>
      <c r="N1771" s="19">
        <v>0.53233117596393864</v>
      </c>
      <c r="O1771" s="19">
        <v>0</v>
      </c>
      <c r="P1771" s="19">
        <v>0.24141638508497826</v>
      </c>
      <c r="Q1771" s="19">
        <v>5.3295128477725495E-2</v>
      </c>
      <c r="R1771" s="19">
        <v>0.16458407733135638</v>
      </c>
      <c r="S1771" s="19">
        <v>8.3732331420012431E-3</v>
      </c>
      <c r="T1771" s="20">
        <v>23</v>
      </c>
      <c r="U1771" s="17">
        <v>2</v>
      </c>
      <c r="V1771" s="17">
        <v>34</v>
      </c>
    </row>
    <row r="1772" spans="1:22" x14ac:dyDescent="0.2">
      <c r="A1772" t="s">
        <v>4417</v>
      </c>
      <c r="B1772" t="s">
        <v>2719</v>
      </c>
      <c r="C1772" t="s">
        <v>2720</v>
      </c>
      <c r="D1772" t="s">
        <v>4388</v>
      </c>
      <c r="E1772" s="10" t="s">
        <v>4418</v>
      </c>
      <c r="F1772" s="10"/>
      <c r="G1772" s="10"/>
      <c r="H1772" s="10" t="s">
        <v>4418</v>
      </c>
      <c r="I1772" s="14">
        <v>22451.031035074964</v>
      </c>
      <c r="J1772" s="19">
        <v>0</v>
      </c>
      <c r="K1772" s="19">
        <v>0.65605961320287443</v>
      </c>
      <c r="L1772" s="19">
        <v>0.34394038679712563</v>
      </c>
      <c r="M1772" s="20">
        <v>2</v>
      </c>
      <c r="N1772" s="19">
        <v>0.21624988488641225</v>
      </c>
      <c r="O1772" s="19">
        <v>0</v>
      </c>
      <c r="P1772" s="19">
        <v>0.43980972831646215</v>
      </c>
      <c r="Q1772" s="19">
        <v>0.10484312255051656</v>
      </c>
      <c r="R1772" s="19">
        <v>0.16234250711007964</v>
      </c>
      <c r="S1772" s="19">
        <v>7.675475713652942E-2</v>
      </c>
      <c r="T1772" s="20">
        <v>23</v>
      </c>
      <c r="U1772" s="17">
        <v>2</v>
      </c>
      <c r="V1772" s="17">
        <v>34</v>
      </c>
    </row>
    <row r="1773" spans="1:22" x14ac:dyDescent="0.2">
      <c r="A1773" t="s">
        <v>4419</v>
      </c>
      <c r="B1773" t="s">
        <v>2719</v>
      </c>
      <c r="C1773" t="s">
        <v>2720</v>
      </c>
      <c r="D1773" t="s">
        <v>4388</v>
      </c>
      <c r="E1773" s="10" t="s">
        <v>4420</v>
      </c>
      <c r="F1773" s="10"/>
      <c r="G1773" s="10"/>
      <c r="H1773" s="10" t="s">
        <v>4420</v>
      </c>
      <c r="I1773" s="14">
        <v>53581.520076722314</v>
      </c>
      <c r="J1773" s="19">
        <v>0</v>
      </c>
      <c r="K1773" s="19">
        <v>0.87635922798427202</v>
      </c>
      <c r="L1773" s="19">
        <v>0.12364077201572804</v>
      </c>
      <c r="M1773" s="20">
        <v>2</v>
      </c>
      <c r="N1773" s="19">
        <v>0.56769749634778444</v>
      </c>
      <c r="O1773" s="19">
        <v>0</v>
      </c>
      <c r="P1773" s="19">
        <v>0.30866173163648758</v>
      </c>
      <c r="Q1773" s="19">
        <v>4.1123445885269234E-2</v>
      </c>
      <c r="R1773" s="19">
        <v>7.2449949469892028E-2</v>
      </c>
      <c r="S1773" s="19">
        <v>1.0067376660566773E-2</v>
      </c>
      <c r="T1773" s="20">
        <v>23</v>
      </c>
      <c r="U1773" s="17">
        <v>2</v>
      </c>
      <c r="V1773" s="17">
        <v>34</v>
      </c>
    </row>
    <row r="1774" spans="1:22" x14ac:dyDescent="0.2">
      <c r="A1774" t="s">
        <v>4421</v>
      </c>
      <c r="B1774" t="s">
        <v>2719</v>
      </c>
      <c r="C1774" t="s">
        <v>2720</v>
      </c>
      <c r="D1774" t="s">
        <v>4388</v>
      </c>
      <c r="E1774" s="10" t="s">
        <v>4422</v>
      </c>
      <c r="F1774" s="10"/>
      <c r="G1774" s="10"/>
      <c r="H1774" s="10" t="s">
        <v>4422</v>
      </c>
      <c r="I1774" s="14">
        <v>45902.783366871066</v>
      </c>
      <c r="J1774" s="19">
        <v>0</v>
      </c>
      <c r="K1774" s="19">
        <v>0.63274908381116568</v>
      </c>
      <c r="L1774" s="19">
        <v>0.36725091618883438</v>
      </c>
      <c r="M1774" s="20">
        <v>2</v>
      </c>
      <c r="N1774" s="19">
        <v>0.1768115300544971</v>
      </c>
      <c r="O1774" s="19">
        <v>0</v>
      </c>
      <c r="P1774" s="19">
        <v>0.45593755375666856</v>
      </c>
      <c r="Q1774" s="19">
        <v>0.20231361996664229</v>
      </c>
      <c r="R1774" s="19">
        <v>0.14918313268468084</v>
      </c>
      <c r="S1774" s="19">
        <v>1.5754163537511252E-2</v>
      </c>
      <c r="T1774" s="20">
        <v>23</v>
      </c>
      <c r="U1774" s="17">
        <v>2</v>
      </c>
      <c r="V1774" s="17">
        <v>34</v>
      </c>
    </row>
    <row r="1775" spans="1:22" x14ac:dyDescent="0.2">
      <c r="A1775" t="s">
        <v>4423</v>
      </c>
      <c r="B1775" t="s">
        <v>2719</v>
      </c>
      <c r="C1775" t="s">
        <v>2720</v>
      </c>
      <c r="D1775" t="s">
        <v>4388</v>
      </c>
      <c r="E1775" s="10" t="s">
        <v>4424</v>
      </c>
      <c r="F1775" s="10"/>
      <c r="G1775" s="10"/>
      <c r="H1775" s="10" t="s">
        <v>4424</v>
      </c>
      <c r="I1775" s="14">
        <v>27708.85776033625</v>
      </c>
      <c r="J1775" s="19">
        <v>0</v>
      </c>
      <c r="K1775" s="19">
        <v>0.79391650153323989</v>
      </c>
      <c r="L1775" s="19">
        <v>0.20608349846676013</v>
      </c>
      <c r="M1775" s="20">
        <v>2</v>
      </c>
      <c r="N1775" s="19">
        <v>8.8506586637194888E-4</v>
      </c>
      <c r="O1775" s="19">
        <v>0</v>
      </c>
      <c r="P1775" s="19">
        <v>0.79303143566686796</v>
      </c>
      <c r="Q1775" s="19">
        <v>0</v>
      </c>
      <c r="R1775" s="19">
        <v>0.18224995096502436</v>
      </c>
      <c r="S1775" s="19">
        <v>2.3833547501735771E-2</v>
      </c>
      <c r="T1775" s="20">
        <v>21</v>
      </c>
      <c r="U1775" s="17">
        <v>2</v>
      </c>
      <c r="V1775" s="17">
        <v>34</v>
      </c>
    </row>
    <row r="1776" spans="1:22" x14ac:dyDescent="0.2">
      <c r="A1776" t="s">
        <v>4425</v>
      </c>
      <c r="B1776" t="s">
        <v>2719</v>
      </c>
      <c r="C1776" t="s">
        <v>2720</v>
      </c>
      <c r="D1776" t="s">
        <v>4388</v>
      </c>
      <c r="E1776" s="10" t="s">
        <v>4426</v>
      </c>
      <c r="F1776" s="10"/>
      <c r="G1776" s="10"/>
      <c r="H1776" s="10" t="s">
        <v>4426</v>
      </c>
      <c r="I1776" s="14">
        <v>16369.637916488573</v>
      </c>
      <c r="J1776" s="19">
        <v>0</v>
      </c>
      <c r="K1776" s="19">
        <v>0.55120815767650755</v>
      </c>
      <c r="L1776" s="19">
        <v>0.44879184232349251</v>
      </c>
      <c r="M1776" s="20">
        <v>2</v>
      </c>
      <c r="N1776" s="19">
        <v>0</v>
      </c>
      <c r="O1776" s="19">
        <v>0</v>
      </c>
      <c r="P1776" s="19">
        <v>0.55120815767650755</v>
      </c>
      <c r="Q1776" s="19">
        <v>0.15687226877953944</v>
      </c>
      <c r="R1776" s="19">
        <v>0.27948331800010662</v>
      </c>
      <c r="S1776" s="19">
        <v>1.243625554384643E-2</v>
      </c>
      <c r="T1776" s="20">
        <v>21</v>
      </c>
      <c r="U1776" s="17">
        <v>2</v>
      </c>
      <c r="V1776" s="17">
        <v>34</v>
      </c>
    </row>
    <row r="1777" spans="1:22" x14ac:dyDescent="0.2">
      <c r="A1777" t="s">
        <v>4427</v>
      </c>
      <c r="B1777" t="s">
        <v>2719</v>
      </c>
      <c r="C1777" t="s">
        <v>2720</v>
      </c>
      <c r="D1777" t="s">
        <v>4388</v>
      </c>
      <c r="E1777" s="10" t="s">
        <v>4428</v>
      </c>
      <c r="F1777" s="10"/>
      <c r="G1777" s="10"/>
      <c r="H1777" s="10" t="s">
        <v>4428</v>
      </c>
      <c r="I1777" s="14">
        <v>56774.604774282081</v>
      </c>
      <c r="J1777" s="19">
        <v>0</v>
      </c>
      <c r="K1777" s="19">
        <v>0.76048556808808743</v>
      </c>
      <c r="L1777" s="19">
        <v>0.23951443191191257</v>
      </c>
      <c r="M1777" s="20">
        <v>2</v>
      </c>
      <c r="N1777" s="19">
        <v>0.223773232556851</v>
      </c>
      <c r="O1777" s="19">
        <v>7.5542103467931554E-2</v>
      </c>
      <c r="P1777" s="19">
        <v>0.46117023206330487</v>
      </c>
      <c r="Q1777" s="19">
        <v>5.9284694571859288E-2</v>
      </c>
      <c r="R1777" s="19">
        <v>0.17092485922681566</v>
      </c>
      <c r="S1777" s="19">
        <v>9.3048781132375729E-3</v>
      </c>
      <c r="T1777" s="20">
        <v>23</v>
      </c>
      <c r="U1777" s="17">
        <v>2</v>
      </c>
      <c r="V1777" s="17">
        <v>34</v>
      </c>
    </row>
    <row r="1778" spans="1:22" x14ac:dyDescent="0.2">
      <c r="A1778" t="s">
        <v>4429</v>
      </c>
      <c r="B1778" t="s">
        <v>2719</v>
      </c>
      <c r="C1778" t="s">
        <v>2720</v>
      </c>
      <c r="D1778" t="s">
        <v>4388</v>
      </c>
      <c r="E1778" s="10" t="s">
        <v>2736</v>
      </c>
      <c r="F1778" s="10"/>
      <c r="G1778" s="10"/>
      <c r="H1778" s="10" t="s">
        <v>2736</v>
      </c>
      <c r="I1778" s="14">
        <v>22552.13556857314</v>
      </c>
      <c r="J1778" s="19">
        <v>0</v>
      </c>
      <c r="K1778" s="19">
        <v>0.52995170913682033</v>
      </c>
      <c r="L1778" s="19">
        <v>0.47004829086317967</v>
      </c>
      <c r="M1778" s="20">
        <v>2</v>
      </c>
      <c r="N1778" s="19">
        <v>0</v>
      </c>
      <c r="O1778" s="19">
        <v>0</v>
      </c>
      <c r="P1778" s="19">
        <v>0.52995170913682033</v>
      </c>
      <c r="Q1778" s="19">
        <v>0.15786699509897315</v>
      </c>
      <c r="R1778" s="19">
        <v>0.29118114803282863</v>
      </c>
      <c r="S1778" s="19">
        <v>2.1000147731377917E-2</v>
      </c>
      <c r="T1778" s="20">
        <v>21</v>
      </c>
      <c r="U1778" s="17">
        <v>2</v>
      </c>
      <c r="V1778" s="17">
        <v>34</v>
      </c>
    </row>
    <row r="1779" spans="1:22" x14ac:dyDescent="0.2">
      <c r="A1779" t="s">
        <v>4430</v>
      </c>
      <c r="B1779" t="s">
        <v>2719</v>
      </c>
      <c r="C1779" t="s">
        <v>2720</v>
      </c>
      <c r="D1779" t="s">
        <v>4388</v>
      </c>
      <c r="E1779" s="10" t="s">
        <v>4388</v>
      </c>
      <c r="F1779" s="10"/>
      <c r="G1779" s="10"/>
      <c r="H1779" s="10" t="s">
        <v>4388</v>
      </c>
      <c r="I1779" s="14">
        <v>44271.913063950837</v>
      </c>
      <c r="J1779" s="19">
        <v>0</v>
      </c>
      <c r="K1779" s="19">
        <v>0.66685403069723437</v>
      </c>
      <c r="L1779" s="19">
        <v>0.33314596930276563</v>
      </c>
      <c r="M1779" s="20">
        <v>2</v>
      </c>
      <c r="N1779" s="19">
        <v>0</v>
      </c>
      <c r="O1779" s="19">
        <v>0.14832413338840944</v>
      </c>
      <c r="P1779" s="19">
        <v>0.51852989730882493</v>
      </c>
      <c r="Q1779" s="19">
        <v>5.5015915987225619E-2</v>
      </c>
      <c r="R1779" s="19">
        <v>0.25306296894997132</v>
      </c>
      <c r="S1779" s="19">
        <v>2.506708436556869E-2</v>
      </c>
      <c r="T1779" s="20">
        <v>21</v>
      </c>
      <c r="U1779" s="17">
        <v>2</v>
      </c>
      <c r="V1779" s="17">
        <v>34</v>
      </c>
    </row>
    <row r="1780" spans="1:22" x14ac:dyDescent="0.2">
      <c r="A1780" t="s">
        <v>4431</v>
      </c>
      <c r="B1780" t="s">
        <v>2719</v>
      </c>
      <c r="C1780" t="s">
        <v>2720</v>
      </c>
      <c r="D1780" t="s">
        <v>4388</v>
      </c>
      <c r="E1780" s="10" t="s">
        <v>4432</v>
      </c>
      <c r="F1780" s="10"/>
      <c r="G1780" s="10"/>
      <c r="H1780" s="10" t="s">
        <v>4432</v>
      </c>
      <c r="I1780" s="14">
        <v>22620.608276549727</v>
      </c>
      <c r="J1780" s="19">
        <v>0</v>
      </c>
      <c r="K1780" s="19">
        <v>0.77580868449526541</v>
      </c>
      <c r="L1780" s="19">
        <v>0.22419131550473462</v>
      </c>
      <c r="M1780" s="20">
        <v>2</v>
      </c>
      <c r="N1780" s="19">
        <v>0</v>
      </c>
      <c r="O1780" s="19">
        <v>0</v>
      </c>
      <c r="P1780" s="19">
        <v>0.77580868449526541</v>
      </c>
      <c r="Q1780" s="19">
        <v>5.981147675920067E-2</v>
      </c>
      <c r="R1780" s="19">
        <v>0.1624870981459979</v>
      </c>
      <c r="S1780" s="19">
        <v>1.8927405995360341E-3</v>
      </c>
      <c r="T1780" s="20">
        <v>21</v>
      </c>
      <c r="U1780" s="17">
        <v>2</v>
      </c>
      <c r="V1780" s="17">
        <v>34</v>
      </c>
    </row>
    <row r="1781" spans="1:22" x14ac:dyDescent="0.2">
      <c r="A1781" t="s">
        <v>4433</v>
      </c>
      <c r="B1781" t="s">
        <v>2719</v>
      </c>
      <c r="C1781" t="s">
        <v>2720</v>
      </c>
      <c r="D1781" t="s">
        <v>4388</v>
      </c>
      <c r="E1781" s="10" t="s">
        <v>4434</v>
      </c>
      <c r="F1781" s="10"/>
      <c r="G1781" s="10"/>
      <c r="H1781" s="10" t="s">
        <v>4434</v>
      </c>
      <c r="I1781" s="14">
        <v>29577.552973768212</v>
      </c>
      <c r="J1781" s="19">
        <v>0</v>
      </c>
      <c r="K1781" s="19">
        <v>0.65768343445448807</v>
      </c>
      <c r="L1781" s="19">
        <v>0.34231656554551187</v>
      </c>
      <c r="M1781" s="20">
        <v>2</v>
      </c>
      <c r="N1781" s="19">
        <v>0.23740185632769853</v>
      </c>
      <c r="O1781" s="19">
        <v>0.20158397808306333</v>
      </c>
      <c r="P1781" s="19">
        <v>0.21869760004372615</v>
      </c>
      <c r="Q1781" s="19">
        <v>0.20585179000294712</v>
      </c>
      <c r="R1781" s="19">
        <v>0.13126617423367759</v>
      </c>
      <c r="S1781" s="19">
        <v>5.1986013088871621E-3</v>
      </c>
      <c r="T1781" s="20">
        <v>23</v>
      </c>
      <c r="U1781" s="17">
        <v>2</v>
      </c>
      <c r="V1781" s="17">
        <v>34</v>
      </c>
    </row>
    <row r="1782" spans="1:22" x14ac:dyDescent="0.2">
      <c r="A1782" t="s">
        <v>4435</v>
      </c>
      <c r="B1782" t="s">
        <v>2719</v>
      </c>
      <c r="C1782" t="s">
        <v>2720</v>
      </c>
      <c r="D1782" t="s">
        <v>4388</v>
      </c>
      <c r="E1782" s="10" t="s">
        <v>4436</v>
      </c>
      <c r="F1782" s="10"/>
      <c r="G1782" s="10"/>
      <c r="H1782" s="10" t="s">
        <v>4436</v>
      </c>
      <c r="I1782" s="14">
        <v>19669.892339833546</v>
      </c>
      <c r="J1782" s="19">
        <v>0</v>
      </c>
      <c r="K1782" s="19">
        <v>0.85153714159349458</v>
      </c>
      <c r="L1782" s="19">
        <v>0.14846285840650539</v>
      </c>
      <c r="M1782" s="20">
        <v>2</v>
      </c>
      <c r="N1782" s="19">
        <v>0</v>
      </c>
      <c r="O1782" s="19">
        <v>0.84305515564993083</v>
      </c>
      <c r="P1782" s="19">
        <v>8.4819859435637333E-3</v>
      </c>
      <c r="Q1782" s="19">
        <v>2.4347201317062334E-2</v>
      </c>
      <c r="R1782" s="19">
        <v>0.1099125246371294</v>
      </c>
      <c r="S1782" s="19">
        <v>1.420313245231364E-2</v>
      </c>
      <c r="T1782" s="20">
        <v>22</v>
      </c>
      <c r="U1782" s="17">
        <v>2</v>
      </c>
      <c r="V1782" s="17">
        <v>34</v>
      </c>
    </row>
    <row r="1783" spans="1:22" x14ac:dyDescent="0.2">
      <c r="A1783" t="s">
        <v>4437</v>
      </c>
      <c r="B1783" t="s">
        <v>2719</v>
      </c>
      <c r="C1783" t="s">
        <v>2720</v>
      </c>
      <c r="D1783" t="s">
        <v>4388</v>
      </c>
      <c r="E1783" s="10" t="s">
        <v>4438</v>
      </c>
      <c r="F1783" s="10"/>
      <c r="G1783" s="10"/>
      <c r="H1783" s="10" t="s">
        <v>4438</v>
      </c>
      <c r="I1783" s="14">
        <v>35130.301469186321</v>
      </c>
      <c r="J1783" s="19">
        <v>0</v>
      </c>
      <c r="K1783" s="19">
        <v>0.75516403103693386</v>
      </c>
      <c r="L1783" s="19">
        <v>0.24483596896306614</v>
      </c>
      <c r="M1783" s="20">
        <v>2</v>
      </c>
      <c r="N1783" s="19">
        <v>1.7070518560871899E-3</v>
      </c>
      <c r="O1783" s="19">
        <v>0</v>
      </c>
      <c r="P1783" s="19">
        <v>0.75345697918084675</v>
      </c>
      <c r="Q1783" s="19">
        <v>6.4215118965284049E-2</v>
      </c>
      <c r="R1783" s="19">
        <v>0.16529135629035624</v>
      </c>
      <c r="S1783" s="19">
        <v>1.5329493707425878E-2</v>
      </c>
      <c r="T1783" s="20">
        <v>21</v>
      </c>
      <c r="U1783" s="17">
        <v>2</v>
      </c>
      <c r="V1783" s="17">
        <v>34</v>
      </c>
    </row>
    <row r="1784" spans="1:22" x14ac:dyDescent="0.2">
      <c r="A1784" t="s">
        <v>4439</v>
      </c>
      <c r="B1784" t="s">
        <v>2719</v>
      </c>
      <c r="C1784" t="s">
        <v>2720</v>
      </c>
      <c r="D1784" t="s">
        <v>4388</v>
      </c>
      <c r="E1784" s="10" t="s">
        <v>4440</v>
      </c>
      <c r="F1784" s="10"/>
      <c r="G1784" s="10"/>
      <c r="H1784" s="10" t="s">
        <v>4440</v>
      </c>
      <c r="I1784" s="14">
        <v>17899.073903631419</v>
      </c>
      <c r="J1784" s="19">
        <v>0</v>
      </c>
      <c r="K1784" s="19">
        <v>0.90018081733843847</v>
      </c>
      <c r="L1784" s="19">
        <v>9.9819182661561548E-2</v>
      </c>
      <c r="M1784" s="20">
        <v>2</v>
      </c>
      <c r="N1784" s="19">
        <v>0</v>
      </c>
      <c r="O1784" s="19">
        <v>0</v>
      </c>
      <c r="P1784" s="19">
        <v>0.90018081733843847</v>
      </c>
      <c r="Q1784" s="19">
        <v>0</v>
      </c>
      <c r="R1784" s="19">
        <v>8.3842438232150596E-2</v>
      </c>
      <c r="S1784" s="19">
        <v>1.5976744429410956E-2</v>
      </c>
      <c r="T1784" s="20">
        <v>21</v>
      </c>
      <c r="U1784" s="17">
        <v>2</v>
      </c>
      <c r="V1784" s="17">
        <v>34</v>
      </c>
    </row>
    <row r="1785" spans="1:22" x14ac:dyDescent="0.2">
      <c r="A1785" t="s">
        <v>4441</v>
      </c>
      <c r="B1785" t="s">
        <v>2719</v>
      </c>
      <c r="C1785" t="s">
        <v>2720</v>
      </c>
      <c r="D1785" t="s">
        <v>4388</v>
      </c>
      <c r="E1785" s="10" t="s">
        <v>4442</v>
      </c>
      <c r="F1785" s="10"/>
      <c r="G1785" s="10"/>
      <c r="H1785" s="10" t="s">
        <v>4442</v>
      </c>
      <c r="I1785" s="14">
        <v>31457.145476731002</v>
      </c>
      <c r="J1785" s="19">
        <v>0</v>
      </c>
      <c r="K1785" s="19">
        <v>0.74000628524878587</v>
      </c>
      <c r="L1785" s="19">
        <v>0.25999371475121424</v>
      </c>
      <c r="M1785" s="20">
        <v>2</v>
      </c>
      <c r="N1785" s="19">
        <v>0.20745706163516606</v>
      </c>
      <c r="O1785" s="19">
        <v>0</v>
      </c>
      <c r="P1785" s="19">
        <v>0.53254922361361978</v>
      </c>
      <c r="Q1785" s="19">
        <v>0.112867705623861</v>
      </c>
      <c r="R1785" s="19">
        <v>0.12208226109843093</v>
      </c>
      <c r="S1785" s="19">
        <v>2.5043748028922317E-2</v>
      </c>
      <c r="T1785" s="20">
        <v>21</v>
      </c>
      <c r="U1785" s="17">
        <v>2</v>
      </c>
      <c r="V1785" s="17">
        <v>34</v>
      </c>
    </row>
    <row r="1786" spans="1:22" x14ac:dyDescent="0.2">
      <c r="A1786" t="s">
        <v>4443</v>
      </c>
      <c r="B1786" t="s">
        <v>2719</v>
      </c>
      <c r="C1786" t="s">
        <v>2720</v>
      </c>
      <c r="D1786" t="s">
        <v>4388</v>
      </c>
      <c r="E1786" s="10" t="s">
        <v>4444</v>
      </c>
      <c r="F1786" s="10"/>
      <c r="G1786" s="10"/>
      <c r="H1786" s="10" t="s">
        <v>4444</v>
      </c>
      <c r="I1786" s="14">
        <v>233201.87742761313</v>
      </c>
      <c r="J1786" s="19">
        <v>0.3616506565793603</v>
      </c>
      <c r="K1786" s="19">
        <v>0.51203647888297998</v>
      </c>
      <c r="L1786" s="19">
        <v>0.12631286453765975</v>
      </c>
      <c r="M1786" s="20">
        <v>2</v>
      </c>
      <c r="N1786" s="19">
        <v>0.12481701387834886</v>
      </c>
      <c r="O1786" s="19">
        <v>2.9140835362022943E-2</v>
      </c>
      <c r="P1786" s="19">
        <v>0.35807862964260817</v>
      </c>
      <c r="Q1786" s="19">
        <v>5.5982951907805223E-2</v>
      </c>
      <c r="R1786" s="19">
        <v>6.5766928243413764E-2</v>
      </c>
      <c r="S1786" s="19">
        <v>4.562984386440744E-3</v>
      </c>
      <c r="T1786" s="20">
        <v>23</v>
      </c>
      <c r="U1786" s="17">
        <v>2</v>
      </c>
      <c r="V1786" s="17">
        <v>34</v>
      </c>
    </row>
    <row r="1787" spans="1:22" x14ac:dyDescent="0.2">
      <c r="A1787" t="s">
        <v>4445</v>
      </c>
      <c r="B1787" t="s">
        <v>2719</v>
      </c>
      <c r="C1787" t="s">
        <v>2720</v>
      </c>
      <c r="D1787" t="s">
        <v>4388</v>
      </c>
      <c r="E1787" s="10" t="s">
        <v>4446</v>
      </c>
      <c r="F1787" s="10"/>
      <c r="G1787" s="10"/>
      <c r="H1787" s="10" t="s">
        <v>4446</v>
      </c>
      <c r="I1787" s="14">
        <v>79325.549179277383</v>
      </c>
      <c r="J1787" s="19">
        <v>0.75558595294739372</v>
      </c>
      <c r="K1787" s="19">
        <v>0.21772501789368132</v>
      </c>
      <c r="L1787" s="19">
        <v>2.668902915892497E-2</v>
      </c>
      <c r="M1787" s="20">
        <v>3</v>
      </c>
      <c r="N1787" s="19">
        <v>0</v>
      </c>
      <c r="O1787" s="19">
        <v>0</v>
      </c>
      <c r="P1787" s="19">
        <v>0.21772501789368132</v>
      </c>
      <c r="Q1787" s="19">
        <v>0</v>
      </c>
      <c r="R1787" s="19">
        <v>2.5058043294744953E-2</v>
      </c>
      <c r="S1787" s="19">
        <v>1.6309858641800187E-3</v>
      </c>
      <c r="T1787" s="20">
        <v>30</v>
      </c>
      <c r="U1787" s="17">
        <v>2</v>
      </c>
      <c r="V1787" s="17">
        <v>34</v>
      </c>
    </row>
    <row r="1788" spans="1:22" x14ac:dyDescent="0.2">
      <c r="A1788" t="s">
        <v>4447</v>
      </c>
      <c r="B1788" t="s">
        <v>2719</v>
      </c>
      <c r="C1788" t="s">
        <v>2720</v>
      </c>
      <c r="D1788" t="s">
        <v>4388</v>
      </c>
      <c r="E1788" s="10" t="s">
        <v>4448</v>
      </c>
      <c r="F1788" s="10"/>
      <c r="G1788" s="10"/>
      <c r="H1788" s="10" t="s">
        <v>4448</v>
      </c>
      <c r="I1788" s="14">
        <v>63045.123945725849</v>
      </c>
      <c r="J1788" s="19">
        <v>0</v>
      </c>
      <c r="K1788" s="19">
        <v>0.83446532741826052</v>
      </c>
      <c r="L1788" s="19">
        <v>0.16553467258173957</v>
      </c>
      <c r="M1788" s="20">
        <v>2</v>
      </c>
      <c r="N1788" s="19">
        <v>0.29782670609798706</v>
      </c>
      <c r="O1788" s="19">
        <v>0</v>
      </c>
      <c r="P1788" s="19">
        <v>0.5366386213202734</v>
      </c>
      <c r="Q1788" s="19">
        <v>4.4129561651336566E-2</v>
      </c>
      <c r="R1788" s="19">
        <v>0.11421215115352958</v>
      </c>
      <c r="S1788" s="19">
        <v>7.1929597768734159E-3</v>
      </c>
      <c r="T1788" s="20">
        <v>21</v>
      </c>
      <c r="U1788" s="17">
        <v>2</v>
      </c>
      <c r="V1788" s="17">
        <v>34</v>
      </c>
    </row>
    <row r="1789" spans="1:22" x14ac:dyDescent="0.2">
      <c r="A1789" t="s">
        <v>4449</v>
      </c>
      <c r="B1789" t="s">
        <v>2719</v>
      </c>
      <c r="C1789" t="s">
        <v>2720</v>
      </c>
      <c r="D1789" t="s">
        <v>4388</v>
      </c>
      <c r="E1789" s="10" t="s">
        <v>4450</v>
      </c>
      <c r="F1789" s="10"/>
      <c r="G1789" s="10"/>
      <c r="H1789" s="10" t="s">
        <v>4450</v>
      </c>
      <c r="I1789" s="14">
        <v>19780.312847468071</v>
      </c>
      <c r="J1789" s="19">
        <v>0</v>
      </c>
      <c r="K1789" s="19">
        <v>0.73024273367494608</v>
      </c>
      <c r="L1789" s="19">
        <v>0.26975726632505392</v>
      </c>
      <c r="M1789" s="20">
        <v>2</v>
      </c>
      <c r="N1789" s="19">
        <v>0</v>
      </c>
      <c r="O1789" s="19">
        <v>0</v>
      </c>
      <c r="P1789" s="19">
        <v>0.73024273367494608</v>
      </c>
      <c r="Q1789" s="19">
        <v>8.2548377685670984E-2</v>
      </c>
      <c r="R1789" s="19">
        <v>0.17113145061743956</v>
      </c>
      <c r="S1789" s="19">
        <v>1.6077438021943363E-2</v>
      </c>
      <c r="T1789" s="20">
        <v>21</v>
      </c>
      <c r="U1789" s="17">
        <v>2</v>
      </c>
      <c r="V1789" s="17">
        <v>34</v>
      </c>
    </row>
    <row r="1790" spans="1:22" x14ac:dyDescent="0.2">
      <c r="A1790" t="s">
        <v>4451</v>
      </c>
      <c r="B1790" t="s">
        <v>2719</v>
      </c>
      <c r="C1790" t="s">
        <v>2720</v>
      </c>
      <c r="D1790" t="s">
        <v>4388</v>
      </c>
      <c r="E1790" s="10" t="s">
        <v>2762</v>
      </c>
      <c r="F1790" s="10"/>
      <c r="G1790" s="10"/>
      <c r="H1790" s="10" t="s">
        <v>2762</v>
      </c>
      <c r="I1790" s="14">
        <v>30954.39491165616</v>
      </c>
      <c r="J1790" s="19">
        <v>0</v>
      </c>
      <c r="K1790" s="19">
        <v>0.48455571032052697</v>
      </c>
      <c r="L1790" s="19">
        <v>0.51544428967947287</v>
      </c>
      <c r="M1790" s="20">
        <v>1</v>
      </c>
      <c r="N1790" s="19">
        <v>0</v>
      </c>
      <c r="O1790" s="19">
        <v>0</v>
      </c>
      <c r="P1790" s="19">
        <v>0.48455571032052697</v>
      </c>
      <c r="Q1790" s="19">
        <v>0.2260199268965522</v>
      </c>
      <c r="R1790" s="19">
        <v>0.26900009736049663</v>
      </c>
      <c r="S1790" s="19">
        <v>2.0424265422423996E-2</v>
      </c>
      <c r="T1790" s="20">
        <v>12</v>
      </c>
      <c r="U1790" s="17">
        <v>2</v>
      </c>
      <c r="V1790" s="17">
        <v>34</v>
      </c>
    </row>
    <row r="1791" spans="1:22" x14ac:dyDescent="0.2">
      <c r="A1791" t="s">
        <v>4452</v>
      </c>
      <c r="B1791" t="s">
        <v>2719</v>
      </c>
      <c r="C1791" t="s">
        <v>2720</v>
      </c>
      <c r="D1791" t="s">
        <v>4388</v>
      </c>
      <c r="E1791" s="10" t="s">
        <v>3215</v>
      </c>
      <c r="F1791" s="10"/>
      <c r="G1791" s="10"/>
      <c r="H1791" s="10" t="s">
        <v>3215</v>
      </c>
      <c r="I1791" s="14">
        <v>21218.253422580659</v>
      </c>
      <c r="J1791" s="19">
        <v>0</v>
      </c>
      <c r="K1791" s="19">
        <v>0.48834552994514591</v>
      </c>
      <c r="L1791" s="19">
        <v>0.51165447005485409</v>
      </c>
      <c r="M1791" s="20">
        <v>1</v>
      </c>
      <c r="N1791" s="19">
        <v>0</v>
      </c>
      <c r="O1791" s="19">
        <v>0</v>
      </c>
      <c r="P1791" s="19">
        <v>0.48834552994514591</v>
      </c>
      <c r="Q1791" s="19">
        <v>0.31137687483200427</v>
      </c>
      <c r="R1791" s="19">
        <v>0.18500646166224596</v>
      </c>
      <c r="S1791" s="19">
        <v>1.5271133560603901E-2</v>
      </c>
      <c r="T1791" s="20">
        <v>13</v>
      </c>
      <c r="U1791" s="17">
        <v>2</v>
      </c>
      <c r="V1791" s="17">
        <v>34</v>
      </c>
    </row>
    <row r="1792" spans="1:22" x14ac:dyDescent="0.2">
      <c r="A1792" t="s">
        <v>4453</v>
      </c>
      <c r="B1792" t="s">
        <v>2719</v>
      </c>
      <c r="C1792" t="s">
        <v>2720</v>
      </c>
      <c r="D1792" t="s">
        <v>4388</v>
      </c>
      <c r="E1792" s="10" t="s">
        <v>3676</v>
      </c>
      <c r="F1792" s="10"/>
      <c r="G1792" s="10"/>
      <c r="H1792" s="10" t="s">
        <v>3676</v>
      </c>
      <c r="I1792" s="14">
        <v>21841.603224599734</v>
      </c>
      <c r="J1792" s="19">
        <v>2.684868969996123E-4</v>
      </c>
      <c r="K1792" s="19">
        <v>0.7340910240880747</v>
      </c>
      <c r="L1792" s="19">
        <v>0.26564048901492571</v>
      </c>
      <c r="M1792" s="20">
        <v>2</v>
      </c>
      <c r="N1792" s="19">
        <v>0</v>
      </c>
      <c r="O1792" s="19">
        <v>0</v>
      </c>
      <c r="P1792" s="19">
        <v>0.7340910240880747</v>
      </c>
      <c r="Q1792" s="19">
        <v>0.1061436025269332</v>
      </c>
      <c r="R1792" s="19">
        <v>0.14718791509920909</v>
      </c>
      <c r="S1792" s="19">
        <v>1.2308971388783398E-2</v>
      </c>
      <c r="T1792" s="20">
        <v>21</v>
      </c>
      <c r="U1792" s="17">
        <v>2</v>
      </c>
      <c r="V1792" s="17">
        <v>34</v>
      </c>
    </row>
    <row r="1793" spans="1:22" x14ac:dyDescent="0.2">
      <c r="A1793" t="s">
        <v>4454</v>
      </c>
      <c r="B1793" t="s">
        <v>2719</v>
      </c>
      <c r="C1793" t="s">
        <v>2720</v>
      </c>
      <c r="D1793" t="s">
        <v>4388</v>
      </c>
      <c r="E1793" s="10" t="s">
        <v>4455</v>
      </c>
      <c r="F1793" s="10"/>
      <c r="G1793" s="10"/>
      <c r="H1793" s="10" t="s">
        <v>4455</v>
      </c>
      <c r="I1793" s="14">
        <v>37812.053782646544</v>
      </c>
      <c r="J1793" s="19">
        <v>0</v>
      </c>
      <c r="K1793" s="19">
        <v>0.72707419372281523</v>
      </c>
      <c r="L1793" s="19">
        <v>0.27292580627718477</v>
      </c>
      <c r="M1793" s="20">
        <v>2</v>
      </c>
      <c r="N1793" s="19">
        <v>0.16087578201205854</v>
      </c>
      <c r="O1793" s="19">
        <v>0</v>
      </c>
      <c r="P1793" s="19">
        <v>0.56619841171075669</v>
      </c>
      <c r="Q1793" s="19">
        <v>1.513353636062255E-2</v>
      </c>
      <c r="R1793" s="19">
        <v>0.2374872995971837</v>
      </c>
      <c r="S1793" s="19">
        <v>2.0304970319378501E-2</v>
      </c>
      <c r="T1793" s="20">
        <v>21</v>
      </c>
      <c r="U1793" s="17">
        <v>2</v>
      </c>
      <c r="V1793" s="17">
        <v>34</v>
      </c>
    </row>
    <row r="1794" spans="1:22" x14ac:dyDescent="0.2">
      <c r="A1794" t="s">
        <v>4456</v>
      </c>
      <c r="B1794" t="s">
        <v>2719</v>
      </c>
      <c r="C1794" t="s">
        <v>2720</v>
      </c>
      <c r="D1794" t="s">
        <v>4388</v>
      </c>
      <c r="E1794" s="10" t="s">
        <v>4457</v>
      </c>
      <c r="F1794" s="10"/>
      <c r="G1794" s="10"/>
      <c r="H1794" s="10" t="s">
        <v>4457</v>
      </c>
      <c r="I1794" s="14">
        <v>11557.739143962041</v>
      </c>
      <c r="J1794" s="19">
        <v>0</v>
      </c>
      <c r="K1794" s="19">
        <v>0.93962793783218401</v>
      </c>
      <c r="L1794" s="19">
        <v>6.0372062167815981E-2</v>
      </c>
      <c r="M1794" s="20">
        <v>2</v>
      </c>
      <c r="N1794" s="19">
        <v>0</v>
      </c>
      <c r="O1794" s="19">
        <v>0</v>
      </c>
      <c r="P1794" s="19">
        <v>0.93962793783218401</v>
      </c>
      <c r="Q1794" s="19">
        <v>0</v>
      </c>
      <c r="R1794" s="19">
        <v>5.6921106054627926E-2</v>
      </c>
      <c r="S1794" s="19">
        <v>3.4509561131880594E-3</v>
      </c>
      <c r="T1794" s="20">
        <v>21</v>
      </c>
      <c r="U1794" s="17">
        <v>2</v>
      </c>
      <c r="V1794" s="17">
        <v>34</v>
      </c>
    </row>
    <row r="1795" spans="1:22" x14ac:dyDescent="0.2">
      <c r="A1795" t="s">
        <v>4458</v>
      </c>
      <c r="B1795" t="s">
        <v>2719</v>
      </c>
      <c r="C1795" t="s">
        <v>2720</v>
      </c>
      <c r="D1795" t="s">
        <v>4388</v>
      </c>
      <c r="E1795" s="10" t="s">
        <v>4459</v>
      </c>
      <c r="F1795" s="10"/>
      <c r="G1795" s="10"/>
      <c r="H1795" s="10" t="s">
        <v>4459</v>
      </c>
      <c r="I1795" s="14">
        <v>238127.4301211719</v>
      </c>
      <c r="J1795" s="19">
        <v>0.85043231156239796</v>
      </c>
      <c r="K1795" s="19">
        <v>0.12743764835990806</v>
      </c>
      <c r="L1795" s="19">
        <v>2.2130040077693803E-2</v>
      </c>
      <c r="M1795" s="20">
        <v>3</v>
      </c>
      <c r="N1795" s="19">
        <v>2.1681770027186114E-2</v>
      </c>
      <c r="O1795" s="19">
        <v>2.0298488035929433E-2</v>
      </c>
      <c r="P1795" s="19">
        <v>8.5457390296792529E-2</v>
      </c>
      <c r="Q1795" s="19">
        <v>9.9371358398005327E-3</v>
      </c>
      <c r="R1795" s="19">
        <v>1.1073446361284881E-2</v>
      </c>
      <c r="S1795" s="19">
        <v>1.1194578766083878E-3</v>
      </c>
      <c r="T1795" s="20">
        <v>30</v>
      </c>
      <c r="U1795" s="17">
        <v>2</v>
      </c>
      <c r="V1795" s="17">
        <v>34</v>
      </c>
    </row>
    <row r="1796" spans="1:22" x14ac:dyDescent="0.2">
      <c r="A1796" t="s">
        <v>4460</v>
      </c>
      <c r="B1796" t="s">
        <v>2719</v>
      </c>
      <c r="C1796" t="s">
        <v>2720</v>
      </c>
      <c r="D1796" t="s">
        <v>4388</v>
      </c>
      <c r="E1796" s="10" t="s">
        <v>4461</v>
      </c>
      <c r="F1796" s="10"/>
      <c r="G1796" s="10"/>
      <c r="H1796" s="10" t="s">
        <v>4461</v>
      </c>
      <c r="I1796" s="14">
        <v>60193.786722552963</v>
      </c>
      <c r="J1796" s="19">
        <v>0</v>
      </c>
      <c r="K1796" s="19">
        <v>0.95540208776138158</v>
      </c>
      <c r="L1796" s="19">
        <v>4.4597912238618455E-2</v>
      </c>
      <c r="M1796" s="20">
        <v>2</v>
      </c>
      <c r="N1796" s="19">
        <v>0.42139206931616552</v>
      </c>
      <c r="O1796" s="19">
        <v>0</v>
      </c>
      <c r="P1796" s="19">
        <v>0.53401001844521601</v>
      </c>
      <c r="Q1796" s="19">
        <v>0</v>
      </c>
      <c r="R1796" s="19">
        <v>4.2547206663965685E-2</v>
      </c>
      <c r="S1796" s="19">
        <v>2.0507055746527727E-3</v>
      </c>
      <c r="T1796" s="20">
        <v>21</v>
      </c>
      <c r="U1796" s="17">
        <v>2</v>
      </c>
      <c r="V1796" s="17">
        <v>34</v>
      </c>
    </row>
    <row r="1797" spans="1:22" x14ac:dyDescent="0.2">
      <c r="A1797" t="s">
        <v>4462</v>
      </c>
      <c r="B1797" t="s">
        <v>2719</v>
      </c>
      <c r="C1797" t="s">
        <v>2720</v>
      </c>
      <c r="D1797" t="s">
        <v>4388</v>
      </c>
      <c r="E1797" s="10" t="s">
        <v>4463</v>
      </c>
      <c r="F1797" s="10"/>
      <c r="G1797" s="10"/>
      <c r="H1797" s="10" t="s">
        <v>4463</v>
      </c>
      <c r="I1797" s="14">
        <v>21643.728260304779</v>
      </c>
      <c r="J1797" s="19">
        <v>0</v>
      </c>
      <c r="K1797" s="19">
        <v>0.97733305153294159</v>
      </c>
      <c r="L1797" s="19">
        <v>2.266694846705837E-2</v>
      </c>
      <c r="M1797" s="20">
        <v>2</v>
      </c>
      <c r="N1797" s="19">
        <v>0.51989385837781044</v>
      </c>
      <c r="O1797" s="19">
        <v>0</v>
      </c>
      <c r="P1797" s="19">
        <v>0.45743919315513121</v>
      </c>
      <c r="Q1797" s="19">
        <v>0</v>
      </c>
      <c r="R1797" s="19">
        <v>2.1035404414173415E-2</v>
      </c>
      <c r="S1797" s="19">
        <v>1.6315440528849572E-3</v>
      </c>
      <c r="T1797" s="20">
        <v>23</v>
      </c>
      <c r="U1797" s="17">
        <v>2</v>
      </c>
      <c r="V1797" s="17">
        <v>34</v>
      </c>
    </row>
    <row r="1798" spans="1:22" x14ac:dyDescent="0.2">
      <c r="A1798" t="s">
        <v>4464</v>
      </c>
      <c r="B1798" t="s">
        <v>2719</v>
      </c>
      <c r="C1798" t="s">
        <v>2720</v>
      </c>
      <c r="D1798" t="s">
        <v>4388</v>
      </c>
      <c r="E1798" s="10" t="s">
        <v>4465</v>
      </c>
      <c r="F1798" s="10"/>
      <c r="G1798" s="10"/>
      <c r="H1798" s="10" t="s">
        <v>4465</v>
      </c>
      <c r="I1798" s="14">
        <v>7732.7970555275679</v>
      </c>
      <c r="J1798" s="19">
        <v>0</v>
      </c>
      <c r="K1798" s="19">
        <v>0.80603858199641254</v>
      </c>
      <c r="L1798" s="19">
        <v>0.19396141800358746</v>
      </c>
      <c r="M1798" s="20">
        <v>2</v>
      </c>
      <c r="N1798" s="19">
        <v>0</v>
      </c>
      <c r="O1798" s="19">
        <v>0</v>
      </c>
      <c r="P1798" s="19">
        <v>0.80603858199641254</v>
      </c>
      <c r="Q1798" s="19">
        <v>0</v>
      </c>
      <c r="R1798" s="19">
        <v>0.18842761097832114</v>
      </c>
      <c r="S1798" s="19">
        <v>5.5338070252663116E-3</v>
      </c>
      <c r="T1798" s="20">
        <v>21</v>
      </c>
      <c r="U1798" s="17">
        <v>2</v>
      </c>
      <c r="V1798" s="17">
        <v>34</v>
      </c>
    </row>
    <row r="1799" spans="1:22" x14ac:dyDescent="0.2">
      <c r="A1799" t="s">
        <v>4466</v>
      </c>
      <c r="B1799" t="s">
        <v>2719</v>
      </c>
      <c r="C1799" t="s">
        <v>2720</v>
      </c>
      <c r="D1799" t="s">
        <v>4388</v>
      </c>
      <c r="E1799" s="10" t="s">
        <v>4467</v>
      </c>
      <c r="F1799" s="10"/>
      <c r="G1799" s="10"/>
      <c r="H1799" s="10" t="s">
        <v>4467</v>
      </c>
      <c r="I1799" s="14">
        <v>44591.678394860122</v>
      </c>
      <c r="J1799" s="19">
        <v>0</v>
      </c>
      <c r="K1799" s="19">
        <v>0.61706689048566121</v>
      </c>
      <c r="L1799" s="19">
        <v>0.38293310951433873</v>
      </c>
      <c r="M1799" s="20">
        <v>2</v>
      </c>
      <c r="N1799" s="19">
        <v>0</v>
      </c>
      <c r="O1799" s="19">
        <v>1.6331176076434275E-2</v>
      </c>
      <c r="P1799" s="19">
        <v>0.60073571440922702</v>
      </c>
      <c r="Q1799" s="19">
        <v>0.17992268805756917</v>
      </c>
      <c r="R1799" s="19">
        <v>0.19032009746575762</v>
      </c>
      <c r="S1799" s="19">
        <v>1.2690323991011969E-2</v>
      </c>
      <c r="T1799" s="20">
        <v>21</v>
      </c>
      <c r="U1799" s="17">
        <v>2</v>
      </c>
      <c r="V1799" s="17">
        <v>34</v>
      </c>
    </row>
    <row r="1800" spans="1:22" x14ac:dyDescent="0.2">
      <c r="A1800" t="s">
        <v>4468</v>
      </c>
      <c r="B1800" t="s">
        <v>2719</v>
      </c>
      <c r="C1800" t="s">
        <v>2720</v>
      </c>
      <c r="D1800" t="s">
        <v>4469</v>
      </c>
      <c r="E1800" s="10" t="s">
        <v>4470</v>
      </c>
      <c r="F1800" s="10"/>
      <c r="G1800" s="10"/>
      <c r="H1800" s="10" t="s">
        <v>4470</v>
      </c>
      <c r="I1800" s="14">
        <v>13377.984289556975</v>
      </c>
      <c r="J1800" s="19">
        <v>0</v>
      </c>
      <c r="K1800" s="19">
        <v>0.41847648294309436</v>
      </c>
      <c r="L1800" s="19">
        <v>0.58152351705690564</v>
      </c>
      <c r="M1800" s="20">
        <v>1</v>
      </c>
      <c r="N1800" s="19">
        <v>0</v>
      </c>
      <c r="O1800" s="19">
        <v>4.3685673489168353E-2</v>
      </c>
      <c r="P1800" s="19">
        <v>0.37479080945392601</v>
      </c>
      <c r="Q1800" s="19">
        <v>0.28522042882202087</v>
      </c>
      <c r="R1800" s="19">
        <v>0.21072587786092495</v>
      </c>
      <c r="S1800" s="19">
        <v>8.5577210373959808E-2</v>
      </c>
      <c r="T1800" s="20">
        <v>13</v>
      </c>
      <c r="U1800" s="17">
        <v>2</v>
      </c>
      <c r="V1800" s="17">
        <v>34</v>
      </c>
    </row>
    <row r="1801" spans="1:22" x14ac:dyDescent="0.2">
      <c r="A1801" t="s">
        <v>4471</v>
      </c>
      <c r="B1801" t="s">
        <v>2719</v>
      </c>
      <c r="C1801" t="s">
        <v>2720</v>
      </c>
      <c r="D1801" t="s">
        <v>4469</v>
      </c>
      <c r="E1801" s="10" t="s">
        <v>4472</v>
      </c>
      <c r="F1801" s="10"/>
      <c r="G1801" s="10"/>
      <c r="H1801" s="10" t="s">
        <v>4472</v>
      </c>
      <c r="I1801" s="14">
        <v>14909.601423486602</v>
      </c>
      <c r="J1801" s="19">
        <v>0</v>
      </c>
      <c r="K1801" s="19">
        <v>0</v>
      </c>
      <c r="L1801" s="19">
        <v>1</v>
      </c>
      <c r="M1801" s="20">
        <v>1</v>
      </c>
      <c r="N1801" s="19">
        <v>0</v>
      </c>
      <c r="O1801" s="19">
        <v>0</v>
      </c>
      <c r="P1801" s="19">
        <v>0</v>
      </c>
      <c r="Q1801" s="19">
        <v>0.25036182843092575</v>
      </c>
      <c r="R1801" s="19">
        <v>0.6798246922395027</v>
      </c>
      <c r="S1801" s="19">
        <v>6.9813479329571548E-2</v>
      </c>
      <c r="T1801" s="20">
        <v>12</v>
      </c>
      <c r="U1801" s="17">
        <v>2</v>
      </c>
      <c r="V1801" s="17">
        <v>34</v>
      </c>
    </row>
    <row r="1802" spans="1:22" x14ac:dyDescent="0.2">
      <c r="A1802" t="s">
        <v>4473</v>
      </c>
      <c r="B1802" t="s">
        <v>2719</v>
      </c>
      <c r="C1802" t="s">
        <v>2720</v>
      </c>
      <c r="D1802" t="s">
        <v>4469</v>
      </c>
      <c r="E1802" s="10" t="s">
        <v>4474</v>
      </c>
      <c r="F1802" s="10"/>
      <c r="G1802" s="10"/>
      <c r="H1802" s="10" t="s">
        <v>4474</v>
      </c>
      <c r="I1802" s="14">
        <v>20307.938864822965</v>
      </c>
      <c r="J1802" s="19">
        <v>0</v>
      </c>
      <c r="K1802" s="19">
        <v>0</v>
      </c>
      <c r="L1802" s="19">
        <v>1</v>
      </c>
      <c r="M1802" s="20">
        <v>1</v>
      </c>
      <c r="N1802" s="19">
        <v>0</v>
      </c>
      <c r="O1802" s="19">
        <v>0</v>
      </c>
      <c r="P1802" s="19">
        <v>0</v>
      </c>
      <c r="Q1802" s="19">
        <v>0.44967669474814953</v>
      </c>
      <c r="R1802" s="19">
        <v>0.46023877217835746</v>
      </c>
      <c r="S1802" s="19">
        <v>9.0084533073493026E-2</v>
      </c>
      <c r="T1802" s="20">
        <v>12</v>
      </c>
      <c r="U1802" s="17">
        <v>2</v>
      </c>
      <c r="V1802" s="17">
        <v>34</v>
      </c>
    </row>
    <row r="1803" spans="1:22" x14ac:dyDescent="0.2">
      <c r="A1803" t="s">
        <v>4475</v>
      </c>
      <c r="B1803" t="s">
        <v>2719</v>
      </c>
      <c r="C1803" t="s">
        <v>2720</v>
      </c>
      <c r="D1803" t="s">
        <v>4469</v>
      </c>
      <c r="E1803" s="10" t="s">
        <v>4476</v>
      </c>
      <c r="F1803" s="10"/>
      <c r="G1803" s="10"/>
      <c r="H1803" s="10" t="s">
        <v>4476</v>
      </c>
      <c r="I1803" s="14">
        <v>30389.417304693252</v>
      </c>
      <c r="J1803" s="19">
        <v>0</v>
      </c>
      <c r="K1803" s="19">
        <v>0.97353180671597728</v>
      </c>
      <c r="L1803" s="19">
        <v>2.6468193284022678E-2</v>
      </c>
      <c r="M1803" s="20">
        <v>2</v>
      </c>
      <c r="N1803" s="19">
        <v>0.84130520895058314</v>
      </c>
      <c r="O1803" s="19">
        <v>0</v>
      </c>
      <c r="P1803" s="19">
        <v>0.1322265977653943</v>
      </c>
      <c r="Q1803" s="19">
        <v>0</v>
      </c>
      <c r="R1803" s="19">
        <v>2.4029046931204581E-2</v>
      </c>
      <c r="S1803" s="19">
        <v>2.4391463528180969E-3</v>
      </c>
      <c r="T1803" s="20">
        <v>23</v>
      </c>
      <c r="U1803" s="17">
        <v>2</v>
      </c>
      <c r="V1803" s="17">
        <v>34</v>
      </c>
    </row>
    <row r="1804" spans="1:22" x14ac:dyDescent="0.2">
      <c r="A1804" t="s">
        <v>4477</v>
      </c>
      <c r="B1804" t="s">
        <v>2719</v>
      </c>
      <c r="C1804" t="s">
        <v>2720</v>
      </c>
      <c r="D1804" t="s">
        <v>4469</v>
      </c>
      <c r="E1804" s="10" t="s">
        <v>4478</v>
      </c>
      <c r="F1804" s="10"/>
      <c r="G1804" s="10"/>
      <c r="H1804" s="10" t="s">
        <v>4478</v>
      </c>
      <c r="I1804" s="14">
        <v>4309.1352052465081</v>
      </c>
      <c r="J1804" s="19">
        <v>0</v>
      </c>
      <c r="K1804" s="19">
        <v>0.9843392460967324</v>
      </c>
      <c r="L1804" s="19">
        <v>1.5660753903267564E-2</v>
      </c>
      <c r="M1804" s="20">
        <v>2</v>
      </c>
      <c r="N1804" s="19">
        <v>0.56744839515840906</v>
      </c>
      <c r="O1804" s="19">
        <v>0</v>
      </c>
      <c r="P1804" s="19">
        <v>0.41689085093832329</v>
      </c>
      <c r="Q1804" s="19">
        <v>0</v>
      </c>
      <c r="R1804" s="19">
        <v>1.146181291750748E-2</v>
      </c>
      <c r="S1804" s="19">
        <v>4.1989409857600855E-3</v>
      </c>
      <c r="T1804" s="20">
        <v>23</v>
      </c>
      <c r="U1804" s="17">
        <v>2</v>
      </c>
      <c r="V1804" s="17">
        <v>34</v>
      </c>
    </row>
    <row r="1805" spans="1:22" x14ac:dyDescent="0.2">
      <c r="A1805" t="s">
        <v>4479</v>
      </c>
      <c r="B1805" t="s">
        <v>2719</v>
      </c>
      <c r="C1805" t="s">
        <v>2720</v>
      </c>
      <c r="D1805" t="s">
        <v>4469</v>
      </c>
      <c r="E1805" s="10" t="s">
        <v>4480</v>
      </c>
      <c r="F1805" s="10"/>
      <c r="G1805" s="10"/>
      <c r="H1805" s="10" t="s">
        <v>4480</v>
      </c>
      <c r="I1805" s="14">
        <v>242773.70068794116</v>
      </c>
      <c r="J1805" s="19">
        <v>0.8773882871293881</v>
      </c>
      <c r="K1805" s="19">
        <v>0.11384739703509994</v>
      </c>
      <c r="L1805" s="19">
        <v>8.7643158355118992E-3</v>
      </c>
      <c r="M1805" s="20">
        <v>3</v>
      </c>
      <c r="N1805" s="19">
        <v>3.8161607124432534E-2</v>
      </c>
      <c r="O1805" s="19">
        <v>0</v>
      </c>
      <c r="P1805" s="19">
        <v>7.5685789910667406E-2</v>
      </c>
      <c r="Q1805" s="19">
        <v>0</v>
      </c>
      <c r="R1805" s="19">
        <v>7.5887652075072656E-3</v>
      </c>
      <c r="S1805" s="19">
        <v>1.1755506280046353E-3</v>
      </c>
      <c r="T1805" s="20">
        <v>30</v>
      </c>
      <c r="U1805" s="17">
        <v>2</v>
      </c>
      <c r="V1805" s="17">
        <v>34</v>
      </c>
    </row>
    <row r="1806" spans="1:22" x14ac:dyDescent="0.2">
      <c r="A1806" t="s">
        <v>4481</v>
      </c>
      <c r="B1806" t="s">
        <v>2719</v>
      </c>
      <c r="C1806" t="s">
        <v>2720</v>
      </c>
      <c r="D1806" t="s">
        <v>4469</v>
      </c>
      <c r="E1806" s="10" t="s">
        <v>4482</v>
      </c>
      <c r="F1806" s="10"/>
      <c r="G1806" s="10"/>
      <c r="H1806" s="10" t="s">
        <v>4482</v>
      </c>
      <c r="I1806" s="14">
        <v>13053.752712656511</v>
      </c>
      <c r="J1806" s="19">
        <v>0</v>
      </c>
      <c r="K1806" s="19">
        <v>0.1910776668252174</v>
      </c>
      <c r="L1806" s="19">
        <v>0.80892233317478257</v>
      </c>
      <c r="M1806" s="20">
        <v>1</v>
      </c>
      <c r="N1806" s="19">
        <v>3.7047709877747787E-4</v>
      </c>
      <c r="O1806" s="19">
        <v>0.16193716466752858</v>
      </c>
      <c r="P1806" s="19">
        <v>2.8770025058911342E-2</v>
      </c>
      <c r="Q1806" s="19">
        <v>0.28140407548425517</v>
      </c>
      <c r="R1806" s="19">
        <v>0.45615260746649344</v>
      </c>
      <c r="S1806" s="19">
        <v>7.1365650224033989E-2</v>
      </c>
      <c r="T1806" s="20">
        <v>12</v>
      </c>
      <c r="U1806" s="17">
        <v>2</v>
      </c>
      <c r="V1806" s="17">
        <v>34</v>
      </c>
    </row>
    <row r="1807" spans="1:22" x14ac:dyDescent="0.2">
      <c r="A1807" t="s">
        <v>4483</v>
      </c>
      <c r="B1807" t="s">
        <v>2719</v>
      </c>
      <c r="C1807" t="s">
        <v>2720</v>
      </c>
      <c r="D1807" t="s">
        <v>4469</v>
      </c>
      <c r="E1807" s="10" t="s">
        <v>4484</v>
      </c>
      <c r="F1807" s="10"/>
      <c r="G1807" s="10"/>
      <c r="H1807" s="10" t="s">
        <v>4484</v>
      </c>
      <c r="I1807" s="14">
        <v>9973.7465497534722</v>
      </c>
      <c r="J1807" s="19">
        <v>0</v>
      </c>
      <c r="K1807" s="19">
        <v>0.60783602823733418</v>
      </c>
      <c r="L1807" s="19">
        <v>0.39216397176266576</v>
      </c>
      <c r="M1807" s="20">
        <v>2</v>
      </c>
      <c r="N1807" s="19">
        <v>0</v>
      </c>
      <c r="O1807" s="19">
        <v>0.45868022258215885</v>
      </c>
      <c r="P1807" s="19">
        <v>0.14915580565517536</v>
      </c>
      <c r="Q1807" s="19">
        <v>0.18738558132326008</v>
      </c>
      <c r="R1807" s="19">
        <v>0.18924394305299275</v>
      </c>
      <c r="S1807" s="19">
        <v>1.5534447386412948E-2</v>
      </c>
      <c r="T1807" s="20">
        <v>22</v>
      </c>
      <c r="U1807" s="17">
        <v>2</v>
      </c>
      <c r="V1807" s="17">
        <v>34</v>
      </c>
    </row>
    <row r="1808" spans="1:22" x14ac:dyDescent="0.2">
      <c r="A1808" t="s">
        <v>4485</v>
      </c>
      <c r="B1808" t="s">
        <v>2719</v>
      </c>
      <c r="C1808" t="s">
        <v>2720</v>
      </c>
      <c r="D1808" t="s">
        <v>4469</v>
      </c>
      <c r="E1808" s="10" t="s">
        <v>4486</v>
      </c>
      <c r="F1808" s="10"/>
      <c r="G1808" s="10"/>
      <c r="H1808" s="10" t="s">
        <v>4486</v>
      </c>
      <c r="I1808" s="14">
        <v>7509.3901187938172</v>
      </c>
      <c r="J1808" s="19">
        <v>0</v>
      </c>
      <c r="K1808" s="19">
        <v>0</v>
      </c>
      <c r="L1808" s="19">
        <v>1</v>
      </c>
      <c r="M1808" s="20">
        <v>1</v>
      </c>
      <c r="N1808" s="19">
        <v>0</v>
      </c>
      <c r="O1808" s="19">
        <v>0</v>
      </c>
      <c r="P1808" s="19">
        <v>0</v>
      </c>
      <c r="Q1808" s="19">
        <v>0.17967436757874597</v>
      </c>
      <c r="R1808" s="19">
        <v>0.62200629422353026</v>
      </c>
      <c r="S1808" s="19">
        <v>0.19831933819772377</v>
      </c>
      <c r="T1808" s="20">
        <v>12</v>
      </c>
      <c r="U1808" s="17">
        <v>2</v>
      </c>
      <c r="V1808" s="17">
        <v>34</v>
      </c>
    </row>
    <row r="1809" spans="1:22" x14ac:dyDescent="0.2">
      <c r="A1809" t="s">
        <v>4487</v>
      </c>
      <c r="B1809" t="s">
        <v>2719</v>
      </c>
      <c r="C1809" t="s">
        <v>2720</v>
      </c>
      <c r="D1809" t="s">
        <v>4469</v>
      </c>
      <c r="E1809" s="10" t="s">
        <v>4488</v>
      </c>
      <c r="F1809" s="10"/>
      <c r="G1809" s="10"/>
      <c r="H1809" s="10" t="s">
        <v>4488</v>
      </c>
      <c r="I1809" s="14">
        <v>36153.253226621659</v>
      </c>
      <c r="J1809" s="19">
        <v>2.1689015848002081E-2</v>
      </c>
      <c r="K1809" s="19">
        <v>0.45952902439439508</v>
      </c>
      <c r="L1809" s="19">
        <v>0.51878195975760288</v>
      </c>
      <c r="M1809" s="20">
        <v>1</v>
      </c>
      <c r="N1809" s="19">
        <v>0</v>
      </c>
      <c r="O1809" s="19">
        <v>0.149718407316182</v>
      </c>
      <c r="P1809" s="19">
        <v>0.30981061707821306</v>
      </c>
      <c r="Q1809" s="19">
        <v>0.16400061321122569</v>
      </c>
      <c r="R1809" s="19">
        <v>0.31095183898800421</v>
      </c>
      <c r="S1809" s="19">
        <v>4.3829507558372942E-2</v>
      </c>
      <c r="T1809" s="20">
        <v>12</v>
      </c>
      <c r="U1809" s="17">
        <v>2</v>
      </c>
      <c r="V1809" s="17">
        <v>34</v>
      </c>
    </row>
    <row r="1810" spans="1:22" x14ac:dyDescent="0.2">
      <c r="A1810" t="s">
        <v>4489</v>
      </c>
      <c r="B1810" t="s">
        <v>2719</v>
      </c>
      <c r="C1810" t="s">
        <v>2720</v>
      </c>
      <c r="D1810" t="s">
        <v>4469</v>
      </c>
      <c r="E1810" s="10" t="s">
        <v>4490</v>
      </c>
      <c r="F1810" s="10"/>
      <c r="G1810" s="10"/>
      <c r="H1810" s="10" t="s">
        <v>4490</v>
      </c>
      <c r="I1810" s="14">
        <v>15499.608255787518</v>
      </c>
      <c r="J1810" s="19">
        <v>0</v>
      </c>
      <c r="K1810" s="19">
        <v>0.21576103122144363</v>
      </c>
      <c r="L1810" s="19">
        <v>0.78423896877855659</v>
      </c>
      <c r="M1810" s="20">
        <v>1</v>
      </c>
      <c r="N1810" s="19">
        <v>0</v>
      </c>
      <c r="O1810" s="19">
        <v>3.5712728506471149E-2</v>
      </c>
      <c r="P1810" s="19">
        <v>0.18004830271497246</v>
      </c>
      <c r="Q1810" s="19">
        <v>0.2847326089461078</v>
      </c>
      <c r="R1810" s="19">
        <v>0.45334253764064752</v>
      </c>
      <c r="S1810" s="19">
        <v>4.6163822191801138E-2</v>
      </c>
      <c r="T1810" s="20">
        <v>12</v>
      </c>
      <c r="U1810" s="17">
        <v>2</v>
      </c>
      <c r="V1810" s="17">
        <v>34</v>
      </c>
    </row>
    <row r="1811" spans="1:22" x14ac:dyDescent="0.2">
      <c r="A1811" t="s">
        <v>4491</v>
      </c>
      <c r="B1811" t="s">
        <v>2719</v>
      </c>
      <c r="C1811" t="s">
        <v>2720</v>
      </c>
      <c r="D1811" t="s">
        <v>4469</v>
      </c>
      <c r="E1811" s="10" t="s">
        <v>4492</v>
      </c>
      <c r="F1811" s="10"/>
      <c r="G1811" s="10"/>
      <c r="H1811" s="10" t="s">
        <v>4492</v>
      </c>
      <c r="I1811" s="14">
        <v>30587.248519769753</v>
      </c>
      <c r="J1811" s="19">
        <v>0</v>
      </c>
      <c r="K1811" s="19">
        <v>0.79901577604145924</v>
      </c>
      <c r="L1811" s="19">
        <v>0.20098422395854079</v>
      </c>
      <c r="M1811" s="20">
        <v>2</v>
      </c>
      <c r="N1811" s="19">
        <v>0.3677328018536421</v>
      </c>
      <c r="O1811" s="19">
        <v>0</v>
      </c>
      <c r="P1811" s="19">
        <v>0.43128297418781708</v>
      </c>
      <c r="Q1811" s="19">
        <v>4.0030910798160957E-2</v>
      </c>
      <c r="R1811" s="19">
        <v>0.15121764961130568</v>
      </c>
      <c r="S1811" s="19">
        <v>9.7356635490741597E-3</v>
      </c>
      <c r="T1811" s="20">
        <v>23</v>
      </c>
      <c r="U1811" s="17">
        <v>2</v>
      </c>
      <c r="V1811" s="17">
        <v>34</v>
      </c>
    </row>
    <row r="1812" spans="1:22" x14ac:dyDescent="0.2">
      <c r="A1812" t="s">
        <v>4493</v>
      </c>
      <c r="B1812" t="s">
        <v>2719</v>
      </c>
      <c r="C1812" t="s">
        <v>2720</v>
      </c>
      <c r="D1812" t="s">
        <v>4469</v>
      </c>
      <c r="E1812" s="10" t="s">
        <v>4494</v>
      </c>
      <c r="F1812" s="10"/>
      <c r="G1812" s="10"/>
      <c r="H1812" s="10" t="s">
        <v>4494</v>
      </c>
      <c r="I1812" s="14">
        <v>23502.708547311369</v>
      </c>
      <c r="J1812" s="19">
        <v>0</v>
      </c>
      <c r="K1812" s="19">
        <v>0.68730619877377142</v>
      </c>
      <c r="L1812" s="19">
        <v>0.31269380122622853</v>
      </c>
      <c r="M1812" s="20">
        <v>2</v>
      </c>
      <c r="N1812" s="19">
        <v>2.3636465109437405E-3</v>
      </c>
      <c r="O1812" s="19">
        <v>0</v>
      </c>
      <c r="P1812" s="19">
        <v>0.68494255226282774</v>
      </c>
      <c r="Q1812" s="19">
        <v>0.13713882876389008</v>
      </c>
      <c r="R1812" s="19">
        <v>0.1698097922523488</v>
      </c>
      <c r="S1812" s="19">
        <v>5.7451802099896818E-3</v>
      </c>
      <c r="T1812" s="20">
        <v>21</v>
      </c>
      <c r="U1812" s="17">
        <v>2</v>
      </c>
      <c r="V1812" s="17">
        <v>34</v>
      </c>
    </row>
    <row r="1813" spans="1:22" x14ac:dyDescent="0.2">
      <c r="A1813" t="s">
        <v>4495</v>
      </c>
      <c r="B1813" t="s">
        <v>2719</v>
      </c>
      <c r="C1813" t="s">
        <v>2720</v>
      </c>
      <c r="D1813" t="s">
        <v>4469</v>
      </c>
      <c r="E1813" s="10" t="s">
        <v>4496</v>
      </c>
      <c r="F1813" s="10"/>
      <c r="G1813" s="10"/>
      <c r="H1813" s="10" t="s">
        <v>4496</v>
      </c>
      <c r="I1813" s="14">
        <v>14705.188402107915</v>
      </c>
      <c r="J1813" s="19">
        <v>0</v>
      </c>
      <c r="K1813" s="19">
        <v>0.40146009632967911</v>
      </c>
      <c r="L1813" s="19">
        <v>0.59853990367032095</v>
      </c>
      <c r="M1813" s="20">
        <v>1</v>
      </c>
      <c r="N1813" s="19">
        <v>0</v>
      </c>
      <c r="O1813" s="19">
        <v>0</v>
      </c>
      <c r="P1813" s="19">
        <v>0.40146009632967911</v>
      </c>
      <c r="Q1813" s="19">
        <v>0.39307219192434323</v>
      </c>
      <c r="R1813" s="19">
        <v>0.19199145429611167</v>
      </c>
      <c r="S1813" s="19">
        <v>1.3476257449866165E-2</v>
      </c>
      <c r="T1813" s="20">
        <v>13</v>
      </c>
      <c r="U1813" s="17">
        <v>2</v>
      </c>
      <c r="V1813" s="17">
        <v>34</v>
      </c>
    </row>
    <row r="1814" spans="1:22" x14ac:dyDescent="0.2">
      <c r="A1814" t="s">
        <v>4497</v>
      </c>
      <c r="B1814" t="s">
        <v>2719</v>
      </c>
      <c r="C1814" t="s">
        <v>2720</v>
      </c>
      <c r="D1814" t="s">
        <v>4469</v>
      </c>
      <c r="E1814" s="10" t="s">
        <v>4498</v>
      </c>
      <c r="F1814" s="10"/>
      <c r="G1814" s="10"/>
      <c r="H1814" s="10" t="s">
        <v>4498</v>
      </c>
      <c r="I1814" s="14">
        <v>18402.23393884633</v>
      </c>
      <c r="J1814" s="19">
        <v>0</v>
      </c>
      <c r="K1814" s="19">
        <v>0.72566541818740726</v>
      </c>
      <c r="L1814" s="19">
        <v>0.27433458181259263</v>
      </c>
      <c r="M1814" s="20">
        <v>2</v>
      </c>
      <c r="N1814" s="19">
        <v>0</v>
      </c>
      <c r="O1814" s="19">
        <v>0</v>
      </c>
      <c r="P1814" s="19">
        <v>0.72566541818740726</v>
      </c>
      <c r="Q1814" s="19">
        <v>6.2789681403798994E-2</v>
      </c>
      <c r="R1814" s="19">
        <v>0.18129751742991329</v>
      </c>
      <c r="S1814" s="19">
        <v>3.0247382978880355E-2</v>
      </c>
      <c r="T1814" s="20">
        <v>21</v>
      </c>
      <c r="U1814" s="17">
        <v>2</v>
      </c>
      <c r="V1814" s="17">
        <v>34</v>
      </c>
    </row>
    <row r="1815" spans="1:22" x14ac:dyDescent="0.2">
      <c r="A1815" t="s">
        <v>4499</v>
      </c>
      <c r="B1815" t="s">
        <v>2719</v>
      </c>
      <c r="C1815" t="s">
        <v>2720</v>
      </c>
      <c r="D1815" t="s">
        <v>4469</v>
      </c>
      <c r="E1815" s="10" t="s">
        <v>4500</v>
      </c>
      <c r="F1815" s="10"/>
      <c r="G1815" s="10"/>
      <c r="H1815" s="10" t="s">
        <v>4500</v>
      </c>
      <c r="I1815" s="14">
        <v>12337.623853173571</v>
      </c>
      <c r="J1815" s="19">
        <v>0</v>
      </c>
      <c r="K1815" s="19">
        <v>0.5475144479261147</v>
      </c>
      <c r="L1815" s="19">
        <v>0.45248555207388541</v>
      </c>
      <c r="M1815" s="20">
        <v>2</v>
      </c>
      <c r="N1815" s="19">
        <v>0</v>
      </c>
      <c r="O1815" s="19">
        <v>0.40874501996103668</v>
      </c>
      <c r="P1815" s="19">
        <v>0.13876942796507805</v>
      </c>
      <c r="Q1815" s="19">
        <v>0.20543523787736145</v>
      </c>
      <c r="R1815" s="19">
        <v>0.2309453291754083</v>
      </c>
      <c r="S1815" s="19">
        <v>1.6104985021115674E-2</v>
      </c>
      <c r="T1815" s="20">
        <v>22</v>
      </c>
      <c r="U1815" s="17">
        <v>2</v>
      </c>
      <c r="V1815" s="17">
        <v>34</v>
      </c>
    </row>
    <row r="1816" spans="1:22" x14ac:dyDescent="0.2">
      <c r="A1816" t="s">
        <v>4501</v>
      </c>
      <c r="B1816" t="s">
        <v>2719</v>
      </c>
      <c r="C1816" t="s">
        <v>2720</v>
      </c>
      <c r="D1816" t="s">
        <v>4469</v>
      </c>
      <c r="E1816" s="10" t="s">
        <v>4502</v>
      </c>
      <c r="F1816" s="10"/>
      <c r="G1816" s="10"/>
      <c r="H1816" s="10" t="s">
        <v>4502</v>
      </c>
      <c r="I1816" s="14">
        <v>8149.8855246532476</v>
      </c>
      <c r="J1816" s="19">
        <v>0</v>
      </c>
      <c r="K1816" s="19">
        <v>0.29764946114331059</v>
      </c>
      <c r="L1816" s="19">
        <v>0.70235053885668952</v>
      </c>
      <c r="M1816" s="20">
        <v>1</v>
      </c>
      <c r="N1816" s="19">
        <v>0</v>
      </c>
      <c r="O1816" s="19">
        <v>0</v>
      </c>
      <c r="P1816" s="19">
        <v>0.29764946114331059</v>
      </c>
      <c r="Q1816" s="19">
        <v>0.31614620465177351</v>
      </c>
      <c r="R1816" s="19">
        <v>0.35889933936496182</v>
      </c>
      <c r="S1816" s="19">
        <v>2.7304994839953994E-2</v>
      </c>
      <c r="T1816" s="20">
        <v>12</v>
      </c>
      <c r="U1816" s="17">
        <v>2</v>
      </c>
      <c r="V1816" s="17">
        <v>34</v>
      </c>
    </row>
    <row r="1817" spans="1:22" x14ac:dyDescent="0.2">
      <c r="A1817" t="s">
        <v>4503</v>
      </c>
      <c r="B1817" t="s">
        <v>2719</v>
      </c>
      <c r="C1817" t="s">
        <v>2720</v>
      </c>
      <c r="D1817" t="s">
        <v>4469</v>
      </c>
      <c r="E1817" s="10" t="s">
        <v>4504</v>
      </c>
      <c r="F1817" s="10"/>
      <c r="G1817" s="10"/>
      <c r="H1817" s="10" t="s">
        <v>4504</v>
      </c>
      <c r="I1817" s="14">
        <v>14008.287400483154</v>
      </c>
      <c r="J1817" s="19">
        <v>0</v>
      </c>
      <c r="K1817" s="19">
        <v>0.50643136411416778</v>
      </c>
      <c r="L1817" s="19">
        <v>0.49356863588583216</v>
      </c>
      <c r="M1817" s="20">
        <v>2</v>
      </c>
      <c r="N1817" s="19">
        <v>0</v>
      </c>
      <c r="O1817" s="19">
        <v>0</v>
      </c>
      <c r="P1817" s="19">
        <v>0.50643136411416778</v>
      </c>
      <c r="Q1817" s="19">
        <v>0.17402579734458984</v>
      </c>
      <c r="R1817" s="19">
        <v>0.29937367079021349</v>
      </c>
      <c r="S1817" s="19">
        <v>2.016916775102889E-2</v>
      </c>
      <c r="T1817" s="20">
        <v>21</v>
      </c>
      <c r="U1817" s="17">
        <v>2</v>
      </c>
      <c r="V1817" s="17">
        <v>34</v>
      </c>
    </row>
    <row r="1818" spans="1:22" x14ac:dyDescent="0.2">
      <c r="A1818" t="s">
        <v>4505</v>
      </c>
      <c r="B1818" t="s">
        <v>2719</v>
      </c>
      <c r="C1818" t="s">
        <v>2720</v>
      </c>
      <c r="D1818" t="s">
        <v>4469</v>
      </c>
      <c r="E1818" s="10" t="s">
        <v>4506</v>
      </c>
      <c r="F1818" s="10"/>
      <c r="G1818" s="10"/>
      <c r="H1818" s="10" t="s">
        <v>4506</v>
      </c>
      <c r="I1818" s="14">
        <v>11651.08421049919</v>
      </c>
      <c r="J1818" s="19">
        <v>0</v>
      </c>
      <c r="K1818" s="19">
        <v>0.83489513668140869</v>
      </c>
      <c r="L1818" s="19">
        <v>0.16510486331859128</v>
      </c>
      <c r="M1818" s="20">
        <v>2</v>
      </c>
      <c r="N1818" s="19">
        <v>0</v>
      </c>
      <c r="O1818" s="19">
        <v>2.7915923143568559E-2</v>
      </c>
      <c r="P1818" s="19">
        <v>0.80697921353784019</v>
      </c>
      <c r="Q1818" s="19">
        <v>0</v>
      </c>
      <c r="R1818" s="19">
        <v>0.1576740122015334</v>
      </c>
      <c r="S1818" s="19">
        <v>7.4308511170578908E-3</v>
      </c>
      <c r="T1818" s="20">
        <v>21</v>
      </c>
      <c r="U1818" s="17">
        <v>2</v>
      </c>
      <c r="V1818" s="17">
        <v>34</v>
      </c>
    </row>
    <row r="1819" spans="1:22" x14ac:dyDescent="0.2">
      <c r="A1819" t="s">
        <v>4507</v>
      </c>
      <c r="B1819" t="s">
        <v>2719</v>
      </c>
      <c r="C1819" t="s">
        <v>2720</v>
      </c>
      <c r="D1819" t="s">
        <v>4469</v>
      </c>
      <c r="E1819" s="10" t="s">
        <v>4508</v>
      </c>
      <c r="F1819" s="10"/>
      <c r="G1819" s="10"/>
      <c r="H1819" s="10" t="s">
        <v>4508</v>
      </c>
      <c r="I1819" s="14">
        <v>17632.622786357068</v>
      </c>
      <c r="J1819" s="19">
        <v>0</v>
      </c>
      <c r="K1819" s="19">
        <v>0.28874544177877748</v>
      </c>
      <c r="L1819" s="19">
        <v>0.71125455822122252</v>
      </c>
      <c r="M1819" s="20">
        <v>1</v>
      </c>
      <c r="N1819" s="19">
        <v>0</v>
      </c>
      <c r="O1819" s="19">
        <v>0.28874544177877748</v>
      </c>
      <c r="P1819" s="19">
        <v>0</v>
      </c>
      <c r="Q1819" s="19">
        <v>0.42895059103933753</v>
      </c>
      <c r="R1819" s="19">
        <v>0.26505042719363214</v>
      </c>
      <c r="S1819" s="19">
        <v>1.7253539988252888E-2</v>
      </c>
      <c r="T1819" s="20">
        <v>13</v>
      </c>
      <c r="U1819" s="17">
        <v>2</v>
      </c>
      <c r="V1819" s="17">
        <v>34</v>
      </c>
    </row>
    <row r="1820" spans="1:22" x14ac:dyDescent="0.2">
      <c r="A1820" t="s">
        <v>4509</v>
      </c>
      <c r="B1820" t="s">
        <v>2719</v>
      </c>
      <c r="C1820" t="s">
        <v>2720</v>
      </c>
      <c r="D1820" t="s">
        <v>4469</v>
      </c>
      <c r="E1820" s="10" t="s">
        <v>4510</v>
      </c>
      <c r="F1820" s="10"/>
      <c r="G1820" s="10"/>
      <c r="H1820" s="10" t="s">
        <v>4510</v>
      </c>
      <c r="I1820" s="14">
        <v>10923.663206011232</v>
      </c>
      <c r="J1820" s="19">
        <v>0</v>
      </c>
      <c r="K1820" s="19">
        <v>0.34398491879803317</v>
      </c>
      <c r="L1820" s="19">
        <v>0.65601508120196694</v>
      </c>
      <c r="M1820" s="20">
        <v>1</v>
      </c>
      <c r="N1820" s="19">
        <v>0</v>
      </c>
      <c r="O1820" s="19">
        <v>0</v>
      </c>
      <c r="P1820" s="19">
        <v>0.34398491879803317</v>
      </c>
      <c r="Q1820" s="19">
        <v>9.7911548407986618E-2</v>
      </c>
      <c r="R1820" s="19">
        <v>0.51928704955922711</v>
      </c>
      <c r="S1820" s="19">
        <v>3.881648323475316E-2</v>
      </c>
      <c r="T1820" s="20">
        <v>12</v>
      </c>
      <c r="U1820" s="17">
        <v>2</v>
      </c>
      <c r="V1820" s="17">
        <v>34</v>
      </c>
    </row>
    <row r="1821" spans="1:22" x14ac:dyDescent="0.2">
      <c r="A1821" t="s">
        <v>4511</v>
      </c>
      <c r="B1821" t="s">
        <v>2719</v>
      </c>
      <c r="C1821" t="s">
        <v>2720</v>
      </c>
      <c r="D1821" t="s">
        <v>4469</v>
      </c>
      <c r="E1821" s="10" t="s">
        <v>4512</v>
      </c>
      <c r="F1821" s="10"/>
      <c r="G1821" s="10"/>
      <c r="H1821" s="10" t="s">
        <v>4512</v>
      </c>
      <c r="I1821" s="14">
        <v>19893.763708891347</v>
      </c>
      <c r="J1821" s="19">
        <v>0</v>
      </c>
      <c r="K1821" s="19">
        <v>0.73802255578459419</v>
      </c>
      <c r="L1821" s="19">
        <v>0.2619774442154057</v>
      </c>
      <c r="M1821" s="20">
        <v>2</v>
      </c>
      <c r="N1821" s="19">
        <v>4.8833365530165946E-3</v>
      </c>
      <c r="O1821" s="19">
        <v>0</v>
      </c>
      <c r="P1821" s="19">
        <v>0.73313921923157777</v>
      </c>
      <c r="Q1821" s="19">
        <v>0</v>
      </c>
      <c r="R1821" s="19">
        <v>0.22720025905131372</v>
      </c>
      <c r="S1821" s="19">
        <v>3.4777185164092006E-2</v>
      </c>
      <c r="T1821" s="20">
        <v>21</v>
      </c>
      <c r="U1821" s="17">
        <v>2</v>
      </c>
      <c r="V1821" s="17">
        <v>34</v>
      </c>
    </row>
    <row r="1822" spans="1:22" x14ac:dyDescent="0.2">
      <c r="A1822" t="s">
        <v>4513</v>
      </c>
      <c r="B1822" t="s">
        <v>2719</v>
      </c>
      <c r="C1822" t="s">
        <v>2720</v>
      </c>
      <c r="D1822" t="s">
        <v>4469</v>
      </c>
      <c r="E1822" s="10" t="s">
        <v>4514</v>
      </c>
      <c r="F1822" s="10"/>
      <c r="G1822" s="10"/>
      <c r="H1822" s="10" t="s">
        <v>4514</v>
      </c>
      <c r="I1822" s="14">
        <v>22925.516461112304</v>
      </c>
      <c r="J1822" s="19">
        <v>0</v>
      </c>
      <c r="K1822" s="19">
        <v>0.48824443920607402</v>
      </c>
      <c r="L1822" s="19">
        <v>0.51175556079392603</v>
      </c>
      <c r="M1822" s="20">
        <v>1</v>
      </c>
      <c r="N1822" s="19">
        <v>2.8730237007813641E-2</v>
      </c>
      <c r="O1822" s="19">
        <v>0</v>
      </c>
      <c r="P1822" s="19">
        <v>0.45951420219826034</v>
      </c>
      <c r="Q1822" s="19">
        <v>0.19959615778058928</v>
      </c>
      <c r="R1822" s="19">
        <v>0.28854913572260887</v>
      </c>
      <c r="S1822" s="19">
        <v>2.3610267290727814E-2</v>
      </c>
      <c r="T1822" s="20">
        <v>12</v>
      </c>
      <c r="U1822" s="17">
        <v>2</v>
      </c>
      <c r="V1822" s="17">
        <v>34</v>
      </c>
    </row>
    <row r="1823" spans="1:22" x14ac:dyDescent="0.2">
      <c r="A1823" t="s">
        <v>4515</v>
      </c>
      <c r="B1823" t="s">
        <v>2719</v>
      </c>
      <c r="C1823" t="s">
        <v>2720</v>
      </c>
      <c r="D1823" t="s">
        <v>4469</v>
      </c>
      <c r="E1823" s="10" t="s">
        <v>4516</v>
      </c>
      <c r="F1823" s="10"/>
      <c r="G1823" s="10"/>
      <c r="H1823" s="10" t="s">
        <v>4516</v>
      </c>
      <c r="I1823" s="14">
        <v>8222.2847743537277</v>
      </c>
      <c r="J1823" s="19">
        <v>0</v>
      </c>
      <c r="K1823" s="19">
        <v>0.90787395602956567</v>
      </c>
      <c r="L1823" s="19">
        <v>9.2126043970434293E-2</v>
      </c>
      <c r="M1823" s="20">
        <v>2</v>
      </c>
      <c r="N1823" s="19">
        <v>0</v>
      </c>
      <c r="O1823" s="19">
        <v>0</v>
      </c>
      <c r="P1823" s="19">
        <v>0.90787395602956567</v>
      </c>
      <c r="Q1823" s="19">
        <v>0</v>
      </c>
      <c r="R1823" s="19">
        <v>9.0284665486550994E-2</v>
      </c>
      <c r="S1823" s="19">
        <v>1.8413784838833122E-3</v>
      </c>
      <c r="T1823" s="20">
        <v>21</v>
      </c>
      <c r="U1823" s="17">
        <v>2</v>
      </c>
      <c r="V1823" s="17">
        <v>34</v>
      </c>
    </row>
    <row r="1824" spans="1:22" x14ac:dyDescent="0.2">
      <c r="A1824" t="s">
        <v>4517</v>
      </c>
      <c r="B1824" t="s">
        <v>2719</v>
      </c>
      <c r="C1824" t="s">
        <v>2720</v>
      </c>
      <c r="D1824" t="s">
        <v>4469</v>
      </c>
      <c r="E1824" s="10" t="s">
        <v>4518</v>
      </c>
      <c r="F1824" s="10"/>
      <c r="G1824" s="10"/>
      <c r="H1824" s="10" t="s">
        <v>4518</v>
      </c>
      <c r="I1824" s="14">
        <v>12341.794610626996</v>
      </c>
      <c r="J1824" s="19">
        <v>0</v>
      </c>
      <c r="K1824" s="19">
        <v>0.64975145693232073</v>
      </c>
      <c r="L1824" s="19">
        <v>0.35024854306767916</v>
      </c>
      <c r="M1824" s="20">
        <v>2</v>
      </c>
      <c r="N1824" s="19">
        <v>2.5763554744073786E-2</v>
      </c>
      <c r="O1824" s="19">
        <v>0</v>
      </c>
      <c r="P1824" s="19">
        <v>0.62398790218824718</v>
      </c>
      <c r="Q1824" s="19">
        <v>8.4069556804991813E-2</v>
      </c>
      <c r="R1824" s="19">
        <v>0.25506555150744387</v>
      </c>
      <c r="S1824" s="19">
        <v>1.1113434755243503E-2</v>
      </c>
      <c r="T1824" s="20">
        <v>21</v>
      </c>
      <c r="U1824" s="17">
        <v>2</v>
      </c>
      <c r="V1824" s="17">
        <v>34</v>
      </c>
    </row>
    <row r="1825" spans="1:22" x14ac:dyDescent="0.2">
      <c r="A1825" t="s">
        <v>4519</v>
      </c>
      <c r="B1825" t="s">
        <v>2719</v>
      </c>
      <c r="C1825" t="s">
        <v>2720</v>
      </c>
      <c r="D1825" t="s">
        <v>4469</v>
      </c>
      <c r="E1825" s="10" t="s">
        <v>4520</v>
      </c>
      <c r="F1825" s="10"/>
      <c r="G1825" s="10"/>
      <c r="H1825" s="10" t="s">
        <v>4520</v>
      </c>
      <c r="I1825" s="14">
        <v>54824.534730577841</v>
      </c>
      <c r="J1825" s="19">
        <v>0</v>
      </c>
      <c r="K1825" s="19">
        <v>0.68184829645562317</v>
      </c>
      <c r="L1825" s="19">
        <v>0.31815170354437683</v>
      </c>
      <c r="M1825" s="20">
        <v>2</v>
      </c>
      <c r="N1825" s="19">
        <v>0.30339276092867301</v>
      </c>
      <c r="O1825" s="19">
        <v>0.2335043662121111</v>
      </c>
      <c r="P1825" s="19">
        <v>0.14495116931483906</v>
      </c>
      <c r="Q1825" s="19">
        <v>0.156561626493813</v>
      </c>
      <c r="R1825" s="19">
        <v>0.14687441025381495</v>
      </c>
      <c r="S1825" s="19">
        <v>1.4715666796748874E-2</v>
      </c>
      <c r="T1825" s="20">
        <v>23</v>
      </c>
      <c r="U1825" s="17">
        <v>2</v>
      </c>
      <c r="V1825" s="17">
        <v>34</v>
      </c>
    </row>
    <row r="1826" spans="1:22" x14ac:dyDescent="0.2">
      <c r="A1826" t="s">
        <v>4521</v>
      </c>
      <c r="B1826" t="s">
        <v>2719</v>
      </c>
      <c r="C1826" t="s">
        <v>2720</v>
      </c>
      <c r="D1826" t="s">
        <v>4469</v>
      </c>
      <c r="E1826" s="10" t="s">
        <v>4522</v>
      </c>
      <c r="F1826" s="10"/>
      <c r="G1826" s="10"/>
      <c r="H1826" s="10" t="s">
        <v>4522</v>
      </c>
      <c r="I1826" s="14">
        <v>13233.162934270222</v>
      </c>
      <c r="J1826" s="19">
        <v>0</v>
      </c>
      <c r="K1826" s="19">
        <v>0.32906413790904582</v>
      </c>
      <c r="L1826" s="19">
        <v>0.67093586209095402</v>
      </c>
      <c r="M1826" s="20">
        <v>1</v>
      </c>
      <c r="N1826" s="19">
        <v>0</v>
      </c>
      <c r="O1826" s="19">
        <v>0.29268298379890162</v>
      </c>
      <c r="P1826" s="19">
        <v>3.6381154110144226E-2</v>
      </c>
      <c r="Q1826" s="19">
        <v>0.29916063545867039</v>
      </c>
      <c r="R1826" s="19">
        <v>0.35333087096763294</v>
      </c>
      <c r="S1826" s="19">
        <v>1.8444355664650806E-2</v>
      </c>
      <c r="T1826" s="20">
        <v>12</v>
      </c>
      <c r="U1826" s="17">
        <v>2</v>
      </c>
      <c r="V1826" s="17">
        <v>34</v>
      </c>
    </row>
    <row r="1827" spans="1:22" x14ac:dyDescent="0.2">
      <c r="A1827" t="s">
        <v>4523</v>
      </c>
      <c r="B1827" t="s">
        <v>2719</v>
      </c>
      <c r="C1827" t="s">
        <v>2720</v>
      </c>
      <c r="D1827" t="s">
        <v>4469</v>
      </c>
      <c r="E1827" s="10" t="s">
        <v>4524</v>
      </c>
      <c r="F1827" s="10"/>
      <c r="G1827" s="10"/>
      <c r="H1827" s="10" t="s">
        <v>4524</v>
      </c>
      <c r="I1827" s="14">
        <v>36931.959595885128</v>
      </c>
      <c r="J1827" s="19">
        <v>0</v>
      </c>
      <c r="K1827" s="19">
        <v>0.85763679602169107</v>
      </c>
      <c r="L1827" s="19">
        <v>0.1423632039783089</v>
      </c>
      <c r="M1827" s="20">
        <v>2</v>
      </c>
      <c r="N1827" s="19">
        <v>0.46656233318060669</v>
      </c>
      <c r="O1827" s="19">
        <v>0</v>
      </c>
      <c r="P1827" s="19">
        <v>0.39107446284108438</v>
      </c>
      <c r="Q1827" s="19">
        <v>4.2559232543658419E-2</v>
      </c>
      <c r="R1827" s="19">
        <v>9.6438803720781632E-2</v>
      </c>
      <c r="S1827" s="19">
        <v>3.3651677138688651E-3</v>
      </c>
      <c r="T1827" s="20">
        <v>23</v>
      </c>
      <c r="U1827" s="17">
        <v>2</v>
      </c>
      <c r="V1827" s="17">
        <v>34</v>
      </c>
    </row>
    <row r="1828" spans="1:22" x14ac:dyDescent="0.2">
      <c r="A1828" t="s">
        <v>4525</v>
      </c>
      <c r="B1828" t="s">
        <v>2719</v>
      </c>
      <c r="C1828" t="s">
        <v>2720</v>
      </c>
      <c r="D1828" t="s">
        <v>4469</v>
      </c>
      <c r="E1828" s="10" t="s">
        <v>4526</v>
      </c>
      <c r="F1828" s="10"/>
      <c r="G1828" s="10"/>
      <c r="H1828" s="10" t="s">
        <v>4526</v>
      </c>
      <c r="I1828" s="14">
        <v>27062.353993835859</v>
      </c>
      <c r="J1828" s="19">
        <v>0</v>
      </c>
      <c r="K1828" s="19">
        <v>0</v>
      </c>
      <c r="L1828" s="19">
        <v>1</v>
      </c>
      <c r="M1828" s="20">
        <v>1</v>
      </c>
      <c r="N1828" s="19">
        <v>0</v>
      </c>
      <c r="O1828" s="19">
        <v>0</v>
      </c>
      <c r="P1828" s="19">
        <v>0</v>
      </c>
      <c r="Q1828" s="19">
        <v>0.28146934710986221</v>
      </c>
      <c r="R1828" s="19">
        <v>0.5933474462983066</v>
      </c>
      <c r="S1828" s="19">
        <v>0.12518320659183116</v>
      </c>
      <c r="T1828" s="20">
        <v>12</v>
      </c>
      <c r="U1828" s="17">
        <v>2</v>
      </c>
      <c r="V1828" s="17">
        <v>34</v>
      </c>
    </row>
    <row r="1829" spans="1:22" x14ac:dyDescent="0.2">
      <c r="A1829" t="s">
        <v>4527</v>
      </c>
      <c r="B1829" t="s">
        <v>2719</v>
      </c>
      <c r="C1829" t="s">
        <v>2720</v>
      </c>
      <c r="D1829" t="s">
        <v>4469</v>
      </c>
      <c r="E1829" s="10" t="s">
        <v>4528</v>
      </c>
      <c r="F1829" s="10"/>
      <c r="G1829" s="10"/>
      <c r="H1829" s="10" t="s">
        <v>4528</v>
      </c>
      <c r="I1829" s="14">
        <v>65106.512880535331</v>
      </c>
      <c r="J1829" s="19">
        <v>0.20243704668043039</v>
      </c>
      <c r="K1829" s="19">
        <v>0.47605204687127584</v>
      </c>
      <c r="L1829" s="19">
        <v>0.32151090644829383</v>
      </c>
      <c r="M1829" s="20">
        <v>2</v>
      </c>
      <c r="N1829" s="19">
        <v>0</v>
      </c>
      <c r="O1829" s="19">
        <v>0.2955733220217816</v>
      </c>
      <c r="P1829" s="19">
        <v>0.18047872484949423</v>
      </c>
      <c r="Q1829" s="19">
        <v>0.13468805800129741</v>
      </c>
      <c r="R1829" s="19">
        <v>0.16826710132107925</v>
      </c>
      <c r="S1829" s="19">
        <v>1.8555747125917101E-2</v>
      </c>
      <c r="T1829" s="20">
        <v>22</v>
      </c>
      <c r="U1829" s="17">
        <v>2</v>
      </c>
      <c r="V1829" s="17">
        <v>34</v>
      </c>
    </row>
    <row r="1830" spans="1:22" x14ac:dyDescent="0.2">
      <c r="A1830" t="s">
        <v>4529</v>
      </c>
      <c r="B1830" t="s">
        <v>2719</v>
      </c>
      <c r="C1830" t="s">
        <v>2720</v>
      </c>
      <c r="D1830" t="s">
        <v>4469</v>
      </c>
      <c r="E1830" s="10" t="s">
        <v>4530</v>
      </c>
      <c r="F1830" s="10"/>
      <c r="G1830" s="10"/>
      <c r="H1830" s="10" t="s">
        <v>4530</v>
      </c>
      <c r="I1830" s="14">
        <v>11532.767739965813</v>
      </c>
      <c r="J1830" s="19">
        <v>0</v>
      </c>
      <c r="K1830" s="19">
        <v>0.86799483070789107</v>
      </c>
      <c r="L1830" s="19">
        <v>0.13200516929210895</v>
      </c>
      <c r="M1830" s="20">
        <v>2</v>
      </c>
      <c r="N1830" s="19">
        <v>0</v>
      </c>
      <c r="O1830" s="19">
        <v>0.86799483070789107</v>
      </c>
      <c r="P1830" s="19">
        <v>0</v>
      </c>
      <c r="Q1830" s="19">
        <v>3.7490013700780936E-2</v>
      </c>
      <c r="R1830" s="19">
        <v>8.6654588749956865E-2</v>
      </c>
      <c r="S1830" s="19">
        <v>7.8605668413711666E-3</v>
      </c>
      <c r="T1830" s="20">
        <v>22</v>
      </c>
      <c r="U1830" s="17">
        <v>2</v>
      </c>
      <c r="V1830" s="17">
        <v>34</v>
      </c>
    </row>
    <row r="1831" spans="1:22" x14ac:dyDescent="0.2">
      <c r="A1831" t="s">
        <v>4531</v>
      </c>
      <c r="B1831" t="s">
        <v>2719</v>
      </c>
      <c r="C1831" t="s">
        <v>2720</v>
      </c>
      <c r="D1831" t="s">
        <v>4469</v>
      </c>
      <c r="E1831" s="10" t="s">
        <v>4532</v>
      </c>
      <c r="F1831" s="10"/>
      <c r="G1831" s="10"/>
      <c r="H1831" s="10" t="s">
        <v>4532</v>
      </c>
      <c r="I1831" s="14">
        <v>13038.632582747377</v>
      </c>
      <c r="J1831" s="19">
        <v>0</v>
      </c>
      <c r="K1831" s="19">
        <v>0.27204015082904087</v>
      </c>
      <c r="L1831" s="19">
        <v>0.72795984917095913</v>
      </c>
      <c r="M1831" s="20">
        <v>1</v>
      </c>
      <c r="N1831" s="19">
        <v>0</v>
      </c>
      <c r="O1831" s="19">
        <v>0.1984361362645847</v>
      </c>
      <c r="P1831" s="19">
        <v>7.3604014564456144E-2</v>
      </c>
      <c r="Q1831" s="19">
        <v>0.27058287613150517</v>
      </c>
      <c r="R1831" s="19">
        <v>0.43191470029600221</v>
      </c>
      <c r="S1831" s="19">
        <v>2.5462272743451749E-2</v>
      </c>
      <c r="T1831" s="20">
        <v>12</v>
      </c>
      <c r="U1831" s="17">
        <v>2</v>
      </c>
      <c r="V1831" s="17">
        <v>34</v>
      </c>
    </row>
    <row r="1832" spans="1:22" x14ac:dyDescent="0.2">
      <c r="A1832" t="s">
        <v>4533</v>
      </c>
      <c r="B1832" t="s">
        <v>2719</v>
      </c>
      <c r="C1832" t="s">
        <v>2720</v>
      </c>
      <c r="D1832" t="s">
        <v>4469</v>
      </c>
      <c r="E1832" s="10" t="s">
        <v>4534</v>
      </c>
      <c r="F1832" s="10"/>
      <c r="G1832" s="10"/>
      <c r="H1832" s="10" t="s">
        <v>4534</v>
      </c>
      <c r="I1832" s="14">
        <v>12094.507402033079</v>
      </c>
      <c r="J1832" s="19">
        <v>0</v>
      </c>
      <c r="K1832" s="19">
        <v>0.42522438668807055</v>
      </c>
      <c r="L1832" s="19">
        <v>0.5747756133119295</v>
      </c>
      <c r="M1832" s="20">
        <v>1</v>
      </c>
      <c r="N1832" s="19">
        <v>0</v>
      </c>
      <c r="O1832" s="19">
        <v>0.42522438668807055</v>
      </c>
      <c r="P1832" s="19">
        <v>0</v>
      </c>
      <c r="Q1832" s="19">
        <v>6.480867745680996E-2</v>
      </c>
      <c r="R1832" s="19">
        <v>0.45784918269762709</v>
      </c>
      <c r="S1832" s="19">
        <v>5.2117753157492397E-2</v>
      </c>
      <c r="T1832" s="20">
        <v>12</v>
      </c>
      <c r="U1832" s="17">
        <v>2</v>
      </c>
      <c r="V1832" s="17">
        <v>34</v>
      </c>
    </row>
    <row r="1833" spans="1:22" x14ac:dyDescent="0.2">
      <c r="A1833" t="s">
        <v>4535</v>
      </c>
      <c r="B1833" t="s">
        <v>2719</v>
      </c>
      <c r="C1833" t="s">
        <v>2720</v>
      </c>
      <c r="D1833" t="s">
        <v>4469</v>
      </c>
      <c r="E1833" s="10" t="s">
        <v>4536</v>
      </c>
      <c r="F1833" s="10"/>
      <c r="G1833" s="10"/>
      <c r="H1833" s="10" t="s">
        <v>4536</v>
      </c>
      <c r="I1833" s="14">
        <v>10055.499516778393</v>
      </c>
      <c r="J1833" s="19">
        <v>0</v>
      </c>
      <c r="K1833" s="19">
        <v>0.40198317109395559</v>
      </c>
      <c r="L1833" s="19">
        <v>0.59801682890604435</v>
      </c>
      <c r="M1833" s="20">
        <v>1</v>
      </c>
      <c r="N1833" s="19">
        <v>0</v>
      </c>
      <c r="O1833" s="19">
        <v>0.11377215415253407</v>
      </c>
      <c r="P1833" s="19">
        <v>0.28821101694142154</v>
      </c>
      <c r="Q1833" s="19">
        <v>0.15345889098924601</v>
      </c>
      <c r="R1833" s="19">
        <v>0.43090492656616741</v>
      </c>
      <c r="S1833" s="19">
        <v>1.3653011350630941E-2</v>
      </c>
      <c r="T1833" s="20">
        <v>12</v>
      </c>
      <c r="U1833" s="17">
        <v>2</v>
      </c>
      <c r="V1833" s="17">
        <v>34</v>
      </c>
    </row>
    <row r="1834" spans="1:22" x14ac:dyDescent="0.2">
      <c r="A1834" t="s">
        <v>4537</v>
      </c>
      <c r="B1834" t="s">
        <v>2719</v>
      </c>
      <c r="C1834" t="s">
        <v>2720</v>
      </c>
      <c r="D1834" t="s">
        <v>4469</v>
      </c>
      <c r="E1834" s="10" t="s">
        <v>4538</v>
      </c>
      <c r="F1834" s="10"/>
      <c r="G1834" s="10"/>
      <c r="H1834" s="10" t="s">
        <v>4538</v>
      </c>
      <c r="I1834" s="14">
        <v>33078.508453291375</v>
      </c>
      <c r="J1834" s="19">
        <v>0</v>
      </c>
      <c r="K1834" s="19">
        <v>0.15327403817058916</v>
      </c>
      <c r="L1834" s="19">
        <v>0.84672596182941073</v>
      </c>
      <c r="M1834" s="20">
        <v>1</v>
      </c>
      <c r="N1834" s="19">
        <v>0</v>
      </c>
      <c r="O1834" s="19">
        <v>0.15327403817058916</v>
      </c>
      <c r="P1834" s="19">
        <v>0</v>
      </c>
      <c r="Q1834" s="19">
        <v>0.1108903890817818</v>
      </c>
      <c r="R1834" s="19">
        <v>0.65371532908392949</v>
      </c>
      <c r="S1834" s="19">
        <v>8.2120243663699521E-2</v>
      </c>
      <c r="T1834" s="20">
        <v>12</v>
      </c>
      <c r="U1834" s="17">
        <v>2</v>
      </c>
      <c r="V1834" s="17">
        <v>34</v>
      </c>
    </row>
    <row r="1835" spans="1:22" x14ac:dyDescent="0.2">
      <c r="A1835" t="s">
        <v>4539</v>
      </c>
      <c r="B1835" t="s">
        <v>2719</v>
      </c>
      <c r="C1835" t="s">
        <v>2720</v>
      </c>
      <c r="D1835" t="s">
        <v>4540</v>
      </c>
      <c r="E1835" s="10" t="s">
        <v>4541</v>
      </c>
      <c r="F1835" s="10"/>
      <c r="G1835" s="10"/>
      <c r="H1835" s="10" t="s">
        <v>4541</v>
      </c>
      <c r="I1835" s="14">
        <v>56446.738046953462</v>
      </c>
      <c r="J1835" s="19">
        <v>0</v>
      </c>
      <c r="K1835" s="19">
        <v>0.85498417764755685</v>
      </c>
      <c r="L1835" s="19">
        <v>0.14501582235244298</v>
      </c>
      <c r="M1835" s="20">
        <v>2</v>
      </c>
      <c r="N1835" s="19">
        <v>0.18367026586669405</v>
      </c>
      <c r="O1835" s="19">
        <v>0</v>
      </c>
      <c r="P1835" s="19">
        <v>0.67131391178086286</v>
      </c>
      <c r="Q1835" s="19">
        <v>9.9944709013797314E-4</v>
      </c>
      <c r="R1835" s="19">
        <v>0.12602916405174297</v>
      </c>
      <c r="S1835" s="19">
        <v>1.7987211210562043E-2</v>
      </c>
      <c r="T1835" s="20">
        <v>21</v>
      </c>
      <c r="U1835" s="17">
        <v>2</v>
      </c>
      <c r="V1835" s="17">
        <v>34</v>
      </c>
    </row>
    <row r="1836" spans="1:22" x14ac:dyDescent="0.2">
      <c r="A1836" t="s">
        <v>4542</v>
      </c>
      <c r="B1836" t="s">
        <v>2719</v>
      </c>
      <c r="C1836" t="s">
        <v>2720</v>
      </c>
      <c r="D1836" t="s">
        <v>4540</v>
      </c>
      <c r="E1836" s="10" t="s">
        <v>2777</v>
      </c>
      <c r="F1836" s="10"/>
      <c r="G1836" s="10"/>
      <c r="H1836" s="10" t="s">
        <v>2777</v>
      </c>
      <c r="I1836" s="14">
        <v>26030.604176290333</v>
      </c>
      <c r="J1836" s="19">
        <v>0</v>
      </c>
      <c r="K1836" s="19">
        <v>0.72534074823606476</v>
      </c>
      <c r="L1836" s="19">
        <v>0.27465925176393519</v>
      </c>
      <c r="M1836" s="20">
        <v>2</v>
      </c>
      <c r="N1836" s="19">
        <v>0.20933205070919308</v>
      </c>
      <c r="O1836" s="19">
        <v>0</v>
      </c>
      <c r="P1836" s="19">
        <v>0.51600869752687173</v>
      </c>
      <c r="Q1836" s="19">
        <v>0.11291466290148759</v>
      </c>
      <c r="R1836" s="19">
        <v>0.15264047255820246</v>
      </c>
      <c r="S1836" s="19">
        <v>9.1041163042451523E-3</v>
      </c>
      <c r="T1836" s="20">
        <v>21</v>
      </c>
      <c r="U1836" s="17">
        <v>2</v>
      </c>
      <c r="V1836" s="17">
        <v>34</v>
      </c>
    </row>
    <row r="1837" spans="1:22" x14ac:dyDescent="0.2">
      <c r="A1837" t="s">
        <v>4543</v>
      </c>
      <c r="B1837" t="s">
        <v>2719</v>
      </c>
      <c r="C1837" t="s">
        <v>2720</v>
      </c>
      <c r="D1837" t="s">
        <v>4540</v>
      </c>
      <c r="E1837" s="10" t="s">
        <v>4544</v>
      </c>
      <c r="F1837" s="10"/>
      <c r="G1837" s="10"/>
      <c r="H1837" s="10" t="s">
        <v>4544</v>
      </c>
      <c r="I1837" s="14">
        <v>33628.59789780993</v>
      </c>
      <c r="J1837" s="19">
        <v>0</v>
      </c>
      <c r="K1837" s="19">
        <v>0.90676614199472327</v>
      </c>
      <c r="L1837" s="19">
        <v>9.3233858005276768E-2</v>
      </c>
      <c r="M1837" s="20">
        <v>2</v>
      </c>
      <c r="N1837" s="19">
        <v>0.26533448850847979</v>
      </c>
      <c r="O1837" s="19">
        <v>0</v>
      </c>
      <c r="P1837" s="19">
        <v>0.64143165348624342</v>
      </c>
      <c r="Q1837" s="19">
        <v>2.9480241493257436E-2</v>
      </c>
      <c r="R1837" s="19">
        <v>5.2467936729077902E-2</v>
      </c>
      <c r="S1837" s="19">
        <v>1.128567978294143E-2</v>
      </c>
      <c r="T1837" s="20">
        <v>21</v>
      </c>
      <c r="U1837" s="17">
        <v>2</v>
      </c>
      <c r="V1837" s="17">
        <v>34</v>
      </c>
    </row>
    <row r="1838" spans="1:22" x14ac:dyDescent="0.2">
      <c r="A1838" t="s">
        <v>4545</v>
      </c>
      <c r="B1838" t="s">
        <v>2719</v>
      </c>
      <c r="C1838" t="s">
        <v>2720</v>
      </c>
      <c r="D1838" t="s">
        <v>4540</v>
      </c>
      <c r="E1838" s="10" t="s">
        <v>4546</v>
      </c>
      <c r="F1838" s="10"/>
      <c r="G1838" s="10"/>
      <c r="H1838" s="10" t="s">
        <v>4546</v>
      </c>
      <c r="I1838" s="14">
        <v>34077.786953628063</v>
      </c>
      <c r="J1838" s="19">
        <v>0</v>
      </c>
      <c r="K1838" s="19">
        <v>0.76875685746495648</v>
      </c>
      <c r="L1838" s="19">
        <v>0.23124314253504355</v>
      </c>
      <c r="M1838" s="20">
        <v>2</v>
      </c>
      <c r="N1838" s="19">
        <v>0</v>
      </c>
      <c r="O1838" s="19">
        <v>0.22136973595218615</v>
      </c>
      <c r="P1838" s="19">
        <v>0.54738712151277025</v>
      </c>
      <c r="Q1838" s="19">
        <v>8.4041432872692778E-2</v>
      </c>
      <c r="R1838" s="19">
        <v>0.1348057937985376</v>
      </c>
      <c r="S1838" s="19">
        <v>1.2395915863813193E-2</v>
      </c>
      <c r="T1838" s="20">
        <v>21</v>
      </c>
      <c r="U1838" s="17">
        <v>2</v>
      </c>
      <c r="V1838" s="17">
        <v>34</v>
      </c>
    </row>
    <row r="1839" spans="1:22" x14ac:dyDescent="0.2">
      <c r="A1839" t="s">
        <v>4547</v>
      </c>
      <c r="B1839" t="s">
        <v>2719</v>
      </c>
      <c r="C1839" t="s">
        <v>2720</v>
      </c>
      <c r="D1839" t="s">
        <v>4540</v>
      </c>
      <c r="E1839" s="10" t="s">
        <v>3760</v>
      </c>
      <c r="F1839" s="10"/>
      <c r="G1839" s="10"/>
      <c r="H1839" s="10" t="s">
        <v>3760</v>
      </c>
      <c r="I1839" s="14">
        <v>50406.942823380232</v>
      </c>
      <c r="J1839" s="19">
        <v>0</v>
      </c>
      <c r="K1839" s="19">
        <v>0.49681354933388611</v>
      </c>
      <c r="L1839" s="19">
        <v>0.50318645066611389</v>
      </c>
      <c r="M1839" s="20">
        <v>1</v>
      </c>
      <c r="N1839" s="19">
        <v>0.16755376324657317</v>
      </c>
      <c r="O1839" s="19">
        <v>0</v>
      </c>
      <c r="P1839" s="19">
        <v>0.32925978608731293</v>
      </c>
      <c r="Q1839" s="19">
        <v>0.19918078352351382</v>
      </c>
      <c r="R1839" s="19">
        <v>0.28466547568959494</v>
      </c>
      <c r="S1839" s="19">
        <v>1.934019145300513E-2</v>
      </c>
      <c r="T1839" s="20">
        <v>12</v>
      </c>
      <c r="U1839" s="17">
        <v>2</v>
      </c>
      <c r="V1839" s="17">
        <v>34</v>
      </c>
    </row>
    <row r="1840" spans="1:22" x14ac:dyDescent="0.2">
      <c r="A1840" t="s">
        <v>4548</v>
      </c>
      <c r="B1840" t="s">
        <v>2719</v>
      </c>
      <c r="C1840" t="s">
        <v>2720</v>
      </c>
      <c r="D1840" t="s">
        <v>4540</v>
      </c>
      <c r="E1840" s="10" t="s">
        <v>4549</v>
      </c>
      <c r="F1840" s="10"/>
      <c r="G1840" s="10"/>
      <c r="H1840" s="10" t="s">
        <v>4549</v>
      </c>
      <c r="I1840" s="14">
        <v>30162.634497571737</v>
      </c>
      <c r="J1840" s="19">
        <v>0</v>
      </c>
      <c r="K1840" s="19">
        <v>0.39532247294890654</v>
      </c>
      <c r="L1840" s="19">
        <v>0.60467752705109346</v>
      </c>
      <c r="M1840" s="20">
        <v>1</v>
      </c>
      <c r="N1840" s="19">
        <v>0</v>
      </c>
      <c r="O1840" s="19">
        <v>0.39532247294890654</v>
      </c>
      <c r="P1840" s="19">
        <v>0</v>
      </c>
      <c r="Q1840" s="19">
        <v>0.40867030469664278</v>
      </c>
      <c r="R1840" s="19">
        <v>0.17679956762267068</v>
      </c>
      <c r="S1840" s="19">
        <v>1.9207654731780006E-2</v>
      </c>
      <c r="T1840" s="20">
        <v>13</v>
      </c>
      <c r="U1840" s="17">
        <v>2</v>
      </c>
      <c r="V1840" s="17">
        <v>34</v>
      </c>
    </row>
    <row r="1841" spans="1:22" x14ac:dyDescent="0.2">
      <c r="A1841" t="s">
        <v>4550</v>
      </c>
      <c r="B1841" t="s">
        <v>2719</v>
      </c>
      <c r="C1841" t="s">
        <v>2720</v>
      </c>
      <c r="D1841" t="s">
        <v>4551</v>
      </c>
      <c r="E1841" s="10" t="s">
        <v>4552</v>
      </c>
      <c r="F1841" s="10"/>
      <c r="G1841" s="10"/>
      <c r="H1841" s="10" t="s">
        <v>4552</v>
      </c>
      <c r="I1841" s="14">
        <v>114048.85663516074</v>
      </c>
      <c r="J1841" s="19">
        <v>0</v>
      </c>
      <c r="K1841" s="19">
        <v>0.60828539202795484</v>
      </c>
      <c r="L1841" s="19">
        <v>0.3917146079720451</v>
      </c>
      <c r="M1841" s="20">
        <v>2</v>
      </c>
      <c r="N1841" s="19">
        <v>0.31521283815831669</v>
      </c>
      <c r="O1841" s="19">
        <v>0.10523295682720754</v>
      </c>
      <c r="P1841" s="19">
        <v>0.18783959704243064</v>
      </c>
      <c r="Q1841" s="19">
        <v>0.26493708929612553</v>
      </c>
      <c r="R1841" s="19">
        <v>0.11186657396136818</v>
      </c>
      <c r="S1841" s="19">
        <v>1.4910944714551429E-2</v>
      </c>
      <c r="T1841" s="20">
        <v>23</v>
      </c>
      <c r="U1841" s="17">
        <v>2</v>
      </c>
      <c r="V1841" s="17">
        <v>34</v>
      </c>
    </row>
    <row r="1842" spans="1:22" x14ac:dyDescent="0.2">
      <c r="A1842" t="s">
        <v>4553</v>
      </c>
      <c r="B1842" t="s">
        <v>2719</v>
      </c>
      <c r="C1842" t="s">
        <v>2720</v>
      </c>
      <c r="D1842" t="s">
        <v>4551</v>
      </c>
      <c r="E1842" s="10" t="s">
        <v>4554</v>
      </c>
      <c r="F1842" s="10"/>
      <c r="G1842" s="10"/>
      <c r="H1842" s="10" t="s">
        <v>4554</v>
      </c>
      <c r="I1842" s="14">
        <v>33884.838410373777</v>
      </c>
      <c r="J1842" s="19">
        <v>0</v>
      </c>
      <c r="K1842" s="19">
        <v>0.77831281427936416</v>
      </c>
      <c r="L1842" s="19">
        <v>0.22168718572063584</v>
      </c>
      <c r="M1842" s="20">
        <v>2</v>
      </c>
      <c r="N1842" s="19">
        <v>0.26282225680163013</v>
      </c>
      <c r="O1842" s="19">
        <v>0</v>
      </c>
      <c r="P1842" s="19">
        <v>0.51549055747773409</v>
      </c>
      <c r="Q1842" s="19">
        <v>0.10106771063386941</v>
      </c>
      <c r="R1842" s="19">
        <v>0.1006044475408428</v>
      </c>
      <c r="S1842" s="19">
        <v>2.0015027545923589E-2</v>
      </c>
      <c r="T1842" s="20">
        <v>21</v>
      </c>
      <c r="U1842" s="17">
        <v>2</v>
      </c>
      <c r="V1842" s="17">
        <v>34</v>
      </c>
    </row>
    <row r="1843" spans="1:22" x14ac:dyDescent="0.2">
      <c r="A1843" t="s">
        <v>4555</v>
      </c>
      <c r="B1843" t="s">
        <v>2719</v>
      </c>
      <c r="C1843" t="s">
        <v>2720</v>
      </c>
      <c r="D1843" t="s">
        <v>4551</v>
      </c>
      <c r="E1843" s="10" t="s">
        <v>4556</v>
      </c>
      <c r="F1843" s="10"/>
      <c r="G1843" s="10"/>
      <c r="H1843" s="10" t="s">
        <v>4556</v>
      </c>
      <c r="I1843" s="14">
        <v>49922.883825439028</v>
      </c>
      <c r="J1843" s="19">
        <v>0</v>
      </c>
      <c r="K1843" s="19">
        <v>0.24037096704727257</v>
      </c>
      <c r="L1843" s="19">
        <v>0.75962903295272743</v>
      </c>
      <c r="M1843" s="20">
        <v>1</v>
      </c>
      <c r="N1843" s="19">
        <v>0</v>
      </c>
      <c r="O1843" s="19">
        <v>0.24037096704727257</v>
      </c>
      <c r="P1843" s="19">
        <v>0</v>
      </c>
      <c r="Q1843" s="19">
        <v>0.57548885312158626</v>
      </c>
      <c r="R1843" s="19">
        <v>0.15899409457066838</v>
      </c>
      <c r="S1843" s="19">
        <v>2.5146085260472788E-2</v>
      </c>
      <c r="T1843" s="20">
        <v>13</v>
      </c>
      <c r="U1843" s="17">
        <v>2</v>
      </c>
      <c r="V1843" s="17">
        <v>34</v>
      </c>
    </row>
    <row r="1844" spans="1:22" x14ac:dyDescent="0.2">
      <c r="A1844" t="s">
        <v>4557</v>
      </c>
      <c r="B1844" t="s">
        <v>2719</v>
      </c>
      <c r="C1844" t="s">
        <v>2720</v>
      </c>
      <c r="D1844" t="s">
        <v>4551</v>
      </c>
      <c r="E1844" s="10" t="s">
        <v>3156</v>
      </c>
      <c r="F1844" s="10"/>
      <c r="G1844" s="10"/>
      <c r="H1844" s="10" t="s">
        <v>3156</v>
      </c>
      <c r="I1844" s="14">
        <v>16946.180307950824</v>
      </c>
      <c r="J1844" s="19">
        <v>0</v>
      </c>
      <c r="K1844" s="19">
        <v>0.48763724284218429</v>
      </c>
      <c r="L1844" s="19">
        <v>0.51236275715781565</v>
      </c>
      <c r="M1844" s="20">
        <v>1</v>
      </c>
      <c r="N1844" s="19">
        <v>0</v>
      </c>
      <c r="O1844" s="19">
        <v>0.46445092900497914</v>
      </c>
      <c r="P1844" s="19">
        <v>2.3186313837205239E-2</v>
      </c>
      <c r="Q1844" s="19">
        <v>0.32980523033658399</v>
      </c>
      <c r="R1844" s="19">
        <v>0.16892101878100277</v>
      </c>
      <c r="S1844" s="19">
        <v>1.3636508040228939E-2</v>
      </c>
      <c r="T1844" s="20">
        <v>13</v>
      </c>
      <c r="U1844" s="17">
        <v>2</v>
      </c>
      <c r="V1844" s="17">
        <v>34</v>
      </c>
    </row>
    <row r="1845" spans="1:22" x14ac:dyDescent="0.2">
      <c r="A1845" t="s">
        <v>4558</v>
      </c>
      <c r="B1845" t="s">
        <v>2719</v>
      </c>
      <c r="C1845" t="s">
        <v>2720</v>
      </c>
      <c r="D1845" t="s">
        <v>4551</v>
      </c>
      <c r="E1845" s="10" t="s">
        <v>4559</v>
      </c>
      <c r="F1845" s="10"/>
      <c r="G1845" s="10"/>
      <c r="H1845" s="10" t="s">
        <v>4559</v>
      </c>
      <c r="I1845" s="14">
        <v>60047.277953218669</v>
      </c>
      <c r="J1845" s="19">
        <v>0</v>
      </c>
      <c r="K1845" s="19">
        <v>0.31262478825403262</v>
      </c>
      <c r="L1845" s="19">
        <v>0.68737521174596738</v>
      </c>
      <c r="M1845" s="20">
        <v>1</v>
      </c>
      <c r="N1845" s="19">
        <v>0.14009010814248965</v>
      </c>
      <c r="O1845" s="19">
        <v>1.5884056431618943E-2</v>
      </c>
      <c r="P1845" s="19">
        <v>0.15665062367992399</v>
      </c>
      <c r="Q1845" s="19">
        <v>0.45554626917690999</v>
      </c>
      <c r="R1845" s="19">
        <v>0.21631303527507434</v>
      </c>
      <c r="S1845" s="19">
        <v>1.5515907293983175E-2</v>
      </c>
      <c r="T1845" s="20">
        <v>13</v>
      </c>
      <c r="U1845" s="17">
        <v>2</v>
      </c>
      <c r="V1845" s="17">
        <v>34</v>
      </c>
    </row>
    <row r="1846" spans="1:22" x14ac:dyDescent="0.2">
      <c r="A1846" t="s">
        <v>4560</v>
      </c>
      <c r="B1846" t="s">
        <v>2719</v>
      </c>
      <c r="C1846" t="s">
        <v>2720</v>
      </c>
      <c r="D1846" t="s">
        <v>4551</v>
      </c>
      <c r="E1846" s="10" t="s">
        <v>4561</v>
      </c>
      <c r="F1846" s="10"/>
      <c r="G1846" s="10"/>
      <c r="H1846" s="10" t="s">
        <v>4561</v>
      </c>
      <c r="I1846" s="14">
        <v>77256.401574641466</v>
      </c>
      <c r="J1846" s="19">
        <v>0</v>
      </c>
      <c r="K1846" s="19">
        <v>0.56692368050102493</v>
      </c>
      <c r="L1846" s="19">
        <v>0.43307631949897507</v>
      </c>
      <c r="M1846" s="20">
        <v>2</v>
      </c>
      <c r="N1846" s="19">
        <v>0.25849681983464545</v>
      </c>
      <c r="O1846" s="19">
        <v>0.20719215988330442</v>
      </c>
      <c r="P1846" s="19">
        <v>0.10123470078307503</v>
      </c>
      <c r="Q1846" s="19">
        <v>0.25231971113473456</v>
      </c>
      <c r="R1846" s="19">
        <v>0.16458268507295926</v>
      </c>
      <c r="S1846" s="19">
        <v>1.6173923291281263E-2</v>
      </c>
      <c r="T1846" s="20">
        <v>23</v>
      </c>
      <c r="U1846" s="17">
        <v>2</v>
      </c>
      <c r="V1846" s="17">
        <v>34</v>
      </c>
    </row>
    <row r="1847" spans="1:22" x14ac:dyDescent="0.2">
      <c r="A1847" t="s">
        <v>4562</v>
      </c>
      <c r="B1847" t="s">
        <v>2719</v>
      </c>
      <c r="C1847" t="s">
        <v>2720</v>
      </c>
      <c r="D1847" t="s">
        <v>4551</v>
      </c>
      <c r="E1847" s="10" t="s">
        <v>3348</v>
      </c>
      <c r="F1847" s="10"/>
      <c r="G1847" s="10"/>
      <c r="H1847" s="10" t="s">
        <v>3348</v>
      </c>
      <c r="I1847" s="14">
        <v>51722.246096955612</v>
      </c>
      <c r="J1847" s="19">
        <v>0</v>
      </c>
      <c r="K1847" s="19">
        <v>0.15702711886947918</v>
      </c>
      <c r="L1847" s="19">
        <v>0.84297288113052071</v>
      </c>
      <c r="M1847" s="20">
        <v>1</v>
      </c>
      <c r="N1847" s="19">
        <v>0</v>
      </c>
      <c r="O1847" s="19">
        <v>0.15702711886947918</v>
      </c>
      <c r="P1847" s="19">
        <v>0</v>
      </c>
      <c r="Q1847" s="19">
        <v>0.669774958661283</v>
      </c>
      <c r="R1847" s="19">
        <v>0.15891065322778994</v>
      </c>
      <c r="S1847" s="19">
        <v>1.42872692414479E-2</v>
      </c>
      <c r="T1847" s="20">
        <v>13</v>
      </c>
      <c r="U1847" s="17">
        <v>2</v>
      </c>
      <c r="V1847" s="17">
        <v>34</v>
      </c>
    </row>
    <row r="1848" spans="1:22" x14ac:dyDescent="0.2">
      <c r="A1848" t="s">
        <v>4563</v>
      </c>
      <c r="B1848" t="s">
        <v>2719</v>
      </c>
      <c r="C1848" t="s">
        <v>2720</v>
      </c>
      <c r="D1848" t="s">
        <v>4551</v>
      </c>
      <c r="E1848" s="10" t="s">
        <v>4564</v>
      </c>
      <c r="F1848" s="10"/>
      <c r="G1848" s="10"/>
      <c r="H1848" s="10" t="s">
        <v>4564</v>
      </c>
      <c r="I1848" s="14">
        <v>33327.433677524328</v>
      </c>
      <c r="J1848" s="19">
        <v>0</v>
      </c>
      <c r="K1848" s="19">
        <v>0.78486392316812859</v>
      </c>
      <c r="L1848" s="19">
        <v>0.21513607683187141</v>
      </c>
      <c r="M1848" s="20">
        <v>2</v>
      </c>
      <c r="N1848" s="19">
        <v>0.35240305515867815</v>
      </c>
      <c r="O1848" s="19">
        <v>0</v>
      </c>
      <c r="P1848" s="19">
        <v>0.43246086800945044</v>
      </c>
      <c r="Q1848" s="19">
        <v>8.8396655615247011E-2</v>
      </c>
      <c r="R1848" s="19">
        <v>0.10508703319789946</v>
      </c>
      <c r="S1848" s="19">
        <v>2.1652388018724926E-2</v>
      </c>
      <c r="T1848" s="20">
        <v>23</v>
      </c>
      <c r="U1848" s="17">
        <v>2</v>
      </c>
      <c r="V1848" s="17">
        <v>34</v>
      </c>
    </row>
    <row r="1849" spans="1:22" x14ac:dyDescent="0.2">
      <c r="A1849" t="s">
        <v>4565</v>
      </c>
      <c r="B1849" t="s">
        <v>2719</v>
      </c>
      <c r="C1849" t="s">
        <v>2720</v>
      </c>
      <c r="D1849" t="s">
        <v>4551</v>
      </c>
      <c r="E1849" s="10" t="s">
        <v>2808</v>
      </c>
      <c r="F1849" s="10"/>
      <c r="G1849" s="10"/>
      <c r="H1849" s="10" t="s">
        <v>2808</v>
      </c>
      <c r="I1849" s="14">
        <v>21566.216773601249</v>
      </c>
      <c r="J1849" s="19">
        <v>0</v>
      </c>
      <c r="K1849" s="19">
        <v>0.28702194070800785</v>
      </c>
      <c r="L1849" s="19">
        <v>0.71297805929199209</v>
      </c>
      <c r="M1849" s="20">
        <v>1</v>
      </c>
      <c r="N1849" s="19">
        <v>0</v>
      </c>
      <c r="O1849" s="19">
        <v>0.28702194070800785</v>
      </c>
      <c r="P1849" s="19">
        <v>0</v>
      </c>
      <c r="Q1849" s="19">
        <v>0.48213457338736004</v>
      </c>
      <c r="R1849" s="19">
        <v>0.22590296895075354</v>
      </c>
      <c r="S1849" s="19">
        <v>4.9405169538785515E-3</v>
      </c>
      <c r="T1849" s="20">
        <v>13</v>
      </c>
      <c r="U1849" s="17">
        <v>2</v>
      </c>
      <c r="V1849" s="17">
        <v>34</v>
      </c>
    </row>
    <row r="1850" spans="1:22" x14ac:dyDescent="0.2">
      <c r="A1850" t="s">
        <v>4566</v>
      </c>
      <c r="B1850" t="s">
        <v>2719</v>
      </c>
      <c r="C1850" t="s">
        <v>2720</v>
      </c>
      <c r="D1850" t="s">
        <v>4551</v>
      </c>
      <c r="E1850" s="10" t="s">
        <v>4567</v>
      </c>
      <c r="F1850" s="10"/>
      <c r="G1850" s="10"/>
      <c r="H1850" s="10" t="s">
        <v>4567</v>
      </c>
      <c r="I1850" s="14">
        <v>51767.470338150859</v>
      </c>
      <c r="J1850" s="19">
        <v>0</v>
      </c>
      <c r="K1850" s="19">
        <v>0.37268629288435984</v>
      </c>
      <c r="L1850" s="19">
        <v>0.62731370711564016</v>
      </c>
      <c r="M1850" s="20">
        <v>1</v>
      </c>
      <c r="N1850" s="19">
        <v>0.11930998917603196</v>
      </c>
      <c r="O1850" s="19">
        <v>0.22261353332435496</v>
      </c>
      <c r="P1850" s="19">
        <v>3.0762770383972998E-2</v>
      </c>
      <c r="Q1850" s="19">
        <v>0.39751725739708388</v>
      </c>
      <c r="R1850" s="19">
        <v>0.20233436415746989</v>
      </c>
      <c r="S1850" s="19">
        <v>2.7462085561086366E-2</v>
      </c>
      <c r="T1850" s="20">
        <v>13</v>
      </c>
      <c r="U1850" s="17">
        <v>2</v>
      </c>
      <c r="V1850" s="17">
        <v>34</v>
      </c>
    </row>
    <row r="1851" spans="1:22" x14ac:dyDescent="0.2">
      <c r="A1851" t="s">
        <v>4568</v>
      </c>
      <c r="B1851" t="s">
        <v>2719</v>
      </c>
      <c r="C1851" t="s">
        <v>2720</v>
      </c>
      <c r="D1851" t="s">
        <v>4551</v>
      </c>
      <c r="E1851" s="10" t="s">
        <v>4569</v>
      </c>
      <c r="F1851" s="10"/>
      <c r="G1851" s="10"/>
      <c r="H1851" s="10" t="s">
        <v>4569</v>
      </c>
      <c r="I1851" s="14">
        <v>107044.68274586835</v>
      </c>
      <c r="J1851" s="19">
        <v>0.638509509592316</v>
      </c>
      <c r="K1851" s="19">
        <v>0.18785373216070117</v>
      </c>
      <c r="L1851" s="19">
        <v>0.17363675824698266</v>
      </c>
      <c r="M1851" s="20">
        <v>3</v>
      </c>
      <c r="N1851" s="19">
        <v>0</v>
      </c>
      <c r="O1851" s="19">
        <v>0</v>
      </c>
      <c r="P1851" s="19">
        <v>0.18785373216070117</v>
      </c>
      <c r="Q1851" s="19">
        <v>0.1300259593716126</v>
      </c>
      <c r="R1851" s="19">
        <v>3.8571323891326614E-2</v>
      </c>
      <c r="S1851" s="19">
        <v>5.0394749840434547E-3</v>
      </c>
      <c r="T1851" s="20">
        <v>30</v>
      </c>
      <c r="U1851" s="17">
        <v>2</v>
      </c>
      <c r="V1851" s="17">
        <v>34</v>
      </c>
    </row>
    <row r="1852" spans="1:22" x14ac:dyDescent="0.2">
      <c r="A1852" t="s">
        <v>4570</v>
      </c>
      <c r="B1852" t="s">
        <v>2719</v>
      </c>
      <c r="C1852" t="s">
        <v>2720</v>
      </c>
      <c r="D1852" t="s">
        <v>4551</v>
      </c>
      <c r="E1852" s="10" t="s">
        <v>4571</v>
      </c>
      <c r="F1852" s="10"/>
      <c r="G1852" s="10"/>
      <c r="H1852" s="10" t="s">
        <v>4571</v>
      </c>
      <c r="I1852" s="14">
        <v>70547.846137056127</v>
      </c>
      <c r="J1852" s="19">
        <v>0</v>
      </c>
      <c r="K1852" s="19">
        <v>0.40719897579585701</v>
      </c>
      <c r="L1852" s="19">
        <v>0.59280102420414305</v>
      </c>
      <c r="M1852" s="20">
        <v>1</v>
      </c>
      <c r="N1852" s="19">
        <v>0.12372011561645618</v>
      </c>
      <c r="O1852" s="19">
        <v>0.12004887867574356</v>
      </c>
      <c r="P1852" s="19">
        <v>0.1634299815036572</v>
      </c>
      <c r="Q1852" s="19">
        <v>0.41724997819374909</v>
      </c>
      <c r="R1852" s="19">
        <v>0.13724273637877202</v>
      </c>
      <c r="S1852" s="19">
        <v>3.8308309631621906E-2</v>
      </c>
      <c r="T1852" s="20">
        <v>13</v>
      </c>
      <c r="U1852" s="17">
        <v>2</v>
      </c>
      <c r="V1852" s="17">
        <v>34</v>
      </c>
    </row>
    <row r="1853" spans="1:22" x14ac:dyDescent="0.2">
      <c r="A1853" t="s">
        <v>4572</v>
      </c>
      <c r="B1853" t="s">
        <v>2719</v>
      </c>
      <c r="C1853" t="s">
        <v>2720</v>
      </c>
      <c r="D1853" t="s">
        <v>4551</v>
      </c>
      <c r="E1853" s="10" t="s">
        <v>4573</v>
      </c>
      <c r="F1853" s="10"/>
      <c r="G1853" s="10"/>
      <c r="H1853" s="10" t="s">
        <v>4573</v>
      </c>
      <c r="I1853" s="14">
        <v>45155.142657162622</v>
      </c>
      <c r="J1853" s="19">
        <v>0.2153387187458872</v>
      </c>
      <c r="K1853" s="19">
        <v>0.54116032620251686</v>
      </c>
      <c r="L1853" s="19">
        <v>0.24350095505159597</v>
      </c>
      <c r="M1853" s="20">
        <v>2</v>
      </c>
      <c r="N1853" s="19">
        <v>0.10284558433497404</v>
      </c>
      <c r="O1853" s="19">
        <v>0</v>
      </c>
      <c r="P1853" s="19">
        <v>0.43831474186754277</v>
      </c>
      <c r="Q1853" s="19">
        <v>0.13645997579424879</v>
      </c>
      <c r="R1853" s="19">
        <v>9.3661906469705139E-2</v>
      </c>
      <c r="S1853" s="19">
        <v>1.3379072787642048E-2</v>
      </c>
      <c r="T1853" s="20">
        <v>23</v>
      </c>
      <c r="U1853" s="17">
        <v>2</v>
      </c>
      <c r="V1853" s="17">
        <v>34</v>
      </c>
    </row>
    <row r="1854" spans="1:22" x14ac:dyDescent="0.2">
      <c r="A1854" t="s">
        <v>4574</v>
      </c>
      <c r="B1854" t="s">
        <v>2719</v>
      </c>
      <c r="C1854" t="s">
        <v>2720</v>
      </c>
      <c r="D1854" t="s">
        <v>4551</v>
      </c>
      <c r="E1854" s="10" t="s">
        <v>4575</v>
      </c>
      <c r="F1854" s="10"/>
      <c r="G1854" s="10"/>
      <c r="H1854" s="10" t="s">
        <v>4575</v>
      </c>
      <c r="I1854" s="14">
        <v>35772.896283920854</v>
      </c>
      <c r="J1854" s="19">
        <v>0</v>
      </c>
      <c r="K1854" s="19">
        <v>0.71205367641421013</v>
      </c>
      <c r="L1854" s="19">
        <v>0.28794632358578992</v>
      </c>
      <c r="M1854" s="20">
        <v>2</v>
      </c>
      <c r="N1854" s="19">
        <v>0.2238424311556016</v>
      </c>
      <c r="O1854" s="19">
        <v>0.21980950869031238</v>
      </c>
      <c r="P1854" s="19">
        <v>0.26840173656829613</v>
      </c>
      <c r="Q1854" s="19">
        <v>0.18361099564167113</v>
      </c>
      <c r="R1854" s="19">
        <v>9.0816095872262942E-2</v>
      </c>
      <c r="S1854" s="19">
        <v>1.3519232071855843E-2</v>
      </c>
      <c r="T1854" s="20">
        <v>23</v>
      </c>
      <c r="U1854" s="17">
        <v>2</v>
      </c>
      <c r="V1854" s="17">
        <v>34</v>
      </c>
    </row>
    <row r="1855" spans="1:22" x14ac:dyDescent="0.2">
      <c r="A1855" t="s">
        <v>4576</v>
      </c>
      <c r="B1855" t="s">
        <v>2719</v>
      </c>
      <c r="C1855" t="s">
        <v>2720</v>
      </c>
      <c r="D1855" t="s">
        <v>4551</v>
      </c>
      <c r="E1855" s="10" t="s">
        <v>4577</v>
      </c>
      <c r="F1855" s="10"/>
      <c r="G1855" s="10"/>
      <c r="H1855" s="10" t="s">
        <v>4577</v>
      </c>
      <c r="I1855" s="14">
        <v>31391.55298781395</v>
      </c>
      <c r="J1855" s="19">
        <v>0</v>
      </c>
      <c r="K1855" s="19">
        <v>0.42268346988190536</v>
      </c>
      <c r="L1855" s="19">
        <v>0.5773165301180947</v>
      </c>
      <c r="M1855" s="20">
        <v>1</v>
      </c>
      <c r="N1855" s="19">
        <v>0</v>
      </c>
      <c r="O1855" s="19">
        <v>0</v>
      </c>
      <c r="P1855" s="19">
        <v>0.42268346988190536</v>
      </c>
      <c r="Q1855" s="19">
        <v>0.30311905052222127</v>
      </c>
      <c r="R1855" s="19">
        <v>0.24694373192974015</v>
      </c>
      <c r="S1855" s="19">
        <v>2.7253747666133261E-2</v>
      </c>
      <c r="T1855" s="20">
        <v>13</v>
      </c>
      <c r="U1855" s="17">
        <v>2</v>
      </c>
      <c r="V1855" s="17">
        <v>34</v>
      </c>
    </row>
    <row r="1856" spans="1:22" x14ac:dyDescent="0.2">
      <c r="A1856" t="s">
        <v>4578</v>
      </c>
      <c r="B1856" t="s">
        <v>2719</v>
      </c>
      <c r="C1856" t="s">
        <v>2720</v>
      </c>
      <c r="D1856" t="s">
        <v>4551</v>
      </c>
      <c r="E1856" s="10" t="s">
        <v>4579</v>
      </c>
      <c r="F1856" s="10"/>
      <c r="G1856" s="10"/>
      <c r="H1856" s="10" t="s">
        <v>4579</v>
      </c>
      <c r="I1856" s="14">
        <v>28574.091916369274</v>
      </c>
      <c r="J1856" s="19">
        <v>0</v>
      </c>
      <c r="K1856" s="19">
        <v>0.69370536526476811</v>
      </c>
      <c r="L1856" s="19">
        <v>0.30629463473523189</v>
      </c>
      <c r="M1856" s="20">
        <v>2</v>
      </c>
      <c r="N1856" s="19">
        <v>0</v>
      </c>
      <c r="O1856" s="19">
        <v>0.69370536526476811</v>
      </c>
      <c r="P1856" s="19">
        <v>0</v>
      </c>
      <c r="Q1856" s="19">
        <v>8.3311259317267114E-2</v>
      </c>
      <c r="R1856" s="19">
        <v>0.20796579469448359</v>
      </c>
      <c r="S1856" s="19">
        <v>1.5017580723481186E-2</v>
      </c>
      <c r="T1856" s="20">
        <v>22</v>
      </c>
      <c r="U1856" s="17">
        <v>2</v>
      </c>
      <c r="V1856" s="17">
        <v>34</v>
      </c>
    </row>
    <row r="1857" spans="1:22" x14ac:dyDescent="0.2">
      <c r="A1857" t="s">
        <v>4580</v>
      </c>
      <c r="B1857" t="s">
        <v>2719</v>
      </c>
      <c r="C1857" t="s">
        <v>2720</v>
      </c>
      <c r="D1857" t="s">
        <v>4551</v>
      </c>
      <c r="E1857" s="10" t="s">
        <v>4581</v>
      </c>
      <c r="F1857" s="10"/>
      <c r="G1857" s="10"/>
      <c r="H1857" s="10" t="s">
        <v>4581</v>
      </c>
      <c r="I1857" s="14">
        <v>77973.159213569947</v>
      </c>
      <c r="J1857" s="19">
        <v>0</v>
      </c>
      <c r="K1857" s="19">
        <v>0.58898896515940979</v>
      </c>
      <c r="L1857" s="19">
        <v>0.41101103484059026</v>
      </c>
      <c r="M1857" s="20">
        <v>2</v>
      </c>
      <c r="N1857" s="19">
        <v>0.38534031090027604</v>
      </c>
      <c r="O1857" s="19">
        <v>8.2714757597645058E-2</v>
      </c>
      <c r="P1857" s="19">
        <v>0.12093389666148875</v>
      </c>
      <c r="Q1857" s="19">
        <v>0.2378240200227755</v>
      </c>
      <c r="R1857" s="19">
        <v>0.15117615579222651</v>
      </c>
      <c r="S1857" s="19">
        <v>2.2010859025588182E-2</v>
      </c>
      <c r="T1857" s="20">
        <v>23</v>
      </c>
      <c r="U1857" s="17">
        <v>2</v>
      </c>
      <c r="V1857" s="17">
        <v>34</v>
      </c>
    </row>
    <row r="1858" spans="1:22" x14ac:dyDescent="0.2">
      <c r="A1858" t="s">
        <v>4582</v>
      </c>
      <c r="B1858" t="s">
        <v>2719</v>
      </c>
      <c r="C1858" t="s">
        <v>2720</v>
      </c>
      <c r="D1858" t="s">
        <v>4551</v>
      </c>
      <c r="E1858" s="10" t="s">
        <v>3272</v>
      </c>
      <c r="F1858" s="10"/>
      <c r="G1858" s="10"/>
      <c r="H1858" s="10" t="s">
        <v>3272</v>
      </c>
      <c r="I1858" s="14">
        <v>28358.749820847064</v>
      </c>
      <c r="J1858" s="19">
        <v>0</v>
      </c>
      <c r="K1858" s="19">
        <v>0.79207785005735076</v>
      </c>
      <c r="L1858" s="19">
        <v>0.20792214994264921</v>
      </c>
      <c r="M1858" s="20">
        <v>2</v>
      </c>
      <c r="N1858" s="19">
        <v>0.44522079313901569</v>
      </c>
      <c r="O1858" s="19">
        <v>0</v>
      </c>
      <c r="P1858" s="19">
        <v>0.34685705691833513</v>
      </c>
      <c r="Q1858" s="19">
        <v>9.7376896874146024E-2</v>
      </c>
      <c r="R1858" s="19">
        <v>0.10319057104614271</v>
      </c>
      <c r="S1858" s="19">
        <v>7.3546820223604707E-3</v>
      </c>
      <c r="T1858" s="20">
        <v>23</v>
      </c>
      <c r="U1858" s="17">
        <v>2</v>
      </c>
      <c r="V1858" s="17">
        <v>34</v>
      </c>
    </row>
    <row r="1859" spans="1:22" x14ac:dyDescent="0.2">
      <c r="A1859" t="s">
        <v>4583</v>
      </c>
      <c r="B1859" t="s">
        <v>2719</v>
      </c>
      <c r="C1859" t="s">
        <v>2720</v>
      </c>
      <c r="D1859" t="s">
        <v>4551</v>
      </c>
      <c r="E1859" s="10" t="s">
        <v>4584</v>
      </c>
      <c r="F1859" s="10"/>
      <c r="G1859" s="10"/>
      <c r="H1859" s="10" t="s">
        <v>4584</v>
      </c>
      <c r="I1859" s="14">
        <v>35499.171464446932</v>
      </c>
      <c r="J1859" s="19">
        <v>0</v>
      </c>
      <c r="K1859" s="19">
        <v>0.67917913446686606</v>
      </c>
      <c r="L1859" s="19">
        <v>0.32082086553313405</v>
      </c>
      <c r="M1859" s="20">
        <v>2</v>
      </c>
      <c r="N1859" s="19">
        <v>0.24323981287969423</v>
      </c>
      <c r="O1859" s="19">
        <v>0</v>
      </c>
      <c r="P1859" s="19">
        <v>0.4359393215871718</v>
      </c>
      <c r="Q1859" s="19">
        <v>0.17162536549998827</v>
      </c>
      <c r="R1859" s="19">
        <v>0.13454518992018527</v>
      </c>
      <c r="S1859" s="19">
        <v>1.4650310112960432E-2</v>
      </c>
      <c r="T1859" s="20">
        <v>23</v>
      </c>
      <c r="U1859" s="17">
        <v>2</v>
      </c>
      <c r="V1859" s="17">
        <v>34</v>
      </c>
    </row>
    <row r="1860" spans="1:22" x14ac:dyDescent="0.2">
      <c r="A1860" t="s">
        <v>4585</v>
      </c>
      <c r="B1860" t="s">
        <v>2719</v>
      </c>
      <c r="C1860" t="s">
        <v>2720</v>
      </c>
      <c r="D1860" t="s">
        <v>4551</v>
      </c>
      <c r="E1860" s="10" t="s">
        <v>3078</v>
      </c>
      <c r="F1860" s="10"/>
      <c r="G1860" s="10"/>
      <c r="H1860" s="10" t="s">
        <v>3078</v>
      </c>
      <c r="I1860" s="14">
        <v>57798.607064493925</v>
      </c>
      <c r="J1860" s="19">
        <v>0</v>
      </c>
      <c r="K1860" s="19">
        <v>0.31894219375373889</v>
      </c>
      <c r="L1860" s="19">
        <v>0.68105780624626122</v>
      </c>
      <c r="M1860" s="20">
        <v>1</v>
      </c>
      <c r="N1860" s="19">
        <v>0</v>
      </c>
      <c r="O1860" s="19">
        <v>0.31894219375373889</v>
      </c>
      <c r="P1860" s="19">
        <v>0</v>
      </c>
      <c r="Q1860" s="19">
        <v>0.4436415960492654</v>
      </c>
      <c r="R1860" s="19">
        <v>0.20439383179778201</v>
      </c>
      <c r="S1860" s="19">
        <v>3.3022378399213841E-2</v>
      </c>
      <c r="T1860" s="20">
        <v>13</v>
      </c>
      <c r="U1860" s="17">
        <v>2</v>
      </c>
      <c r="V1860" s="17">
        <v>34</v>
      </c>
    </row>
    <row r="1861" spans="1:22" x14ac:dyDescent="0.2">
      <c r="A1861" t="s">
        <v>4586</v>
      </c>
      <c r="B1861" t="s">
        <v>2719</v>
      </c>
      <c r="C1861" t="s">
        <v>2720</v>
      </c>
      <c r="D1861" t="s">
        <v>4551</v>
      </c>
      <c r="E1861" s="10" t="s">
        <v>4587</v>
      </c>
      <c r="F1861" s="10"/>
      <c r="G1861" s="10"/>
      <c r="H1861" s="10" t="s">
        <v>4587</v>
      </c>
      <c r="I1861" s="14">
        <v>68850.462645266205</v>
      </c>
      <c r="J1861" s="19">
        <v>0</v>
      </c>
      <c r="K1861" s="19">
        <v>0.75821736783980176</v>
      </c>
      <c r="L1861" s="19">
        <v>0.24178263216019821</v>
      </c>
      <c r="M1861" s="20">
        <v>2</v>
      </c>
      <c r="N1861" s="19">
        <v>0.20995521923148702</v>
      </c>
      <c r="O1861" s="19">
        <v>9.5247850358141595E-2</v>
      </c>
      <c r="P1861" s="19">
        <v>0.45301429825017314</v>
      </c>
      <c r="Q1861" s="19">
        <v>0.15726783162953761</v>
      </c>
      <c r="R1861" s="19">
        <v>7.3567112274625659E-2</v>
      </c>
      <c r="S1861" s="19">
        <v>1.0947688256034937E-2</v>
      </c>
      <c r="T1861" s="20">
        <v>23</v>
      </c>
      <c r="U1861" s="17">
        <v>2</v>
      </c>
      <c r="V1861" s="17">
        <v>34</v>
      </c>
    </row>
    <row r="1862" spans="1:22" x14ac:dyDescent="0.2">
      <c r="A1862" t="s">
        <v>4588</v>
      </c>
      <c r="B1862" t="s">
        <v>2719</v>
      </c>
      <c r="C1862" t="s">
        <v>2720</v>
      </c>
      <c r="D1862" t="s">
        <v>4589</v>
      </c>
      <c r="E1862" s="10" t="s">
        <v>4590</v>
      </c>
      <c r="F1862" s="10"/>
      <c r="G1862" s="10"/>
      <c r="H1862" s="10" t="s">
        <v>4590</v>
      </c>
      <c r="I1862" s="14">
        <v>1836171.0508319959</v>
      </c>
      <c r="J1862" s="19">
        <v>0.99959732479505969</v>
      </c>
      <c r="K1862" s="19">
        <v>4.0267520494029934E-4</v>
      </c>
      <c r="L1862" s="19">
        <v>0</v>
      </c>
      <c r="M1862" s="20">
        <v>3</v>
      </c>
      <c r="N1862" s="19">
        <v>0</v>
      </c>
      <c r="O1862" s="19">
        <v>0</v>
      </c>
      <c r="P1862" s="19">
        <v>4.0267520494029934E-4</v>
      </c>
      <c r="Q1862" s="19">
        <v>0</v>
      </c>
      <c r="R1862" s="19">
        <v>0</v>
      </c>
      <c r="S1862" s="19">
        <v>0</v>
      </c>
      <c r="T1862" s="20">
        <v>30</v>
      </c>
      <c r="U1862" s="17">
        <v>2</v>
      </c>
      <c r="V1862" s="17">
        <v>34</v>
      </c>
    </row>
    <row r="1863" spans="1:22" x14ac:dyDescent="0.2">
      <c r="A1863" t="s">
        <v>4591</v>
      </c>
      <c r="B1863" t="s">
        <v>2719</v>
      </c>
      <c r="C1863" t="s">
        <v>2720</v>
      </c>
      <c r="D1863" t="s">
        <v>4589</v>
      </c>
      <c r="E1863" s="10" t="s">
        <v>4592</v>
      </c>
      <c r="F1863" s="10"/>
      <c r="G1863" s="10"/>
      <c r="H1863" s="10" t="s">
        <v>4592</v>
      </c>
      <c r="I1863" s="14">
        <v>649698.02160271374</v>
      </c>
      <c r="J1863" s="19">
        <v>1</v>
      </c>
      <c r="K1863" s="19">
        <v>0</v>
      </c>
      <c r="L1863" s="19">
        <v>0</v>
      </c>
      <c r="M1863" s="20">
        <v>3</v>
      </c>
      <c r="N1863" s="19">
        <v>0</v>
      </c>
      <c r="O1863" s="19">
        <v>0</v>
      </c>
      <c r="P1863" s="19">
        <v>0</v>
      </c>
      <c r="Q1863" s="19">
        <v>0</v>
      </c>
      <c r="R1863" s="19">
        <v>0</v>
      </c>
      <c r="S1863" s="19">
        <v>0</v>
      </c>
      <c r="T1863" s="20">
        <v>30</v>
      </c>
      <c r="U1863" s="17">
        <v>2</v>
      </c>
      <c r="V1863" s="17">
        <v>34</v>
      </c>
    </row>
    <row r="1864" spans="1:22" x14ac:dyDescent="0.2">
      <c r="A1864" t="s">
        <v>4593</v>
      </c>
      <c r="B1864" t="s">
        <v>2719</v>
      </c>
      <c r="C1864" t="s">
        <v>2720</v>
      </c>
      <c r="D1864" t="s">
        <v>4589</v>
      </c>
      <c r="E1864" s="10" t="s">
        <v>4594</v>
      </c>
      <c r="F1864" s="10"/>
      <c r="G1864" s="10"/>
      <c r="H1864" s="10" t="s">
        <v>4594</v>
      </c>
      <c r="I1864" s="14">
        <v>438454.90588498802</v>
      </c>
      <c r="J1864" s="19">
        <v>1</v>
      </c>
      <c r="K1864" s="19">
        <v>0</v>
      </c>
      <c r="L1864" s="19">
        <v>0</v>
      </c>
      <c r="M1864" s="20">
        <v>3</v>
      </c>
      <c r="N1864" s="19">
        <v>0</v>
      </c>
      <c r="O1864" s="19">
        <v>0</v>
      </c>
      <c r="P1864" s="19">
        <v>0</v>
      </c>
      <c r="Q1864" s="19">
        <v>0</v>
      </c>
      <c r="R1864" s="19">
        <v>0</v>
      </c>
      <c r="S1864" s="19">
        <v>0</v>
      </c>
      <c r="T1864" s="20">
        <v>30</v>
      </c>
      <c r="U1864" s="17">
        <v>2</v>
      </c>
      <c r="V1864" s="17">
        <v>34</v>
      </c>
    </row>
    <row r="1865" spans="1:22" x14ac:dyDescent="0.2">
      <c r="A1865" t="s">
        <v>4595</v>
      </c>
      <c r="B1865" t="s">
        <v>2719</v>
      </c>
      <c r="C1865" t="s">
        <v>2720</v>
      </c>
      <c r="D1865" t="s">
        <v>4589</v>
      </c>
      <c r="E1865" s="10" t="s">
        <v>4596</v>
      </c>
      <c r="F1865" s="10"/>
      <c r="G1865" s="10"/>
      <c r="H1865" s="10" t="s">
        <v>4596</v>
      </c>
      <c r="I1865" s="14">
        <v>343996.62756127492</v>
      </c>
      <c r="J1865" s="19">
        <v>1</v>
      </c>
      <c r="K1865" s="19">
        <v>0</v>
      </c>
      <c r="L1865" s="19">
        <v>0</v>
      </c>
      <c r="M1865" s="20">
        <v>3</v>
      </c>
      <c r="N1865" s="19">
        <v>0</v>
      </c>
      <c r="O1865" s="19">
        <v>0</v>
      </c>
      <c r="P1865" s="19">
        <v>0</v>
      </c>
      <c r="Q1865" s="19">
        <v>0</v>
      </c>
      <c r="R1865" s="19">
        <v>0</v>
      </c>
      <c r="S1865" s="19">
        <v>0</v>
      </c>
      <c r="T1865" s="20">
        <v>30</v>
      </c>
      <c r="U1865" s="17">
        <v>2</v>
      </c>
      <c r="V1865" s="17">
        <v>34</v>
      </c>
    </row>
    <row r="1866" spans="1:22" x14ac:dyDescent="0.2">
      <c r="A1866" t="s">
        <v>4597</v>
      </c>
      <c r="B1866" t="s">
        <v>2719</v>
      </c>
      <c r="C1866" t="s">
        <v>2720</v>
      </c>
      <c r="D1866" t="s">
        <v>4589</v>
      </c>
      <c r="E1866" s="10" t="s">
        <v>4598</v>
      </c>
      <c r="F1866" s="10"/>
      <c r="G1866" s="10"/>
      <c r="H1866" s="10" t="s">
        <v>4598</v>
      </c>
      <c r="I1866" s="14">
        <v>415172.69262120733</v>
      </c>
      <c r="J1866" s="19">
        <v>1</v>
      </c>
      <c r="K1866" s="19">
        <v>0</v>
      </c>
      <c r="L1866" s="19">
        <v>0</v>
      </c>
      <c r="M1866" s="20">
        <v>3</v>
      </c>
      <c r="N1866" s="19">
        <v>0</v>
      </c>
      <c r="O1866" s="19">
        <v>0</v>
      </c>
      <c r="P1866" s="19">
        <v>0</v>
      </c>
      <c r="Q1866" s="19">
        <v>0</v>
      </c>
      <c r="R1866" s="19">
        <v>0</v>
      </c>
      <c r="S1866" s="19">
        <v>0</v>
      </c>
      <c r="T1866" s="20">
        <v>30</v>
      </c>
      <c r="U1866" s="17">
        <v>2</v>
      </c>
      <c r="V1866" s="17">
        <v>34</v>
      </c>
    </row>
    <row r="1867" spans="1:22" x14ac:dyDescent="0.2">
      <c r="A1867" t="s">
        <v>4599</v>
      </c>
      <c r="B1867" t="s">
        <v>2719</v>
      </c>
      <c r="C1867" t="s">
        <v>2720</v>
      </c>
      <c r="D1867" t="s">
        <v>4589</v>
      </c>
      <c r="E1867" s="10" t="s">
        <v>4600</v>
      </c>
      <c r="F1867" s="10"/>
      <c r="G1867" s="10"/>
      <c r="H1867" s="10" t="s">
        <v>4600</v>
      </c>
      <c r="I1867" s="14">
        <v>1591058.9131203955</v>
      </c>
      <c r="J1867" s="19">
        <v>1</v>
      </c>
      <c r="K1867" s="19">
        <v>0</v>
      </c>
      <c r="L1867" s="19">
        <v>0</v>
      </c>
      <c r="M1867" s="20">
        <v>3</v>
      </c>
      <c r="N1867" s="19">
        <v>0</v>
      </c>
      <c r="O1867" s="19">
        <v>0</v>
      </c>
      <c r="P1867" s="19">
        <v>0</v>
      </c>
      <c r="Q1867" s="19">
        <v>0</v>
      </c>
      <c r="R1867" s="19">
        <v>0</v>
      </c>
      <c r="S1867" s="19">
        <v>0</v>
      </c>
      <c r="T1867" s="20">
        <v>30</v>
      </c>
      <c r="U1867" s="17">
        <v>2</v>
      </c>
      <c r="V1867" s="17">
        <v>34</v>
      </c>
    </row>
    <row r="1868" spans="1:22" x14ac:dyDescent="0.2">
      <c r="A1868" t="s">
        <v>4601</v>
      </c>
      <c r="B1868" t="s">
        <v>2719</v>
      </c>
      <c r="C1868" t="s">
        <v>2720</v>
      </c>
      <c r="D1868" t="s">
        <v>4589</v>
      </c>
      <c r="E1868" s="10" t="s">
        <v>4602</v>
      </c>
      <c r="F1868" s="10"/>
      <c r="G1868" s="10"/>
      <c r="H1868" s="10" t="s">
        <v>4602</v>
      </c>
      <c r="I1868" s="14">
        <v>426101.31186831556</v>
      </c>
      <c r="J1868" s="19">
        <v>1</v>
      </c>
      <c r="K1868" s="19">
        <v>0</v>
      </c>
      <c r="L1868" s="19">
        <v>0</v>
      </c>
      <c r="M1868" s="20">
        <v>3</v>
      </c>
      <c r="N1868" s="19">
        <v>0</v>
      </c>
      <c r="O1868" s="19">
        <v>0</v>
      </c>
      <c r="P1868" s="19">
        <v>0</v>
      </c>
      <c r="Q1868" s="19">
        <v>0</v>
      </c>
      <c r="R1868" s="19">
        <v>0</v>
      </c>
      <c r="S1868" s="19">
        <v>0</v>
      </c>
      <c r="T1868" s="20">
        <v>30</v>
      </c>
      <c r="U1868" s="17">
        <v>2</v>
      </c>
      <c r="V1868" s="17">
        <v>34</v>
      </c>
    </row>
    <row r="1869" spans="1:22" x14ac:dyDescent="0.2">
      <c r="A1869" t="s">
        <v>4603</v>
      </c>
      <c r="B1869" t="s">
        <v>2719</v>
      </c>
      <c r="C1869" t="s">
        <v>2720</v>
      </c>
      <c r="D1869" t="s">
        <v>4589</v>
      </c>
      <c r="E1869" s="10" t="s">
        <v>4604</v>
      </c>
      <c r="F1869" s="10"/>
      <c r="G1869" s="10"/>
      <c r="H1869" s="10" t="s">
        <v>4604</v>
      </c>
      <c r="I1869" s="14">
        <v>487409.20510567515</v>
      </c>
      <c r="J1869" s="19">
        <v>1</v>
      </c>
      <c r="K1869" s="19">
        <v>0</v>
      </c>
      <c r="L1869" s="19">
        <v>0</v>
      </c>
      <c r="M1869" s="20">
        <v>3</v>
      </c>
      <c r="N1869" s="19">
        <v>0</v>
      </c>
      <c r="O1869" s="19">
        <v>0</v>
      </c>
      <c r="P1869" s="19">
        <v>0</v>
      </c>
      <c r="Q1869" s="19">
        <v>0</v>
      </c>
      <c r="R1869" s="19">
        <v>0</v>
      </c>
      <c r="S1869" s="19">
        <v>0</v>
      </c>
      <c r="T1869" s="20">
        <v>30</v>
      </c>
      <c r="U1869" s="17">
        <v>2</v>
      </c>
      <c r="V1869" s="17">
        <v>34</v>
      </c>
    </row>
    <row r="1870" spans="1:22" x14ac:dyDescent="0.2">
      <c r="A1870" t="s">
        <v>4605</v>
      </c>
      <c r="B1870" t="s">
        <v>2719</v>
      </c>
      <c r="C1870" t="s">
        <v>2720</v>
      </c>
      <c r="D1870" t="s">
        <v>4589</v>
      </c>
      <c r="E1870" s="10" t="s">
        <v>4606</v>
      </c>
      <c r="F1870" s="10"/>
      <c r="G1870" s="10"/>
      <c r="H1870" s="10" t="s">
        <v>4606</v>
      </c>
      <c r="I1870" s="14">
        <v>371169.00768486038</v>
      </c>
      <c r="J1870" s="19">
        <v>1</v>
      </c>
      <c r="K1870" s="19">
        <v>0</v>
      </c>
      <c r="L1870" s="19">
        <v>0</v>
      </c>
      <c r="M1870" s="20">
        <v>3</v>
      </c>
      <c r="N1870" s="19">
        <v>0</v>
      </c>
      <c r="O1870" s="19">
        <v>0</v>
      </c>
      <c r="P1870" s="19">
        <v>0</v>
      </c>
      <c r="Q1870" s="19">
        <v>0</v>
      </c>
      <c r="R1870" s="19">
        <v>0</v>
      </c>
      <c r="S1870" s="19">
        <v>0</v>
      </c>
      <c r="T1870" s="20">
        <v>30</v>
      </c>
      <c r="U1870" s="17">
        <v>2</v>
      </c>
      <c r="V1870" s="17">
        <v>34</v>
      </c>
    </row>
    <row r="1871" spans="1:22" x14ac:dyDescent="0.2">
      <c r="A1871" t="s">
        <v>4607</v>
      </c>
      <c r="B1871" t="s">
        <v>2719</v>
      </c>
      <c r="C1871" t="s">
        <v>2720</v>
      </c>
      <c r="D1871" t="s">
        <v>4589</v>
      </c>
      <c r="E1871" s="10" t="s">
        <v>4608</v>
      </c>
      <c r="F1871" s="10"/>
      <c r="G1871" s="10"/>
      <c r="H1871" s="10" t="s">
        <v>4608</v>
      </c>
      <c r="I1871" s="14">
        <v>725364.17903390806</v>
      </c>
      <c r="J1871" s="19">
        <v>1</v>
      </c>
      <c r="K1871" s="19">
        <v>0</v>
      </c>
      <c r="L1871" s="19">
        <v>0</v>
      </c>
      <c r="M1871" s="20">
        <v>3</v>
      </c>
      <c r="N1871" s="19">
        <v>0</v>
      </c>
      <c r="O1871" s="19">
        <v>0</v>
      </c>
      <c r="P1871" s="19">
        <v>0</v>
      </c>
      <c r="Q1871" s="19">
        <v>0</v>
      </c>
      <c r="R1871" s="19">
        <v>0</v>
      </c>
      <c r="S1871" s="19">
        <v>0</v>
      </c>
      <c r="T1871" s="20">
        <v>30</v>
      </c>
      <c r="U1871" s="17">
        <v>2</v>
      </c>
      <c r="V1871" s="17">
        <v>34</v>
      </c>
    </row>
    <row r="1872" spans="1:22" x14ac:dyDescent="0.2">
      <c r="A1872" t="s">
        <v>4609</v>
      </c>
      <c r="B1872" t="s">
        <v>2719</v>
      </c>
      <c r="C1872" t="s">
        <v>2720</v>
      </c>
      <c r="D1872" t="s">
        <v>4589</v>
      </c>
      <c r="E1872" s="10" t="s">
        <v>4610</v>
      </c>
      <c r="F1872" s="10"/>
      <c r="G1872" s="10"/>
      <c r="H1872" s="10" t="s">
        <v>4610</v>
      </c>
      <c r="I1872" s="14">
        <v>363412.1099465345</v>
      </c>
      <c r="J1872" s="19">
        <v>1</v>
      </c>
      <c r="K1872" s="19">
        <v>0</v>
      </c>
      <c r="L1872" s="19">
        <v>0</v>
      </c>
      <c r="M1872" s="20">
        <v>3</v>
      </c>
      <c r="N1872" s="19">
        <v>0</v>
      </c>
      <c r="O1872" s="19">
        <v>0</v>
      </c>
      <c r="P1872" s="19">
        <v>0</v>
      </c>
      <c r="Q1872" s="19">
        <v>0</v>
      </c>
      <c r="R1872" s="19">
        <v>0</v>
      </c>
      <c r="S1872" s="19">
        <v>0</v>
      </c>
      <c r="T1872" s="20">
        <v>30</v>
      </c>
      <c r="U1872" s="17">
        <v>2</v>
      </c>
      <c r="V1872" s="17">
        <v>34</v>
      </c>
    </row>
    <row r="1873" spans="1:22" x14ac:dyDescent="0.2">
      <c r="A1873" t="s">
        <v>4611</v>
      </c>
      <c r="B1873" t="s">
        <v>2719</v>
      </c>
      <c r="C1873" t="s">
        <v>2720</v>
      </c>
      <c r="D1873" t="s">
        <v>4589</v>
      </c>
      <c r="E1873" s="10" t="s">
        <v>4612</v>
      </c>
      <c r="F1873" s="10"/>
      <c r="G1873" s="10"/>
      <c r="H1873" s="10" t="s">
        <v>4612</v>
      </c>
      <c r="I1873" s="14">
        <v>828852.44446183008</v>
      </c>
      <c r="J1873" s="19">
        <v>1</v>
      </c>
      <c r="K1873" s="19">
        <v>0</v>
      </c>
      <c r="L1873" s="19">
        <v>0</v>
      </c>
      <c r="M1873" s="20">
        <v>3</v>
      </c>
      <c r="N1873" s="19">
        <v>0</v>
      </c>
      <c r="O1873" s="19">
        <v>0</v>
      </c>
      <c r="P1873" s="19">
        <v>0</v>
      </c>
      <c r="Q1873" s="19">
        <v>0</v>
      </c>
      <c r="R1873" s="19">
        <v>0</v>
      </c>
      <c r="S1873" s="19">
        <v>0</v>
      </c>
      <c r="T1873" s="20">
        <v>30</v>
      </c>
      <c r="U1873" s="17">
        <v>2</v>
      </c>
      <c r="V1873" s="17">
        <v>34</v>
      </c>
    </row>
    <row r="1874" spans="1:22" x14ac:dyDescent="0.2">
      <c r="A1874" t="s">
        <v>4613</v>
      </c>
      <c r="B1874" t="s">
        <v>2719</v>
      </c>
      <c r="C1874" t="s">
        <v>2720</v>
      </c>
      <c r="D1874" t="s">
        <v>4589</v>
      </c>
      <c r="E1874" s="10" t="s">
        <v>4614</v>
      </c>
      <c r="F1874" s="10"/>
      <c r="G1874" s="10"/>
      <c r="H1874" s="10" t="s">
        <v>4614</v>
      </c>
      <c r="I1874" s="14">
        <v>72877.131990432739</v>
      </c>
      <c r="J1874" s="19">
        <v>1</v>
      </c>
      <c r="K1874" s="19">
        <v>0</v>
      </c>
      <c r="L1874" s="19">
        <v>0</v>
      </c>
      <c r="M1874" s="20">
        <v>3</v>
      </c>
      <c r="N1874" s="19">
        <v>0</v>
      </c>
      <c r="O1874" s="19">
        <v>0</v>
      </c>
      <c r="P1874" s="19">
        <v>0</v>
      </c>
      <c r="Q1874" s="19">
        <v>0</v>
      </c>
      <c r="R1874" s="19">
        <v>0</v>
      </c>
      <c r="S1874" s="19">
        <v>0</v>
      </c>
      <c r="T1874" s="20">
        <v>30</v>
      </c>
      <c r="U1874" s="17">
        <v>2</v>
      </c>
      <c r="V1874" s="17">
        <v>34</v>
      </c>
    </row>
    <row r="1875" spans="1:22" x14ac:dyDescent="0.2">
      <c r="A1875" t="s">
        <v>4615</v>
      </c>
      <c r="B1875" t="s">
        <v>2719</v>
      </c>
      <c r="C1875" t="s">
        <v>2720</v>
      </c>
      <c r="D1875" t="s">
        <v>4589</v>
      </c>
      <c r="E1875" s="10" t="s">
        <v>4616</v>
      </c>
      <c r="F1875" s="10"/>
      <c r="G1875" s="10"/>
      <c r="H1875" s="10" t="s">
        <v>4616</v>
      </c>
      <c r="I1875" s="14">
        <v>3075180.3775796173</v>
      </c>
      <c r="J1875" s="19">
        <v>1</v>
      </c>
      <c r="K1875" s="19">
        <v>0</v>
      </c>
      <c r="L1875" s="19">
        <v>0</v>
      </c>
      <c r="M1875" s="20">
        <v>3</v>
      </c>
      <c r="N1875" s="19">
        <v>0</v>
      </c>
      <c r="O1875" s="19">
        <v>0</v>
      </c>
      <c r="P1875" s="19">
        <v>0</v>
      </c>
      <c r="Q1875" s="19">
        <v>0</v>
      </c>
      <c r="R1875" s="19">
        <v>0</v>
      </c>
      <c r="S1875" s="19">
        <v>0</v>
      </c>
      <c r="T1875" s="20">
        <v>30</v>
      </c>
      <c r="U1875" s="17">
        <v>2</v>
      </c>
      <c r="V1875" s="17">
        <v>34</v>
      </c>
    </row>
    <row r="1876" spans="1:22" x14ac:dyDescent="0.2">
      <c r="A1876" t="s">
        <v>4617</v>
      </c>
      <c r="B1876" t="s">
        <v>2719</v>
      </c>
      <c r="C1876" t="s">
        <v>2720</v>
      </c>
      <c r="D1876" t="s">
        <v>4589</v>
      </c>
      <c r="E1876" s="10" t="s">
        <v>2764</v>
      </c>
      <c r="F1876" s="10"/>
      <c r="G1876" s="10"/>
      <c r="H1876" s="10" t="s">
        <v>2764</v>
      </c>
      <c r="I1876" s="14">
        <v>112458.15541613102</v>
      </c>
      <c r="J1876" s="19">
        <v>1</v>
      </c>
      <c r="K1876" s="19">
        <v>0</v>
      </c>
      <c r="L1876" s="19">
        <v>0</v>
      </c>
      <c r="M1876" s="20">
        <v>3</v>
      </c>
      <c r="N1876" s="19">
        <v>0</v>
      </c>
      <c r="O1876" s="19">
        <v>0</v>
      </c>
      <c r="P1876" s="19">
        <v>0</v>
      </c>
      <c r="Q1876" s="19">
        <v>0</v>
      </c>
      <c r="R1876" s="19">
        <v>0</v>
      </c>
      <c r="S1876" s="19">
        <v>0</v>
      </c>
      <c r="T1876" s="20">
        <v>30</v>
      </c>
      <c r="U1876" s="17">
        <v>2</v>
      </c>
      <c r="V1876" s="17">
        <v>34</v>
      </c>
    </row>
    <row r="1877" spans="1:22" x14ac:dyDescent="0.2">
      <c r="A1877" t="s">
        <v>4618</v>
      </c>
      <c r="B1877" t="s">
        <v>2719</v>
      </c>
      <c r="C1877" t="s">
        <v>2720</v>
      </c>
      <c r="D1877" t="s">
        <v>4589</v>
      </c>
      <c r="E1877" s="10" t="s">
        <v>4619</v>
      </c>
      <c r="F1877" s="10"/>
      <c r="G1877" s="10"/>
      <c r="H1877" s="10" t="s">
        <v>4619</v>
      </c>
      <c r="I1877" s="14">
        <v>756012.0712185055</v>
      </c>
      <c r="J1877" s="19">
        <v>1</v>
      </c>
      <c r="K1877" s="19">
        <v>0</v>
      </c>
      <c r="L1877" s="19">
        <v>0</v>
      </c>
      <c r="M1877" s="20">
        <v>3</v>
      </c>
      <c r="N1877" s="19">
        <v>0</v>
      </c>
      <c r="O1877" s="19">
        <v>0</v>
      </c>
      <c r="P1877" s="19">
        <v>0</v>
      </c>
      <c r="Q1877" s="19">
        <v>0</v>
      </c>
      <c r="R1877" s="19">
        <v>0</v>
      </c>
      <c r="S1877" s="19">
        <v>0</v>
      </c>
      <c r="T1877" s="20">
        <v>30</v>
      </c>
      <c r="U1877" s="17">
        <v>2</v>
      </c>
      <c r="V1877" s="17">
        <v>34</v>
      </c>
    </row>
    <row r="1878" spans="1:22" x14ac:dyDescent="0.2">
      <c r="A1878" t="s">
        <v>4620</v>
      </c>
      <c r="B1878" t="s">
        <v>2719</v>
      </c>
      <c r="C1878" t="s">
        <v>2720</v>
      </c>
      <c r="D1878" t="s">
        <v>4589</v>
      </c>
      <c r="E1878" s="10" t="s">
        <v>4621</v>
      </c>
      <c r="F1878" s="10"/>
      <c r="G1878" s="10"/>
      <c r="H1878" s="10" t="s">
        <v>4621</v>
      </c>
      <c r="I1878" s="14">
        <v>619935.48215629905</v>
      </c>
      <c r="J1878" s="19">
        <v>1</v>
      </c>
      <c r="K1878" s="19">
        <v>0</v>
      </c>
      <c r="L1878" s="19">
        <v>0</v>
      </c>
      <c r="M1878" s="20">
        <v>3</v>
      </c>
      <c r="N1878" s="19">
        <v>0</v>
      </c>
      <c r="O1878" s="19">
        <v>0</v>
      </c>
      <c r="P1878" s="19">
        <v>0</v>
      </c>
      <c r="Q1878" s="19">
        <v>0</v>
      </c>
      <c r="R1878" s="19">
        <v>0</v>
      </c>
      <c r="S1878" s="19">
        <v>0</v>
      </c>
      <c r="T1878" s="20">
        <v>30</v>
      </c>
      <c r="U1878" s="17">
        <v>2</v>
      </c>
      <c r="V1878" s="17">
        <v>34</v>
      </c>
    </row>
    <row r="1879" spans="1:22" x14ac:dyDescent="0.2">
      <c r="A1879" t="s">
        <v>4622</v>
      </c>
      <c r="B1879" t="s">
        <v>2719</v>
      </c>
      <c r="C1879" t="s">
        <v>2720</v>
      </c>
      <c r="D1879" t="s">
        <v>4623</v>
      </c>
      <c r="E1879" s="10" t="s">
        <v>4624</v>
      </c>
      <c r="F1879" s="10"/>
      <c r="G1879" s="10"/>
      <c r="H1879" s="10" t="s">
        <v>4624</v>
      </c>
      <c r="I1879" s="14">
        <v>36223.431176202372</v>
      </c>
      <c r="J1879" s="19">
        <v>0</v>
      </c>
      <c r="K1879" s="19">
        <v>0.81269131709212239</v>
      </c>
      <c r="L1879" s="19">
        <v>0.18730868290787764</v>
      </c>
      <c r="M1879" s="20">
        <v>2</v>
      </c>
      <c r="N1879" s="19">
        <v>0</v>
      </c>
      <c r="O1879" s="19">
        <v>0</v>
      </c>
      <c r="P1879" s="19">
        <v>0.81269131709212239</v>
      </c>
      <c r="Q1879" s="19">
        <v>3.3870153742607545E-2</v>
      </c>
      <c r="R1879" s="19">
        <v>0.14829761846980186</v>
      </c>
      <c r="S1879" s="19">
        <v>5.1409106954682536E-3</v>
      </c>
      <c r="T1879" s="20">
        <v>21</v>
      </c>
      <c r="U1879" s="17">
        <v>2</v>
      </c>
      <c r="V1879" s="17">
        <v>34</v>
      </c>
    </row>
    <row r="1880" spans="1:22" x14ac:dyDescent="0.2">
      <c r="A1880" t="s">
        <v>4625</v>
      </c>
      <c r="B1880" t="s">
        <v>2719</v>
      </c>
      <c r="C1880" t="s">
        <v>2720</v>
      </c>
      <c r="D1880" t="s">
        <v>4623</v>
      </c>
      <c r="E1880" s="10" t="s">
        <v>4626</v>
      </c>
      <c r="F1880" s="10"/>
      <c r="G1880" s="10"/>
      <c r="H1880" s="10" t="s">
        <v>4626</v>
      </c>
      <c r="I1880" s="14">
        <v>20929.314578168094</v>
      </c>
      <c r="J1880" s="19">
        <v>0</v>
      </c>
      <c r="K1880" s="19">
        <v>0.81994095018733792</v>
      </c>
      <c r="L1880" s="19">
        <v>0.18005904981266216</v>
      </c>
      <c r="M1880" s="20">
        <v>2</v>
      </c>
      <c r="N1880" s="19">
        <v>0</v>
      </c>
      <c r="O1880" s="19">
        <v>4.3161828525909537E-2</v>
      </c>
      <c r="P1880" s="19">
        <v>0.77677912166142837</v>
      </c>
      <c r="Q1880" s="19">
        <v>0</v>
      </c>
      <c r="R1880" s="19">
        <v>0.16521362331044115</v>
      </c>
      <c r="S1880" s="19">
        <v>1.4845426502220963E-2</v>
      </c>
      <c r="T1880" s="20">
        <v>21</v>
      </c>
      <c r="U1880" s="17">
        <v>2</v>
      </c>
      <c r="V1880" s="17">
        <v>34</v>
      </c>
    </row>
    <row r="1881" spans="1:22" x14ac:dyDescent="0.2">
      <c r="A1881" t="s">
        <v>4627</v>
      </c>
      <c r="B1881" t="s">
        <v>2719</v>
      </c>
      <c r="C1881" t="s">
        <v>2720</v>
      </c>
      <c r="D1881" t="s">
        <v>4623</v>
      </c>
      <c r="E1881" s="10" t="s">
        <v>4628</v>
      </c>
      <c r="F1881" s="10"/>
      <c r="G1881" s="10"/>
      <c r="H1881" s="10" t="s">
        <v>4628</v>
      </c>
      <c r="I1881" s="14">
        <v>38602.234925707802</v>
      </c>
      <c r="J1881" s="19">
        <v>0</v>
      </c>
      <c r="K1881" s="19">
        <v>0.76016309361374723</v>
      </c>
      <c r="L1881" s="19">
        <v>0.23983690638625274</v>
      </c>
      <c r="M1881" s="20">
        <v>2</v>
      </c>
      <c r="N1881" s="19">
        <v>9.6500658866686795E-2</v>
      </c>
      <c r="O1881" s="19">
        <v>0</v>
      </c>
      <c r="P1881" s="19">
        <v>0.66366243474706044</v>
      </c>
      <c r="Q1881" s="19">
        <v>2.8465297680751976E-2</v>
      </c>
      <c r="R1881" s="19">
        <v>0.20077311695501177</v>
      </c>
      <c r="S1881" s="19">
        <v>1.0598491750488975E-2</v>
      </c>
      <c r="T1881" s="20">
        <v>21</v>
      </c>
      <c r="U1881" s="17">
        <v>2</v>
      </c>
      <c r="V1881" s="17">
        <v>34</v>
      </c>
    </row>
    <row r="1882" spans="1:22" x14ac:dyDescent="0.2">
      <c r="A1882" t="s">
        <v>4629</v>
      </c>
      <c r="B1882" t="s">
        <v>2719</v>
      </c>
      <c r="C1882" t="s">
        <v>2720</v>
      </c>
      <c r="D1882" t="s">
        <v>4623</v>
      </c>
      <c r="E1882" s="10" t="s">
        <v>4630</v>
      </c>
      <c r="F1882" s="10"/>
      <c r="G1882" s="10"/>
      <c r="H1882" s="10" t="s">
        <v>4630</v>
      </c>
      <c r="I1882" s="14">
        <v>26995.857644543052</v>
      </c>
      <c r="J1882" s="19">
        <v>0</v>
      </c>
      <c r="K1882" s="19">
        <v>0.71032539375446424</v>
      </c>
      <c r="L1882" s="19">
        <v>0.28967460624553576</v>
      </c>
      <c r="M1882" s="20">
        <v>2</v>
      </c>
      <c r="N1882" s="19">
        <v>0.4799070045442646</v>
      </c>
      <c r="O1882" s="19">
        <v>3.1033563005691125E-2</v>
      </c>
      <c r="P1882" s="19">
        <v>0.19938482620450848</v>
      </c>
      <c r="Q1882" s="19">
        <v>4.2129154185846521E-2</v>
      </c>
      <c r="R1882" s="19">
        <v>0.21511695805791436</v>
      </c>
      <c r="S1882" s="19">
        <v>3.2428494001774916E-2</v>
      </c>
      <c r="T1882" s="20">
        <v>23</v>
      </c>
      <c r="U1882" s="17">
        <v>2</v>
      </c>
      <c r="V1882" s="17">
        <v>34</v>
      </c>
    </row>
    <row r="1883" spans="1:22" x14ac:dyDescent="0.2">
      <c r="A1883" t="s">
        <v>4631</v>
      </c>
      <c r="B1883" t="s">
        <v>2719</v>
      </c>
      <c r="C1883" t="s">
        <v>2720</v>
      </c>
      <c r="D1883" t="s">
        <v>4623</v>
      </c>
      <c r="E1883" s="10" t="s">
        <v>3170</v>
      </c>
      <c r="F1883" s="10"/>
      <c r="G1883" s="10"/>
      <c r="H1883" s="10" t="s">
        <v>3170</v>
      </c>
      <c r="I1883" s="14">
        <v>45414.822037309408</v>
      </c>
      <c r="J1883" s="19">
        <v>0.46831766210788628</v>
      </c>
      <c r="K1883" s="19">
        <v>0.39819387968681119</v>
      </c>
      <c r="L1883" s="19">
        <v>0.13348845820530256</v>
      </c>
      <c r="M1883" s="20">
        <v>2</v>
      </c>
      <c r="N1883" s="19">
        <v>8.7047867978693808E-3</v>
      </c>
      <c r="O1883" s="19">
        <v>0</v>
      </c>
      <c r="P1883" s="19">
        <v>0.38948909288894179</v>
      </c>
      <c r="Q1883" s="19">
        <v>2.1849318582390715E-2</v>
      </c>
      <c r="R1883" s="19">
        <v>0.1065750509380636</v>
      </c>
      <c r="S1883" s="19">
        <v>5.0640886848482445E-3</v>
      </c>
      <c r="T1883" s="20">
        <v>23</v>
      </c>
      <c r="U1883" s="17">
        <v>2</v>
      </c>
      <c r="V1883" s="17">
        <v>34</v>
      </c>
    </row>
    <row r="1884" spans="1:22" x14ac:dyDescent="0.2">
      <c r="A1884" t="s">
        <v>4632</v>
      </c>
      <c r="B1884" t="s">
        <v>2719</v>
      </c>
      <c r="C1884" t="s">
        <v>2720</v>
      </c>
      <c r="D1884" t="s">
        <v>4623</v>
      </c>
      <c r="E1884" s="10" t="s">
        <v>4015</v>
      </c>
      <c r="F1884" s="10"/>
      <c r="G1884" s="10"/>
      <c r="H1884" s="10" t="s">
        <v>4015</v>
      </c>
      <c r="I1884" s="14">
        <v>7783.5782384704798</v>
      </c>
      <c r="J1884" s="19">
        <v>0</v>
      </c>
      <c r="K1884" s="19">
        <v>0</v>
      </c>
      <c r="L1884" s="19">
        <v>1</v>
      </c>
      <c r="M1884" s="20">
        <v>1</v>
      </c>
      <c r="N1884" s="19">
        <v>0</v>
      </c>
      <c r="O1884" s="19">
        <v>0</v>
      </c>
      <c r="P1884" s="19">
        <v>0</v>
      </c>
      <c r="Q1884" s="19">
        <v>0.51756299740880263</v>
      </c>
      <c r="R1884" s="19">
        <v>0.45364171715684842</v>
      </c>
      <c r="S1884" s="19">
        <v>2.879528543434905E-2</v>
      </c>
      <c r="T1884" s="20">
        <v>13</v>
      </c>
      <c r="U1884" s="17">
        <v>2</v>
      </c>
      <c r="V1884" s="17">
        <v>34</v>
      </c>
    </row>
    <row r="1885" spans="1:22" x14ac:dyDescent="0.2">
      <c r="A1885" t="s">
        <v>4633</v>
      </c>
      <c r="B1885" t="s">
        <v>2719</v>
      </c>
      <c r="C1885" t="s">
        <v>2720</v>
      </c>
      <c r="D1885" t="s">
        <v>4623</v>
      </c>
      <c r="E1885" s="10" t="s">
        <v>4634</v>
      </c>
      <c r="F1885" s="10"/>
      <c r="G1885" s="10"/>
      <c r="H1885" s="10" t="s">
        <v>4634</v>
      </c>
      <c r="I1885" s="14">
        <v>11452.8400598187</v>
      </c>
      <c r="J1885" s="19">
        <v>0</v>
      </c>
      <c r="K1885" s="19">
        <v>8.7052203025869926E-2</v>
      </c>
      <c r="L1885" s="19">
        <v>0.91294779697413009</v>
      </c>
      <c r="M1885" s="20">
        <v>1</v>
      </c>
      <c r="N1885" s="19">
        <v>0</v>
      </c>
      <c r="O1885" s="19">
        <v>0</v>
      </c>
      <c r="P1885" s="19">
        <v>8.7052203025869926E-2</v>
      </c>
      <c r="Q1885" s="19">
        <v>0.33271996861306363</v>
      </c>
      <c r="R1885" s="19">
        <v>0.36910565970091402</v>
      </c>
      <c r="S1885" s="19">
        <v>0.21112216866015243</v>
      </c>
      <c r="T1885" s="20">
        <v>12</v>
      </c>
      <c r="U1885" s="17">
        <v>2</v>
      </c>
      <c r="V1885" s="17">
        <v>34</v>
      </c>
    </row>
    <row r="1886" spans="1:22" x14ac:dyDescent="0.2">
      <c r="A1886" t="s">
        <v>4635</v>
      </c>
      <c r="B1886" t="s">
        <v>2719</v>
      </c>
      <c r="C1886" t="s">
        <v>2720</v>
      </c>
      <c r="D1886" t="s">
        <v>4623</v>
      </c>
      <c r="E1886" s="10" t="s">
        <v>4636</v>
      </c>
      <c r="F1886" s="10"/>
      <c r="G1886" s="10"/>
      <c r="H1886" s="10" t="s">
        <v>4636</v>
      </c>
      <c r="I1886" s="14">
        <v>30524.862908948213</v>
      </c>
      <c r="J1886" s="19">
        <v>0</v>
      </c>
      <c r="K1886" s="19">
        <v>0.95274103009824385</v>
      </c>
      <c r="L1886" s="19">
        <v>4.7258969901756105E-2</v>
      </c>
      <c r="M1886" s="20">
        <v>2</v>
      </c>
      <c r="N1886" s="19">
        <v>0.57295524379407137</v>
      </c>
      <c r="O1886" s="19">
        <v>0</v>
      </c>
      <c r="P1886" s="19">
        <v>0.37978578630417253</v>
      </c>
      <c r="Q1886" s="19">
        <v>0</v>
      </c>
      <c r="R1886" s="19">
        <v>3.736394861119726E-2</v>
      </c>
      <c r="S1886" s="19">
        <v>9.895021290558843E-3</v>
      </c>
      <c r="T1886" s="20">
        <v>23</v>
      </c>
      <c r="U1886" s="17">
        <v>2</v>
      </c>
      <c r="V1886" s="17">
        <v>34</v>
      </c>
    </row>
    <row r="1887" spans="1:22" x14ac:dyDescent="0.2">
      <c r="A1887" t="s">
        <v>4637</v>
      </c>
      <c r="B1887" t="s">
        <v>2719</v>
      </c>
      <c r="C1887" t="s">
        <v>2720</v>
      </c>
      <c r="D1887" t="s">
        <v>4623</v>
      </c>
      <c r="E1887" s="10" t="s">
        <v>4638</v>
      </c>
      <c r="F1887" s="10"/>
      <c r="G1887" s="10"/>
      <c r="H1887" s="10" t="s">
        <v>4638</v>
      </c>
      <c r="I1887" s="14">
        <v>30457.964691704139</v>
      </c>
      <c r="J1887" s="19">
        <v>0</v>
      </c>
      <c r="K1887" s="19">
        <v>0.80530720783719445</v>
      </c>
      <c r="L1887" s="19">
        <v>0.19469279216280552</v>
      </c>
      <c r="M1887" s="20">
        <v>2</v>
      </c>
      <c r="N1887" s="19">
        <v>0.29469289495460987</v>
      </c>
      <c r="O1887" s="19">
        <v>0</v>
      </c>
      <c r="P1887" s="19">
        <v>0.51061431288258463</v>
      </c>
      <c r="Q1887" s="19">
        <v>0</v>
      </c>
      <c r="R1887" s="19">
        <v>0.18044486863913919</v>
      </c>
      <c r="S1887" s="19">
        <v>1.4247923523666328E-2</v>
      </c>
      <c r="T1887" s="20">
        <v>21</v>
      </c>
      <c r="U1887" s="17">
        <v>2</v>
      </c>
      <c r="V1887" s="17">
        <v>34</v>
      </c>
    </row>
    <row r="1888" spans="1:22" x14ac:dyDescent="0.2">
      <c r="A1888" t="s">
        <v>4639</v>
      </c>
      <c r="B1888" t="s">
        <v>2719</v>
      </c>
      <c r="C1888" t="s">
        <v>2720</v>
      </c>
      <c r="D1888" t="s">
        <v>4623</v>
      </c>
      <c r="E1888" s="10" t="s">
        <v>4640</v>
      </c>
      <c r="F1888" s="10"/>
      <c r="G1888" s="10"/>
      <c r="H1888" s="10" t="s">
        <v>4640</v>
      </c>
      <c r="I1888" s="14">
        <v>86402.854617920704</v>
      </c>
      <c r="J1888" s="19">
        <v>0.65165679157287049</v>
      </c>
      <c r="K1888" s="19">
        <v>0.18579376756884328</v>
      </c>
      <c r="L1888" s="19">
        <v>0.16254944085828624</v>
      </c>
      <c r="M1888" s="20">
        <v>3</v>
      </c>
      <c r="N1888" s="19">
        <v>0</v>
      </c>
      <c r="O1888" s="19">
        <v>0</v>
      </c>
      <c r="P1888" s="19">
        <v>0.18579376756884328</v>
      </c>
      <c r="Q1888" s="19">
        <v>6.9635955968383387E-2</v>
      </c>
      <c r="R1888" s="19">
        <v>8.5095037877518098E-2</v>
      </c>
      <c r="S1888" s="19">
        <v>7.8184470123847574E-3</v>
      </c>
      <c r="T1888" s="20">
        <v>30</v>
      </c>
      <c r="U1888" s="17">
        <v>2</v>
      </c>
      <c r="V1888" s="17">
        <v>34</v>
      </c>
    </row>
    <row r="1889" spans="1:22" x14ac:dyDescent="0.2">
      <c r="A1889" t="s">
        <v>4641</v>
      </c>
      <c r="B1889" t="s">
        <v>2719</v>
      </c>
      <c r="C1889" t="s">
        <v>2720</v>
      </c>
      <c r="D1889" t="s">
        <v>4623</v>
      </c>
      <c r="E1889" s="10" t="s">
        <v>4642</v>
      </c>
      <c r="F1889" s="10"/>
      <c r="G1889" s="10"/>
      <c r="H1889" s="10" t="s">
        <v>4642</v>
      </c>
      <c r="I1889" s="14">
        <v>166677.85159662785</v>
      </c>
      <c r="J1889" s="19">
        <v>0.67932706710454582</v>
      </c>
      <c r="K1889" s="19">
        <v>0.27789258808739514</v>
      </c>
      <c r="L1889" s="19">
        <v>4.2780344808059013E-2</v>
      </c>
      <c r="M1889" s="20">
        <v>3</v>
      </c>
      <c r="N1889" s="19">
        <v>5.9550994016454315E-3</v>
      </c>
      <c r="O1889" s="19">
        <v>0</v>
      </c>
      <c r="P1889" s="19">
        <v>0.27193748868574974</v>
      </c>
      <c r="Q1889" s="19">
        <v>4.1329293225596921E-3</v>
      </c>
      <c r="R1889" s="19">
        <v>3.5583585816661899E-2</v>
      </c>
      <c r="S1889" s="19">
        <v>3.0638296688374296E-3</v>
      </c>
      <c r="T1889" s="20">
        <v>30</v>
      </c>
      <c r="U1889" s="17">
        <v>2</v>
      </c>
      <c r="V1889" s="17">
        <v>34</v>
      </c>
    </row>
    <row r="1890" spans="1:22" x14ac:dyDescent="0.2">
      <c r="A1890" t="s">
        <v>4643</v>
      </c>
      <c r="B1890" t="s">
        <v>2719</v>
      </c>
      <c r="C1890" t="s">
        <v>2720</v>
      </c>
      <c r="D1890" t="s">
        <v>4623</v>
      </c>
      <c r="E1890" s="10" t="s">
        <v>4644</v>
      </c>
      <c r="F1890" s="10"/>
      <c r="G1890" s="10"/>
      <c r="H1890" s="10" t="s">
        <v>4644</v>
      </c>
      <c r="I1890" s="14">
        <v>13260.101988893934</v>
      </c>
      <c r="J1890" s="19">
        <v>0</v>
      </c>
      <c r="K1890" s="19">
        <v>0.78567711477668345</v>
      </c>
      <c r="L1890" s="19">
        <v>0.21432288522331663</v>
      </c>
      <c r="M1890" s="20">
        <v>2</v>
      </c>
      <c r="N1890" s="19">
        <v>0.37913388650835456</v>
      </c>
      <c r="O1890" s="19">
        <v>0</v>
      </c>
      <c r="P1890" s="19">
        <v>0.40654322826832884</v>
      </c>
      <c r="Q1890" s="19">
        <v>0</v>
      </c>
      <c r="R1890" s="19">
        <v>0.19476839524400777</v>
      </c>
      <c r="S1890" s="19">
        <v>1.9554489979308819E-2</v>
      </c>
      <c r="T1890" s="20">
        <v>23</v>
      </c>
      <c r="U1890" s="17">
        <v>2</v>
      </c>
      <c r="V1890" s="17">
        <v>34</v>
      </c>
    </row>
    <row r="1891" spans="1:22" x14ac:dyDescent="0.2">
      <c r="A1891" t="s">
        <v>4645</v>
      </c>
      <c r="B1891" t="s">
        <v>2719</v>
      </c>
      <c r="C1891" t="s">
        <v>2720</v>
      </c>
      <c r="D1891" t="s">
        <v>4623</v>
      </c>
      <c r="E1891" s="10" t="s">
        <v>3314</v>
      </c>
      <c r="F1891" s="10"/>
      <c r="G1891" s="10"/>
      <c r="H1891" s="10" t="s">
        <v>3314</v>
      </c>
      <c r="I1891" s="14">
        <v>44179.899797945865</v>
      </c>
      <c r="J1891" s="19">
        <v>0</v>
      </c>
      <c r="K1891" s="19">
        <v>0.95041243237171436</v>
      </c>
      <c r="L1891" s="19">
        <v>4.9587567628285631E-2</v>
      </c>
      <c r="M1891" s="20">
        <v>2</v>
      </c>
      <c r="N1891" s="19">
        <v>0.33677992480035085</v>
      </c>
      <c r="O1891" s="19">
        <v>0</v>
      </c>
      <c r="P1891" s="19">
        <v>0.61363250757136345</v>
      </c>
      <c r="Q1891" s="19">
        <v>0</v>
      </c>
      <c r="R1891" s="19">
        <v>4.3560680642835581E-2</v>
      </c>
      <c r="S1891" s="19">
        <v>6.0268869854500466E-3</v>
      </c>
      <c r="T1891" s="20">
        <v>21</v>
      </c>
      <c r="U1891" s="17">
        <v>2</v>
      </c>
      <c r="V1891" s="17">
        <v>34</v>
      </c>
    </row>
    <row r="1892" spans="1:22" x14ac:dyDescent="0.2">
      <c r="A1892" t="s">
        <v>4646</v>
      </c>
      <c r="B1892" t="s">
        <v>2719</v>
      </c>
      <c r="C1892" t="s">
        <v>2720</v>
      </c>
      <c r="D1892" t="s">
        <v>4623</v>
      </c>
      <c r="E1892" s="10" t="s">
        <v>4647</v>
      </c>
      <c r="F1892" s="10"/>
      <c r="G1892" s="10"/>
      <c r="H1892" s="10" t="s">
        <v>4647</v>
      </c>
      <c r="I1892" s="14">
        <v>27173.415443472564</v>
      </c>
      <c r="J1892" s="19">
        <v>0</v>
      </c>
      <c r="K1892" s="19">
        <v>0.78307556333029338</v>
      </c>
      <c r="L1892" s="19">
        <v>0.21692443666970668</v>
      </c>
      <c r="M1892" s="20">
        <v>2</v>
      </c>
      <c r="N1892" s="19">
        <v>0</v>
      </c>
      <c r="O1892" s="19">
        <v>0.67605651465306138</v>
      </c>
      <c r="P1892" s="19">
        <v>0.10701904867723198</v>
      </c>
      <c r="Q1892" s="19">
        <v>0</v>
      </c>
      <c r="R1892" s="19">
        <v>0.20371999417087924</v>
      </c>
      <c r="S1892" s="19">
        <v>1.3204442498827431E-2</v>
      </c>
      <c r="T1892" s="20">
        <v>22</v>
      </c>
      <c r="U1892" s="17">
        <v>2</v>
      </c>
      <c r="V1892" s="17">
        <v>34</v>
      </c>
    </row>
    <row r="1893" spans="1:22" x14ac:dyDescent="0.2">
      <c r="A1893" t="s">
        <v>4648</v>
      </c>
      <c r="B1893" t="s">
        <v>2719</v>
      </c>
      <c r="C1893" t="s">
        <v>2720</v>
      </c>
      <c r="D1893" t="s">
        <v>4623</v>
      </c>
      <c r="E1893" s="10" t="s">
        <v>4649</v>
      </c>
      <c r="F1893" s="10"/>
      <c r="G1893" s="10"/>
      <c r="H1893" s="10" t="s">
        <v>4649</v>
      </c>
      <c r="I1893" s="14">
        <v>24279.639527443331</v>
      </c>
      <c r="J1893" s="19">
        <v>0</v>
      </c>
      <c r="K1893" s="19">
        <v>0.91907801055328431</v>
      </c>
      <c r="L1893" s="19">
        <v>8.0921989446715636E-2</v>
      </c>
      <c r="M1893" s="20">
        <v>2</v>
      </c>
      <c r="N1893" s="19">
        <v>0.54085541918739088</v>
      </c>
      <c r="O1893" s="19">
        <v>0</v>
      </c>
      <c r="P1893" s="19">
        <v>0.37822259136589353</v>
      </c>
      <c r="Q1893" s="19">
        <v>0</v>
      </c>
      <c r="R1893" s="19">
        <v>6.9104912986567457E-2</v>
      </c>
      <c r="S1893" s="19">
        <v>1.1817076460148178E-2</v>
      </c>
      <c r="T1893" s="20">
        <v>23</v>
      </c>
      <c r="U1893" s="17">
        <v>2</v>
      </c>
      <c r="V1893" s="17">
        <v>34</v>
      </c>
    </row>
    <row r="1894" spans="1:22" x14ac:dyDescent="0.2">
      <c r="A1894" t="s">
        <v>4650</v>
      </c>
      <c r="B1894" t="s">
        <v>2719</v>
      </c>
      <c r="C1894" t="s">
        <v>2720</v>
      </c>
      <c r="D1894" t="s">
        <v>4623</v>
      </c>
      <c r="E1894" s="10" t="s">
        <v>4651</v>
      </c>
      <c r="F1894" s="10"/>
      <c r="G1894" s="10"/>
      <c r="H1894" s="10" t="s">
        <v>4651</v>
      </c>
      <c r="I1894" s="14">
        <v>75115.130095157772</v>
      </c>
      <c r="J1894" s="19">
        <v>0</v>
      </c>
      <c r="K1894" s="19">
        <v>0.81311309638275342</v>
      </c>
      <c r="L1894" s="19">
        <v>0.18688690361724658</v>
      </c>
      <c r="M1894" s="20">
        <v>2</v>
      </c>
      <c r="N1894" s="19">
        <v>0.51273821123914609</v>
      </c>
      <c r="O1894" s="19">
        <v>0</v>
      </c>
      <c r="P1894" s="19">
        <v>0.30037488514360733</v>
      </c>
      <c r="Q1894" s="19">
        <v>4.2367756278190324E-2</v>
      </c>
      <c r="R1894" s="19">
        <v>0.14139763538844233</v>
      </c>
      <c r="S1894" s="19">
        <v>3.1215119506138923E-3</v>
      </c>
      <c r="T1894" s="20">
        <v>23</v>
      </c>
      <c r="U1894" s="17">
        <v>2</v>
      </c>
      <c r="V1894" s="17">
        <v>34</v>
      </c>
    </row>
    <row r="1895" spans="1:22" x14ac:dyDescent="0.2">
      <c r="A1895" t="s">
        <v>4652</v>
      </c>
      <c r="B1895" t="s">
        <v>2719</v>
      </c>
      <c r="C1895" t="s">
        <v>2720</v>
      </c>
      <c r="D1895" t="s">
        <v>4623</v>
      </c>
      <c r="E1895" s="10" t="s">
        <v>3693</v>
      </c>
      <c r="F1895" s="10"/>
      <c r="G1895" s="10"/>
      <c r="H1895" s="10" t="s">
        <v>3693</v>
      </c>
      <c r="I1895" s="14">
        <v>35821.970515485853</v>
      </c>
      <c r="J1895" s="19">
        <v>0</v>
      </c>
      <c r="K1895" s="19">
        <v>0.81102112590312625</v>
      </c>
      <c r="L1895" s="19">
        <v>0.18897887409687372</v>
      </c>
      <c r="M1895" s="20">
        <v>2</v>
      </c>
      <c r="N1895" s="19">
        <v>0.42779901720473784</v>
      </c>
      <c r="O1895" s="19">
        <v>0</v>
      </c>
      <c r="P1895" s="19">
        <v>0.38322210869838846</v>
      </c>
      <c r="Q1895" s="19">
        <v>7.1659822072612844E-2</v>
      </c>
      <c r="R1895" s="19">
        <v>0.10341913800369144</v>
      </c>
      <c r="S1895" s="19">
        <v>1.3899914020569445E-2</v>
      </c>
      <c r="T1895" s="20">
        <v>23</v>
      </c>
      <c r="U1895" s="17">
        <v>2</v>
      </c>
      <c r="V1895" s="17">
        <v>34</v>
      </c>
    </row>
    <row r="1896" spans="1:22" x14ac:dyDescent="0.2">
      <c r="A1896" t="s">
        <v>4653</v>
      </c>
      <c r="B1896" t="s">
        <v>2719</v>
      </c>
      <c r="C1896" t="s">
        <v>2720</v>
      </c>
      <c r="D1896" t="s">
        <v>4654</v>
      </c>
      <c r="E1896" s="10" t="s">
        <v>4655</v>
      </c>
      <c r="F1896" s="10"/>
      <c r="G1896" s="10"/>
      <c r="H1896" s="10" t="s">
        <v>4655</v>
      </c>
      <c r="I1896" s="14">
        <v>35093.811064248439</v>
      </c>
      <c r="J1896" s="19">
        <v>0</v>
      </c>
      <c r="K1896" s="19">
        <v>0.75675466401228053</v>
      </c>
      <c r="L1896" s="19">
        <v>0.24324533598771939</v>
      </c>
      <c r="M1896" s="20">
        <v>2</v>
      </c>
      <c r="N1896" s="19">
        <v>0.22576029767418332</v>
      </c>
      <c r="O1896" s="19">
        <v>0</v>
      </c>
      <c r="P1896" s="19">
        <v>0.53099436633809727</v>
      </c>
      <c r="Q1896" s="19">
        <v>0.10604911605811876</v>
      </c>
      <c r="R1896" s="19">
        <v>0.12512894499638269</v>
      </c>
      <c r="S1896" s="19">
        <v>1.2067274933217961E-2</v>
      </c>
      <c r="T1896" s="20">
        <v>21</v>
      </c>
      <c r="U1896" s="17">
        <v>2</v>
      </c>
      <c r="V1896" s="17">
        <v>34</v>
      </c>
    </row>
    <row r="1897" spans="1:22" x14ac:dyDescent="0.2">
      <c r="A1897" t="s">
        <v>4656</v>
      </c>
      <c r="B1897" t="s">
        <v>2719</v>
      </c>
      <c r="C1897" t="s">
        <v>2720</v>
      </c>
      <c r="D1897" t="s">
        <v>4654</v>
      </c>
      <c r="E1897" s="10" t="s">
        <v>4657</v>
      </c>
      <c r="F1897" s="10"/>
      <c r="G1897" s="10"/>
      <c r="H1897" s="10" t="s">
        <v>4657</v>
      </c>
      <c r="I1897" s="14">
        <v>93990.183327761479</v>
      </c>
      <c r="J1897" s="19">
        <v>2.0461519975804001E-2</v>
      </c>
      <c r="K1897" s="19">
        <v>0.89905443636197513</v>
      </c>
      <c r="L1897" s="19">
        <v>8.0484043662220894E-2</v>
      </c>
      <c r="M1897" s="20">
        <v>2</v>
      </c>
      <c r="N1897" s="19">
        <v>0.49320563480369922</v>
      </c>
      <c r="O1897" s="19">
        <v>9.2846277790685716E-2</v>
      </c>
      <c r="P1897" s="19">
        <v>0.31300252376759019</v>
      </c>
      <c r="Q1897" s="19">
        <v>2.5223650126470654E-2</v>
      </c>
      <c r="R1897" s="19">
        <v>5.0569981203042028E-2</v>
      </c>
      <c r="S1897" s="19">
        <v>4.6904123327082079E-3</v>
      </c>
      <c r="T1897" s="20">
        <v>23</v>
      </c>
      <c r="U1897" s="17">
        <v>2</v>
      </c>
      <c r="V1897" s="17">
        <v>34</v>
      </c>
    </row>
    <row r="1898" spans="1:22" x14ac:dyDescent="0.2">
      <c r="A1898" t="s">
        <v>4658</v>
      </c>
      <c r="B1898" t="s">
        <v>2719</v>
      </c>
      <c r="C1898" t="s">
        <v>2720</v>
      </c>
      <c r="D1898" t="s">
        <v>4654</v>
      </c>
      <c r="E1898" s="10" t="s">
        <v>4659</v>
      </c>
      <c r="F1898" s="10"/>
      <c r="G1898" s="10"/>
      <c r="H1898" s="10" t="s">
        <v>4659</v>
      </c>
      <c r="I1898" s="14">
        <v>14248.751948636023</v>
      </c>
      <c r="J1898" s="19">
        <v>0</v>
      </c>
      <c r="K1898" s="19">
        <v>0.66095445121585472</v>
      </c>
      <c r="L1898" s="19">
        <v>0.33904554878414545</v>
      </c>
      <c r="M1898" s="20">
        <v>2</v>
      </c>
      <c r="N1898" s="19">
        <v>0.66018579625563445</v>
      </c>
      <c r="O1898" s="19">
        <v>0</v>
      </c>
      <c r="P1898" s="19">
        <v>7.6865496022021553E-4</v>
      </c>
      <c r="Q1898" s="19">
        <v>0.16825047086646566</v>
      </c>
      <c r="R1898" s="19">
        <v>0.15765615953023668</v>
      </c>
      <c r="S1898" s="19">
        <v>1.3138918387443091E-2</v>
      </c>
      <c r="T1898" s="20">
        <v>23</v>
      </c>
      <c r="U1898" s="17">
        <v>2</v>
      </c>
      <c r="V1898" s="17">
        <v>34</v>
      </c>
    </row>
    <row r="1899" spans="1:22" x14ac:dyDescent="0.2">
      <c r="A1899" t="s">
        <v>4660</v>
      </c>
      <c r="B1899" t="s">
        <v>2719</v>
      </c>
      <c r="C1899" t="s">
        <v>2720</v>
      </c>
      <c r="D1899" t="s">
        <v>4654</v>
      </c>
      <c r="E1899" s="10" t="s">
        <v>4661</v>
      </c>
      <c r="F1899" s="10"/>
      <c r="G1899" s="10"/>
      <c r="H1899" s="10" t="s">
        <v>4661</v>
      </c>
      <c r="I1899" s="14">
        <v>8680.6397633180022</v>
      </c>
      <c r="J1899" s="19">
        <v>0</v>
      </c>
      <c r="K1899" s="19">
        <v>0.9014596930135016</v>
      </c>
      <c r="L1899" s="19">
        <v>9.8540306986498558E-2</v>
      </c>
      <c r="M1899" s="20">
        <v>2</v>
      </c>
      <c r="N1899" s="19">
        <v>0.5988463147331019</v>
      </c>
      <c r="O1899" s="19">
        <v>0</v>
      </c>
      <c r="P1899" s="19">
        <v>0.30261337828039958</v>
      </c>
      <c r="Q1899" s="19">
        <v>0</v>
      </c>
      <c r="R1899" s="19">
        <v>9.3657186178178878E-2</v>
      </c>
      <c r="S1899" s="19">
        <v>4.8831208083196867E-3</v>
      </c>
      <c r="T1899" s="20">
        <v>23</v>
      </c>
      <c r="U1899" s="17">
        <v>2</v>
      </c>
      <c r="V1899" s="17">
        <v>34</v>
      </c>
    </row>
    <row r="1900" spans="1:22" x14ac:dyDescent="0.2">
      <c r="A1900" t="s">
        <v>4662</v>
      </c>
      <c r="B1900" t="s">
        <v>2719</v>
      </c>
      <c r="C1900" t="s">
        <v>2720</v>
      </c>
      <c r="D1900" t="s">
        <v>4654</v>
      </c>
      <c r="E1900" s="10" t="s">
        <v>4663</v>
      </c>
      <c r="F1900" s="10"/>
      <c r="G1900" s="10"/>
      <c r="H1900" s="10" t="s">
        <v>4663</v>
      </c>
      <c r="I1900" s="14">
        <v>794705.08020207006</v>
      </c>
      <c r="J1900" s="19">
        <v>0.88175388516234998</v>
      </c>
      <c r="K1900" s="19">
        <v>8.5905762293258553E-2</v>
      </c>
      <c r="L1900" s="19">
        <v>3.2340352544391451E-2</v>
      </c>
      <c r="M1900" s="20">
        <v>3</v>
      </c>
      <c r="N1900" s="19">
        <v>1.6652007506841631E-2</v>
      </c>
      <c r="O1900" s="19">
        <v>0</v>
      </c>
      <c r="P1900" s="19">
        <v>6.9253754786416918E-2</v>
      </c>
      <c r="Q1900" s="19">
        <v>1.4826751097937579E-2</v>
      </c>
      <c r="R1900" s="19">
        <v>1.5131190456230143E-2</v>
      </c>
      <c r="S1900" s="19">
        <v>2.3824109902237304E-3</v>
      </c>
      <c r="T1900" s="20">
        <v>30</v>
      </c>
      <c r="U1900" s="17">
        <v>2</v>
      </c>
      <c r="V1900" s="17">
        <v>34</v>
      </c>
    </row>
    <row r="1901" spans="1:22" x14ac:dyDescent="0.2">
      <c r="A1901" t="s">
        <v>4664</v>
      </c>
      <c r="B1901" t="s">
        <v>2719</v>
      </c>
      <c r="C1901" t="s">
        <v>2720</v>
      </c>
      <c r="D1901" t="s">
        <v>4654</v>
      </c>
      <c r="E1901" s="10" t="s">
        <v>3348</v>
      </c>
      <c r="F1901" s="10"/>
      <c r="G1901" s="10"/>
      <c r="H1901" s="10" t="s">
        <v>3348</v>
      </c>
      <c r="I1901" s="14">
        <v>57077.808246674955</v>
      </c>
      <c r="J1901" s="19">
        <v>0</v>
      </c>
      <c r="K1901" s="19">
        <v>0.43930606527025456</v>
      </c>
      <c r="L1901" s="19">
        <v>0.56069393472974527</v>
      </c>
      <c r="M1901" s="20">
        <v>1</v>
      </c>
      <c r="N1901" s="19">
        <v>0.16276509691119428</v>
      </c>
      <c r="O1901" s="19">
        <v>9.1682590993903018E-4</v>
      </c>
      <c r="P1901" s="19">
        <v>0.27562414244912126</v>
      </c>
      <c r="Q1901" s="19">
        <v>0.24734983766766058</v>
      </c>
      <c r="R1901" s="19">
        <v>0.27321115883031233</v>
      </c>
      <c r="S1901" s="19">
        <v>4.0132938231772365E-2</v>
      </c>
      <c r="T1901" s="20">
        <v>12</v>
      </c>
      <c r="U1901" s="17">
        <v>2</v>
      </c>
      <c r="V1901" s="17">
        <v>34</v>
      </c>
    </row>
    <row r="1902" spans="1:22" x14ac:dyDescent="0.2">
      <c r="A1902" t="s">
        <v>4665</v>
      </c>
      <c r="B1902" t="s">
        <v>2719</v>
      </c>
      <c r="C1902" t="s">
        <v>2720</v>
      </c>
      <c r="D1902" t="s">
        <v>4654</v>
      </c>
      <c r="E1902" s="10" t="s">
        <v>4666</v>
      </c>
      <c r="F1902" s="10"/>
      <c r="G1902" s="10"/>
      <c r="H1902" s="10" t="s">
        <v>4666</v>
      </c>
      <c r="I1902" s="14">
        <v>59288.223069323227</v>
      </c>
      <c r="J1902" s="19">
        <v>0.23688355622808499</v>
      </c>
      <c r="K1902" s="19">
        <v>0.6609772447033464</v>
      </c>
      <c r="L1902" s="19">
        <v>0.10213919906856864</v>
      </c>
      <c r="M1902" s="20">
        <v>2</v>
      </c>
      <c r="N1902" s="19">
        <v>0.33130648871635321</v>
      </c>
      <c r="O1902" s="19">
        <v>0</v>
      </c>
      <c r="P1902" s="19">
        <v>0.32967075598699319</v>
      </c>
      <c r="Q1902" s="19">
        <v>0</v>
      </c>
      <c r="R1902" s="19">
        <v>9.067162419641929E-2</v>
      </c>
      <c r="S1902" s="19">
        <v>1.1467574872149347E-2</v>
      </c>
      <c r="T1902" s="20">
        <v>23</v>
      </c>
      <c r="U1902" s="17">
        <v>2</v>
      </c>
      <c r="V1902" s="17">
        <v>34</v>
      </c>
    </row>
    <row r="1903" spans="1:22" x14ac:dyDescent="0.2">
      <c r="A1903" t="s">
        <v>4667</v>
      </c>
      <c r="B1903" t="s">
        <v>2719</v>
      </c>
      <c r="C1903" t="s">
        <v>2720</v>
      </c>
      <c r="D1903" t="s">
        <v>4654</v>
      </c>
      <c r="E1903" s="10" t="s">
        <v>4668</v>
      </c>
      <c r="F1903" s="10"/>
      <c r="G1903" s="10"/>
      <c r="H1903" s="10" t="s">
        <v>4668</v>
      </c>
      <c r="I1903" s="14">
        <v>151533.72635184508</v>
      </c>
      <c r="J1903" s="19">
        <v>0.40789458682124874</v>
      </c>
      <c r="K1903" s="19">
        <v>0.34043913286255784</v>
      </c>
      <c r="L1903" s="19">
        <v>0.25166628031619342</v>
      </c>
      <c r="M1903" s="20">
        <v>2</v>
      </c>
      <c r="N1903" s="19">
        <v>5.8793792802215528E-2</v>
      </c>
      <c r="O1903" s="19">
        <v>4.2628445164207322E-2</v>
      </c>
      <c r="P1903" s="19">
        <v>0.23901689489613498</v>
      </c>
      <c r="Q1903" s="19">
        <v>0.12469523120699894</v>
      </c>
      <c r="R1903" s="19">
        <v>0.11308493029202649</v>
      </c>
      <c r="S1903" s="19">
        <v>1.3886118817168024E-2</v>
      </c>
      <c r="T1903" s="20">
        <v>23</v>
      </c>
      <c r="U1903" s="17">
        <v>2</v>
      </c>
      <c r="V1903" s="17">
        <v>34</v>
      </c>
    </row>
    <row r="1904" spans="1:22" x14ac:dyDescent="0.2">
      <c r="A1904" t="s">
        <v>4669</v>
      </c>
      <c r="B1904" t="s">
        <v>2719</v>
      </c>
      <c r="C1904" t="s">
        <v>2720</v>
      </c>
      <c r="D1904" t="s">
        <v>4654</v>
      </c>
      <c r="E1904" s="10" t="s">
        <v>4670</v>
      </c>
      <c r="F1904" s="10"/>
      <c r="G1904" s="10"/>
      <c r="H1904" s="10" t="s">
        <v>4670</v>
      </c>
      <c r="I1904" s="14">
        <v>22458.890371107496</v>
      </c>
      <c r="J1904" s="19">
        <v>0</v>
      </c>
      <c r="K1904" s="19">
        <v>0.90674295359129176</v>
      </c>
      <c r="L1904" s="19">
        <v>9.3257046408708272E-2</v>
      </c>
      <c r="M1904" s="20">
        <v>2</v>
      </c>
      <c r="N1904" s="19">
        <v>0.1674324367044295</v>
      </c>
      <c r="O1904" s="19">
        <v>0</v>
      </c>
      <c r="P1904" s="19">
        <v>0.73931051688686222</v>
      </c>
      <c r="Q1904" s="19">
        <v>0</v>
      </c>
      <c r="R1904" s="19">
        <v>8.390417977537265E-2</v>
      </c>
      <c r="S1904" s="19">
        <v>9.3528666333356075E-3</v>
      </c>
      <c r="T1904" s="20">
        <v>21</v>
      </c>
      <c r="U1904" s="17">
        <v>2</v>
      </c>
      <c r="V1904" s="17">
        <v>34</v>
      </c>
    </row>
    <row r="1905" spans="1:22" x14ac:dyDescent="0.2">
      <c r="A1905" t="s">
        <v>4671</v>
      </c>
      <c r="B1905" t="s">
        <v>2719</v>
      </c>
      <c r="C1905" t="s">
        <v>2720</v>
      </c>
      <c r="D1905" t="s">
        <v>4654</v>
      </c>
      <c r="E1905" s="10" t="s">
        <v>4672</v>
      </c>
      <c r="F1905" s="10"/>
      <c r="G1905" s="10"/>
      <c r="H1905" s="10" t="s">
        <v>4672</v>
      </c>
      <c r="I1905" s="14">
        <v>35788.933626841754</v>
      </c>
      <c r="J1905" s="19">
        <v>0</v>
      </c>
      <c r="K1905" s="19">
        <v>0.76420683393499622</v>
      </c>
      <c r="L1905" s="19">
        <v>0.23579316606500383</v>
      </c>
      <c r="M1905" s="20">
        <v>2</v>
      </c>
      <c r="N1905" s="19">
        <v>0.35129166054945449</v>
      </c>
      <c r="O1905" s="19">
        <v>0</v>
      </c>
      <c r="P1905" s="19">
        <v>0.41291517338554168</v>
      </c>
      <c r="Q1905" s="19">
        <v>0.11753892630426457</v>
      </c>
      <c r="R1905" s="19">
        <v>0.10891044291521217</v>
      </c>
      <c r="S1905" s="19">
        <v>9.3437968455270769E-3</v>
      </c>
      <c r="T1905" s="20">
        <v>23</v>
      </c>
      <c r="U1905" s="17">
        <v>2</v>
      </c>
      <c r="V1905" s="17">
        <v>34</v>
      </c>
    </row>
    <row r="1906" spans="1:22" x14ac:dyDescent="0.2">
      <c r="A1906" t="s">
        <v>4673</v>
      </c>
      <c r="B1906" t="s">
        <v>2719</v>
      </c>
      <c r="C1906" t="s">
        <v>2720</v>
      </c>
      <c r="D1906" t="s">
        <v>4654</v>
      </c>
      <c r="E1906" s="10" t="s">
        <v>4674</v>
      </c>
      <c r="F1906" s="10"/>
      <c r="G1906" s="10"/>
      <c r="H1906" s="10" t="s">
        <v>4674</v>
      </c>
      <c r="I1906" s="14">
        <v>68820.322331397794</v>
      </c>
      <c r="J1906" s="19">
        <v>0.77883395567076541</v>
      </c>
      <c r="K1906" s="19">
        <v>0.15211925757910874</v>
      </c>
      <c r="L1906" s="19">
        <v>6.9046786750125835E-2</v>
      </c>
      <c r="M1906" s="20">
        <v>3</v>
      </c>
      <c r="N1906" s="19">
        <v>0</v>
      </c>
      <c r="O1906" s="19">
        <v>0</v>
      </c>
      <c r="P1906" s="19">
        <v>0.15211925757910874</v>
      </c>
      <c r="Q1906" s="19">
        <v>4.1941861440700563E-2</v>
      </c>
      <c r="R1906" s="19">
        <v>2.0360643155584442E-2</v>
      </c>
      <c r="S1906" s="19">
        <v>6.7442821538408349E-3</v>
      </c>
      <c r="T1906" s="20">
        <v>30</v>
      </c>
      <c r="U1906" s="17">
        <v>2</v>
      </c>
      <c r="V1906" s="17">
        <v>34</v>
      </c>
    </row>
    <row r="1907" spans="1:22" x14ac:dyDescent="0.2">
      <c r="A1907" t="s">
        <v>4675</v>
      </c>
      <c r="B1907" t="s">
        <v>2719</v>
      </c>
      <c r="C1907" t="s">
        <v>2720</v>
      </c>
      <c r="D1907" t="s">
        <v>4654</v>
      </c>
      <c r="E1907" s="10" t="s">
        <v>4676</v>
      </c>
      <c r="F1907" s="10"/>
      <c r="G1907" s="10"/>
      <c r="H1907" s="10" t="s">
        <v>4676</v>
      </c>
      <c r="I1907" s="14">
        <v>17002.981894720346</v>
      </c>
      <c r="J1907" s="19">
        <v>0</v>
      </c>
      <c r="K1907" s="19">
        <v>0.82159568090464996</v>
      </c>
      <c r="L1907" s="19">
        <v>0.17840431909535007</v>
      </c>
      <c r="M1907" s="20">
        <v>2</v>
      </c>
      <c r="N1907" s="19">
        <v>0.49626840203894529</v>
      </c>
      <c r="O1907" s="19">
        <v>0</v>
      </c>
      <c r="P1907" s="19">
        <v>0.32532727886570467</v>
      </c>
      <c r="Q1907" s="19">
        <v>4.8046753649611591E-2</v>
      </c>
      <c r="R1907" s="19">
        <v>0.11831741904322041</v>
      </c>
      <c r="S1907" s="19">
        <v>1.2040146402518076E-2</v>
      </c>
      <c r="T1907" s="20">
        <v>23</v>
      </c>
      <c r="U1907" s="17">
        <v>2</v>
      </c>
      <c r="V1907" s="17">
        <v>34</v>
      </c>
    </row>
    <row r="1908" spans="1:22" x14ac:dyDescent="0.2">
      <c r="A1908" t="s">
        <v>4677</v>
      </c>
      <c r="B1908" t="s">
        <v>2719</v>
      </c>
      <c r="C1908" t="s">
        <v>2720</v>
      </c>
      <c r="D1908" t="s">
        <v>4654</v>
      </c>
      <c r="E1908" s="10" t="s">
        <v>4678</v>
      </c>
      <c r="F1908" s="10"/>
      <c r="G1908" s="10"/>
      <c r="H1908" s="10" t="s">
        <v>4678</v>
      </c>
      <c r="I1908" s="14">
        <v>25139.426003113389</v>
      </c>
      <c r="J1908" s="19">
        <v>0</v>
      </c>
      <c r="K1908" s="19">
        <v>0.91206409109589193</v>
      </c>
      <c r="L1908" s="19">
        <v>8.7935908904108046E-2</v>
      </c>
      <c r="M1908" s="20">
        <v>2</v>
      </c>
      <c r="N1908" s="19">
        <v>0.75010229545044493</v>
      </c>
      <c r="O1908" s="19">
        <v>0</v>
      </c>
      <c r="P1908" s="19">
        <v>0.16196179564544699</v>
      </c>
      <c r="Q1908" s="19">
        <v>6.1945826380375095E-2</v>
      </c>
      <c r="R1908" s="19">
        <v>2.1716753734474455E-2</v>
      </c>
      <c r="S1908" s="19">
        <v>4.2733287892584996E-3</v>
      </c>
      <c r="T1908" s="20">
        <v>23</v>
      </c>
      <c r="U1908" s="17">
        <v>2</v>
      </c>
      <c r="V1908" s="17">
        <v>34</v>
      </c>
    </row>
    <row r="1909" spans="1:22" x14ac:dyDescent="0.2">
      <c r="A1909" t="s">
        <v>4679</v>
      </c>
      <c r="B1909" t="s">
        <v>2719</v>
      </c>
      <c r="C1909" t="s">
        <v>2720</v>
      </c>
      <c r="D1909" t="s">
        <v>4654</v>
      </c>
      <c r="E1909" s="10" t="s">
        <v>4680</v>
      </c>
      <c r="F1909" s="10"/>
      <c r="G1909" s="10"/>
      <c r="H1909" s="10" t="s">
        <v>4680</v>
      </c>
      <c r="I1909" s="14">
        <v>29824.843561385293</v>
      </c>
      <c r="J1909" s="19">
        <v>0</v>
      </c>
      <c r="K1909" s="19">
        <v>0.93532067981962086</v>
      </c>
      <c r="L1909" s="19">
        <v>6.4679320180379141E-2</v>
      </c>
      <c r="M1909" s="20">
        <v>2</v>
      </c>
      <c r="N1909" s="19">
        <v>6.8439014752055619E-2</v>
      </c>
      <c r="O1909" s="19">
        <v>0</v>
      </c>
      <c r="P1909" s="19">
        <v>0.86688166506756525</v>
      </c>
      <c r="Q1909" s="19">
        <v>0</v>
      </c>
      <c r="R1909" s="19">
        <v>6.4137486573511912E-2</v>
      </c>
      <c r="S1909" s="19">
        <v>5.4183360686722816E-4</v>
      </c>
      <c r="T1909" s="20">
        <v>21</v>
      </c>
      <c r="U1909" s="17">
        <v>2</v>
      </c>
      <c r="V1909" s="17">
        <v>34</v>
      </c>
    </row>
    <row r="1910" spans="1:22" x14ac:dyDescent="0.2">
      <c r="A1910" t="s">
        <v>4681</v>
      </c>
      <c r="B1910" t="s">
        <v>2719</v>
      </c>
      <c r="C1910" t="s">
        <v>2720</v>
      </c>
      <c r="D1910" t="s">
        <v>4654</v>
      </c>
      <c r="E1910" s="10" t="s">
        <v>2921</v>
      </c>
      <c r="F1910" s="10"/>
      <c r="G1910" s="10"/>
      <c r="H1910" s="10" t="s">
        <v>2921</v>
      </c>
      <c r="I1910" s="14">
        <v>15198.032767565921</v>
      </c>
      <c r="J1910" s="19">
        <v>0</v>
      </c>
      <c r="K1910" s="19">
        <v>0.86034719607966237</v>
      </c>
      <c r="L1910" s="19">
        <v>0.13965280392033749</v>
      </c>
      <c r="M1910" s="20">
        <v>2</v>
      </c>
      <c r="N1910" s="19">
        <v>0.41744866391687324</v>
      </c>
      <c r="O1910" s="19">
        <v>0</v>
      </c>
      <c r="P1910" s="19">
        <v>0.44289853216278929</v>
      </c>
      <c r="Q1910" s="19">
        <v>0</v>
      </c>
      <c r="R1910" s="19">
        <v>0.13288493188253278</v>
      </c>
      <c r="S1910" s="19">
        <v>6.7678720378046937E-3</v>
      </c>
      <c r="T1910" s="20">
        <v>23</v>
      </c>
      <c r="U1910" s="17">
        <v>2</v>
      </c>
      <c r="V1910" s="17">
        <v>34</v>
      </c>
    </row>
    <row r="1911" spans="1:22" x14ac:dyDescent="0.2">
      <c r="A1911" t="s">
        <v>4682</v>
      </c>
      <c r="B1911" t="s">
        <v>2719</v>
      </c>
      <c r="C1911" t="s">
        <v>2720</v>
      </c>
      <c r="D1911" t="s">
        <v>4654</v>
      </c>
      <c r="E1911" s="10" t="s">
        <v>4683</v>
      </c>
      <c r="F1911" s="10"/>
      <c r="G1911" s="10"/>
      <c r="H1911" s="10" t="s">
        <v>4683</v>
      </c>
      <c r="I1911" s="14">
        <v>25728.671178117398</v>
      </c>
      <c r="J1911" s="19">
        <v>0</v>
      </c>
      <c r="K1911" s="19">
        <v>0.96382647976006153</v>
      </c>
      <c r="L1911" s="19">
        <v>3.6173520239938348E-2</v>
      </c>
      <c r="M1911" s="20">
        <v>2</v>
      </c>
      <c r="N1911" s="19">
        <v>0.65307382490888155</v>
      </c>
      <c r="O1911" s="19">
        <v>0</v>
      </c>
      <c r="P1911" s="19">
        <v>0.31075265485117992</v>
      </c>
      <c r="Q1911" s="19">
        <v>0</v>
      </c>
      <c r="R1911" s="19">
        <v>3.3266071204015896E-2</v>
      </c>
      <c r="S1911" s="19">
        <v>2.9074490359224546E-3</v>
      </c>
      <c r="T1911" s="20">
        <v>23</v>
      </c>
      <c r="U1911" s="17">
        <v>2</v>
      </c>
      <c r="V1911" s="17">
        <v>34</v>
      </c>
    </row>
    <row r="1912" spans="1:22" x14ac:dyDescent="0.2">
      <c r="A1912" t="s">
        <v>4684</v>
      </c>
      <c r="B1912" t="s">
        <v>2719</v>
      </c>
      <c r="C1912" t="s">
        <v>2720</v>
      </c>
      <c r="D1912" t="s">
        <v>4654</v>
      </c>
      <c r="E1912" s="10" t="s">
        <v>3750</v>
      </c>
      <c r="F1912" s="10"/>
      <c r="G1912" s="10"/>
      <c r="H1912" s="10" t="s">
        <v>3750</v>
      </c>
      <c r="I1912" s="14">
        <v>46374.988187815994</v>
      </c>
      <c r="J1912" s="19">
        <v>0</v>
      </c>
      <c r="K1912" s="19">
        <v>0.88336580287922084</v>
      </c>
      <c r="L1912" s="19">
        <v>0.11663419712077912</v>
      </c>
      <c r="M1912" s="20">
        <v>2</v>
      </c>
      <c r="N1912" s="19">
        <v>0</v>
      </c>
      <c r="O1912" s="19">
        <v>0.71660149171727194</v>
      </c>
      <c r="P1912" s="19">
        <v>0.16676431116194887</v>
      </c>
      <c r="Q1912" s="19">
        <v>3.826151758608827E-2</v>
      </c>
      <c r="R1912" s="19">
        <v>6.4847815860959557E-2</v>
      </c>
      <c r="S1912" s="19">
        <v>1.3524863673731281E-2</v>
      </c>
      <c r="T1912" s="20">
        <v>22</v>
      </c>
      <c r="U1912" s="17">
        <v>2</v>
      </c>
      <c r="V1912" s="17">
        <v>34</v>
      </c>
    </row>
    <row r="1913" spans="1:22" x14ac:dyDescent="0.2">
      <c r="A1913" t="s">
        <v>4685</v>
      </c>
      <c r="B1913" t="s">
        <v>2719</v>
      </c>
      <c r="C1913" t="s">
        <v>2720</v>
      </c>
      <c r="D1913" t="s">
        <v>4654</v>
      </c>
      <c r="E1913" s="10" t="s">
        <v>4686</v>
      </c>
      <c r="F1913" s="10"/>
      <c r="G1913" s="10"/>
      <c r="H1913" s="10" t="s">
        <v>4686</v>
      </c>
      <c r="I1913" s="14">
        <v>35042.749167062342</v>
      </c>
      <c r="J1913" s="19">
        <v>0</v>
      </c>
      <c r="K1913" s="19">
        <v>0.81833165001651331</v>
      </c>
      <c r="L1913" s="19">
        <v>0.18166834998348669</v>
      </c>
      <c r="M1913" s="20">
        <v>2</v>
      </c>
      <c r="N1913" s="19">
        <v>0.49559232991643193</v>
      </c>
      <c r="O1913" s="19">
        <v>0</v>
      </c>
      <c r="P1913" s="19">
        <v>0.32273932010008144</v>
      </c>
      <c r="Q1913" s="19">
        <v>4.193631174067125E-2</v>
      </c>
      <c r="R1913" s="19">
        <v>0.11538478096864918</v>
      </c>
      <c r="S1913" s="19">
        <v>2.4347257274166239E-2</v>
      </c>
      <c r="T1913" s="20">
        <v>23</v>
      </c>
      <c r="U1913" s="17">
        <v>2</v>
      </c>
      <c r="V1913" s="17">
        <v>34</v>
      </c>
    </row>
    <row r="1914" spans="1:22" x14ac:dyDescent="0.2">
      <c r="A1914" t="s">
        <v>4687</v>
      </c>
      <c r="B1914" t="s">
        <v>2719</v>
      </c>
      <c r="C1914" t="s">
        <v>2720</v>
      </c>
      <c r="D1914" t="s">
        <v>4654</v>
      </c>
      <c r="E1914" s="10" t="s">
        <v>4688</v>
      </c>
      <c r="F1914" s="10"/>
      <c r="G1914" s="10"/>
      <c r="H1914" s="10" t="s">
        <v>4688</v>
      </c>
      <c r="I1914" s="14">
        <v>41818.280259694904</v>
      </c>
      <c r="J1914" s="19">
        <v>0</v>
      </c>
      <c r="K1914" s="19">
        <v>0.92383782448220031</v>
      </c>
      <c r="L1914" s="19">
        <v>7.6162175517799705E-2</v>
      </c>
      <c r="M1914" s="20">
        <v>2</v>
      </c>
      <c r="N1914" s="19">
        <v>0.50139251138078211</v>
      </c>
      <c r="O1914" s="19">
        <v>0</v>
      </c>
      <c r="P1914" s="19">
        <v>0.42244531310141814</v>
      </c>
      <c r="Q1914" s="19">
        <v>0</v>
      </c>
      <c r="R1914" s="19">
        <v>7.0393774398404968E-2</v>
      </c>
      <c r="S1914" s="19">
        <v>5.7684011193947365E-3</v>
      </c>
      <c r="T1914" s="20">
        <v>23</v>
      </c>
      <c r="U1914" s="17">
        <v>2</v>
      </c>
      <c r="V1914" s="17">
        <v>34</v>
      </c>
    </row>
    <row r="1915" spans="1:22" x14ac:dyDescent="0.2">
      <c r="A1915" t="s">
        <v>4689</v>
      </c>
      <c r="B1915" t="s">
        <v>2719</v>
      </c>
      <c r="C1915" t="s">
        <v>2720</v>
      </c>
      <c r="D1915" t="s">
        <v>4654</v>
      </c>
      <c r="E1915" s="10" t="s">
        <v>4690</v>
      </c>
      <c r="F1915" s="10"/>
      <c r="G1915" s="10"/>
      <c r="H1915" s="10" t="s">
        <v>4690</v>
      </c>
      <c r="I1915" s="14">
        <v>24541.872907515615</v>
      </c>
      <c r="J1915" s="19">
        <v>0</v>
      </c>
      <c r="K1915" s="19">
        <v>0.83566512350699951</v>
      </c>
      <c r="L1915" s="19">
        <v>0.16433487649300044</v>
      </c>
      <c r="M1915" s="20">
        <v>2</v>
      </c>
      <c r="N1915" s="19">
        <v>0.38990315443716983</v>
      </c>
      <c r="O1915" s="19">
        <v>0</v>
      </c>
      <c r="P1915" s="19">
        <v>0.44576196906982968</v>
      </c>
      <c r="Q1915" s="19">
        <v>6.9020155193178376E-2</v>
      </c>
      <c r="R1915" s="19">
        <v>8.2989405711804631E-2</v>
      </c>
      <c r="S1915" s="19">
        <v>1.2325315588017447E-2</v>
      </c>
      <c r="T1915" s="20">
        <v>23</v>
      </c>
      <c r="U1915" s="17">
        <v>2</v>
      </c>
      <c r="V1915" s="17">
        <v>34</v>
      </c>
    </row>
    <row r="1916" spans="1:22" x14ac:dyDescent="0.2">
      <c r="A1916" t="s">
        <v>4691</v>
      </c>
      <c r="B1916" t="s">
        <v>2719</v>
      </c>
      <c r="C1916" t="s">
        <v>2720</v>
      </c>
      <c r="D1916" t="s">
        <v>4654</v>
      </c>
      <c r="E1916" s="10" t="s">
        <v>4692</v>
      </c>
      <c r="F1916" s="10"/>
      <c r="G1916" s="10"/>
      <c r="H1916" s="10" t="s">
        <v>4692</v>
      </c>
      <c r="I1916" s="14">
        <v>71080.553877864964</v>
      </c>
      <c r="J1916" s="19">
        <v>0.73170734184244834</v>
      </c>
      <c r="K1916" s="19">
        <v>9.0467754891788793E-2</v>
      </c>
      <c r="L1916" s="19">
        <v>0.17782490326576292</v>
      </c>
      <c r="M1916" s="20">
        <v>3</v>
      </c>
      <c r="N1916" s="19">
        <v>5.0321975549860412E-2</v>
      </c>
      <c r="O1916" s="19">
        <v>0</v>
      </c>
      <c r="P1916" s="19">
        <v>4.0145779341928381E-2</v>
      </c>
      <c r="Q1916" s="19">
        <v>7.5301996438991894E-2</v>
      </c>
      <c r="R1916" s="19">
        <v>9.1396579194985561E-2</v>
      </c>
      <c r="S1916" s="19">
        <v>1.1126327631785452E-2</v>
      </c>
      <c r="T1916" s="20">
        <v>30</v>
      </c>
      <c r="U1916" s="17">
        <v>2</v>
      </c>
      <c r="V1916" s="17">
        <v>34</v>
      </c>
    </row>
    <row r="1917" spans="1:22" x14ac:dyDescent="0.2">
      <c r="A1917" t="s">
        <v>4693</v>
      </c>
      <c r="B1917" t="s">
        <v>2719</v>
      </c>
      <c r="C1917" t="s">
        <v>2720</v>
      </c>
      <c r="D1917" t="s">
        <v>4654</v>
      </c>
      <c r="E1917" s="10" t="s">
        <v>4694</v>
      </c>
      <c r="F1917" s="10"/>
      <c r="G1917" s="10"/>
      <c r="H1917" s="10" t="s">
        <v>4694</v>
      </c>
      <c r="I1917" s="14">
        <v>41710.409613795578</v>
      </c>
      <c r="J1917" s="19">
        <v>0</v>
      </c>
      <c r="K1917" s="19">
        <v>0.92061928866559972</v>
      </c>
      <c r="L1917" s="19">
        <v>7.9380711334400222E-2</v>
      </c>
      <c r="M1917" s="20">
        <v>2</v>
      </c>
      <c r="N1917" s="19">
        <v>0.66647346454985901</v>
      </c>
      <c r="O1917" s="19">
        <v>0</v>
      </c>
      <c r="P1917" s="19">
        <v>0.25414582411574077</v>
      </c>
      <c r="Q1917" s="19">
        <v>5.0407694747499433E-2</v>
      </c>
      <c r="R1917" s="19">
        <v>2.430560195790353E-2</v>
      </c>
      <c r="S1917" s="19">
        <v>4.6674146289972613E-3</v>
      </c>
      <c r="T1917" s="20">
        <v>23</v>
      </c>
      <c r="U1917" s="17">
        <v>2</v>
      </c>
      <c r="V1917" s="17">
        <v>34</v>
      </c>
    </row>
    <row r="1918" spans="1:22" x14ac:dyDescent="0.2">
      <c r="A1918" t="s">
        <v>4695</v>
      </c>
      <c r="B1918" t="s">
        <v>2719</v>
      </c>
      <c r="C1918" t="s">
        <v>2720</v>
      </c>
      <c r="D1918" t="s">
        <v>4654</v>
      </c>
      <c r="E1918" s="10" t="s">
        <v>4696</v>
      </c>
      <c r="F1918" s="10"/>
      <c r="G1918" s="10"/>
      <c r="H1918" s="10" t="s">
        <v>4696</v>
      </c>
      <c r="I1918" s="14">
        <v>11770.994957119226</v>
      </c>
      <c r="J1918" s="19">
        <v>0</v>
      </c>
      <c r="K1918" s="19">
        <v>0.83014853626129859</v>
      </c>
      <c r="L1918" s="19">
        <v>0.16985146373870144</v>
      </c>
      <c r="M1918" s="20">
        <v>2</v>
      </c>
      <c r="N1918" s="19">
        <v>2.69071775110989E-2</v>
      </c>
      <c r="O1918" s="19">
        <v>0</v>
      </c>
      <c r="P1918" s="19">
        <v>0.80324135875019964</v>
      </c>
      <c r="Q1918" s="19">
        <v>0</v>
      </c>
      <c r="R1918" s="19">
        <v>0.1585708048476617</v>
      </c>
      <c r="S1918" s="19">
        <v>1.128065889103972E-2</v>
      </c>
      <c r="T1918" s="20">
        <v>21</v>
      </c>
      <c r="U1918" s="17">
        <v>2</v>
      </c>
      <c r="V1918" s="17">
        <v>34</v>
      </c>
    </row>
    <row r="1919" spans="1:22" x14ac:dyDescent="0.2">
      <c r="A1919" t="s">
        <v>4697</v>
      </c>
      <c r="B1919" t="s">
        <v>2719</v>
      </c>
      <c r="C1919" t="s">
        <v>2720</v>
      </c>
      <c r="D1919" t="s">
        <v>4654</v>
      </c>
      <c r="E1919" s="10" t="s">
        <v>4298</v>
      </c>
      <c r="F1919" s="10"/>
      <c r="G1919" s="10"/>
      <c r="H1919" s="10" t="s">
        <v>4298</v>
      </c>
      <c r="I1919" s="14">
        <v>90278.008299224544</v>
      </c>
      <c r="J1919" s="19">
        <v>0.8596821787791149</v>
      </c>
      <c r="K1919" s="19">
        <v>0.12105826750017759</v>
      </c>
      <c r="L1919" s="19">
        <v>1.9259553720707451E-2</v>
      </c>
      <c r="M1919" s="20">
        <v>3</v>
      </c>
      <c r="N1919" s="19">
        <v>7.3225784085149306E-2</v>
      </c>
      <c r="O1919" s="19">
        <v>0</v>
      </c>
      <c r="P1919" s="19">
        <v>4.7832483415028271E-2</v>
      </c>
      <c r="Q1919" s="19">
        <v>1.7828135699188979E-4</v>
      </c>
      <c r="R1919" s="19">
        <v>1.7098945953259389E-2</v>
      </c>
      <c r="S1919" s="19">
        <v>1.9823264104561708E-3</v>
      </c>
      <c r="T1919" s="20">
        <v>30</v>
      </c>
      <c r="U1919" s="17">
        <v>2</v>
      </c>
      <c r="V1919" s="17">
        <v>34</v>
      </c>
    </row>
    <row r="1920" spans="1:22" x14ac:dyDescent="0.2">
      <c r="A1920" t="s">
        <v>4698</v>
      </c>
      <c r="B1920" t="s">
        <v>2719</v>
      </c>
      <c r="C1920" t="s">
        <v>2720</v>
      </c>
      <c r="D1920" t="s">
        <v>4654</v>
      </c>
      <c r="E1920" s="10" t="s">
        <v>4699</v>
      </c>
      <c r="F1920" s="10"/>
      <c r="G1920" s="10"/>
      <c r="H1920" s="10" t="s">
        <v>4699</v>
      </c>
      <c r="I1920" s="14">
        <v>30832.209690984342</v>
      </c>
      <c r="J1920" s="19">
        <v>0</v>
      </c>
      <c r="K1920" s="19">
        <v>0.86945722658445346</v>
      </c>
      <c r="L1920" s="19">
        <v>0.1305427734155466</v>
      </c>
      <c r="M1920" s="20">
        <v>2</v>
      </c>
      <c r="N1920" s="19">
        <v>0.73249888251690154</v>
      </c>
      <c r="O1920" s="19">
        <v>0</v>
      </c>
      <c r="P1920" s="19">
        <v>0.13695834406755159</v>
      </c>
      <c r="Q1920" s="19">
        <v>6.6473131046966255E-2</v>
      </c>
      <c r="R1920" s="19">
        <v>5.0704319435557088E-2</v>
      </c>
      <c r="S1920" s="19">
        <v>1.3365322933023248E-2</v>
      </c>
      <c r="T1920" s="20">
        <v>23</v>
      </c>
      <c r="U1920" s="17">
        <v>2</v>
      </c>
      <c r="V1920" s="17">
        <v>34</v>
      </c>
    </row>
    <row r="1921" spans="1:22" x14ac:dyDescent="0.2">
      <c r="A1921" t="s">
        <v>4700</v>
      </c>
      <c r="B1921" t="s">
        <v>2719</v>
      </c>
      <c r="C1921" t="s">
        <v>2720</v>
      </c>
      <c r="D1921" t="s">
        <v>4654</v>
      </c>
      <c r="E1921" s="10" t="s">
        <v>4701</v>
      </c>
      <c r="F1921" s="10"/>
      <c r="G1921" s="10"/>
      <c r="H1921" s="10" t="s">
        <v>4701</v>
      </c>
      <c r="I1921" s="14">
        <v>43301.311517113587</v>
      </c>
      <c r="J1921" s="19">
        <v>0.55334728093415508</v>
      </c>
      <c r="K1921" s="19">
        <v>0.37799421507199549</v>
      </c>
      <c r="L1921" s="19">
        <v>6.8658503993849276E-2</v>
      </c>
      <c r="M1921" s="20">
        <v>3</v>
      </c>
      <c r="N1921" s="19">
        <v>0.14814204419255192</v>
      </c>
      <c r="O1921" s="19">
        <v>0</v>
      </c>
      <c r="P1921" s="19">
        <v>0.2298521708794436</v>
      </c>
      <c r="Q1921" s="19">
        <v>2.4273255323711072E-2</v>
      </c>
      <c r="R1921" s="19">
        <v>3.753240880596747E-2</v>
      </c>
      <c r="S1921" s="19">
        <v>6.8528398641707396E-3</v>
      </c>
      <c r="T1921" s="20">
        <v>30</v>
      </c>
      <c r="U1921" s="17">
        <v>2</v>
      </c>
      <c r="V1921" s="17">
        <v>34</v>
      </c>
    </row>
    <row r="1922" spans="1:22" x14ac:dyDescent="0.2">
      <c r="A1922" t="s">
        <v>4702</v>
      </c>
      <c r="B1922" t="s">
        <v>2719</v>
      </c>
      <c r="C1922" t="s">
        <v>2720</v>
      </c>
      <c r="D1922" t="s">
        <v>4703</v>
      </c>
      <c r="E1922" s="10" t="s">
        <v>4704</v>
      </c>
      <c r="F1922" s="10"/>
      <c r="G1922" s="10"/>
      <c r="H1922" s="10" t="s">
        <v>4704</v>
      </c>
      <c r="I1922" s="14">
        <v>6199.9032592345029</v>
      </c>
      <c r="J1922" s="19">
        <v>0</v>
      </c>
      <c r="K1922" s="19">
        <v>0</v>
      </c>
      <c r="L1922" s="19">
        <v>1</v>
      </c>
      <c r="M1922" s="20">
        <v>1</v>
      </c>
      <c r="N1922" s="19">
        <v>0</v>
      </c>
      <c r="O1922" s="19">
        <v>0</v>
      </c>
      <c r="P1922" s="19">
        <v>0</v>
      </c>
      <c r="Q1922" s="19">
        <v>0.5460236664034086</v>
      </c>
      <c r="R1922" s="19">
        <v>0.24723661367568672</v>
      </c>
      <c r="S1922" s="19">
        <v>0.20673971992090454</v>
      </c>
      <c r="T1922" s="20">
        <v>13</v>
      </c>
      <c r="U1922" s="17">
        <v>2</v>
      </c>
      <c r="V1922" s="17">
        <v>34</v>
      </c>
    </row>
    <row r="1923" spans="1:22" x14ac:dyDescent="0.2">
      <c r="A1923" t="s">
        <v>4705</v>
      </c>
      <c r="B1923" t="s">
        <v>2719</v>
      </c>
      <c r="C1923" t="s">
        <v>2720</v>
      </c>
      <c r="D1923" t="s">
        <v>4703</v>
      </c>
      <c r="E1923" s="10" t="s">
        <v>4706</v>
      </c>
      <c r="F1923" s="10"/>
      <c r="G1923" s="10"/>
      <c r="H1923" s="10" t="s">
        <v>4706</v>
      </c>
      <c r="I1923" s="14">
        <v>35038.111940526869</v>
      </c>
      <c r="J1923" s="19">
        <v>0</v>
      </c>
      <c r="K1923" s="19">
        <v>0.6111063529697236</v>
      </c>
      <c r="L1923" s="19">
        <v>0.38889364703027629</v>
      </c>
      <c r="M1923" s="20">
        <v>2</v>
      </c>
      <c r="N1923" s="19">
        <v>0</v>
      </c>
      <c r="O1923" s="19">
        <v>0.56907002507140225</v>
      </c>
      <c r="P1923" s="19">
        <v>4.2036327898321423E-2</v>
      </c>
      <c r="Q1923" s="19">
        <v>0.14092909520501268</v>
      </c>
      <c r="R1923" s="19">
        <v>0.23723425775526014</v>
      </c>
      <c r="S1923" s="19">
        <v>1.0730294070003471E-2</v>
      </c>
      <c r="T1923" s="20">
        <v>22</v>
      </c>
      <c r="U1923" s="17">
        <v>2</v>
      </c>
      <c r="V1923" s="17">
        <v>34</v>
      </c>
    </row>
    <row r="1924" spans="1:22" x14ac:dyDescent="0.2">
      <c r="A1924" t="s">
        <v>4707</v>
      </c>
      <c r="B1924" t="s">
        <v>2719</v>
      </c>
      <c r="C1924" t="s">
        <v>2720</v>
      </c>
      <c r="D1924" t="s">
        <v>4703</v>
      </c>
      <c r="E1924" s="10" t="s">
        <v>4708</v>
      </c>
      <c r="F1924" s="10"/>
      <c r="G1924" s="10"/>
      <c r="H1924" s="10" t="s">
        <v>4708</v>
      </c>
      <c r="I1924" s="14">
        <v>9495.7103557828814</v>
      </c>
      <c r="J1924" s="19">
        <v>0</v>
      </c>
      <c r="K1924" s="19">
        <v>0</v>
      </c>
      <c r="L1924" s="19">
        <v>1</v>
      </c>
      <c r="M1924" s="20">
        <v>1</v>
      </c>
      <c r="N1924" s="19">
        <v>0</v>
      </c>
      <c r="O1924" s="19">
        <v>0</v>
      </c>
      <c r="P1924" s="19">
        <v>0</v>
      </c>
      <c r="Q1924" s="19">
        <v>0.82740619872932841</v>
      </c>
      <c r="R1924" s="19">
        <v>0.15358078824195154</v>
      </c>
      <c r="S1924" s="19">
        <v>1.9013013028720018E-2</v>
      </c>
      <c r="T1924" s="20">
        <v>13</v>
      </c>
      <c r="U1924" s="17">
        <v>2</v>
      </c>
      <c r="V1924" s="17">
        <v>34</v>
      </c>
    </row>
    <row r="1925" spans="1:22" x14ac:dyDescent="0.2">
      <c r="A1925" t="s">
        <v>4709</v>
      </c>
      <c r="B1925" t="s">
        <v>2719</v>
      </c>
      <c r="C1925" t="s">
        <v>2720</v>
      </c>
      <c r="D1925" t="s">
        <v>4703</v>
      </c>
      <c r="E1925" s="10" t="s">
        <v>4710</v>
      </c>
      <c r="F1925" s="10"/>
      <c r="G1925" s="10"/>
      <c r="H1925" s="10" t="s">
        <v>4710</v>
      </c>
      <c r="I1925" s="14">
        <v>26071.11722813081</v>
      </c>
      <c r="J1925" s="19">
        <v>0</v>
      </c>
      <c r="K1925" s="19">
        <v>0.41643089114188458</v>
      </c>
      <c r="L1925" s="19">
        <v>0.58356910885811542</v>
      </c>
      <c r="M1925" s="20">
        <v>1</v>
      </c>
      <c r="N1925" s="19">
        <v>0.35325143952561822</v>
      </c>
      <c r="O1925" s="19">
        <v>0</v>
      </c>
      <c r="P1925" s="19">
        <v>6.3179451616266355E-2</v>
      </c>
      <c r="Q1925" s="19">
        <v>0.38936056718916956</v>
      </c>
      <c r="R1925" s="19">
        <v>0.1676545615504493</v>
      </c>
      <c r="S1925" s="19">
        <v>2.655398011849653E-2</v>
      </c>
      <c r="T1925" s="20">
        <v>13</v>
      </c>
      <c r="U1925" s="17">
        <v>2</v>
      </c>
      <c r="V1925" s="17">
        <v>34</v>
      </c>
    </row>
    <row r="1926" spans="1:22" x14ac:dyDescent="0.2">
      <c r="A1926" t="s">
        <v>4711</v>
      </c>
      <c r="B1926" t="s">
        <v>2719</v>
      </c>
      <c r="C1926" t="s">
        <v>2720</v>
      </c>
      <c r="D1926" t="s">
        <v>4703</v>
      </c>
      <c r="E1926" s="10" t="s">
        <v>4712</v>
      </c>
      <c r="F1926" s="10"/>
      <c r="G1926" s="10"/>
      <c r="H1926" s="10" t="s">
        <v>4712</v>
      </c>
      <c r="I1926" s="14">
        <v>12115.443106781691</v>
      </c>
      <c r="J1926" s="19">
        <v>0</v>
      </c>
      <c r="K1926" s="19">
        <v>0</v>
      </c>
      <c r="L1926" s="19">
        <v>1</v>
      </c>
      <c r="M1926" s="20">
        <v>1</v>
      </c>
      <c r="N1926" s="19">
        <v>0</v>
      </c>
      <c r="O1926" s="19">
        <v>0</v>
      </c>
      <c r="P1926" s="19">
        <v>0</v>
      </c>
      <c r="Q1926" s="19">
        <v>0.4906324436231882</v>
      </c>
      <c r="R1926" s="19">
        <v>0.46114385452224838</v>
      </c>
      <c r="S1926" s="19">
        <v>4.8223701854563421E-2</v>
      </c>
      <c r="T1926" s="20">
        <v>13</v>
      </c>
      <c r="U1926" s="17">
        <v>2</v>
      </c>
      <c r="V1926" s="17">
        <v>34</v>
      </c>
    </row>
    <row r="1927" spans="1:22" x14ac:dyDescent="0.2">
      <c r="A1927" t="s">
        <v>4713</v>
      </c>
      <c r="B1927" t="s">
        <v>2719</v>
      </c>
      <c r="C1927" t="s">
        <v>2720</v>
      </c>
      <c r="D1927" t="s">
        <v>4703</v>
      </c>
      <c r="E1927" s="10" t="s">
        <v>4714</v>
      </c>
      <c r="F1927" s="10"/>
      <c r="G1927" s="10"/>
      <c r="H1927" s="10" t="s">
        <v>4714</v>
      </c>
      <c r="I1927" s="14">
        <v>32204.845311693847</v>
      </c>
      <c r="J1927" s="19">
        <v>0</v>
      </c>
      <c r="K1927" s="19">
        <v>0.18916795161007263</v>
      </c>
      <c r="L1927" s="19">
        <v>0.8108320483899274</v>
      </c>
      <c r="M1927" s="20">
        <v>1</v>
      </c>
      <c r="N1927" s="19">
        <v>0</v>
      </c>
      <c r="O1927" s="19">
        <v>0.18916795161007263</v>
      </c>
      <c r="P1927" s="19">
        <v>0</v>
      </c>
      <c r="Q1927" s="19">
        <v>0.31452030317913587</v>
      </c>
      <c r="R1927" s="19">
        <v>0.43605042509555092</v>
      </c>
      <c r="S1927" s="19">
        <v>6.0261320115240546E-2</v>
      </c>
      <c r="T1927" s="20">
        <v>12</v>
      </c>
      <c r="U1927" s="17">
        <v>2</v>
      </c>
      <c r="V1927" s="17">
        <v>34</v>
      </c>
    </row>
    <row r="1928" spans="1:22" x14ac:dyDescent="0.2">
      <c r="A1928" t="s">
        <v>4715</v>
      </c>
      <c r="B1928" t="s">
        <v>2719</v>
      </c>
      <c r="C1928" t="s">
        <v>2720</v>
      </c>
      <c r="D1928" t="s">
        <v>4703</v>
      </c>
      <c r="E1928" s="10" t="s">
        <v>4716</v>
      </c>
      <c r="F1928" s="10"/>
      <c r="G1928" s="10"/>
      <c r="H1928" s="10" t="s">
        <v>4716</v>
      </c>
      <c r="I1928" s="14">
        <v>9391.1269670194015</v>
      </c>
      <c r="J1928" s="19">
        <v>0</v>
      </c>
      <c r="K1928" s="19">
        <v>0.52082010967270131</v>
      </c>
      <c r="L1928" s="19">
        <v>0.47917989032729869</v>
      </c>
      <c r="M1928" s="20">
        <v>2</v>
      </c>
      <c r="N1928" s="19">
        <v>0</v>
      </c>
      <c r="O1928" s="19">
        <v>0.52082010967270131</v>
      </c>
      <c r="P1928" s="19">
        <v>0</v>
      </c>
      <c r="Q1928" s="19">
        <v>0.2267177362539422</v>
      </c>
      <c r="R1928" s="19">
        <v>0.2108526663217819</v>
      </c>
      <c r="S1928" s="19">
        <v>4.1609487751574616E-2</v>
      </c>
      <c r="T1928" s="20">
        <v>22</v>
      </c>
      <c r="U1928" s="17">
        <v>2</v>
      </c>
      <c r="V1928" s="17">
        <v>34</v>
      </c>
    </row>
    <row r="1929" spans="1:22" x14ac:dyDescent="0.2">
      <c r="A1929" t="s">
        <v>4717</v>
      </c>
      <c r="B1929" t="s">
        <v>2719</v>
      </c>
      <c r="C1929" t="s">
        <v>2720</v>
      </c>
      <c r="D1929" t="s">
        <v>4703</v>
      </c>
      <c r="E1929" s="10" t="s">
        <v>4718</v>
      </c>
      <c r="F1929" s="10"/>
      <c r="G1929" s="10"/>
      <c r="H1929" s="10" t="s">
        <v>4718</v>
      </c>
      <c r="I1929" s="14">
        <v>9732.1578059121966</v>
      </c>
      <c r="J1929" s="19">
        <v>0</v>
      </c>
      <c r="K1929" s="19">
        <v>0</v>
      </c>
      <c r="L1929" s="19">
        <v>1</v>
      </c>
      <c r="M1929" s="20">
        <v>1</v>
      </c>
      <c r="N1929" s="19">
        <v>0</v>
      </c>
      <c r="O1929" s="19">
        <v>0</v>
      </c>
      <c r="P1929" s="19">
        <v>0</v>
      </c>
      <c r="Q1929" s="19">
        <v>0.77919229757789532</v>
      </c>
      <c r="R1929" s="19">
        <v>0.12861218029816016</v>
      </c>
      <c r="S1929" s="19">
        <v>9.2195522123944509E-2</v>
      </c>
      <c r="T1929" s="20">
        <v>13</v>
      </c>
      <c r="U1929" s="17">
        <v>2</v>
      </c>
      <c r="V1929" s="17">
        <v>34</v>
      </c>
    </row>
    <row r="1930" spans="1:22" x14ac:dyDescent="0.2">
      <c r="A1930" t="s">
        <v>4719</v>
      </c>
      <c r="B1930" t="s">
        <v>2719</v>
      </c>
      <c r="C1930" t="s">
        <v>2720</v>
      </c>
      <c r="D1930" t="s">
        <v>4703</v>
      </c>
      <c r="E1930" s="10" t="s">
        <v>4720</v>
      </c>
      <c r="F1930" s="10"/>
      <c r="G1930" s="10"/>
      <c r="H1930" s="10" t="s">
        <v>4720</v>
      </c>
      <c r="I1930" s="14">
        <v>13048.029218068346</v>
      </c>
      <c r="J1930" s="19">
        <v>0</v>
      </c>
      <c r="K1930" s="19">
        <v>0.46999135449903939</v>
      </c>
      <c r="L1930" s="19">
        <v>0.53000864550096072</v>
      </c>
      <c r="M1930" s="20">
        <v>1</v>
      </c>
      <c r="N1930" s="19">
        <v>0</v>
      </c>
      <c r="O1930" s="19">
        <v>0.46999135449903939</v>
      </c>
      <c r="P1930" s="19">
        <v>0</v>
      </c>
      <c r="Q1930" s="19">
        <v>0.2221208512157514</v>
      </c>
      <c r="R1930" s="19">
        <v>0.27744310220086577</v>
      </c>
      <c r="S1930" s="19">
        <v>3.0444692084343458E-2</v>
      </c>
      <c r="T1930" s="20">
        <v>12</v>
      </c>
      <c r="U1930" s="17">
        <v>2</v>
      </c>
      <c r="V1930" s="17">
        <v>34</v>
      </c>
    </row>
    <row r="1931" spans="1:22" x14ac:dyDescent="0.2">
      <c r="A1931" t="s">
        <v>4721</v>
      </c>
      <c r="B1931" t="s">
        <v>2719</v>
      </c>
      <c r="C1931" t="s">
        <v>2720</v>
      </c>
      <c r="D1931" t="s">
        <v>4703</v>
      </c>
      <c r="E1931" s="10" t="s">
        <v>4722</v>
      </c>
      <c r="F1931" s="10"/>
      <c r="G1931" s="10"/>
      <c r="H1931" s="10" t="s">
        <v>4722</v>
      </c>
      <c r="I1931" s="14">
        <v>28606.522567108277</v>
      </c>
      <c r="J1931" s="19">
        <v>0</v>
      </c>
      <c r="K1931" s="19">
        <v>0.48383647502359334</v>
      </c>
      <c r="L1931" s="19">
        <v>0.5161635249764065</v>
      </c>
      <c r="M1931" s="20">
        <v>1</v>
      </c>
      <c r="N1931" s="19">
        <v>0</v>
      </c>
      <c r="O1931" s="19">
        <v>0.47534220695830987</v>
      </c>
      <c r="P1931" s="19">
        <v>8.4942680652834637E-3</v>
      </c>
      <c r="Q1931" s="19">
        <v>0.27575949217878598</v>
      </c>
      <c r="R1931" s="19">
        <v>0.22322699964280138</v>
      </c>
      <c r="S1931" s="19">
        <v>1.717703315481918E-2</v>
      </c>
      <c r="T1931" s="20">
        <v>13</v>
      </c>
      <c r="U1931" s="17">
        <v>2</v>
      </c>
      <c r="V1931" s="17">
        <v>34</v>
      </c>
    </row>
    <row r="1932" spans="1:22" x14ac:dyDescent="0.2">
      <c r="A1932" t="s">
        <v>4723</v>
      </c>
      <c r="B1932" t="s">
        <v>2719</v>
      </c>
      <c r="C1932" t="s">
        <v>2720</v>
      </c>
      <c r="D1932" t="s">
        <v>4724</v>
      </c>
      <c r="E1932" s="10" t="s">
        <v>4725</v>
      </c>
      <c r="F1932" s="10"/>
      <c r="G1932" s="10"/>
      <c r="H1932" s="10" t="s">
        <v>4725</v>
      </c>
      <c r="I1932" s="14">
        <v>609146.90791608579</v>
      </c>
      <c r="J1932" s="19">
        <v>0.9546975281247283</v>
      </c>
      <c r="K1932" s="19">
        <v>3.8702061778056018E-2</v>
      </c>
      <c r="L1932" s="19">
        <v>6.6004100972157234E-3</v>
      </c>
      <c r="M1932" s="20">
        <v>3</v>
      </c>
      <c r="N1932" s="19">
        <v>0</v>
      </c>
      <c r="O1932" s="19">
        <v>0</v>
      </c>
      <c r="P1932" s="19">
        <v>3.8702061778056018E-2</v>
      </c>
      <c r="Q1932" s="19">
        <v>1.4264771612685491E-3</v>
      </c>
      <c r="R1932" s="19">
        <v>4.8643534610341328E-3</v>
      </c>
      <c r="S1932" s="19">
        <v>3.0957947491304144E-4</v>
      </c>
      <c r="T1932" s="20">
        <v>30</v>
      </c>
      <c r="U1932" s="17">
        <v>2</v>
      </c>
      <c r="V1932" s="17">
        <v>34</v>
      </c>
    </row>
    <row r="1933" spans="1:22" x14ac:dyDescent="0.2">
      <c r="A1933" t="s">
        <v>4726</v>
      </c>
      <c r="B1933" t="s">
        <v>2719</v>
      </c>
      <c r="C1933" t="s">
        <v>2720</v>
      </c>
      <c r="D1933" t="s">
        <v>4724</v>
      </c>
      <c r="E1933" s="10" t="s">
        <v>4727</v>
      </c>
      <c r="F1933" s="10"/>
      <c r="G1933" s="10"/>
      <c r="H1933" s="10" t="s">
        <v>4727</v>
      </c>
      <c r="I1933" s="14">
        <v>182844.19573559053</v>
      </c>
      <c r="J1933" s="19">
        <v>3.118075021268979E-2</v>
      </c>
      <c r="K1933" s="19">
        <v>0.82881917496514557</v>
      </c>
      <c r="L1933" s="19">
        <v>0.14000007482216467</v>
      </c>
      <c r="M1933" s="20">
        <v>2</v>
      </c>
      <c r="N1933" s="19">
        <v>0.22917738835684695</v>
      </c>
      <c r="O1933" s="19">
        <v>0</v>
      </c>
      <c r="P1933" s="19">
        <v>0.5996417866082987</v>
      </c>
      <c r="Q1933" s="19">
        <v>1.1328955244282431E-2</v>
      </c>
      <c r="R1933" s="19">
        <v>0.12237882101398768</v>
      </c>
      <c r="S1933" s="19">
        <v>6.2922985638945517E-3</v>
      </c>
      <c r="T1933" s="20">
        <v>21</v>
      </c>
      <c r="U1933" s="17">
        <v>2</v>
      </c>
      <c r="V1933" s="17">
        <v>34</v>
      </c>
    </row>
    <row r="1934" spans="1:22" x14ac:dyDescent="0.2">
      <c r="A1934" t="s">
        <v>4728</v>
      </c>
      <c r="B1934" t="s">
        <v>2719</v>
      </c>
      <c r="C1934" t="s">
        <v>2720</v>
      </c>
      <c r="D1934" t="s">
        <v>4724</v>
      </c>
      <c r="E1934" s="10" t="s">
        <v>4729</v>
      </c>
      <c r="F1934" s="10"/>
      <c r="G1934" s="10"/>
      <c r="H1934" s="10" t="s">
        <v>4729</v>
      </c>
      <c r="I1934" s="14">
        <v>70568.158427871764</v>
      </c>
      <c r="J1934" s="19">
        <v>0</v>
      </c>
      <c r="K1934" s="19">
        <v>0.72462252922819725</v>
      </c>
      <c r="L1934" s="19">
        <v>0.2753774707718028</v>
      </c>
      <c r="M1934" s="20">
        <v>2</v>
      </c>
      <c r="N1934" s="19">
        <v>0.5180611660455432</v>
      </c>
      <c r="O1934" s="19">
        <v>0</v>
      </c>
      <c r="P1934" s="19">
        <v>0.206561363182654</v>
      </c>
      <c r="Q1934" s="19">
        <v>0.10037622966988234</v>
      </c>
      <c r="R1934" s="19">
        <v>0.1588037986111199</v>
      </c>
      <c r="S1934" s="19">
        <v>1.619744249080057E-2</v>
      </c>
      <c r="T1934" s="20">
        <v>23</v>
      </c>
      <c r="U1934" s="17">
        <v>2</v>
      </c>
      <c r="V1934" s="17">
        <v>34</v>
      </c>
    </row>
    <row r="1935" spans="1:22" x14ac:dyDescent="0.2">
      <c r="A1935" t="s">
        <v>4730</v>
      </c>
      <c r="B1935" t="s">
        <v>2719</v>
      </c>
      <c r="C1935" t="s">
        <v>2720</v>
      </c>
      <c r="D1935" t="s">
        <v>4724</v>
      </c>
      <c r="E1935" s="10" t="s">
        <v>4731</v>
      </c>
      <c r="F1935" s="10"/>
      <c r="G1935" s="10"/>
      <c r="H1935" s="10" t="s">
        <v>4731</v>
      </c>
      <c r="I1935" s="14">
        <v>163736.14816634916</v>
      </c>
      <c r="J1935" s="19">
        <v>0.43235726774234817</v>
      </c>
      <c r="K1935" s="19">
        <v>0.38242250220730578</v>
      </c>
      <c r="L1935" s="19">
        <v>0.18522023005034602</v>
      </c>
      <c r="M1935" s="20">
        <v>2</v>
      </c>
      <c r="N1935" s="19">
        <v>7.2102863990120979E-4</v>
      </c>
      <c r="O1935" s="19">
        <v>0</v>
      </c>
      <c r="P1935" s="19">
        <v>0.38170147356740458</v>
      </c>
      <c r="Q1935" s="19">
        <v>3.4234067569627533E-2</v>
      </c>
      <c r="R1935" s="19">
        <v>0.13954059874176877</v>
      </c>
      <c r="S1935" s="19">
        <v>1.1445563738949697E-2</v>
      </c>
      <c r="T1935" s="20">
        <v>23</v>
      </c>
      <c r="U1935" s="17">
        <v>2</v>
      </c>
      <c r="V1935" s="17">
        <v>34</v>
      </c>
    </row>
    <row r="1936" spans="1:22" x14ac:dyDescent="0.2">
      <c r="A1936" t="s">
        <v>4732</v>
      </c>
      <c r="B1936" t="s">
        <v>2719</v>
      </c>
      <c r="C1936" t="s">
        <v>2720</v>
      </c>
      <c r="D1936" t="s">
        <v>4724</v>
      </c>
      <c r="E1936" s="10" t="s">
        <v>4733</v>
      </c>
      <c r="F1936" s="10"/>
      <c r="G1936" s="10"/>
      <c r="H1936" s="10" t="s">
        <v>4733</v>
      </c>
      <c r="I1936" s="14">
        <v>84838.577004272491</v>
      </c>
      <c r="J1936" s="19">
        <v>0</v>
      </c>
      <c r="K1936" s="19">
        <v>0.66420393379127363</v>
      </c>
      <c r="L1936" s="19">
        <v>0.33579606620872637</v>
      </c>
      <c r="M1936" s="20">
        <v>2</v>
      </c>
      <c r="N1936" s="19">
        <v>0.24846159041321533</v>
      </c>
      <c r="O1936" s="19">
        <v>7.8715967588007234E-4</v>
      </c>
      <c r="P1936" s="19">
        <v>0.41495518370217821</v>
      </c>
      <c r="Q1936" s="19">
        <v>6.9560574028855959E-2</v>
      </c>
      <c r="R1936" s="19">
        <v>0.24910283116084539</v>
      </c>
      <c r="S1936" s="19">
        <v>1.7132661019025011E-2</v>
      </c>
      <c r="T1936" s="20">
        <v>23</v>
      </c>
      <c r="U1936" s="17">
        <v>2</v>
      </c>
      <c r="V1936" s="17">
        <v>34</v>
      </c>
    </row>
    <row r="1937" spans="1:22" x14ac:dyDescent="0.2">
      <c r="A1937" t="s">
        <v>4734</v>
      </c>
      <c r="B1937" t="s">
        <v>2719</v>
      </c>
      <c r="C1937" t="s">
        <v>2720</v>
      </c>
      <c r="D1937" t="s">
        <v>4724</v>
      </c>
      <c r="E1937" s="10" t="s">
        <v>4735</v>
      </c>
      <c r="F1937" s="10"/>
      <c r="G1937" s="10"/>
      <c r="H1937" s="10" t="s">
        <v>4735</v>
      </c>
      <c r="I1937" s="14">
        <v>22416.864248991013</v>
      </c>
      <c r="J1937" s="19">
        <v>0</v>
      </c>
      <c r="K1937" s="19">
        <v>0.34087613859188037</v>
      </c>
      <c r="L1937" s="19">
        <v>0.65912386140811963</v>
      </c>
      <c r="M1937" s="20">
        <v>1</v>
      </c>
      <c r="N1937" s="19">
        <v>0</v>
      </c>
      <c r="O1937" s="19">
        <v>0.34087613859188037</v>
      </c>
      <c r="P1937" s="19">
        <v>0</v>
      </c>
      <c r="Q1937" s="19">
        <v>0.20472889344868442</v>
      </c>
      <c r="R1937" s="19">
        <v>0.39282070241382899</v>
      </c>
      <c r="S1937" s="19">
        <v>6.1574265545606251E-2</v>
      </c>
      <c r="T1937" s="20">
        <v>12</v>
      </c>
      <c r="U1937" s="17">
        <v>2</v>
      </c>
      <c r="V1937" s="17">
        <v>34</v>
      </c>
    </row>
    <row r="1938" spans="1:22" x14ac:dyDescent="0.2">
      <c r="A1938" t="s">
        <v>4736</v>
      </c>
      <c r="B1938" t="s">
        <v>2719</v>
      </c>
      <c r="C1938" t="s">
        <v>2720</v>
      </c>
      <c r="D1938" t="s">
        <v>4724</v>
      </c>
      <c r="E1938" s="10" t="s">
        <v>4737</v>
      </c>
      <c r="F1938" s="10"/>
      <c r="G1938" s="10"/>
      <c r="H1938" s="10" t="s">
        <v>4737</v>
      </c>
      <c r="I1938" s="14">
        <v>107018.47607781924</v>
      </c>
      <c r="J1938" s="19">
        <v>0</v>
      </c>
      <c r="K1938" s="19">
        <v>0.6625809949458229</v>
      </c>
      <c r="L1938" s="19">
        <v>0.3374190050541771</v>
      </c>
      <c r="M1938" s="20">
        <v>2</v>
      </c>
      <c r="N1938" s="19">
        <v>0.32431042468428495</v>
      </c>
      <c r="O1938" s="19">
        <v>5.2804150330717581E-3</v>
      </c>
      <c r="P1938" s="19">
        <v>0.33299015522846614</v>
      </c>
      <c r="Q1938" s="19">
        <v>0.1465365605040759</v>
      </c>
      <c r="R1938" s="19">
        <v>0.16023074976583263</v>
      </c>
      <c r="S1938" s="19">
        <v>3.0651694784268577E-2</v>
      </c>
      <c r="T1938" s="20">
        <v>23</v>
      </c>
      <c r="U1938" s="17">
        <v>2</v>
      </c>
      <c r="V1938" s="17">
        <v>34</v>
      </c>
    </row>
    <row r="1939" spans="1:22" x14ac:dyDescent="0.2">
      <c r="A1939" t="s">
        <v>4738</v>
      </c>
      <c r="B1939" t="s">
        <v>2719</v>
      </c>
      <c r="C1939" t="s">
        <v>2720</v>
      </c>
      <c r="D1939" t="s">
        <v>4724</v>
      </c>
      <c r="E1939" s="10" t="s">
        <v>4739</v>
      </c>
      <c r="F1939" s="10"/>
      <c r="G1939" s="10"/>
      <c r="H1939" s="10" t="s">
        <v>4739</v>
      </c>
      <c r="I1939" s="14">
        <v>65675.796395953745</v>
      </c>
      <c r="J1939" s="19">
        <v>0</v>
      </c>
      <c r="K1939" s="19">
        <v>0.81556392251507392</v>
      </c>
      <c r="L1939" s="19">
        <v>0.18443607748492602</v>
      </c>
      <c r="M1939" s="20">
        <v>2</v>
      </c>
      <c r="N1939" s="19">
        <v>0.26946659740843754</v>
      </c>
      <c r="O1939" s="19">
        <v>0</v>
      </c>
      <c r="P1939" s="19">
        <v>0.54609732510663644</v>
      </c>
      <c r="Q1939" s="19">
        <v>4.2202073789161292E-2</v>
      </c>
      <c r="R1939" s="19">
        <v>0.13474274592999638</v>
      </c>
      <c r="S1939" s="19">
        <v>7.4912577657683639E-3</v>
      </c>
      <c r="T1939" s="20">
        <v>21</v>
      </c>
      <c r="U1939" s="17">
        <v>2</v>
      </c>
      <c r="V1939" s="17">
        <v>34</v>
      </c>
    </row>
    <row r="1940" spans="1:22" x14ac:dyDescent="0.2">
      <c r="A1940" t="s">
        <v>4740</v>
      </c>
      <c r="B1940" t="s">
        <v>2719</v>
      </c>
      <c r="C1940" t="s">
        <v>2720</v>
      </c>
      <c r="D1940" t="s">
        <v>4724</v>
      </c>
      <c r="E1940" s="10" t="s">
        <v>4741</v>
      </c>
      <c r="F1940" s="10"/>
      <c r="G1940" s="10"/>
      <c r="H1940" s="10" t="s">
        <v>4741</v>
      </c>
      <c r="I1940" s="14">
        <v>100139.85496740788</v>
      </c>
      <c r="J1940" s="19">
        <v>0</v>
      </c>
      <c r="K1940" s="19">
        <v>0.80514692429288304</v>
      </c>
      <c r="L1940" s="19">
        <v>0.19485307570711702</v>
      </c>
      <c r="M1940" s="20">
        <v>2</v>
      </c>
      <c r="N1940" s="19">
        <v>0.3497903259247479</v>
      </c>
      <c r="O1940" s="19">
        <v>4.3644325016356997E-2</v>
      </c>
      <c r="P1940" s="19">
        <v>0.41171227335177812</v>
      </c>
      <c r="Q1940" s="19">
        <v>4.4077333672158756E-2</v>
      </c>
      <c r="R1940" s="19">
        <v>0.14505542649697251</v>
      </c>
      <c r="S1940" s="19">
        <v>5.7203155379857446E-3</v>
      </c>
      <c r="T1940" s="20">
        <v>23</v>
      </c>
      <c r="U1940" s="17">
        <v>2</v>
      </c>
      <c r="V1940" s="17">
        <v>34</v>
      </c>
    </row>
    <row r="1941" spans="1:22" x14ac:dyDescent="0.2">
      <c r="A1941" t="s">
        <v>4742</v>
      </c>
      <c r="B1941" t="s">
        <v>2719</v>
      </c>
      <c r="C1941" t="s">
        <v>2720</v>
      </c>
      <c r="D1941" t="s">
        <v>4724</v>
      </c>
      <c r="E1941" s="10" t="s">
        <v>4743</v>
      </c>
      <c r="F1941" s="10"/>
      <c r="G1941" s="10"/>
      <c r="H1941" s="10" t="s">
        <v>4743</v>
      </c>
      <c r="I1941" s="14">
        <v>109387.66251899117</v>
      </c>
      <c r="J1941" s="19">
        <v>0</v>
      </c>
      <c r="K1941" s="19">
        <v>0.71591688948359766</v>
      </c>
      <c r="L1941" s="19">
        <v>0.28408311051640223</v>
      </c>
      <c r="M1941" s="20">
        <v>2</v>
      </c>
      <c r="N1941" s="19">
        <v>0.42045156364636732</v>
      </c>
      <c r="O1941" s="19">
        <v>0</v>
      </c>
      <c r="P1941" s="19">
        <v>0.29546532583723034</v>
      </c>
      <c r="Q1941" s="19">
        <v>8.3207677417420564E-2</v>
      </c>
      <c r="R1941" s="19">
        <v>0.17700175669848334</v>
      </c>
      <c r="S1941" s="19">
        <v>2.3873676400498339E-2</v>
      </c>
      <c r="T1941" s="20">
        <v>23</v>
      </c>
      <c r="U1941" s="17">
        <v>2</v>
      </c>
      <c r="V1941" s="17">
        <v>34</v>
      </c>
    </row>
    <row r="1942" spans="1:22" x14ac:dyDescent="0.2">
      <c r="A1942" t="s">
        <v>4744</v>
      </c>
      <c r="B1942" t="s">
        <v>2719</v>
      </c>
      <c r="C1942" t="s">
        <v>2720</v>
      </c>
      <c r="D1942" t="s">
        <v>4724</v>
      </c>
      <c r="E1942" s="10" t="s">
        <v>4745</v>
      </c>
      <c r="F1942" s="10"/>
      <c r="G1942" s="10"/>
      <c r="H1942" s="10" t="s">
        <v>4745</v>
      </c>
      <c r="I1942" s="14">
        <v>86861.34687782079</v>
      </c>
      <c r="J1942" s="19">
        <v>0</v>
      </c>
      <c r="K1942" s="19">
        <v>0.89111991954040459</v>
      </c>
      <c r="L1942" s="19">
        <v>0.10888008045959539</v>
      </c>
      <c r="M1942" s="20">
        <v>2</v>
      </c>
      <c r="N1942" s="19">
        <v>0.41799731007017077</v>
      </c>
      <c r="O1942" s="19">
        <v>5.6781397954331306E-2</v>
      </c>
      <c r="P1942" s="19">
        <v>0.41634121151590253</v>
      </c>
      <c r="Q1942" s="19">
        <v>0</v>
      </c>
      <c r="R1942" s="19">
        <v>0.10340403168659949</v>
      </c>
      <c r="S1942" s="19">
        <v>5.4760487729959041E-3</v>
      </c>
      <c r="T1942" s="20">
        <v>23</v>
      </c>
      <c r="U1942" s="17">
        <v>2</v>
      </c>
      <c r="V1942" s="17">
        <v>34</v>
      </c>
    </row>
    <row r="1943" spans="1:22" x14ac:dyDescent="0.2">
      <c r="A1943" t="s">
        <v>4746</v>
      </c>
      <c r="B1943" t="s">
        <v>2719</v>
      </c>
      <c r="C1943" t="s">
        <v>2720</v>
      </c>
      <c r="D1943" t="s">
        <v>4724</v>
      </c>
      <c r="E1943" s="10" t="s">
        <v>4747</v>
      </c>
      <c r="F1943" s="10"/>
      <c r="G1943" s="10"/>
      <c r="H1943" s="10" t="s">
        <v>4747</v>
      </c>
      <c r="I1943" s="14">
        <v>58776.812211854383</v>
      </c>
      <c r="J1943" s="19">
        <v>0</v>
      </c>
      <c r="K1943" s="19">
        <v>0.85249009878645032</v>
      </c>
      <c r="L1943" s="19">
        <v>0.14750990121354962</v>
      </c>
      <c r="M1943" s="20">
        <v>2</v>
      </c>
      <c r="N1943" s="19">
        <v>0.31523754122413777</v>
      </c>
      <c r="O1943" s="19">
        <v>0.14295443997841112</v>
      </c>
      <c r="P1943" s="19">
        <v>0.39429811758390149</v>
      </c>
      <c r="Q1943" s="19">
        <v>3.5665469394207894E-2</v>
      </c>
      <c r="R1943" s="19">
        <v>7.8549868280415158E-2</v>
      </c>
      <c r="S1943" s="19">
        <v>3.3294563538926576E-2</v>
      </c>
      <c r="T1943" s="20">
        <v>23</v>
      </c>
      <c r="U1943" s="17">
        <v>2</v>
      </c>
      <c r="V1943" s="17">
        <v>34</v>
      </c>
    </row>
    <row r="1944" spans="1:22" x14ac:dyDescent="0.2">
      <c r="A1944" t="s">
        <v>4748</v>
      </c>
      <c r="B1944" t="s">
        <v>2719</v>
      </c>
      <c r="C1944" t="s">
        <v>2720</v>
      </c>
      <c r="D1944" t="s">
        <v>4724</v>
      </c>
      <c r="E1944" s="10" t="s">
        <v>4749</v>
      </c>
      <c r="F1944" s="10"/>
      <c r="G1944" s="10"/>
      <c r="H1944" s="10" t="s">
        <v>4749</v>
      </c>
      <c r="I1944" s="14">
        <v>58896.885348312557</v>
      </c>
      <c r="J1944" s="19">
        <v>0</v>
      </c>
      <c r="K1944" s="19">
        <v>0.61651378701792325</v>
      </c>
      <c r="L1944" s="19">
        <v>0.38348621298207669</v>
      </c>
      <c r="M1944" s="20">
        <v>2</v>
      </c>
      <c r="N1944" s="19">
        <v>0.28034499137899771</v>
      </c>
      <c r="O1944" s="19">
        <v>0</v>
      </c>
      <c r="P1944" s="19">
        <v>0.33616879563892554</v>
      </c>
      <c r="Q1944" s="19">
        <v>0.17694366825276026</v>
      </c>
      <c r="R1944" s="19">
        <v>0.18421268389865103</v>
      </c>
      <c r="S1944" s="19">
        <v>2.2329860830665436E-2</v>
      </c>
      <c r="T1944" s="20">
        <v>23</v>
      </c>
      <c r="U1944" s="17">
        <v>2</v>
      </c>
      <c r="V1944" s="17">
        <v>34</v>
      </c>
    </row>
    <row r="1945" spans="1:22" x14ac:dyDescent="0.2">
      <c r="A1945" t="s">
        <v>4750</v>
      </c>
      <c r="B1945" t="s">
        <v>2719</v>
      </c>
      <c r="C1945" t="s">
        <v>2720</v>
      </c>
      <c r="D1945" t="s">
        <v>4724</v>
      </c>
      <c r="E1945" s="10" t="s">
        <v>4074</v>
      </c>
      <c r="F1945" s="10"/>
      <c r="G1945" s="10"/>
      <c r="H1945" s="10" t="s">
        <v>4074</v>
      </c>
      <c r="I1945" s="14">
        <v>64352.452652066946</v>
      </c>
      <c r="J1945" s="19">
        <v>0</v>
      </c>
      <c r="K1945" s="19">
        <v>0.67928182308448537</v>
      </c>
      <c r="L1945" s="19">
        <v>0.32071817691551469</v>
      </c>
      <c r="M1945" s="20">
        <v>2</v>
      </c>
      <c r="N1945" s="19">
        <v>0.16499818926172655</v>
      </c>
      <c r="O1945" s="19">
        <v>0</v>
      </c>
      <c r="P1945" s="19">
        <v>0.51428363382275888</v>
      </c>
      <c r="Q1945" s="19">
        <v>0.1111052188618801</v>
      </c>
      <c r="R1945" s="19">
        <v>0.20049574517012925</v>
      </c>
      <c r="S1945" s="19">
        <v>9.1172128835052563E-3</v>
      </c>
      <c r="T1945" s="20">
        <v>21</v>
      </c>
      <c r="U1945" s="17">
        <v>2</v>
      </c>
      <c r="V1945" s="17">
        <v>34</v>
      </c>
    </row>
    <row r="1946" spans="1:22" x14ac:dyDescent="0.2">
      <c r="A1946" t="s">
        <v>4751</v>
      </c>
      <c r="B1946" t="s">
        <v>2719</v>
      </c>
      <c r="C1946" t="s">
        <v>2720</v>
      </c>
      <c r="D1946" t="s">
        <v>4724</v>
      </c>
      <c r="E1946" s="10" t="s">
        <v>4752</v>
      </c>
      <c r="F1946" s="10"/>
      <c r="G1946" s="10"/>
      <c r="H1946" s="10" t="s">
        <v>4752</v>
      </c>
      <c r="I1946" s="14">
        <v>180120.61019950081</v>
      </c>
      <c r="J1946" s="19">
        <v>0</v>
      </c>
      <c r="K1946" s="19">
        <v>0.51882495305531595</v>
      </c>
      <c r="L1946" s="19">
        <v>0.4811750469446841</v>
      </c>
      <c r="M1946" s="20">
        <v>2</v>
      </c>
      <c r="N1946" s="19">
        <v>0.22832392386691003</v>
      </c>
      <c r="O1946" s="19">
        <v>5.8389035293916904E-2</v>
      </c>
      <c r="P1946" s="19">
        <v>0.23211199389448897</v>
      </c>
      <c r="Q1946" s="19">
        <v>0.21327981015566636</v>
      </c>
      <c r="R1946" s="19">
        <v>0.2431166537393866</v>
      </c>
      <c r="S1946" s="19">
        <v>2.4778583049631129E-2</v>
      </c>
      <c r="T1946" s="20">
        <v>23</v>
      </c>
      <c r="U1946" s="17">
        <v>2</v>
      </c>
      <c r="V1946" s="17">
        <v>34</v>
      </c>
    </row>
    <row r="1947" spans="1:22" x14ac:dyDescent="0.2">
      <c r="A1947" t="s">
        <v>4753</v>
      </c>
      <c r="B1947" t="s">
        <v>2719</v>
      </c>
      <c r="C1947" t="s">
        <v>2720</v>
      </c>
      <c r="D1947" t="s">
        <v>4724</v>
      </c>
      <c r="E1947" s="10" t="s">
        <v>4754</v>
      </c>
      <c r="F1947" s="10"/>
      <c r="G1947" s="10"/>
      <c r="H1947" s="10" t="s">
        <v>4754</v>
      </c>
      <c r="I1947" s="14">
        <v>68781.752042169683</v>
      </c>
      <c r="J1947" s="19">
        <v>0</v>
      </c>
      <c r="K1947" s="19">
        <v>0.8595492016261127</v>
      </c>
      <c r="L1947" s="19">
        <v>0.14045079837388735</v>
      </c>
      <c r="M1947" s="20">
        <v>2</v>
      </c>
      <c r="N1947" s="19">
        <v>0.31764862472380845</v>
      </c>
      <c r="O1947" s="19">
        <v>0</v>
      </c>
      <c r="P1947" s="19">
        <v>0.5419005769023042</v>
      </c>
      <c r="Q1947" s="19">
        <v>4.7082117677501555E-2</v>
      </c>
      <c r="R1947" s="19">
        <v>8.3292365869750473E-2</v>
      </c>
      <c r="S1947" s="19">
        <v>1.0076314826635313E-2</v>
      </c>
      <c r="T1947" s="20">
        <v>21</v>
      </c>
      <c r="U1947" s="17">
        <v>2</v>
      </c>
      <c r="V1947" s="17">
        <v>34</v>
      </c>
    </row>
    <row r="1948" spans="1:22" x14ac:dyDescent="0.2">
      <c r="A1948" t="s">
        <v>4755</v>
      </c>
      <c r="B1948" t="s">
        <v>2719</v>
      </c>
      <c r="C1948" t="s">
        <v>2720</v>
      </c>
      <c r="D1948" t="s">
        <v>4724</v>
      </c>
      <c r="E1948" s="10" t="s">
        <v>4756</v>
      </c>
      <c r="F1948" s="10"/>
      <c r="G1948" s="10"/>
      <c r="H1948" s="10" t="s">
        <v>4756</v>
      </c>
      <c r="I1948" s="14">
        <v>75974.520889289677</v>
      </c>
      <c r="J1948" s="19">
        <v>0</v>
      </c>
      <c r="K1948" s="19">
        <v>0.74160314915696124</v>
      </c>
      <c r="L1948" s="19">
        <v>0.25839685084303882</v>
      </c>
      <c r="M1948" s="20">
        <v>2</v>
      </c>
      <c r="N1948" s="19">
        <v>0.20462876163743404</v>
      </c>
      <c r="O1948" s="19">
        <v>2.8645761571422313E-3</v>
      </c>
      <c r="P1948" s="19">
        <v>0.53410981136238489</v>
      </c>
      <c r="Q1948" s="19">
        <v>7.9183349356093211E-2</v>
      </c>
      <c r="R1948" s="19">
        <v>0.16887697037235419</v>
      </c>
      <c r="S1948" s="19">
        <v>1.0336531114591402E-2</v>
      </c>
      <c r="T1948" s="20">
        <v>21</v>
      </c>
      <c r="U1948" s="17">
        <v>2</v>
      </c>
      <c r="V1948" s="17">
        <v>34</v>
      </c>
    </row>
    <row r="1949" spans="1:22" x14ac:dyDescent="0.2">
      <c r="A1949" t="s">
        <v>4757</v>
      </c>
      <c r="B1949" t="s">
        <v>2719</v>
      </c>
      <c r="C1949" t="s">
        <v>2720</v>
      </c>
      <c r="D1949" t="s">
        <v>4724</v>
      </c>
      <c r="E1949" s="10" t="s">
        <v>4758</v>
      </c>
      <c r="F1949" s="10"/>
      <c r="G1949" s="10"/>
      <c r="H1949" s="10" t="s">
        <v>4758</v>
      </c>
      <c r="I1949" s="14">
        <v>55807.558038424708</v>
      </c>
      <c r="J1949" s="19">
        <v>0</v>
      </c>
      <c r="K1949" s="19">
        <v>0.85634620749750001</v>
      </c>
      <c r="L1949" s="19">
        <v>0.14365379250249979</v>
      </c>
      <c r="M1949" s="20">
        <v>2</v>
      </c>
      <c r="N1949" s="19">
        <v>0.34923058318942091</v>
      </c>
      <c r="O1949" s="19">
        <v>0</v>
      </c>
      <c r="P1949" s="19">
        <v>0.5071156243080791</v>
      </c>
      <c r="Q1949" s="19">
        <v>0</v>
      </c>
      <c r="R1949" s="19">
        <v>0.13980418835428363</v>
      </c>
      <c r="S1949" s="19">
        <v>3.8496041482162084E-3</v>
      </c>
      <c r="T1949" s="20">
        <v>21</v>
      </c>
      <c r="U1949" s="17">
        <v>2</v>
      </c>
      <c r="V1949" s="17">
        <v>34</v>
      </c>
    </row>
    <row r="1950" spans="1:22" x14ac:dyDescent="0.2">
      <c r="A1950" t="s">
        <v>4759</v>
      </c>
      <c r="B1950" t="s">
        <v>2719</v>
      </c>
      <c r="C1950" t="s">
        <v>2720</v>
      </c>
      <c r="D1950" t="s">
        <v>4724</v>
      </c>
      <c r="E1950" s="10" t="s">
        <v>4760</v>
      </c>
      <c r="F1950" s="10"/>
      <c r="G1950" s="10"/>
      <c r="H1950" s="10" t="s">
        <v>4760</v>
      </c>
      <c r="I1950" s="14">
        <v>41774.22879345715</v>
      </c>
      <c r="J1950" s="19">
        <v>0</v>
      </c>
      <c r="K1950" s="19">
        <v>0.62515644177392704</v>
      </c>
      <c r="L1950" s="19">
        <v>0.37484355822607296</v>
      </c>
      <c r="M1950" s="20">
        <v>2</v>
      </c>
      <c r="N1950" s="19">
        <v>0.12643312322828523</v>
      </c>
      <c r="O1950" s="19">
        <v>0</v>
      </c>
      <c r="P1950" s="19">
        <v>0.49872331854564178</v>
      </c>
      <c r="Q1950" s="19">
        <v>9.3233640109733285E-2</v>
      </c>
      <c r="R1950" s="19">
        <v>0.25807039030084261</v>
      </c>
      <c r="S1950" s="19">
        <v>2.3539527815497074E-2</v>
      </c>
      <c r="T1950" s="20">
        <v>23</v>
      </c>
      <c r="U1950" s="17">
        <v>2</v>
      </c>
      <c r="V1950" s="17">
        <v>34</v>
      </c>
    </row>
    <row r="1951" spans="1:22" x14ac:dyDescent="0.2">
      <c r="A1951" t="s">
        <v>4761</v>
      </c>
      <c r="B1951" t="s">
        <v>2719</v>
      </c>
      <c r="C1951" t="s">
        <v>2720</v>
      </c>
      <c r="D1951" t="s">
        <v>4724</v>
      </c>
      <c r="E1951" s="10" t="s">
        <v>4762</v>
      </c>
      <c r="F1951" s="10"/>
      <c r="G1951" s="10"/>
      <c r="H1951" s="10" t="s">
        <v>4762</v>
      </c>
      <c r="I1951" s="14">
        <v>85166.472991105169</v>
      </c>
      <c r="J1951" s="19">
        <v>0</v>
      </c>
      <c r="K1951" s="19">
        <v>0.6858867251198898</v>
      </c>
      <c r="L1951" s="19">
        <v>0.3141132748801102</v>
      </c>
      <c r="M1951" s="20">
        <v>2</v>
      </c>
      <c r="N1951" s="19">
        <v>0.16607374610120684</v>
      </c>
      <c r="O1951" s="19">
        <v>2.3878271742024814E-3</v>
      </c>
      <c r="P1951" s="19">
        <v>0.51742515184448046</v>
      </c>
      <c r="Q1951" s="19">
        <v>0.10298273010037584</v>
      </c>
      <c r="R1951" s="19">
        <v>0.19029360844309404</v>
      </c>
      <c r="S1951" s="19">
        <v>2.083693633664032E-2</v>
      </c>
      <c r="T1951" s="20">
        <v>21</v>
      </c>
      <c r="U1951" s="17">
        <v>2</v>
      </c>
      <c r="V1951" s="17">
        <v>34</v>
      </c>
    </row>
    <row r="1952" spans="1:22" x14ac:dyDescent="0.2">
      <c r="A1952" t="s">
        <v>4763</v>
      </c>
      <c r="B1952" t="s">
        <v>2719</v>
      </c>
      <c r="C1952" t="s">
        <v>2720</v>
      </c>
      <c r="D1952" t="s">
        <v>4724</v>
      </c>
      <c r="E1952" s="10" t="s">
        <v>3517</v>
      </c>
      <c r="F1952" s="10"/>
      <c r="G1952" s="10"/>
      <c r="H1952" s="10" t="s">
        <v>3517</v>
      </c>
      <c r="I1952" s="14">
        <v>52812.36885521654</v>
      </c>
      <c r="J1952" s="19">
        <v>0</v>
      </c>
      <c r="K1952" s="19">
        <v>0.84497837985061863</v>
      </c>
      <c r="L1952" s="19">
        <v>0.15502162014938142</v>
      </c>
      <c r="M1952" s="20">
        <v>2</v>
      </c>
      <c r="N1952" s="19">
        <v>0.46888520385516463</v>
      </c>
      <c r="O1952" s="19">
        <v>0</v>
      </c>
      <c r="P1952" s="19">
        <v>0.37609317599545394</v>
      </c>
      <c r="Q1952" s="19">
        <v>3.1603398384369652E-2</v>
      </c>
      <c r="R1952" s="19">
        <v>0.1138309654304991</v>
      </c>
      <c r="S1952" s="19">
        <v>9.5872563345126682E-3</v>
      </c>
      <c r="T1952" s="20">
        <v>23</v>
      </c>
      <c r="U1952" s="17">
        <v>2</v>
      </c>
      <c r="V1952" s="17">
        <v>34</v>
      </c>
    </row>
    <row r="1953" spans="1:22" x14ac:dyDescent="0.2">
      <c r="A1953" t="s">
        <v>4764</v>
      </c>
      <c r="B1953" t="s">
        <v>2719</v>
      </c>
      <c r="C1953" t="s">
        <v>2720</v>
      </c>
      <c r="D1953" t="s">
        <v>4724</v>
      </c>
      <c r="E1953" s="10" t="s">
        <v>4765</v>
      </c>
      <c r="F1953" s="10"/>
      <c r="G1953" s="10"/>
      <c r="H1953" s="10" t="s">
        <v>4765</v>
      </c>
      <c r="I1953" s="14">
        <v>24831.73963098228</v>
      </c>
      <c r="J1953" s="19">
        <v>0</v>
      </c>
      <c r="K1953" s="19">
        <v>0.99142951161296111</v>
      </c>
      <c r="L1953" s="19">
        <v>8.5704883870388777E-3</v>
      </c>
      <c r="M1953" s="20">
        <v>2</v>
      </c>
      <c r="N1953" s="19">
        <v>0.84489853296420192</v>
      </c>
      <c r="O1953" s="19">
        <v>0</v>
      </c>
      <c r="P1953" s="19">
        <v>0.14653097864875925</v>
      </c>
      <c r="Q1953" s="19">
        <v>0</v>
      </c>
      <c r="R1953" s="19">
        <v>7.8213030642028808E-3</v>
      </c>
      <c r="S1953" s="19">
        <v>7.4918532283599804E-4</v>
      </c>
      <c r="T1953" s="20">
        <v>23</v>
      </c>
      <c r="U1953" s="17">
        <v>2</v>
      </c>
      <c r="V1953" s="17">
        <v>34</v>
      </c>
    </row>
    <row r="1954" spans="1:22" x14ac:dyDescent="0.2">
      <c r="A1954" t="s">
        <v>4766</v>
      </c>
      <c r="B1954" t="s">
        <v>2719</v>
      </c>
      <c r="C1954" t="s">
        <v>2720</v>
      </c>
      <c r="D1954" t="s">
        <v>4724</v>
      </c>
      <c r="E1954" s="10" t="s">
        <v>4767</v>
      </c>
      <c r="F1954" s="10"/>
      <c r="G1954" s="10"/>
      <c r="H1954" s="10" t="s">
        <v>4767</v>
      </c>
      <c r="I1954" s="14">
        <v>150141.29662763327</v>
      </c>
      <c r="J1954" s="19">
        <v>8.4838876641166752E-5</v>
      </c>
      <c r="K1954" s="19">
        <v>0.7667993989300862</v>
      </c>
      <c r="L1954" s="19">
        <v>0.23311576219327265</v>
      </c>
      <c r="M1954" s="20">
        <v>2</v>
      </c>
      <c r="N1954" s="19">
        <v>0.38554793678733523</v>
      </c>
      <c r="O1954" s="19">
        <v>1.4455901814238743E-2</v>
      </c>
      <c r="P1954" s="19">
        <v>0.36679556032851218</v>
      </c>
      <c r="Q1954" s="19">
        <v>9.9168425386399875E-2</v>
      </c>
      <c r="R1954" s="19">
        <v>0.12593336118528811</v>
      </c>
      <c r="S1954" s="19">
        <v>8.0139756215846566E-3</v>
      </c>
      <c r="T1954" s="20">
        <v>23</v>
      </c>
      <c r="U1954" s="17">
        <v>2</v>
      </c>
      <c r="V1954" s="17">
        <v>34</v>
      </c>
    </row>
    <row r="1955" spans="1:22" x14ac:dyDescent="0.2">
      <c r="A1955" t="s">
        <v>4768</v>
      </c>
      <c r="B1955" t="s">
        <v>2719</v>
      </c>
      <c r="C1955" t="s">
        <v>2720</v>
      </c>
      <c r="D1955" t="s">
        <v>4724</v>
      </c>
      <c r="E1955" s="10" t="s">
        <v>4769</v>
      </c>
      <c r="F1955" s="10"/>
      <c r="G1955" s="10"/>
      <c r="H1955" s="10" t="s">
        <v>4769</v>
      </c>
      <c r="I1955" s="14">
        <v>26000.105939388275</v>
      </c>
      <c r="J1955" s="19">
        <v>0</v>
      </c>
      <c r="K1955" s="19">
        <v>0.54749046034331617</v>
      </c>
      <c r="L1955" s="19">
        <v>0.45250953965668389</v>
      </c>
      <c r="M1955" s="20">
        <v>2</v>
      </c>
      <c r="N1955" s="19">
        <v>0</v>
      </c>
      <c r="O1955" s="19">
        <v>0.54749046034331617</v>
      </c>
      <c r="P1955" s="19">
        <v>0</v>
      </c>
      <c r="Q1955" s="19">
        <v>0.14241159932958511</v>
      </c>
      <c r="R1955" s="19">
        <v>0.2717526315056793</v>
      </c>
      <c r="S1955" s="19">
        <v>3.8345308821419462E-2</v>
      </c>
      <c r="T1955" s="20">
        <v>22</v>
      </c>
      <c r="U1955" s="17">
        <v>2</v>
      </c>
      <c r="V1955" s="17">
        <v>34</v>
      </c>
    </row>
    <row r="1956" spans="1:22" x14ac:dyDescent="0.2">
      <c r="A1956" t="s">
        <v>4770</v>
      </c>
      <c r="B1956" t="s">
        <v>2719</v>
      </c>
      <c r="C1956" t="s">
        <v>2720</v>
      </c>
      <c r="D1956" t="s">
        <v>4724</v>
      </c>
      <c r="E1956" s="10" t="s">
        <v>4771</v>
      </c>
      <c r="F1956" s="10"/>
      <c r="G1956" s="10"/>
      <c r="H1956" s="10" t="s">
        <v>4771</v>
      </c>
      <c r="I1956" s="14">
        <v>137326.34366183658</v>
      </c>
      <c r="J1956" s="19">
        <v>0.4173171015416598</v>
      </c>
      <c r="K1956" s="19">
        <v>0.33513875396834419</v>
      </c>
      <c r="L1956" s="19">
        <v>0.24754414448999607</v>
      </c>
      <c r="M1956" s="20">
        <v>2</v>
      </c>
      <c r="N1956" s="19">
        <v>0</v>
      </c>
      <c r="O1956" s="19">
        <v>3.9623081357451996E-2</v>
      </c>
      <c r="P1956" s="19">
        <v>0.29551567261089207</v>
      </c>
      <c r="Q1956" s="19">
        <v>5.0106712225236681E-2</v>
      </c>
      <c r="R1956" s="19">
        <v>0.177641866729634</v>
      </c>
      <c r="S1956" s="19">
        <v>1.9795565535125428E-2</v>
      </c>
      <c r="T1956" s="20">
        <v>22</v>
      </c>
      <c r="U1956" s="17">
        <v>2</v>
      </c>
      <c r="V1956" s="17">
        <v>34</v>
      </c>
    </row>
    <row r="1957" spans="1:22" x14ac:dyDescent="0.2">
      <c r="A1957" t="s">
        <v>4772</v>
      </c>
      <c r="B1957" t="s">
        <v>2719</v>
      </c>
      <c r="C1957" t="s">
        <v>2720</v>
      </c>
      <c r="D1957" t="s">
        <v>4724</v>
      </c>
      <c r="E1957" s="10" t="s">
        <v>4058</v>
      </c>
      <c r="F1957" s="10"/>
      <c r="G1957" s="10"/>
      <c r="H1957" s="10" t="s">
        <v>4058</v>
      </c>
      <c r="I1957" s="14">
        <v>24211.761002324518</v>
      </c>
      <c r="J1957" s="19">
        <v>0</v>
      </c>
      <c r="K1957" s="19">
        <v>0.94725146719733555</v>
      </c>
      <c r="L1957" s="19">
        <v>5.2748532802664588E-2</v>
      </c>
      <c r="M1957" s="20">
        <v>2</v>
      </c>
      <c r="N1957" s="19">
        <v>0.4095554924184473</v>
      </c>
      <c r="O1957" s="19">
        <v>0</v>
      </c>
      <c r="P1957" s="19">
        <v>0.53769597477888831</v>
      </c>
      <c r="Q1957" s="19">
        <v>0</v>
      </c>
      <c r="R1957" s="19">
        <v>5.1280065195411048E-2</v>
      </c>
      <c r="S1957" s="19">
        <v>1.4684676072535411E-3</v>
      </c>
      <c r="T1957" s="20">
        <v>21</v>
      </c>
      <c r="U1957" s="17">
        <v>2</v>
      </c>
      <c r="V1957" s="17">
        <v>34</v>
      </c>
    </row>
    <row r="1958" spans="1:22" x14ac:dyDescent="0.2">
      <c r="A1958" t="s">
        <v>4773</v>
      </c>
      <c r="B1958" t="s">
        <v>2719</v>
      </c>
      <c r="C1958" t="s">
        <v>2720</v>
      </c>
      <c r="D1958" t="s">
        <v>4724</v>
      </c>
      <c r="E1958" s="10" t="s">
        <v>4774</v>
      </c>
      <c r="F1958" s="10"/>
      <c r="G1958" s="10"/>
      <c r="H1958" s="10" t="s">
        <v>4774</v>
      </c>
      <c r="I1958" s="14">
        <v>129671.36811222137</v>
      </c>
      <c r="J1958" s="19">
        <v>0.5084637917154452</v>
      </c>
      <c r="K1958" s="19">
        <v>0.35464903698978767</v>
      </c>
      <c r="L1958" s="19">
        <v>0.13688717129476702</v>
      </c>
      <c r="M1958" s="20">
        <v>3</v>
      </c>
      <c r="N1958" s="19">
        <v>0.11028699371495534</v>
      </c>
      <c r="O1958" s="19">
        <v>4.4103434486657836E-2</v>
      </c>
      <c r="P1958" s="19">
        <v>0.20025860878817447</v>
      </c>
      <c r="Q1958" s="19">
        <v>2.9879140345977332E-2</v>
      </c>
      <c r="R1958" s="19">
        <v>0.10017881933392374</v>
      </c>
      <c r="S1958" s="19">
        <v>6.8292116148659489E-3</v>
      </c>
      <c r="T1958" s="20">
        <v>30</v>
      </c>
      <c r="U1958" s="17">
        <v>2</v>
      </c>
      <c r="V1958" s="17">
        <v>34</v>
      </c>
    </row>
    <row r="1959" spans="1:22" x14ac:dyDescent="0.2">
      <c r="A1959" t="s">
        <v>4775</v>
      </c>
      <c r="B1959" t="s">
        <v>2719</v>
      </c>
      <c r="C1959" t="s">
        <v>2720</v>
      </c>
      <c r="D1959" t="s">
        <v>4724</v>
      </c>
      <c r="E1959" s="10" t="s">
        <v>4776</v>
      </c>
      <c r="F1959" s="10"/>
      <c r="G1959" s="10"/>
      <c r="H1959" s="10" t="s">
        <v>4776</v>
      </c>
      <c r="I1959" s="14">
        <v>71935.271532813087</v>
      </c>
      <c r="J1959" s="19">
        <v>0</v>
      </c>
      <c r="K1959" s="19">
        <v>0.68580987653494041</v>
      </c>
      <c r="L1959" s="19">
        <v>0.31419012346505959</v>
      </c>
      <c r="M1959" s="20">
        <v>2</v>
      </c>
      <c r="N1959" s="19">
        <v>0.12055787319665708</v>
      </c>
      <c r="O1959" s="19">
        <v>7.9196584760664282E-2</v>
      </c>
      <c r="P1959" s="19">
        <v>0.48605541857761908</v>
      </c>
      <c r="Q1959" s="19">
        <v>0.10085283028267907</v>
      </c>
      <c r="R1959" s="19">
        <v>0.18860651362442249</v>
      </c>
      <c r="S1959" s="19">
        <v>2.4730779557958014E-2</v>
      </c>
      <c r="T1959" s="20">
        <v>23</v>
      </c>
      <c r="U1959" s="17">
        <v>2</v>
      </c>
      <c r="V1959" s="17">
        <v>34</v>
      </c>
    </row>
    <row r="1960" spans="1:22" x14ac:dyDescent="0.2">
      <c r="A1960" t="s">
        <v>4777</v>
      </c>
      <c r="B1960" t="s">
        <v>2719</v>
      </c>
      <c r="C1960" t="s">
        <v>2720</v>
      </c>
      <c r="D1960" t="s">
        <v>4724</v>
      </c>
      <c r="E1960" s="10" t="s">
        <v>3688</v>
      </c>
      <c r="F1960" s="10"/>
      <c r="G1960" s="10"/>
      <c r="H1960" s="10" t="s">
        <v>3688</v>
      </c>
      <c r="I1960" s="14">
        <v>105295.90857683308</v>
      </c>
      <c r="J1960" s="19">
        <v>0.58321558203197776</v>
      </c>
      <c r="K1960" s="19">
        <v>0.31191705248130996</v>
      </c>
      <c r="L1960" s="19">
        <v>0.10486736548671223</v>
      </c>
      <c r="M1960" s="20">
        <v>3</v>
      </c>
      <c r="N1960" s="19">
        <v>0</v>
      </c>
      <c r="O1960" s="19">
        <v>8.3377144113487109E-2</v>
      </c>
      <c r="P1960" s="19">
        <v>0.2285399083678229</v>
      </c>
      <c r="Q1960" s="19">
        <v>2.1450054122077535E-2</v>
      </c>
      <c r="R1960" s="19">
        <v>7.7059774706410664E-2</v>
      </c>
      <c r="S1960" s="19">
        <v>6.3575366582240391E-3</v>
      </c>
      <c r="T1960" s="20">
        <v>30</v>
      </c>
      <c r="U1960" s="17">
        <v>2</v>
      </c>
      <c r="V1960" s="17">
        <v>34</v>
      </c>
    </row>
    <row r="1961" spans="1:22" x14ac:dyDescent="0.2">
      <c r="A1961" t="s">
        <v>4778</v>
      </c>
      <c r="B1961" t="s">
        <v>2719</v>
      </c>
      <c r="C1961" t="s">
        <v>2720</v>
      </c>
      <c r="D1961" t="s">
        <v>4724</v>
      </c>
      <c r="E1961" s="10" t="s">
        <v>4779</v>
      </c>
      <c r="F1961" s="10"/>
      <c r="G1961" s="10"/>
      <c r="H1961" s="10" t="s">
        <v>4779</v>
      </c>
      <c r="I1961" s="14">
        <v>44742.625436955132</v>
      </c>
      <c r="J1961" s="19">
        <v>0</v>
      </c>
      <c r="K1961" s="19">
        <v>0.61976077232971183</v>
      </c>
      <c r="L1961" s="19">
        <v>0.38023922767028817</v>
      </c>
      <c r="M1961" s="20">
        <v>2</v>
      </c>
      <c r="N1961" s="19">
        <v>0.15877060117699315</v>
      </c>
      <c r="O1961" s="19">
        <v>0.13326377075268064</v>
      </c>
      <c r="P1961" s="19">
        <v>0.32772640040003809</v>
      </c>
      <c r="Q1961" s="19">
        <v>0.12219776249091022</v>
      </c>
      <c r="R1961" s="19">
        <v>0.2520135492551428</v>
      </c>
      <c r="S1961" s="19">
        <v>6.0279159242350982E-3</v>
      </c>
      <c r="T1961" s="20">
        <v>23</v>
      </c>
      <c r="U1961" s="17">
        <v>2</v>
      </c>
      <c r="V1961" s="17">
        <v>34</v>
      </c>
    </row>
    <row r="1962" spans="1:22" x14ac:dyDescent="0.2">
      <c r="A1962" t="s">
        <v>4780</v>
      </c>
      <c r="B1962" t="s">
        <v>2719</v>
      </c>
      <c r="C1962" t="s">
        <v>2720</v>
      </c>
      <c r="D1962" t="s">
        <v>4724</v>
      </c>
      <c r="E1962" s="10" t="s">
        <v>4781</v>
      </c>
      <c r="F1962" s="10"/>
      <c r="G1962" s="10"/>
      <c r="H1962" s="10" t="s">
        <v>4781</v>
      </c>
      <c r="I1962" s="14">
        <v>40319.805720165372</v>
      </c>
      <c r="J1962" s="19">
        <v>0</v>
      </c>
      <c r="K1962" s="19">
        <v>0.94401025332366806</v>
      </c>
      <c r="L1962" s="19">
        <v>5.5989746676331886E-2</v>
      </c>
      <c r="M1962" s="20">
        <v>2</v>
      </c>
      <c r="N1962" s="19">
        <v>0.5673019606562939</v>
      </c>
      <c r="O1962" s="19">
        <v>0</v>
      </c>
      <c r="P1962" s="19">
        <v>0.37670829266737416</v>
      </c>
      <c r="Q1962" s="19">
        <v>0</v>
      </c>
      <c r="R1962" s="19">
        <v>5.3660925845091294E-2</v>
      </c>
      <c r="S1962" s="19">
        <v>2.328820831240593E-3</v>
      </c>
      <c r="T1962" s="20">
        <v>23</v>
      </c>
      <c r="U1962" s="17">
        <v>2</v>
      </c>
      <c r="V1962" s="17">
        <v>34</v>
      </c>
    </row>
    <row r="1963" spans="1:22" x14ac:dyDescent="0.2">
      <c r="A1963" t="s">
        <v>4782</v>
      </c>
      <c r="B1963" t="s">
        <v>2719</v>
      </c>
      <c r="C1963" t="s">
        <v>2720</v>
      </c>
      <c r="D1963" t="s">
        <v>4724</v>
      </c>
      <c r="E1963" s="10" t="s">
        <v>4783</v>
      </c>
      <c r="F1963" s="10"/>
      <c r="G1963" s="10"/>
      <c r="H1963" s="10" t="s">
        <v>4783</v>
      </c>
      <c r="I1963" s="14">
        <v>94539.186960762832</v>
      </c>
      <c r="J1963" s="19">
        <v>0</v>
      </c>
      <c r="K1963" s="19">
        <v>0.93636975045176007</v>
      </c>
      <c r="L1963" s="19">
        <v>6.3630249548239953E-2</v>
      </c>
      <c r="M1963" s="20">
        <v>2</v>
      </c>
      <c r="N1963" s="19">
        <v>0.59812050883517309</v>
      </c>
      <c r="O1963" s="19">
        <v>0</v>
      </c>
      <c r="P1963" s="19">
        <v>0.33824924161658693</v>
      </c>
      <c r="Q1963" s="19">
        <v>1.8796655278738684E-2</v>
      </c>
      <c r="R1963" s="19">
        <v>4.2671938825333731E-2</v>
      </c>
      <c r="S1963" s="19">
        <v>2.1616554441675384E-3</v>
      </c>
      <c r="T1963" s="20">
        <v>23</v>
      </c>
      <c r="U1963" s="17">
        <v>2</v>
      </c>
      <c r="V1963" s="17">
        <v>34</v>
      </c>
    </row>
    <row r="1964" spans="1:22" x14ac:dyDescent="0.2">
      <c r="A1964" t="s">
        <v>4784</v>
      </c>
      <c r="B1964" t="s">
        <v>2719</v>
      </c>
      <c r="C1964" t="s">
        <v>2720</v>
      </c>
      <c r="D1964" t="s">
        <v>4785</v>
      </c>
      <c r="E1964" s="10" t="s">
        <v>4786</v>
      </c>
      <c r="F1964" s="10"/>
      <c r="G1964" s="10"/>
      <c r="H1964" s="10" t="s">
        <v>4786</v>
      </c>
      <c r="I1964" s="14">
        <v>25326.188942550682</v>
      </c>
      <c r="J1964" s="19">
        <v>0</v>
      </c>
      <c r="K1964" s="19">
        <v>0.80010660307580317</v>
      </c>
      <c r="L1964" s="19">
        <v>0.19989339692419686</v>
      </c>
      <c r="M1964" s="20">
        <v>2</v>
      </c>
      <c r="N1964" s="19">
        <v>0.32644834195623396</v>
      </c>
      <c r="O1964" s="19">
        <v>0</v>
      </c>
      <c r="P1964" s="19">
        <v>0.47365826111956916</v>
      </c>
      <c r="Q1964" s="19">
        <v>8.4301454092621964E-2</v>
      </c>
      <c r="R1964" s="19">
        <v>0.10535700957101897</v>
      </c>
      <c r="S1964" s="19">
        <v>1.0234933260555943E-2</v>
      </c>
      <c r="T1964" s="20">
        <v>23</v>
      </c>
      <c r="U1964" s="17">
        <v>2</v>
      </c>
      <c r="V1964" s="17">
        <v>34</v>
      </c>
    </row>
    <row r="1965" spans="1:22" x14ac:dyDescent="0.2">
      <c r="A1965" t="s">
        <v>4787</v>
      </c>
      <c r="B1965" t="s">
        <v>2719</v>
      </c>
      <c r="C1965" t="s">
        <v>2720</v>
      </c>
      <c r="D1965" t="s">
        <v>4785</v>
      </c>
      <c r="E1965" s="10" t="s">
        <v>4788</v>
      </c>
      <c r="F1965" s="10"/>
      <c r="G1965" s="10"/>
      <c r="H1965" s="10" t="s">
        <v>4788</v>
      </c>
      <c r="I1965" s="14">
        <v>56820.266109814867</v>
      </c>
      <c r="J1965" s="19">
        <v>0</v>
      </c>
      <c r="K1965" s="19">
        <v>0.6714584969993711</v>
      </c>
      <c r="L1965" s="19">
        <v>0.32854150300062895</v>
      </c>
      <c r="M1965" s="20">
        <v>2</v>
      </c>
      <c r="N1965" s="19">
        <v>0.18964671588475279</v>
      </c>
      <c r="O1965" s="19">
        <v>9.825317538177912E-2</v>
      </c>
      <c r="P1965" s="19">
        <v>0.38355860573283912</v>
      </c>
      <c r="Q1965" s="19">
        <v>0.15246880507269461</v>
      </c>
      <c r="R1965" s="19">
        <v>0.16038122806011626</v>
      </c>
      <c r="S1965" s="19">
        <v>1.5691469867818091E-2</v>
      </c>
      <c r="T1965" s="20">
        <v>23</v>
      </c>
      <c r="U1965" s="17">
        <v>2</v>
      </c>
      <c r="V1965" s="17">
        <v>34</v>
      </c>
    </row>
    <row r="1966" spans="1:22" x14ac:dyDescent="0.2">
      <c r="A1966" t="s">
        <v>4789</v>
      </c>
      <c r="B1966" t="s">
        <v>2719</v>
      </c>
      <c r="C1966" t="s">
        <v>2720</v>
      </c>
      <c r="D1966" t="s">
        <v>4785</v>
      </c>
      <c r="E1966" s="10" t="s">
        <v>4790</v>
      </c>
      <c r="F1966" s="10"/>
      <c r="G1966" s="10"/>
      <c r="H1966" s="10" t="s">
        <v>4790</v>
      </c>
      <c r="I1966" s="14">
        <v>42174.27630084008</v>
      </c>
      <c r="J1966" s="19">
        <v>3.0231462410139659E-2</v>
      </c>
      <c r="K1966" s="19">
        <v>0.95738196822056953</v>
      </c>
      <c r="L1966" s="19">
        <v>1.2386569369290786E-2</v>
      </c>
      <c r="M1966" s="20">
        <v>2</v>
      </c>
      <c r="N1966" s="19">
        <v>0.5844224049820762</v>
      </c>
      <c r="O1966" s="19">
        <v>0</v>
      </c>
      <c r="P1966" s="19">
        <v>0.37295956323849327</v>
      </c>
      <c r="Q1966" s="19">
        <v>0</v>
      </c>
      <c r="R1966" s="19">
        <v>1.2386569369290786E-2</v>
      </c>
      <c r="S1966" s="19">
        <v>0</v>
      </c>
      <c r="T1966" s="20">
        <v>23</v>
      </c>
      <c r="U1966" s="17">
        <v>2</v>
      </c>
      <c r="V1966" s="17">
        <v>34</v>
      </c>
    </row>
    <row r="1967" spans="1:22" x14ac:dyDescent="0.2">
      <c r="A1967" t="s">
        <v>4791</v>
      </c>
      <c r="B1967" t="s">
        <v>2719</v>
      </c>
      <c r="C1967" t="s">
        <v>2720</v>
      </c>
      <c r="D1967" t="s">
        <v>4785</v>
      </c>
      <c r="E1967" s="10" t="s">
        <v>4792</v>
      </c>
      <c r="F1967" s="10"/>
      <c r="G1967" s="10"/>
      <c r="H1967" s="10" t="s">
        <v>4792</v>
      </c>
      <c r="I1967" s="14">
        <v>84085.017032451462</v>
      </c>
      <c r="J1967" s="19">
        <v>0</v>
      </c>
      <c r="K1967" s="19">
        <v>0.6885596394060971</v>
      </c>
      <c r="L1967" s="19">
        <v>0.3114403605939029</v>
      </c>
      <c r="M1967" s="20">
        <v>2</v>
      </c>
      <c r="N1967" s="19">
        <v>0.22213096212778327</v>
      </c>
      <c r="O1967" s="19">
        <v>0</v>
      </c>
      <c r="P1967" s="19">
        <v>0.46642867727831383</v>
      </c>
      <c r="Q1967" s="19">
        <v>7.627946059820663E-2</v>
      </c>
      <c r="R1967" s="19">
        <v>0.22030526142214216</v>
      </c>
      <c r="S1967" s="19">
        <v>1.4855638573554096E-2</v>
      </c>
      <c r="T1967" s="20">
        <v>23</v>
      </c>
      <c r="U1967" s="17">
        <v>2</v>
      </c>
      <c r="V1967" s="17">
        <v>34</v>
      </c>
    </row>
    <row r="1968" spans="1:22" x14ac:dyDescent="0.2">
      <c r="A1968" t="s">
        <v>4793</v>
      </c>
      <c r="B1968" t="s">
        <v>2719</v>
      </c>
      <c r="C1968" t="s">
        <v>2720</v>
      </c>
      <c r="D1968" t="s">
        <v>4785</v>
      </c>
      <c r="E1968" s="10" t="s">
        <v>4794</v>
      </c>
      <c r="F1968" s="10"/>
      <c r="G1968" s="10"/>
      <c r="H1968" s="10" t="s">
        <v>4794</v>
      </c>
      <c r="I1968" s="14">
        <v>31395.749178232625</v>
      </c>
      <c r="J1968" s="19">
        <v>0</v>
      </c>
      <c r="K1968" s="19">
        <v>0.60737763382687482</v>
      </c>
      <c r="L1968" s="19">
        <v>0.39262236617312518</v>
      </c>
      <c r="M1968" s="20">
        <v>2</v>
      </c>
      <c r="N1968" s="19">
        <v>0</v>
      </c>
      <c r="O1968" s="19">
        <v>0.60737763382687482</v>
      </c>
      <c r="P1968" s="19">
        <v>0</v>
      </c>
      <c r="Q1968" s="19">
        <v>0.20445617578189335</v>
      </c>
      <c r="R1968" s="19">
        <v>0.17399809575974931</v>
      </c>
      <c r="S1968" s="19">
        <v>1.4168094631482511E-2</v>
      </c>
      <c r="T1968" s="20">
        <v>22</v>
      </c>
      <c r="U1968" s="17">
        <v>2</v>
      </c>
      <c r="V1968" s="17">
        <v>34</v>
      </c>
    </row>
    <row r="1969" spans="1:22" x14ac:dyDescent="0.2">
      <c r="A1969" t="s">
        <v>4795</v>
      </c>
      <c r="B1969" t="s">
        <v>2719</v>
      </c>
      <c r="C1969" t="s">
        <v>2720</v>
      </c>
      <c r="D1969" t="s">
        <v>4785</v>
      </c>
      <c r="E1969" s="10" t="s">
        <v>4796</v>
      </c>
      <c r="F1969" s="10"/>
      <c r="G1969" s="10"/>
      <c r="H1969" s="10" t="s">
        <v>4796</v>
      </c>
      <c r="I1969" s="14">
        <v>135369.90026984364</v>
      </c>
      <c r="J1969" s="19">
        <v>0</v>
      </c>
      <c r="K1969" s="19">
        <v>0.42626313241670499</v>
      </c>
      <c r="L1969" s="19">
        <v>0.57373686758329501</v>
      </c>
      <c r="M1969" s="20">
        <v>1</v>
      </c>
      <c r="N1969" s="19">
        <v>0.16991898539344483</v>
      </c>
      <c r="O1969" s="19">
        <v>4.2672458949772514E-2</v>
      </c>
      <c r="P1969" s="19">
        <v>0.21367168807348763</v>
      </c>
      <c r="Q1969" s="19">
        <v>0.29246868285012578</v>
      </c>
      <c r="R1969" s="19">
        <v>0.24231535525846881</v>
      </c>
      <c r="S1969" s="19">
        <v>3.895282947470044E-2</v>
      </c>
      <c r="T1969" s="20">
        <v>13</v>
      </c>
      <c r="U1969" s="17">
        <v>2</v>
      </c>
      <c r="V1969" s="17">
        <v>34</v>
      </c>
    </row>
    <row r="1970" spans="1:22" x14ac:dyDescent="0.2">
      <c r="A1970" t="s">
        <v>4797</v>
      </c>
      <c r="B1970" t="s">
        <v>2719</v>
      </c>
      <c r="C1970" t="s">
        <v>2720</v>
      </c>
      <c r="D1970" t="s">
        <v>4785</v>
      </c>
      <c r="E1970" s="10" t="s">
        <v>4798</v>
      </c>
      <c r="F1970" s="10"/>
      <c r="G1970" s="10"/>
      <c r="H1970" s="10" t="s">
        <v>4798</v>
      </c>
      <c r="I1970" s="14">
        <v>49091.786650730297</v>
      </c>
      <c r="J1970" s="19">
        <v>0</v>
      </c>
      <c r="K1970" s="19">
        <v>0.74938530204206866</v>
      </c>
      <c r="L1970" s="19">
        <v>0.25061469795793134</v>
      </c>
      <c r="M1970" s="20">
        <v>2</v>
      </c>
      <c r="N1970" s="19">
        <v>0.11191051632363332</v>
      </c>
      <c r="O1970" s="19">
        <v>0.22290428532056547</v>
      </c>
      <c r="P1970" s="19">
        <v>0.41457050039786991</v>
      </c>
      <c r="Q1970" s="19">
        <v>5.2647675494416943E-2</v>
      </c>
      <c r="R1970" s="19">
        <v>0.17928501049876786</v>
      </c>
      <c r="S1970" s="19">
        <v>1.8682011964746552E-2</v>
      </c>
      <c r="T1970" s="20">
        <v>22</v>
      </c>
      <c r="U1970" s="17">
        <v>2</v>
      </c>
      <c r="V1970" s="17">
        <v>34</v>
      </c>
    </row>
    <row r="1971" spans="1:22" x14ac:dyDescent="0.2">
      <c r="A1971" t="s">
        <v>4799</v>
      </c>
      <c r="B1971" t="s">
        <v>2719</v>
      </c>
      <c r="C1971" t="s">
        <v>2720</v>
      </c>
      <c r="D1971" t="s">
        <v>4785</v>
      </c>
      <c r="E1971" s="10" t="s">
        <v>4800</v>
      </c>
      <c r="F1971" s="10"/>
      <c r="G1971" s="10"/>
      <c r="H1971" s="10" t="s">
        <v>4800</v>
      </c>
      <c r="I1971" s="14">
        <v>58540.396625114605</v>
      </c>
      <c r="J1971" s="19">
        <v>0</v>
      </c>
      <c r="K1971" s="19">
        <v>0.80539688054664438</v>
      </c>
      <c r="L1971" s="19">
        <v>0.19460311945335559</v>
      </c>
      <c r="M1971" s="20">
        <v>2</v>
      </c>
      <c r="N1971" s="19">
        <v>0.35702722166667938</v>
      </c>
      <c r="O1971" s="19">
        <v>1.1471845256230588E-3</v>
      </c>
      <c r="P1971" s="19">
        <v>0.44722247435434198</v>
      </c>
      <c r="Q1971" s="19">
        <v>1.4887238747605414E-2</v>
      </c>
      <c r="R1971" s="19">
        <v>0.16486840943532802</v>
      </c>
      <c r="S1971" s="19">
        <v>1.4847471270422173E-2</v>
      </c>
      <c r="T1971" s="20">
        <v>23</v>
      </c>
      <c r="U1971" s="17">
        <v>2</v>
      </c>
      <c r="V1971" s="17">
        <v>34</v>
      </c>
    </row>
    <row r="1972" spans="1:22" x14ac:dyDescent="0.2">
      <c r="A1972" t="s">
        <v>4801</v>
      </c>
      <c r="B1972" t="s">
        <v>2719</v>
      </c>
      <c r="C1972" t="s">
        <v>2720</v>
      </c>
      <c r="D1972" t="s">
        <v>4785</v>
      </c>
      <c r="E1972" s="10" t="s">
        <v>4802</v>
      </c>
      <c r="F1972" s="10"/>
      <c r="G1972" s="10"/>
      <c r="H1972" s="10" t="s">
        <v>4802</v>
      </c>
      <c r="I1972" s="14">
        <v>30625.119004524313</v>
      </c>
      <c r="J1972" s="19">
        <v>0</v>
      </c>
      <c r="K1972" s="19">
        <v>0.76768642088875783</v>
      </c>
      <c r="L1972" s="19">
        <v>0.23231357911124215</v>
      </c>
      <c r="M1972" s="20">
        <v>2</v>
      </c>
      <c r="N1972" s="19">
        <v>0.22412536843699352</v>
      </c>
      <c r="O1972" s="19">
        <v>0</v>
      </c>
      <c r="P1972" s="19">
        <v>0.54356105245176434</v>
      </c>
      <c r="Q1972" s="19">
        <v>3.6255296263565488E-2</v>
      </c>
      <c r="R1972" s="19">
        <v>0.19234759899766571</v>
      </c>
      <c r="S1972" s="19">
        <v>3.7106838500109468E-3</v>
      </c>
      <c r="T1972" s="20">
        <v>21</v>
      </c>
      <c r="U1972" s="17">
        <v>2</v>
      </c>
      <c r="V1972" s="17">
        <v>34</v>
      </c>
    </row>
    <row r="1973" spans="1:22" x14ac:dyDescent="0.2">
      <c r="A1973" t="s">
        <v>4803</v>
      </c>
      <c r="B1973" t="s">
        <v>2719</v>
      </c>
      <c r="C1973" t="s">
        <v>2720</v>
      </c>
      <c r="D1973" t="s">
        <v>4785</v>
      </c>
      <c r="E1973" s="10" t="s">
        <v>4804</v>
      </c>
      <c r="F1973" s="10"/>
      <c r="G1973" s="10"/>
      <c r="H1973" s="10" t="s">
        <v>4804</v>
      </c>
      <c r="I1973" s="14">
        <v>143636.8061174606</v>
      </c>
      <c r="J1973" s="19">
        <v>0.98802309451611714</v>
      </c>
      <c r="K1973" s="19">
        <v>1.0683667260768697E-2</v>
      </c>
      <c r="L1973" s="19">
        <v>1.2932382231141571E-3</v>
      </c>
      <c r="M1973" s="20">
        <v>3</v>
      </c>
      <c r="N1973" s="19">
        <v>0</v>
      </c>
      <c r="O1973" s="19">
        <v>0</v>
      </c>
      <c r="P1973" s="19">
        <v>1.0683667260768697E-2</v>
      </c>
      <c r="Q1973" s="19">
        <v>0</v>
      </c>
      <c r="R1973" s="19">
        <v>1.2932382231141571E-3</v>
      </c>
      <c r="S1973" s="19">
        <v>0</v>
      </c>
      <c r="T1973" s="20">
        <v>30</v>
      </c>
      <c r="U1973" s="17">
        <v>2</v>
      </c>
      <c r="V1973" s="17">
        <v>34</v>
      </c>
    </row>
    <row r="1974" spans="1:22" x14ac:dyDescent="0.2">
      <c r="A1974" t="s">
        <v>4805</v>
      </c>
      <c r="B1974" t="s">
        <v>2719</v>
      </c>
      <c r="C1974" t="s">
        <v>2720</v>
      </c>
      <c r="D1974" t="s">
        <v>4785</v>
      </c>
      <c r="E1974" s="10" t="s">
        <v>4806</v>
      </c>
      <c r="F1974" s="10"/>
      <c r="G1974" s="10"/>
      <c r="H1974" s="10" t="s">
        <v>4806</v>
      </c>
      <c r="I1974" s="14">
        <v>109508.85964535363</v>
      </c>
      <c r="J1974" s="19">
        <v>0</v>
      </c>
      <c r="K1974" s="19">
        <v>0.77938535217215366</v>
      </c>
      <c r="L1974" s="19">
        <v>0.22061464782784629</v>
      </c>
      <c r="M1974" s="20">
        <v>2</v>
      </c>
      <c r="N1974" s="19">
        <v>0.22988194047383789</v>
      </c>
      <c r="O1974" s="19">
        <v>0.13873895186632026</v>
      </c>
      <c r="P1974" s="19">
        <v>0.4107644598319955</v>
      </c>
      <c r="Q1974" s="19">
        <v>3.1882318059404301E-2</v>
      </c>
      <c r="R1974" s="19">
        <v>0.17359221398056693</v>
      </c>
      <c r="S1974" s="19">
        <v>1.5140115787875065E-2</v>
      </c>
      <c r="T1974" s="20">
        <v>23</v>
      </c>
      <c r="U1974" s="17">
        <v>2</v>
      </c>
      <c r="V1974" s="17">
        <v>34</v>
      </c>
    </row>
    <row r="1975" spans="1:22" x14ac:dyDescent="0.2">
      <c r="A1975" t="s">
        <v>4807</v>
      </c>
      <c r="B1975" t="s">
        <v>2719</v>
      </c>
      <c r="C1975" t="s">
        <v>2720</v>
      </c>
      <c r="D1975" t="s">
        <v>4785</v>
      </c>
      <c r="E1975" s="10" t="s">
        <v>4808</v>
      </c>
      <c r="F1975" s="10"/>
      <c r="G1975" s="10"/>
      <c r="H1975" s="10" t="s">
        <v>4808</v>
      </c>
      <c r="I1975" s="14">
        <v>34458.433318708092</v>
      </c>
      <c r="J1975" s="19">
        <v>0</v>
      </c>
      <c r="K1975" s="19">
        <v>0.70490371642551108</v>
      </c>
      <c r="L1975" s="19">
        <v>0.29509628357448886</v>
      </c>
      <c r="M1975" s="20">
        <v>2</v>
      </c>
      <c r="N1975" s="19">
        <v>0.17956050673606017</v>
      </c>
      <c r="O1975" s="19">
        <v>0.33637861549979281</v>
      </c>
      <c r="P1975" s="19">
        <v>0.18896459418965814</v>
      </c>
      <c r="Q1975" s="19">
        <v>6.8605103232673395E-2</v>
      </c>
      <c r="R1975" s="19">
        <v>0.22029682283210439</v>
      </c>
      <c r="S1975" s="19">
        <v>6.1943575097110955E-3</v>
      </c>
      <c r="T1975" s="20">
        <v>22</v>
      </c>
      <c r="U1975" s="17">
        <v>2</v>
      </c>
      <c r="V1975" s="17">
        <v>34</v>
      </c>
    </row>
    <row r="1976" spans="1:22" x14ac:dyDescent="0.2">
      <c r="A1976" t="s">
        <v>4809</v>
      </c>
      <c r="B1976" t="s">
        <v>2719</v>
      </c>
      <c r="C1976" t="s">
        <v>2720</v>
      </c>
      <c r="D1976" t="s">
        <v>4785</v>
      </c>
      <c r="E1976" s="10" t="s">
        <v>4810</v>
      </c>
      <c r="F1976" s="10"/>
      <c r="G1976" s="10"/>
      <c r="H1976" s="10" t="s">
        <v>4810</v>
      </c>
      <c r="I1976" s="14">
        <v>46462.04755359143</v>
      </c>
      <c r="J1976" s="19">
        <v>0</v>
      </c>
      <c r="K1976" s="19">
        <v>0.75872384514273228</v>
      </c>
      <c r="L1976" s="19">
        <v>0.24127615485726772</v>
      </c>
      <c r="M1976" s="20">
        <v>2</v>
      </c>
      <c r="N1976" s="19">
        <v>0.13903610704884203</v>
      </c>
      <c r="O1976" s="19">
        <v>0.29099634029225735</v>
      </c>
      <c r="P1976" s="19">
        <v>0.32869139780163287</v>
      </c>
      <c r="Q1976" s="19">
        <v>4.1290550523391117E-2</v>
      </c>
      <c r="R1976" s="19">
        <v>0.19417955323467417</v>
      </c>
      <c r="S1976" s="19">
        <v>5.8060510992024453E-3</v>
      </c>
      <c r="T1976" s="20">
        <v>22</v>
      </c>
      <c r="U1976" s="17">
        <v>2</v>
      </c>
      <c r="V1976" s="17">
        <v>34</v>
      </c>
    </row>
    <row r="1977" spans="1:22" x14ac:dyDescent="0.2">
      <c r="A1977" t="s">
        <v>4811</v>
      </c>
      <c r="B1977" t="s">
        <v>2719</v>
      </c>
      <c r="C1977" t="s">
        <v>2720</v>
      </c>
      <c r="D1977" t="s">
        <v>4785</v>
      </c>
      <c r="E1977" s="10" t="s">
        <v>4812</v>
      </c>
      <c r="F1977" s="10"/>
      <c r="G1977" s="10"/>
      <c r="H1977" s="10" t="s">
        <v>4812</v>
      </c>
      <c r="I1977" s="14">
        <v>89747.82858444193</v>
      </c>
      <c r="J1977" s="19">
        <v>0</v>
      </c>
      <c r="K1977" s="19">
        <v>0.60387749347729081</v>
      </c>
      <c r="L1977" s="19">
        <v>0.39612250652270903</v>
      </c>
      <c r="M1977" s="20">
        <v>2</v>
      </c>
      <c r="N1977" s="19">
        <v>0.13993203263984749</v>
      </c>
      <c r="O1977" s="19">
        <v>1.1560850117667285E-2</v>
      </c>
      <c r="P1977" s="19">
        <v>0.45238461071977604</v>
      </c>
      <c r="Q1977" s="19">
        <v>0.14532039157550716</v>
      </c>
      <c r="R1977" s="19">
        <v>0.21945372038338573</v>
      </c>
      <c r="S1977" s="19">
        <v>3.1348394563816127E-2</v>
      </c>
      <c r="T1977" s="20">
        <v>23</v>
      </c>
      <c r="U1977" s="17">
        <v>2</v>
      </c>
      <c r="V1977" s="17">
        <v>34</v>
      </c>
    </row>
    <row r="1978" spans="1:22" x14ac:dyDescent="0.2">
      <c r="A1978" t="s">
        <v>4813</v>
      </c>
      <c r="B1978" t="s">
        <v>2719</v>
      </c>
      <c r="C1978" t="s">
        <v>2720</v>
      </c>
      <c r="D1978" t="s">
        <v>4785</v>
      </c>
      <c r="E1978" s="10" t="s">
        <v>4814</v>
      </c>
      <c r="F1978" s="10"/>
      <c r="G1978" s="10"/>
      <c r="H1978" s="10" t="s">
        <v>4814</v>
      </c>
      <c r="I1978" s="14">
        <v>48406.882040381432</v>
      </c>
      <c r="J1978" s="19">
        <v>0</v>
      </c>
      <c r="K1978" s="19">
        <v>0.80768442400441354</v>
      </c>
      <c r="L1978" s="19">
        <v>0.19231557599558641</v>
      </c>
      <c r="M1978" s="20">
        <v>2</v>
      </c>
      <c r="N1978" s="19">
        <v>0.21137222205368267</v>
      </c>
      <c r="O1978" s="19">
        <v>1.4734924034014239E-2</v>
      </c>
      <c r="P1978" s="19">
        <v>0.58157727791671665</v>
      </c>
      <c r="Q1978" s="19">
        <v>4.4674116592847916E-2</v>
      </c>
      <c r="R1978" s="19">
        <v>0.14437991012395301</v>
      </c>
      <c r="S1978" s="19">
        <v>3.2615492787854998E-3</v>
      </c>
      <c r="T1978" s="20">
        <v>21</v>
      </c>
      <c r="U1978" s="17">
        <v>2</v>
      </c>
      <c r="V1978" s="17">
        <v>34</v>
      </c>
    </row>
    <row r="1979" spans="1:22" x14ac:dyDescent="0.2">
      <c r="A1979" t="s">
        <v>4815</v>
      </c>
      <c r="B1979" t="s">
        <v>2719</v>
      </c>
      <c r="C1979" t="s">
        <v>2720</v>
      </c>
      <c r="D1979" t="s">
        <v>4785</v>
      </c>
      <c r="E1979" s="10" t="s">
        <v>3362</v>
      </c>
      <c r="F1979" s="10"/>
      <c r="G1979" s="10"/>
      <c r="H1979" s="10" t="s">
        <v>3362</v>
      </c>
      <c r="I1979" s="14">
        <v>40564.184089912102</v>
      </c>
      <c r="J1979" s="19">
        <v>0</v>
      </c>
      <c r="K1979" s="19">
        <v>0.51666108253740006</v>
      </c>
      <c r="L1979" s="19">
        <v>0.48333891746259994</v>
      </c>
      <c r="M1979" s="20">
        <v>2</v>
      </c>
      <c r="N1979" s="19">
        <v>8.0822517196793096E-3</v>
      </c>
      <c r="O1979" s="19">
        <v>0.23094402030236752</v>
      </c>
      <c r="P1979" s="19">
        <v>0.27763481051535327</v>
      </c>
      <c r="Q1979" s="19">
        <v>0.17671436249718345</v>
      </c>
      <c r="R1979" s="19">
        <v>0.27572115953442017</v>
      </c>
      <c r="S1979" s="19">
        <v>3.0903395430996281E-2</v>
      </c>
      <c r="T1979" s="20">
        <v>22</v>
      </c>
      <c r="U1979" s="17">
        <v>2</v>
      </c>
      <c r="V1979" s="17">
        <v>34</v>
      </c>
    </row>
    <row r="1980" spans="1:22" x14ac:dyDescent="0.2">
      <c r="A1980" t="s">
        <v>4816</v>
      </c>
      <c r="B1980" t="s">
        <v>2719</v>
      </c>
      <c r="C1980" t="s">
        <v>2720</v>
      </c>
      <c r="D1980" t="s">
        <v>4785</v>
      </c>
      <c r="E1980" s="10" t="s">
        <v>2927</v>
      </c>
      <c r="F1980" s="10"/>
      <c r="G1980" s="10"/>
      <c r="H1980" s="10" t="s">
        <v>2927</v>
      </c>
      <c r="I1980" s="14">
        <v>23567.152952261269</v>
      </c>
      <c r="J1980" s="19">
        <v>0</v>
      </c>
      <c r="K1980" s="19">
        <v>0.89302432181654345</v>
      </c>
      <c r="L1980" s="19">
        <v>0.10697567818345649</v>
      </c>
      <c r="M1980" s="20">
        <v>2</v>
      </c>
      <c r="N1980" s="19">
        <v>0.42491944182199143</v>
      </c>
      <c r="O1980" s="19">
        <v>0</v>
      </c>
      <c r="P1980" s="19">
        <v>0.46810487999455208</v>
      </c>
      <c r="Q1980" s="19">
        <v>2.2273370761328862E-2</v>
      </c>
      <c r="R1980" s="19">
        <v>8.1973053791573297E-2</v>
      </c>
      <c r="S1980" s="19">
        <v>2.7292536305543497E-3</v>
      </c>
      <c r="T1980" s="20">
        <v>23</v>
      </c>
      <c r="U1980" s="17">
        <v>2</v>
      </c>
      <c r="V1980" s="17">
        <v>34</v>
      </c>
    </row>
    <row r="1981" spans="1:22" x14ac:dyDescent="0.2">
      <c r="A1981" t="s">
        <v>4817</v>
      </c>
      <c r="B1981" t="s">
        <v>2719</v>
      </c>
      <c r="C1981" t="s">
        <v>2720</v>
      </c>
      <c r="D1981" t="s">
        <v>4785</v>
      </c>
      <c r="E1981" s="10" t="s">
        <v>3968</v>
      </c>
      <c r="F1981" s="10"/>
      <c r="G1981" s="10"/>
      <c r="H1981" s="10" t="s">
        <v>3968</v>
      </c>
      <c r="I1981" s="14">
        <v>84217.022915913723</v>
      </c>
      <c r="J1981" s="19">
        <v>0</v>
      </c>
      <c r="K1981" s="19">
        <v>0.64396039847958075</v>
      </c>
      <c r="L1981" s="19">
        <v>0.35603960152041919</v>
      </c>
      <c r="M1981" s="20">
        <v>2</v>
      </c>
      <c r="N1981" s="19">
        <v>0.29048247234073887</v>
      </c>
      <c r="O1981" s="19">
        <v>0.17552908426274699</v>
      </c>
      <c r="P1981" s="19">
        <v>0.17794884187609489</v>
      </c>
      <c r="Q1981" s="19">
        <v>0.11786593538390125</v>
      </c>
      <c r="R1981" s="19">
        <v>0.19584989466092168</v>
      </c>
      <c r="S1981" s="19">
        <v>4.2323771475596329E-2</v>
      </c>
      <c r="T1981" s="20">
        <v>23</v>
      </c>
      <c r="U1981" s="17">
        <v>2</v>
      </c>
      <c r="V1981" s="17">
        <v>34</v>
      </c>
    </row>
    <row r="1982" spans="1:22" x14ac:dyDescent="0.2">
      <c r="A1982" t="s">
        <v>4818</v>
      </c>
      <c r="B1982" t="s">
        <v>2719</v>
      </c>
      <c r="C1982" t="s">
        <v>2720</v>
      </c>
      <c r="D1982" t="s">
        <v>4785</v>
      </c>
      <c r="E1982" s="10" t="s">
        <v>4819</v>
      </c>
      <c r="F1982" s="10"/>
      <c r="G1982" s="10"/>
      <c r="H1982" s="10" t="s">
        <v>4819</v>
      </c>
      <c r="I1982" s="14">
        <v>90600.447525448166</v>
      </c>
      <c r="J1982" s="19">
        <v>0</v>
      </c>
      <c r="K1982" s="19">
        <v>0.73184992805697513</v>
      </c>
      <c r="L1982" s="19">
        <v>0.26815007194302481</v>
      </c>
      <c r="M1982" s="20">
        <v>2</v>
      </c>
      <c r="N1982" s="19">
        <v>0.34021739324550465</v>
      </c>
      <c r="O1982" s="19">
        <v>7.6865733895840976E-2</v>
      </c>
      <c r="P1982" s="19">
        <v>0.31476680091562959</v>
      </c>
      <c r="Q1982" s="19">
        <v>7.3259580474002356E-2</v>
      </c>
      <c r="R1982" s="19">
        <v>0.17188907951560856</v>
      </c>
      <c r="S1982" s="19">
        <v>2.3001411953413913E-2</v>
      </c>
      <c r="T1982" s="20">
        <v>23</v>
      </c>
      <c r="U1982" s="17">
        <v>2</v>
      </c>
      <c r="V1982" s="17">
        <v>34</v>
      </c>
    </row>
    <row r="1983" spans="1:22" x14ac:dyDescent="0.2">
      <c r="A1983" t="s">
        <v>4820</v>
      </c>
      <c r="B1983" t="s">
        <v>2719</v>
      </c>
      <c r="C1983" t="s">
        <v>2720</v>
      </c>
      <c r="D1983" t="s">
        <v>4785</v>
      </c>
      <c r="E1983" s="10" t="s">
        <v>4821</v>
      </c>
      <c r="F1983" s="10"/>
      <c r="G1983" s="10"/>
      <c r="H1983" s="10" t="s">
        <v>4821</v>
      </c>
      <c r="I1983" s="14">
        <v>64249.374278887175</v>
      </c>
      <c r="J1983" s="19">
        <v>0.67201332713294371</v>
      </c>
      <c r="K1983" s="19">
        <v>0.24930652593193248</v>
      </c>
      <c r="L1983" s="19">
        <v>7.8680146935123735E-2</v>
      </c>
      <c r="M1983" s="20">
        <v>3</v>
      </c>
      <c r="N1983" s="19">
        <v>8.6439409944379528E-2</v>
      </c>
      <c r="O1983" s="19">
        <v>0</v>
      </c>
      <c r="P1983" s="19">
        <v>0.16286711598755299</v>
      </c>
      <c r="Q1983" s="19">
        <v>1.8142526869343093E-2</v>
      </c>
      <c r="R1983" s="19">
        <v>5.5464161696689891E-2</v>
      </c>
      <c r="S1983" s="19">
        <v>5.0734583690907479E-3</v>
      </c>
      <c r="T1983" s="20">
        <v>30</v>
      </c>
      <c r="U1983" s="17">
        <v>2</v>
      </c>
      <c r="V1983" s="17">
        <v>34</v>
      </c>
    </row>
    <row r="1984" spans="1:22" x14ac:dyDescent="0.2">
      <c r="A1984" t="s">
        <v>4822</v>
      </c>
      <c r="B1984" t="s">
        <v>2719</v>
      </c>
      <c r="C1984" t="s">
        <v>2720</v>
      </c>
      <c r="D1984" t="s">
        <v>4785</v>
      </c>
      <c r="E1984" s="10" t="s">
        <v>4823</v>
      </c>
      <c r="F1984" s="10"/>
      <c r="G1984" s="10"/>
      <c r="H1984" s="10" t="s">
        <v>4823</v>
      </c>
      <c r="I1984" s="14">
        <v>90779.025535369292</v>
      </c>
      <c r="J1984" s="19">
        <v>0</v>
      </c>
      <c r="K1984" s="19">
        <v>0.70288156448407568</v>
      </c>
      <c r="L1984" s="19">
        <v>0.29711843551592426</v>
      </c>
      <c r="M1984" s="20">
        <v>2</v>
      </c>
      <c r="N1984" s="19">
        <v>0.31373301749060184</v>
      </c>
      <c r="O1984" s="19">
        <v>0</v>
      </c>
      <c r="P1984" s="19">
        <v>0.38914854699347384</v>
      </c>
      <c r="Q1984" s="19">
        <v>0.11408580567803792</v>
      </c>
      <c r="R1984" s="19">
        <v>0.1606498010842192</v>
      </c>
      <c r="S1984" s="19">
        <v>2.2382828753667219E-2</v>
      </c>
      <c r="T1984" s="20">
        <v>23</v>
      </c>
      <c r="U1984" s="17">
        <v>2</v>
      </c>
      <c r="V1984" s="17">
        <v>34</v>
      </c>
    </row>
    <row r="1985" spans="1:22" x14ac:dyDescent="0.2">
      <c r="A1985" t="s">
        <v>4824</v>
      </c>
      <c r="B1985" t="s">
        <v>2719</v>
      </c>
      <c r="C1985" t="s">
        <v>2720</v>
      </c>
      <c r="D1985" t="s">
        <v>4785</v>
      </c>
      <c r="E1985" s="10" t="s">
        <v>4825</v>
      </c>
      <c r="F1985" s="10"/>
      <c r="G1985" s="10"/>
      <c r="H1985" s="10" t="s">
        <v>4825</v>
      </c>
      <c r="I1985" s="14">
        <v>42244.784824408591</v>
      </c>
      <c r="J1985" s="19">
        <v>0</v>
      </c>
      <c r="K1985" s="19">
        <v>0.49304707004269882</v>
      </c>
      <c r="L1985" s="19">
        <v>0.50695292995730123</v>
      </c>
      <c r="M1985" s="20">
        <v>1</v>
      </c>
      <c r="N1985" s="19">
        <v>0.19648779544594439</v>
      </c>
      <c r="O1985" s="19">
        <v>0.13215536134882067</v>
      </c>
      <c r="P1985" s="19">
        <v>0.16440391324793374</v>
      </c>
      <c r="Q1985" s="19">
        <v>0.28642907725304856</v>
      </c>
      <c r="R1985" s="19">
        <v>0.20466834759747279</v>
      </c>
      <c r="S1985" s="19">
        <v>1.5855505106779834E-2</v>
      </c>
      <c r="T1985" s="20">
        <v>13</v>
      </c>
      <c r="U1985" s="17">
        <v>2</v>
      </c>
      <c r="V1985" s="17">
        <v>34</v>
      </c>
    </row>
    <row r="1986" spans="1:22" x14ac:dyDescent="0.2">
      <c r="A1986" t="s">
        <v>4826</v>
      </c>
      <c r="B1986" t="s">
        <v>2719</v>
      </c>
      <c r="C1986" t="s">
        <v>2720</v>
      </c>
      <c r="D1986" t="s">
        <v>4785</v>
      </c>
      <c r="E1986" s="10" t="s">
        <v>3233</v>
      </c>
      <c r="F1986" s="10"/>
      <c r="G1986" s="10"/>
      <c r="H1986" s="10" t="s">
        <v>3233</v>
      </c>
      <c r="I1986" s="14">
        <v>40873.909787578508</v>
      </c>
      <c r="J1986" s="19">
        <v>0.13931998331444456</v>
      </c>
      <c r="K1986" s="19">
        <v>0.70691815486495779</v>
      </c>
      <c r="L1986" s="19">
        <v>0.15376186182059767</v>
      </c>
      <c r="M1986" s="20">
        <v>2</v>
      </c>
      <c r="N1986" s="19">
        <v>0.16974690166170389</v>
      </c>
      <c r="O1986" s="19">
        <v>0.15401057790639849</v>
      </c>
      <c r="P1986" s="19">
        <v>0.38316067529685532</v>
      </c>
      <c r="Q1986" s="19">
        <v>7.01986934503252E-2</v>
      </c>
      <c r="R1986" s="19">
        <v>7.4243058532426673E-2</v>
      </c>
      <c r="S1986" s="19">
        <v>9.3201098378458015E-3</v>
      </c>
      <c r="T1986" s="20">
        <v>23</v>
      </c>
      <c r="U1986" s="17">
        <v>2</v>
      </c>
      <c r="V1986" s="17">
        <v>34</v>
      </c>
    </row>
    <row r="1987" spans="1:22" x14ac:dyDescent="0.2">
      <c r="A1987" t="s">
        <v>4827</v>
      </c>
      <c r="B1987" t="s">
        <v>2719</v>
      </c>
      <c r="C1987" t="s">
        <v>2720</v>
      </c>
      <c r="D1987" t="s">
        <v>4785</v>
      </c>
      <c r="E1987" s="10" t="s">
        <v>4828</v>
      </c>
      <c r="F1987" s="10"/>
      <c r="G1987" s="10"/>
      <c r="H1987" s="10" t="s">
        <v>4828</v>
      </c>
      <c r="I1987" s="14">
        <v>43745.722271546721</v>
      </c>
      <c r="J1987" s="19">
        <v>0</v>
      </c>
      <c r="K1987" s="19">
        <v>0.79410134993791548</v>
      </c>
      <c r="L1987" s="19">
        <v>0.20589865006208449</v>
      </c>
      <c r="M1987" s="20">
        <v>2</v>
      </c>
      <c r="N1987" s="19">
        <v>0.2248029547772625</v>
      </c>
      <c r="O1987" s="19">
        <v>0</v>
      </c>
      <c r="P1987" s="19">
        <v>0.56929839516065295</v>
      </c>
      <c r="Q1987" s="19">
        <v>1.0838232468978394E-2</v>
      </c>
      <c r="R1987" s="19">
        <v>0.18986903854919104</v>
      </c>
      <c r="S1987" s="19">
        <v>5.1913790439150637E-3</v>
      </c>
      <c r="T1987" s="20">
        <v>21</v>
      </c>
      <c r="U1987" s="17">
        <v>2</v>
      </c>
      <c r="V1987" s="17">
        <v>34</v>
      </c>
    </row>
    <row r="1988" spans="1:22" x14ac:dyDescent="0.2">
      <c r="A1988" t="s">
        <v>4829</v>
      </c>
      <c r="B1988" t="s">
        <v>2719</v>
      </c>
      <c r="C1988" t="s">
        <v>2720</v>
      </c>
      <c r="D1988" t="s">
        <v>4785</v>
      </c>
      <c r="E1988" s="10" t="s">
        <v>4830</v>
      </c>
      <c r="F1988" s="10"/>
      <c r="G1988" s="10"/>
      <c r="H1988" s="10" t="s">
        <v>4830</v>
      </c>
      <c r="I1988" s="14">
        <v>28683.559507083148</v>
      </c>
      <c r="J1988" s="19">
        <v>0</v>
      </c>
      <c r="K1988" s="19">
        <v>0.70432371239669578</v>
      </c>
      <c r="L1988" s="19">
        <v>0.29567628760330422</v>
      </c>
      <c r="M1988" s="20">
        <v>2</v>
      </c>
      <c r="N1988" s="19">
        <v>0.39206893540243692</v>
      </c>
      <c r="O1988" s="19">
        <v>0</v>
      </c>
      <c r="P1988" s="19">
        <v>0.31225477699425885</v>
      </c>
      <c r="Q1988" s="19">
        <v>3.9522367357297215E-2</v>
      </c>
      <c r="R1988" s="19">
        <v>0.20654349593708402</v>
      </c>
      <c r="S1988" s="19">
        <v>4.9610424308922992E-2</v>
      </c>
      <c r="T1988" s="20">
        <v>23</v>
      </c>
      <c r="U1988" s="17">
        <v>2</v>
      </c>
      <c r="V1988" s="17">
        <v>34</v>
      </c>
    </row>
    <row r="1989" spans="1:22" x14ac:dyDescent="0.2">
      <c r="A1989" t="s">
        <v>4831</v>
      </c>
      <c r="B1989" t="s">
        <v>2719</v>
      </c>
      <c r="C1989" t="s">
        <v>2720</v>
      </c>
      <c r="D1989" t="s">
        <v>4832</v>
      </c>
      <c r="E1989" s="10" t="s">
        <v>4833</v>
      </c>
      <c r="F1989" s="10"/>
      <c r="G1989" s="10"/>
      <c r="H1989" s="10" t="s">
        <v>4833</v>
      </c>
      <c r="I1989" s="14">
        <v>78578.569209974245</v>
      </c>
      <c r="J1989" s="19">
        <v>0</v>
      </c>
      <c r="K1989" s="19">
        <v>0.46229898731880664</v>
      </c>
      <c r="L1989" s="19">
        <v>0.53770101268119352</v>
      </c>
      <c r="M1989" s="20">
        <v>1</v>
      </c>
      <c r="N1989" s="19">
        <v>6.6219918026317173E-2</v>
      </c>
      <c r="O1989" s="19">
        <v>0.24802672543774487</v>
      </c>
      <c r="P1989" s="19">
        <v>0.14805234385474458</v>
      </c>
      <c r="Q1989" s="19">
        <v>0.22134340165518815</v>
      </c>
      <c r="R1989" s="19">
        <v>0.26799483439677613</v>
      </c>
      <c r="S1989" s="19">
        <v>4.8362776629229269E-2</v>
      </c>
      <c r="T1989" s="20">
        <v>12</v>
      </c>
      <c r="U1989" s="17">
        <v>2</v>
      </c>
      <c r="V1989" s="17">
        <v>34</v>
      </c>
    </row>
    <row r="1990" spans="1:22" x14ac:dyDescent="0.2">
      <c r="A1990" t="s">
        <v>4834</v>
      </c>
      <c r="B1990" t="s">
        <v>2719</v>
      </c>
      <c r="C1990" t="s">
        <v>2720</v>
      </c>
      <c r="D1990" t="s">
        <v>4832</v>
      </c>
      <c r="E1990" s="10" t="s">
        <v>4835</v>
      </c>
      <c r="F1990" s="10"/>
      <c r="G1990" s="10"/>
      <c r="H1990" s="10" t="s">
        <v>4835</v>
      </c>
      <c r="I1990" s="14">
        <v>49367.27601648774</v>
      </c>
      <c r="J1990" s="19">
        <v>0</v>
      </c>
      <c r="K1990" s="19">
        <v>0.57377444879291606</v>
      </c>
      <c r="L1990" s="19">
        <v>0.42622555120708389</v>
      </c>
      <c r="M1990" s="20">
        <v>2</v>
      </c>
      <c r="N1990" s="19">
        <v>0</v>
      </c>
      <c r="O1990" s="19">
        <v>0</v>
      </c>
      <c r="P1990" s="19">
        <v>0.57377444879291606</v>
      </c>
      <c r="Q1990" s="19">
        <v>0.13330358197515277</v>
      </c>
      <c r="R1990" s="19">
        <v>0.28051131253727113</v>
      </c>
      <c r="S1990" s="19">
        <v>1.2410656694660058E-2</v>
      </c>
      <c r="T1990" s="20">
        <v>21</v>
      </c>
      <c r="U1990" s="17">
        <v>2</v>
      </c>
      <c r="V1990" s="17">
        <v>34</v>
      </c>
    </row>
    <row r="1991" spans="1:22" x14ac:dyDescent="0.2">
      <c r="A1991" t="s">
        <v>4836</v>
      </c>
      <c r="B1991" t="s">
        <v>2719</v>
      </c>
      <c r="C1991" t="s">
        <v>2720</v>
      </c>
      <c r="D1991" t="s">
        <v>4832</v>
      </c>
      <c r="E1991" s="10" t="s">
        <v>4837</v>
      </c>
      <c r="F1991" s="10"/>
      <c r="G1991" s="10"/>
      <c r="H1991" s="10" t="s">
        <v>4837</v>
      </c>
      <c r="I1991" s="14">
        <v>35275.851317550987</v>
      </c>
      <c r="J1991" s="19">
        <v>0</v>
      </c>
      <c r="K1991" s="19">
        <v>0.28037231499520165</v>
      </c>
      <c r="L1991" s="19">
        <v>0.71962768500479835</v>
      </c>
      <c r="M1991" s="20">
        <v>1</v>
      </c>
      <c r="N1991" s="19">
        <v>0.20011373038021785</v>
      </c>
      <c r="O1991" s="19">
        <v>0</v>
      </c>
      <c r="P1991" s="19">
        <v>8.0258584614983836E-2</v>
      </c>
      <c r="Q1991" s="19">
        <v>0.31743695908716091</v>
      </c>
      <c r="R1991" s="19">
        <v>0.349566862520586</v>
      </c>
      <c r="S1991" s="19">
        <v>5.262386339705144E-2</v>
      </c>
      <c r="T1991" s="20">
        <v>12</v>
      </c>
      <c r="U1991" s="17">
        <v>2</v>
      </c>
      <c r="V1991" s="17">
        <v>34</v>
      </c>
    </row>
    <row r="1992" spans="1:22" x14ac:dyDescent="0.2">
      <c r="A1992" t="s">
        <v>4838</v>
      </c>
      <c r="B1992" t="s">
        <v>2719</v>
      </c>
      <c r="C1992" t="s">
        <v>2720</v>
      </c>
      <c r="D1992" t="s">
        <v>4832</v>
      </c>
      <c r="E1992" s="10" t="s">
        <v>4839</v>
      </c>
      <c r="F1992" s="10"/>
      <c r="G1992" s="10"/>
      <c r="H1992" s="10" t="s">
        <v>4839</v>
      </c>
      <c r="I1992" s="14">
        <v>61820.216398133904</v>
      </c>
      <c r="J1992" s="19">
        <v>0</v>
      </c>
      <c r="K1992" s="19">
        <v>0.45551662708291196</v>
      </c>
      <c r="L1992" s="19">
        <v>0.54448337291708793</v>
      </c>
      <c r="M1992" s="20">
        <v>1</v>
      </c>
      <c r="N1992" s="19">
        <v>0.12340003184875196</v>
      </c>
      <c r="O1992" s="19">
        <v>1.9675441461751375E-2</v>
      </c>
      <c r="P1992" s="19">
        <v>0.31244115377240866</v>
      </c>
      <c r="Q1992" s="19">
        <v>0.21395697941334266</v>
      </c>
      <c r="R1992" s="19">
        <v>0.27996135643106823</v>
      </c>
      <c r="S1992" s="19">
        <v>5.0565037072677003E-2</v>
      </c>
      <c r="T1992" s="20">
        <v>12</v>
      </c>
      <c r="U1992" s="17">
        <v>2</v>
      </c>
      <c r="V1992" s="17">
        <v>34</v>
      </c>
    </row>
    <row r="1993" spans="1:22" x14ac:dyDescent="0.2">
      <c r="A1993" t="s">
        <v>4840</v>
      </c>
      <c r="B1993" t="s">
        <v>2719</v>
      </c>
      <c r="C1993" t="s">
        <v>2720</v>
      </c>
      <c r="D1993" t="s">
        <v>4832</v>
      </c>
      <c r="E1993" s="10" t="s">
        <v>4841</v>
      </c>
      <c r="F1993" s="10"/>
      <c r="G1993" s="10"/>
      <c r="H1993" s="10" t="s">
        <v>4841</v>
      </c>
      <c r="I1993" s="14">
        <v>55492.989318946835</v>
      </c>
      <c r="J1993" s="19">
        <v>0</v>
      </c>
      <c r="K1993" s="19">
        <v>0.12182202635438577</v>
      </c>
      <c r="L1993" s="19">
        <v>0.87817797364561434</v>
      </c>
      <c r="M1993" s="20">
        <v>1</v>
      </c>
      <c r="N1993" s="19">
        <v>3.5275655455150631E-3</v>
      </c>
      <c r="O1993" s="19">
        <v>0.11769728833486508</v>
      </c>
      <c r="P1993" s="19">
        <v>5.9717247400564461E-4</v>
      </c>
      <c r="Q1993" s="19">
        <v>0.52611527402921543</v>
      </c>
      <c r="R1993" s="19">
        <v>0.29859431979854351</v>
      </c>
      <c r="S1993" s="19">
        <v>5.3468379817855453E-2</v>
      </c>
      <c r="T1993" s="20">
        <v>13</v>
      </c>
      <c r="U1993" s="17">
        <v>2</v>
      </c>
      <c r="V1993" s="17">
        <v>34</v>
      </c>
    </row>
    <row r="1994" spans="1:22" x14ac:dyDescent="0.2">
      <c r="A1994" t="s">
        <v>4842</v>
      </c>
      <c r="B1994" t="s">
        <v>2719</v>
      </c>
      <c r="C1994" t="s">
        <v>2720</v>
      </c>
      <c r="D1994" t="s">
        <v>4832</v>
      </c>
      <c r="E1994" s="10" t="s">
        <v>2783</v>
      </c>
      <c r="F1994" s="10"/>
      <c r="G1994" s="10"/>
      <c r="H1994" s="10" t="s">
        <v>2783</v>
      </c>
      <c r="I1994" s="14">
        <v>132702.30181983579</v>
      </c>
      <c r="J1994" s="19">
        <v>0</v>
      </c>
      <c r="K1994" s="19">
        <v>0.57391185438296755</v>
      </c>
      <c r="L1994" s="19">
        <v>0.4260881456170324</v>
      </c>
      <c r="M1994" s="20">
        <v>2</v>
      </c>
      <c r="N1994" s="19">
        <v>0.1396515313683393</v>
      </c>
      <c r="O1994" s="19">
        <v>0.165893251609118</v>
      </c>
      <c r="P1994" s="19">
        <v>0.2683670714055103</v>
      </c>
      <c r="Q1994" s="19">
        <v>0.17493728583201199</v>
      </c>
      <c r="R1994" s="19">
        <v>0.22137434751630508</v>
      </c>
      <c r="S1994" s="19">
        <v>2.9776512268715343E-2</v>
      </c>
      <c r="T1994" s="20">
        <v>22</v>
      </c>
      <c r="U1994" s="17">
        <v>2</v>
      </c>
      <c r="V1994" s="17">
        <v>34</v>
      </c>
    </row>
    <row r="1995" spans="1:22" x14ac:dyDescent="0.2">
      <c r="A1995" t="s">
        <v>4843</v>
      </c>
      <c r="B1995" t="s">
        <v>2719</v>
      </c>
      <c r="C1995" t="s">
        <v>2720</v>
      </c>
      <c r="D1995" t="s">
        <v>4832</v>
      </c>
      <c r="E1995" s="10" t="s">
        <v>4844</v>
      </c>
      <c r="F1995" s="10"/>
      <c r="G1995" s="10"/>
      <c r="H1995" s="10" t="s">
        <v>4844</v>
      </c>
      <c r="I1995" s="14">
        <v>113176.23110476695</v>
      </c>
      <c r="J1995" s="19">
        <v>0</v>
      </c>
      <c r="K1995" s="19">
        <v>0.89026490982498707</v>
      </c>
      <c r="L1995" s="19">
        <v>0.10973509017501297</v>
      </c>
      <c r="M1995" s="20">
        <v>2</v>
      </c>
      <c r="N1995" s="19">
        <v>0.33405684068595343</v>
      </c>
      <c r="O1995" s="19">
        <v>0</v>
      </c>
      <c r="P1995" s="19">
        <v>0.55620806913903353</v>
      </c>
      <c r="Q1995" s="19">
        <v>3.544303512956673E-2</v>
      </c>
      <c r="R1995" s="19">
        <v>6.9243201686678413E-2</v>
      </c>
      <c r="S1995" s="19">
        <v>5.0488533587678078E-3</v>
      </c>
      <c r="T1995" s="20">
        <v>21</v>
      </c>
      <c r="U1995" s="17">
        <v>2</v>
      </c>
      <c r="V1995" s="17">
        <v>34</v>
      </c>
    </row>
    <row r="1996" spans="1:22" x14ac:dyDescent="0.2">
      <c r="A1996" t="s">
        <v>4845</v>
      </c>
      <c r="B1996" t="s">
        <v>2719</v>
      </c>
      <c r="C1996" t="s">
        <v>2720</v>
      </c>
      <c r="D1996" t="s">
        <v>4832</v>
      </c>
      <c r="E1996" s="10" t="s">
        <v>4846</v>
      </c>
      <c r="F1996" s="10"/>
      <c r="G1996" s="10"/>
      <c r="H1996" s="10" t="s">
        <v>4846</v>
      </c>
      <c r="I1996" s="14">
        <v>169296.11558380397</v>
      </c>
      <c r="J1996" s="19">
        <v>0.39206794129642042</v>
      </c>
      <c r="K1996" s="19">
        <v>0.45946406676817642</v>
      </c>
      <c r="L1996" s="19">
        <v>0.14846799193540317</v>
      </c>
      <c r="M1996" s="20">
        <v>2</v>
      </c>
      <c r="N1996" s="19">
        <v>5.4364090242678798E-2</v>
      </c>
      <c r="O1996" s="19">
        <v>0</v>
      </c>
      <c r="P1996" s="19">
        <v>0.40509997652549762</v>
      </c>
      <c r="Q1996" s="19">
        <v>5.1487661464416336E-2</v>
      </c>
      <c r="R1996" s="19">
        <v>9.3277156120296231E-2</v>
      </c>
      <c r="S1996" s="19">
        <v>3.7031743506905877E-3</v>
      </c>
      <c r="T1996" s="20">
        <v>23</v>
      </c>
      <c r="U1996" s="17">
        <v>2</v>
      </c>
      <c r="V1996" s="17">
        <v>34</v>
      </c>
    </row>
    <row r="1997" spans="1:22" x14ac:dyDescent="0.2">
      <c r="A1997" t="s">
        <v>4847</v>
      </c>
      <c r="B1997" t="s">
        <v>2719</v>
      </c>
      <c r="C1997" t="s">
        <v>2720</v>
      </c>
      <c r="D1997" t="s">
        <v>4832</v>
      </c>
      <c r="E1997" s="10" t="s">
        <v>4848</v>
      </c>
      <c r="F1997" s="10"/>
      <c r="G1997" s="10"/>
      <c r="H1997" s="10" t="s">
        <v>4848</v>
      </c>
      <c r="I1997" s="14">
        <v>58849.35203325795</v>
      </c>
      <c r="J1997" s="19">
        <v>0</v>
      </c>
      <c r="K1997" s="19">
        <v>0.74687540388498386</v>
      </c>
      <c r="L1997" s="19">
        <v>0.25312459611501609</v>
      </c>
      <c r="M1997" s="20">
        <v>2</v>
      </c>
      <c r="N1997" s="19">
        <v>0.13799397754377224</v>
      </c>
      <c r="O1997" s="19">
        <v>0</v>
      </c>
      <c r="P1997" s="19">
        <v>0.60888142634121167</v>
      </c>
      <c r="Q1997" s="19">
        <v>5.0612066621622487E-2</v>
      </c>
      <c r="R1997" s="19">
        <v>0.18274275424946357</v>
      </c>
      <c r="S1997" s="19">
        <v>1.9769775243930032E-2</v>
      </c>
      <c r="T1997" s="20">
        <v>21</v>
      </c>
      <c r="U1997" s="17">
        <v>2</v>
      </c>
      <c r="V1997" s="17">
        <v>34</v>
      </c>
    </row>
    <row r="1998" spans="1:22" x14ac:dyDescent="0.2">
      <c r="A1998" t="s">
        <v>4849</v>
      </c>
      <c r="B1998" t="s">
        <v>2719</v>
      </c>
      <c r="C1998" t="s">
        <v>2720</v>
      </c>
      <c r="D1998" t="s">
        <v>4832</v>
      </c>
      <c r="E1998" s="10" t="s">
        <v>4850</v>
      </c>
      <c r="F1998" s="10"/>
      <c r="G1998" s="10"/>
      <c r="H1998" s="10" t="s">
        <v>4850</v>
      </c>
      <c r="I1998" s="14">
        <v>112339.7562732026</v>
      </c>
      <c r="J1998" s="19">
        <v>0</v>
      </c>
      <c r="K1998" s="19">
        <v>0.76067812015389502</v>
      </c>
      <c r="L1998" s="19">
        <v>0.23932187984610498</v>
      </c>
      <c r="M1998" s="20">
        <v>2</v>
      </c>
      <c r="N1998" s="19">
        <v>0.31535387276085725</v>
      </c>
      <c r="O1998" s="19">
        <v>0</v>
      </c>
      <c r="P1998" s="19">
        <v>0.44532424739303778</v>
      </c>
      <c r="Q1998" s="19">
        <v>4.8911866469893275E-2</v>
      </c>
      <c r="R1998" s="19">
        <v>0.17664914031716189</v>
      </c>
      <c r="S1998" s="19">
        <v>1.3760873059049803E-2</v>
      </c>
      <c r="T1998" s="20">
        <v>23</v>
      </c>
      <c r="U1998" s="17">
        <v>2</v>
      </c>
      <c r="V1998" s="17">
        <v>34</v>
      </c>
    </row>
    <row r="1999" spans="1:22" x14ac:dyDescent="0.2">
      <c r="A1999" t="s">
        <v>4851</v>
      </c>
      <c r="B1999" t="s">
        <v>2719</v>
      </c>
      <c r="C1999" t="s">
        <v>2720</v>
      </c>
      <c r="D1999" t="s">
        <v>4832</v>
      </c>
      <c r="E1999" s="10" t="s">
        <v>4852</v>
      </c>
      <c r="F1999" s="10"/>
      <c r="G1999" s="10"/>
      <c r="H1999" s="10" t="s">
        <v>4852</v>
      </c>
      <c r="I1999" s="14">
        <v>58883.193096594885</v>
      </c>
      <c r="J1999" s="19">
        <v>0</v>
      </c>
      <c r="K1999" s="19">
        <v>0.405318459288461</v>
      </c>
      <c r="L1999" s="19">
        <v>0.594681540711539</v>
      </c>
      <c r="M1999" s="20">
        <v>1</v>
      </c>
      <c r="N1999" s="19">
        <v>9.4153640619455085E-4</v>
      </c>
      <c r="O1999" s="19">
        <v>6.7200514503367267E-2</v>
      </c>
      <c r="P1999" s="19">
        <v>0.33717640837889917</v>
      </c>
      <c r="Q1999" s="19">
        <v>0.33121079839484391</v>
      </c>
      <c r="R1999" s="19">
        <v>0.22866810077072763</v>
      </c>
      <c r="S1999" s="19">
        <v>3.480264154596744E-2</v>
      </c>
      <c r="T1999" s="20">
        <v>13</v>
      </c>
      <c r="U1999" s="17">
        <v>2</v>
      </c>
      <c r="V1999" s="17">
        <v>34</v>
      </c>
    </row>
    <row r="2000" spans="1:22" x14ac:dyDescent="0.2">
      <c r="A2000" t="s">
        <v>4853</v>
      </c>
      <c r="B2000" t="s">
        <v>2719</v>
      </c>
      <c r="C2000" t="s">
        <v>2720</v>
      </c>
      <c r="D2000" t="s">
        <v>4832</v>
      </c>
      <c r="E2000" s="10" t="s">
        <v>4854</v>
      </c>
      <c r="F2000" s="10"/>
      <c r="G2000" s="10"/>
      <c r="H2000" s="10" t="s">
        <v>4854</v>
      </c>
      <c r="I2000" s="14">
        <v>106352.87517542765</v>
      </c>
      <c r="J2000" s="19">
        <v>4.8493567719012386E-2</v>
      </c>
      <c r="K2000" s="19">
        <v>0.65473791749673604</v>
      </c>
      <c r="L2000" s="19">
        <v>0.29676851478425165</v>
      </c>
      <c r="M2000" s="20">
        <v>2</v>
      </c>
      <c r="N2000" s="19">
        <v>0.17400540465171135</v>
      </c>
      <c r="O2000" s="19">
        <v>0</v>
      </c>
      <c r="P2000" s="19">
        <v>0.48073251284502466</v>
      </c>
      <c r="Q2000" s="19">
        <v>0.1713544151202229</v>
      </c>
      <c r="R2000" s="19">
        <v>0.11179046215599252</v>
      </c>
      <c r="S2000" s="19">
        <v>1.3623637508036187E-2</v>
      </c>
      <c r="T2000" s="20">
        <v>23</v>
      </c>
      <c r="U2000" s="17">
        <v>2</v>
      </c>
      <c r="V2000" s="17">
        <v>34</v>
      </c>
    </row>
    <row r="2001" spans="1:22" x14ac:dyDescent="0.2">
      <c r="A2001" t="s">
        <v>4855</v>
      </c>
      <c r="B2001" t="s">
        <v>2719</v>
      </c>
      <c r="C2001" t="s">
        <v>2720</v>
      </c>
      <c r="D2001" t="s">
        <v>4832</v>
      </c>
      <c r="E2001" s="10" t="s">
        <v>4856</v>
      </c>
      <c r="F2001" s="10"/>
      <c r="G2001" s="10"/>
      <c r="H2001" s="10" t="s">
        <v>4856</v>
      </c>
      <c r="I2001" s="14">
        <v>105245.21851899102</v>
      </c>
      <c r="J2001" s="19">
        <v>0</v>
      </c>
      <c r="K2001" s="19">
        <v>0.78423934202946499</v>
      </c>
      <c r="L2001" s="19">
        <v>0.21576065797053506</v>
      </c>
      <c r="M2001" s="20">
        <v>2</v>
      </c>
      <c r="N2001" s="19">
        <v>0.19528194199628982</v>
      </c>
      <c r="O2001" s="19">
        <v>0</v>
      </c>
      <c r="P2001" s="19">
        <v>0.5889574000331752</v>
      </c>
      <c r="Q2001" s="19">
        <v>4.3902382321740409E-2</v>
      </c>
      <c r="R2001" s="19">
        <v>0.1579825194308189</v>
      </c>
      <c r="S2001" s="19">
        <v>1.3875756217975755E-2</v>
      </c>
      <c r="T2001" s="20">
        <v>21</v>
      </c>
      <c r="U2001" s="17">
        <v>2</v>
      </c>
      <c r="V2001" s="17">
        <v>34</v>
      </c>
    </row>
    <row r="2002" spans="1:22" x14ac:dyDescent="0.2">
      <c r="A2002" t="s">
        <v>4857</v>
      </c>
      <c r="B2002" t="s">
        <v>2719</v>
      </c>
      <c r="C2002" t="s">
        <v>2720</v>
      </c>
      <c r="D2002" t="s">
        <v>4832</v>
      </c>
      <c r="E2002" s="10" t="s">
        <v>4858</v>
      </c>
      <c r="F2002" s="10"/>
      <c r="G2002" s="10"/>
      <c r="H2002" s="10" t="s">
        <v>4858</v>
      </c>
      <c r="I2002" s="14">
        <v>184326.37898392975</v>
      </c>
      <c r="J2002" s="19">
        <v>0.39226567415257707</v>
      </c>
      <c r="K2002" s="19">
        <v>0.56608668158190034</v>
      </c>
      <c r="L2002" s="19">
        <v>4.1647644265522546E-2</v>
      </c>
      <c r="M2002" s="20">
        <v>2</v>
      </c>
      <c r="N2002" s="19">
        <v>9.6074235104842864E-2</v>
      </c>
      <c r="O2002" s="19">
        <v>0</v>
      </c>
      <c r="P2002" s="19">
        <v>0.47001244647705753</v>
      </c>
      <c r="Q2002" s="19">
        <v>0</v>
      </c>
      <c r="R2002" s="19">
        <v>3.9551254856467481E-2</v>
      </c>
      <c r="S2002" s="19">
        <v>2.0963894090550743E-3</v>
      </c>
      <c r="T2002" s="20">
        <v>23</v>
      </c>
      <c r="U2002" s="17">
        <v>2</v>
      </c>
      <c r="V2002" s="17">
        <v>34</v>
      </c>
    </row>
    <row r="2003" spans="1:22" x14ac:dyDescent="0.2">
      <c r="A2003" t="s">
        <v>4859</v>
      </c>
      <c r="B2003" t="s">
        <v>2719</v>
      </c>
      <c r="C2003" t="s">
        <v>2720</v>
      </c>
      <c r="D2003" t="s">
        <v>4832</v>
      </c>
      <c r="E2003" s="10" t="s">
        <v>4860</v>
      </c>
      <c r="F2003" s="10"/>
      <c r="G2003" s="10"/>
      <c r="H2003" s="10" t="s">
        <v>4860</v>
      </c>
      <c r="I2003" s="14">
        <v>75959.369658295065</v>
      </c>
      <c r="J2003" s="19">
        <v>0</v>
      </c>
      <c r="K2003" s="19">
        <v>0.87911469406364484</v>
      </c>
      <c r="L2003" s="19">
        <v>0.1208853059363552</v>
      </c>
      <c r="M2003" s="20">
        <v>2</v>
      </c>
      <c r="N2003" s="19">
        <v>0.2052811957932022</v>
      </c>
      <c r="O2003" s="19">
        <v>0</v>
      </c>
      <c r="P2003" s="19">
        <v>0.67383349827044259</v>
      </c>
      <c r="Q2003" s="19">
        <v>2.6359003551536586E-2</v>
      </c>
      <c r="R2003" s="19">
        <v>8.7466448038663297E-2</v>
      </c>
      <c r="S2003" s="19">
        <v>7.0598543461553075E-3</v>
      </c>
      <c r="T2003" s="20">
        <v>21</v>
      </c>
      <c r="U2003" s="17">
        <v>2</v>
      </c>
      <c r="V2003" s="17">
        <v>34</v>
      </c>
    </row>
    <row r="2004" spans="1:22" x14ac:dyDescent="0.2">
      <c r="A2004" t="s">
        <v>4861</v>
      </c>
      <c r="B2004" t="s">
        <v>2719</v>
      </c>
      <c r="C2004" t="s">
        <v>2720</v>
      </c>
      <c r="D2004" t="s">
        <v>4832</v>
      </c>
      <c r="E2004" s="10" t="s">
        <v>4862</v>
      </c>
      <c r="F2004" s="10"/>
      <c r="G2004" s="10"/>
      <c r="H2004" s="10" t="s">
        <v>4862</v>
      </c>
      <c r="I2004" s="14">
        <v>167743.97901236173</v>
      </c>
      <c r="J2004" s="19">
        <v>0</v>
      </c>
      <c r="K2004" s="19">
        <v>0.92246093885554459</v>
      </c>
      <c r="L2004" s="19">
        <v>7.7539061144455468E-2</v>
      </c>
      <c r="M2004" s="20">
        <v>2</v>
      </c>
      <c r="N2004" s="19">
        <v>0.21049572676087647</v>
      </c>
      <c r="O2004" s="19">
        <v>0</v>
      </c>
      <c r="P2004" s="19">
        <v>0.71196521209466812</v>
      </c>
      <c r="Q2004" s="19">
        <v>4.3776664921854249E-3</v>
      </c>
      <c r="R2004" s="19">
        <v>6.8138322719265426E-2</v>
      </c>
      <c r="S2004" s="19">
        <v>5.0230719330046029E-3</v>
      </c>
      <c r="T2004" s="20">
        <v>21</v>
      </c>
      <c r="U2004" s="17">
        <v>2</v>
      </c>
      <c r="V2004" s="17">
        <v>34</v>
      </c>
    </row>
    <row r="2005" spans="1:22" x14ac:dyDescent="0.2">
      <c r="A2005" t="s">
        <v>4863</v>
      </c>
      <c r="B2005" t="s">
        <v>2719</v>
      </c>
      <c r="C2005" t="s">
        <v>2720</v>
      </c>
      <c r="D2005" t="s">
        <v>4832</v>
      </c>
      <c r="E2005" s="10" t="s">
        <v>3519</v>
      </c>
      <c r="F2005" s="10"/>
      <c r="G2005" s="10"/>
      <c r="H2005" s="10" t="s">
        <v>3519</v>
      </c>
      <c r="I2005" s="14">
        <v>57042.354363942053</v>
      </c>
      <c r="J2005" s="19">
        <v>0</v>
      </c>
      <c r="K2005" s="19">
        <v>0.59572042170895845</v>
      </c>
      <c r="L2005" s="19">
        <v>0.4042795782910415</v>
      </c>
      <c r="M2005" s="20">
        <v>2</v>
      </c>
      <c r="N2005" s="19">
        <v>0.25416869894535593</v>
      </c>
      <c r="O2005" s="19">
        <v>0</v>
      </c>
      <c r="P2005" s="19">
        <v>0.34155172276360257</v>
      </c>
      <c r="Q2005" s="19">
        <v>0.14098714204372864</v>
      </c>
      <c r="R2005" s="19">
        <v>0.22451727141860064</v>
      </c>
      <c r="S2005" s="19">
        <v>3.8775164828712197E-2</v>
      </c>
      <c r="T2005" s="20">
        <v>23</v>
      </c>
      <c r="U2005" s="17">
        <v>2</v>
      </c>
      <c r="V2005" s="17">
        <v>34</v>
      </c>
    </row>
    <row r="2006" spans="1:22" x14ac:dyDescent="0.2">
      <c r="A2006" t="s">
        <v>4864</v>
      </c>
      <c r="B2006" t="s">
        <v>2719</v>
      </c>
      <c r="C2006" t="s">
        <v>2720</v>
      </c>
      <c r="D2006" t="s">
        <v>4832</v>
      </c>
      <c r="E2006" s="10" t="s">
        <v>4865</v>
      </c>
      <c r="F2006" s="10"/>
      <c r="G2006" s="10"/>
      <c r="H2006" s="10" t="s">
        <v>4865</v>
      </c>
      <c r="I2006" s="14">
        <v>81522.346195520833</v>
      </c>
      <c r="J2006" s="19">
        <v>0</v>
      </c>
      <c r="K2006" s="19">
        <v>0.6351429713757718</v>
      </c>
      <c r="L2006" s="19">
        <v>0.3648570286242282</v>
      </c>
      <c r="M2006" s="20">
        <v>2</v>
      </c>
      <c r="N2006" s="19">
        <v>0.19086152115701435</v>
      </c>
      <c r="O2006" s="19">
        <v>0</v>
      </c>
      <c r="P2006" s="19">
        <v>0.44428145021875748</v>
      </c>
      <c r="Q2006" s="19">
        <v>0.11217213877599996</v>
      </c>
      <c r="R2006" s="19">
        <v>0.22617733207206214</v>
      </c>
      <c r="S2006" s="19">
        <v>2.6507557776166063E-2</v>
      </c>
      <c r="T2006" s="20">
        <v>23</v>
      </c>
      <c r="U2006" s="17">
        <v>2</v>
      </c>
      <c r="V2006" s="17">
        <v>34</v>
      </c>
    </row>
    <row r="2007" spans="1:22" x14ac:dyDescent="0.2">
      <c r="A2007" t="s">
        <v>4866</v>
      </c>
      <c r="B2007" t="s">
        <v>2719</v>
      </c>
      <c r="C2007" t="s">
        <v>2720</v>
      </c>
      <c r="D2007" t="s">
        <v>4867</v>
      </c>
      <c r="E2007" s="10" t="s">
        <v>4868</v>
      </c>
      <c r="F2007" s="10"/>
      <c r="G2007" s="10"/>
      <c r="H2007" s="10" t="s">
        <v>4868</v>
      </c>
      <c r="I2007" s="14">
        <v>28840.562240773812</v>
      </c>
      <c r="J2007" s="19">
        <v>0</v>
      </c>
      <c r="K2007" s="19">
        <v>0.91279493264257883</v>
      </c>
      <c r="L2007" s="19">
        <v>8.7205067357421187E-2</v>
      </c>
      <c r="M2007" s="20">
        <v>2</v>
      </c>
      <c r="N2007" s="19">
        <v>0.53292247744525634</v>
      </c>
      <c r="O2007" s="19">
        <v>0</v>
      </c>
      <c r="P2007" s="19">
        <v>0.37987245519732249</v>
      </c>
      <c r="Q2007" s="19">
        <v>4.4537342978058107E-2</v>
      </c>
      <c r="R2007" s="19">
        <v>3.9780490810845066E-2</v>
      </c>
      <c r="S2007" s="19">
        <v>2.8872335685180156E-3</v>
      </c>
      <c r="T2007" s="20">
        <v>23</v>
      </c>
      <c r="U2007" s="17">
        <v>2</v>
      </c>
      <c r="V2007" s="17">
        <v>34</v>
      </c>
    </row>
    <row r="2008" spans="1:22" x14ac:dyDescent="0.2">
      <c r="A2008" t="s">
        <v>4869</v>
      </c>
      <c r="B2008" t="s">
        <v>2719</v>
      </c>
      <c r="C2008" t="s">
        <v>2720</v>
      </c>
      <c r="D2008" t="s">
        <v>4867</v>
      </c>
      <c r="E2008" s="10" t="s">
        <v>4870</v>
      </c>
      <c r="F2008" s="10"/>
      <c r="G2008" s="10"/>
      <c r="H2008" s="10" t="s">
        <v>4870</v>
      </c>
      <c r="I2008" s="14">
        <v>11156.418365519494</v>
      </c>
      <c r="J2008" s="19">
        <v>0</v>
      </c>
      <c r="K2008" s="19">
        <v>0.60330531853060765</v>
      </c>
      <c r="L2008" s="19">
        <v>0.39669468146939235</v>
      </c>
      <c r="M2008" s="20">
        <v>2</v>
      </c>
      <c r="N2008" s="19">
        <v>0</v>
      </c>
      <c r="O2008" s="19">
        <v>0.60330531853060765</v>
      </c>
      <c r="P2008" s="19">
        <v>0</v>
      </c>
      <c r="Q2008" s="19">
        <v>0.36816872217586893</v>
      </c>
      <c r="R2008" s="19">
        <v>2.2805821206936631E-2</v>
      </c>
      <c r="S2008" s="19">
        <v>5.7201380865868198E-3</v>
      </c>
      <c r="T2008" s="20">
        <v>22</v>
      </c>
      <c r="U2008" s="17">
        <v>2</v>
      </c>
      <c r="V2008" s="17">
        <v>34</v>
      </c>
    </row>
    <row r="2009" spans="1:22" x14ac:dyDescent="0.2">
      <c r="A2009" t="s">
        <v>4871</v>
      </c>
      <c r="B2009" t="s">
        <v>2719</v>
      </c>
      <c r="C2009" t="s">
        <v>2720</v>
      </c>
      <c r="D2009" t="s">
        <v>4867</v>
      </c>
      <c r="E2009" s="10" t="s">
        <v>4872</v>
      </c>
      <c r="F2009" s="10"/>
      <c r="G2009" s="10"/>
      <c r="H2009" s="10" t="s">
        <v>4872</v>
      </c>
      <c r="I2009" s="14">
        <v>26567.470135592859</v>
      </c>
      <c r="J2009" s="19">
        <v>0</v>
      </c>
      <c r="K2009" s="19">
        <v>0.64702198228533547</v>
      </c>
      <c r="L2009" s="19">
        <v>0.35297801771466442</v>
      </c>
      <c r="M2009" s="20">
        <v>2</v>
      </c>
      <c r="N2009" s="19">
        <v>0.43315170691944327</v>
      </c>
      <c r="O2009" s="19">
        <v>0</v>
      </c>
      <c r="P2009" s="19">
        <v>0.21387027536589226</v>
      </c>
      <c r="Q2009" s="19">
        <v>0.21985348048791142</v>
      </c>
      <c r="R2009" s="19">
        <v>0.11909953861824205</v>
      </c>
      <c r="S2009" s="19">
        <v>1.4024998608510858E-2</v>
      </c>
      <c r="T2009" s="20">
        <v>23</v>
      </c>
      <c r="U2009" s="17">
        <v>2</v>
      </c>
      <c r="V2009" s="17">
        <v>34</v>
      </c>
    </row>
    <row r="2010" spans="1:22" x14ac:dyDescent="0.2">
      <c r="A2010" t="s">
        <v>4873</v>
      </c>
      <c r="B2010" t="s">
        <v>2719</v>
      </c>
      <c r="C2010" t="s">
        <v>2720</v>
      </c>
      <c r="D2010" t="s">
        <v>4867</v>
      </c>
      <c r="E2010" s="10" t="s">
        <v>4874</v>
      </c>
      <c r="F2010" s="10"/>
      <c r="G2010" s="10"/>
      <c r="H2010" s="10" t="s">
        <v>4874</v>
      </c>
      <c r="I2010" s="14">
        <v>15484.279160309585</v>
      </c>
      <c r="J2010" s="19">
        <v>0</v>
      </c>
      <c r="K2010" s="19">
        <v>0.38572125647441768</v>
      </c>
      <c r="L2010" s="19">
        <v>0.6142787435255822</v>
      </c>
      <c r="M2010" s="20">
        <v>1</v>
      </c>
      <c r="N2010" s="19">
        <v>0</v>
      </c>
      <c r="O2010" s="19">
        <v>0.38572125647441768</v>
      </c>
      <c r="P2010" s="19">
        <v>0</v>
      </c>
      <c r="Q2010" s="19">
        <v>0.54769959825960368</v>
      </c>
      <c r="R2010" s="19">
        <v>6.0615749692342187E-2</v>
      </c>
      <c r="S2010" s="19">
        <v>5.9633955736363093E-3</v>
      </c>
      <c r="T2010" s="20">
        <v>13</v>
      </c>
      <c r="U2010" s="17">
        <v>2</v>
      </c>
      <c r="V2010" s="17">
        <v>34</v>
      </c>
    </row>
    <row r="2011" spans="1:22" x14ac:dyDescent="0.2">
      <c r="A2011" t="s">
        <v>4875</v>
      </c>
      <c r="B2011" t="s">
        <v>2719</v>
      </c>
      <c r="C2011" t="s">
        <v>2720</v>
      </c>
      <c r="D2011" t="s">
        <v>4867</v>
      </c>
      <c r="E2011" s="10" t="s">
        <v>3485</v>
      </c>
      <c r="F2011" s="10"/>
      <c r="G2011" s="10"/>
      <c r="H2011" s="10" t="s">
        <v>3485</v>
      </c>
      <c r="I2011" s="14">
        <v>106467.20153523143</v>
      </c>
      <c r="J2011" s="19">
        <v>0.56460549168269658</v>
      </c>
      <c r="K2011" s="19">
        <v>0.15551592657799901</v>
      </c>
      <c r="L2011" s="19">
        <v>0.27987858173930436</v>
      </c>
      <c r="M2011" s="20">
        <v>3</v>
      </c>
      <c r="N2011" s="19">
        <v>0</v>
      </c>
      <c r="O2011" s="19">
        <v>5.2276433720182522E-2</v>
      </c>
      <c r="P2011" s="19">
        <v>0.10323949285781649</v>
      </c>
      <c r="Q2011" s="19">
        <v>0.21381143457747001</v>
      </c>
      <c r="R2011" s="19">
        <v>6.2063969806097845E-2</v>
      </c>
      <c r="S2011" s="19">
        <v>4.0031773557365462E-3</v>
      </c>
      <c r="T2011" s="20">
        <v>30</v>
      </c>
      <c r="U2011" s="17">
        <v>2</v>
      </c>
      <c r="V2011" s="17">
        <v>34</v>
      </c>
    </row>
    <row r="2012" spans="1:22" x14ac:dyDescent="0.2">
      <c r="A2012" t="s">
        <v>4876</v>
      </c>
      <c r="B2012" t="s">
        <v>2719</v>
      </c>
      <c r="C2012" t="s">
        <v>2720</v>
      </c>
      <c r="D2012" t="s">
        <v>4867</v>
      </c>
      <c r="E2012" s="10" t="s">
        <v>4877</v>
      </c>
      <c r="F2012" s="10"/>
      <c r="G2012" s="10"/>
      <c r="H2012" s="10" t="s">
        <v>4877</v>
      </c>
      <c r="I2012" s="14">
        <v>41477.312996910885</v>
      </c>
      <c r="J2012" s="19">
        <v>0</v>
      </c>
      <c r="K2012" s="19">
        <v>0.80812705504207161</v>
      </c>
      <c r="L2012" s="19">
        <v>0.19187294495792845</v>
      </c>
      <c r="M2012" s="20">
        <v>2</v>
      </c>
      <c r="N2012" s="19">
        <v>0.1545558534965264</v>
      </c>
      <c r="O2012" s="19">
        <v>0.14220867896284883</v>
      </c>
      <c r="P2012" s="19">
        <v>0.51136252258269632</v>
      </c>
      <c r="Q2012" s="19">
        <v>8.4857009732354896E-2</v>
      </c>
      <c r="R2012" s="19">
        <v>8.9443765665112279E-2</v>
      </c>
      <c r="S2012" s="19">
        <v>1.7572169560461266E-2</v>
      </c>
      <c r="T2012" s="20">
        <v>21</v>
      </c>
      <c r="U2012" s="17">
        <v>2</v>
      </c>
      <c r="V2012" s="17">
        <v>34</v>
      </c>
    </row>
    <row r="2013" spans="1:22" x14ac:dyDescent="0.2">
      <c r="A2013" t="s">
        <v>4878</v>
      </c>
      <c r="B2013" t="s">
        <v>2719</v>
      </c>
      <c r="C2013" t="s">
        <v>2720</v>
      </c>
      <c r="D2013" t="s">
        <v>4867</v>
      </c>
      <c r="E2013" s="10" t="s">
        <v>4879</v>
      </c>
      <c r="F2013" s="10"/>
      <c r="G2013" s="10"/>
      <c r="H2013" s="10" t="s">
        <v>4879</v>
      </c>
      <c r="I2013" s="14">
        <v>27841.404937930405</v>
      </c>
      <c r="J2013" s="19">
        <v>0</v>
      </c>
      <c r="K2013" s="19">
        <v>0.70674337579806246</v>
      </c>
      <c r="L2013" s="19">
        <v>0.2932566242019376</v>
      </c>
      <c r="M2013" s="20">
        <v>2</v>
      </c>
      <c r="N2013" s="19">
        <v>0.21404953173336108</v>
      </c>
      <c r="O2013" s="19">
        <v>6.6478990974779967E-2</v>
      </c>
      <c r="P2013" s="19">
        <v>0.42621485308992135</v>
      </c>
      <c r="Q2013" s="19">
        <v>0.1833199694277797</v>
      </c>
      <c r="R2013" s="19">
        <v>9.8771527776818593E-2</v>
      </c>
      <c r="S2013" s="19">
        <v>1.1165126997339276E-2</v>
      </c>
      <c r="T2013" s="20">
        <v>23</v>
      </c>
      <c r="U2013" s="17">
        <v>2</v>
      </c>
      <c r="V2013" s="17">
        <v>34</v>
      </c>
    </row>
    <row r="2014" spans="1:22" x14ac:dyDescent="0.2">
      <c r="A2014" t="s">
        <v>4880</v>
      </c>
      <c r="B2014" t="s">
        <v>2719</v>
      </c>
      <c r="C2014" t="s">
        <v>2720</v>
      </c>
      <c r="D2014" t="s">
        <v>4867</v>
      </c>
      <c r="E2014" s="10" t="s">
        <v>4881</v>
      </c>
      <c r="F2014" s="10"/>
      <c r="G2014" s="10"/>
      <c r="H2014" s="10" t="s">
        <v>4881</v>
      </c>
      <c r="I2014" s="14">
        <v>71499.919854118954</v>
      </c>
      <c r="J2014" s="19">
        <v>0</v>
      </c>
      <c r="K2014" s="19">
        <v>0.57009192886052684</v>
      </c>
      <c r="L2014" s="19">
        <v>0.4299080711394731</v>
      </c>
      <c r="M2014" s="20">
        <v>2</v>
      </c>
      <c r="N2014" s="19">
        <v>0.30702700315719383</v>
      </c>
      <c r="O2014" s="19">
        <v>8.7268293506288883E-2</v>
      </c>
      <c r="P2014" s="19">
        <v>0.17579663219704411</v>
      </c>
      <c r="Q2014" s="19">
        <v>0.35472373405948388</v>
      </c>
      <c r="R2014" s="19">
        <v>6.6423939683969882E-2</v>
      </c>
      <c r="S2014" s="19">
        <v>8.7603973960194252E-3</v>
      </c>
      <c r="T2014" s="20">
        <v>23</v>
      </c>
      <c r="U2014" s="17">
        <v>2</v>
      </c>
      <c r="V2014" s="17">
        <v>34</v>
      </c>
    </row>
    <row r="2015" spans="1:22" x14ac:dyDescent="0.2">
      <c r="A2015" t="s">
        <v>4882</v>
      </c>
      <c r="B2015" t="s">
        <v>2719</v>
      </c>
      <c r="C2015" t="s">
        <v>2720</v>
      </c>
      <c r="D2015" t="s">
        <v>4867</v>
      </c>
      <c r="E2015" s="10" t="s">
        <v>4883</v>
      </c>
      <c r="F2015" s="10"/>
      <c r="G2015" s="10"/>
      <c r="H2015" s="10" t="s">
        <v>4883</v>
      </c>
      <c r="I2015" s="14">
        <v>14803.150606006386</v>
      </c>
      <c r="J2015" s="19">
        <v>0</v>
      </c>
      <c r="K2015" s="19">
        <v>0.27008916541897299</v>
      </c>
      <c r="L2015" s="19">
        <v>0.7299108345810269</v>
      </c>
      <c r="M2015" s="20">
        <v>1</v>
      </c>
      <c r="N2015" s="19">
        <v>0</v>
      </c>
      <c r="O2015" s="19">
        <v>0.2585939295495514</v>
      </c>
      <c r="P2015" s="19">
        <v>1.1495235869421578E-2</v>
      </c>
      <c r="Q2015" s="19">
        <v>0.56019342265927785</v>
      </c>
      <c r="R2015" s="19">
        <v>0.15899653899001487</v>
      </c>
      <c r="S2015" s="19">
        <v>1.0720872931734239E-2</v>
      </c>
      <c r="T2015" s="20">
        <v>13</v>
      </c>
      <c r="U2015" s="17">
        <v>2</v>
      </c>
      <c r="V2015" s="17">
        <v>34</v>
      </c>
    </row>
    <row r="2016" spans="1:22" x14ac:dyDescent="0.2">
      <c r="A2016" t="s">
        <v>4884</v>
      </c>
      <c r="B2016" t="s">
        <v>2719</v>
      </c>
      <c r="C2016" t="s">
        <v>2720</v>
      </c>
      <c r="D2016" t="s">
        <v>4867</v>
      </c>
      <c r="E2016" s="10" t="s">
        <v>4885</v>
      </c>
      <c r="F2016" s="10"/>
      <c r="G2016" s="10"/>
      <c r="H2016" s="10" t="s">
        <v>4885</v>
      </c>
      <c r="I2016" s="14">
        <v>50557.28414077498</v>
      </c>
      <c r="J2016" s="19">
        <v>0</v>
      </c>
      <c r="K2016" s="19">
        <v>0.45150093279435438</v>
      </c>
      <c r="L2016" s="19">
        <v>0.54849906720564567</v>
      </c>
      <c r="M2016" s="20">
        <v>1</v>
      </c>
      <c r="N2016" s="19">
        <v>0.12989601763504435</v>
      </c>
      <c r="O2016" s="19">
        <v>0.20530570262180389</v>
      </c>
      <c r="P2016" s="19">
        <v>0.11629921253750614</v>
      </c>
      <c r="Q2016" s="19">
        <v>0.34902848695573879</v>
      </c>
      <c r="R2016" s="19">
        <v>0.18657055825622154</v>
      </c>
      <c r="S2016" s="19">
        <v>1.2900021993685298E-2</v>
      </c>
      <c r="T2016" s="20">
        <v>13</v>
      </c>
      <c r="U2016" s="17">
        <v>2</v>
      </c>
      <c r="V2016" s="17">
        <v>34</v>
      </c>
    </row>
    <row r="2017" spans="1:22" x14ac:dyDescent="0.2">
      <c r="A2017" t="s">
        <v>4886</v>
      </c>
      <c r="B2017" t="s">
        <v>2719</v>
      </c>
      <c r="C2017" t="s">
        <v>2720</v>
      </c>
      <c r="D2017" t="s">
        <v>4867</v>
      </c>
      <c r="E2017" s="10" t="s">
        <v>4887</v>
      </c>
      <c r="F2017" s="10"/>
      <c r="G2017" s="10"/>
      <c r="H2017" s="10" t="s">
        <v>4887</v>
      </c>
      <c r="I2017" s="14">
        <v>33631.158428038412</v>
      </c>
      <c r="J2017" s="19">
        <v>0</v>
      </c>
      <c r="K2017" s="19">
        <v>0.59991411912819614</v>
      </c>
      <c r="L2017" s="19">
        <v>0.40008588087180386</v>
      </c>
      <c r="M2017" s="20">
        <v>2</v>
      </c>
      <c r="N2017" s="19">
        <v>0.2157528737181634</v>
      </c>
      <c r="O2017" s="19">
        <v>0</v>
      </c>
      <c r="P2017" s="19">
        <v>0.38416124541003277</v>
      </c>
      <c r="Q2017" s="19">
        <v>0.27666333088863659</v>
      </c>
      <c r="R2017" s="19">
        <v>0.11674298789568278</v>
      </c>
      <c r="S2017" s="19">
        <v>6.6795620874844676E-3</v>
      </c>
      <c r="T2017" s="20">
        <v>23</v>
      </c>
      <c r="U2017" s="17">
        <v>2</v>
      </c>
      <c r="V2017" s="17">
        <v>34</v>
      </c>
    </row>
    <row r="2018" spans="1:22" x14ac:dyDescent="0.2">
      <c r="A2018" t="s">
        <v>4888</v>
      </c>
      <c r="B2018" t="s">
        <v>2719</v>
      </c>
      <c r="C2018" t="s">
        <v>2720</v>
      </c>
      <c r="D2018" t="s">
        <v>4867</v>
      </c>
      <c r="E2018" s="10" t="s">
        <v>4889</v>
      </c>
      <c r="F2018" s="10"/>
      <c r="G2018" s="10"/>
      <c r="H2018" s="10" t="s">
        <v>4889</v>
      </c>
      <c r="I2018" s="14">
        <v>18107.148616537452</v>
      </c>
      <c r="J2018" s="19">
        <v>0</v>
      </c>
      <c r="K2018" s="19">
        <v>0.39686332505170352</v>
      </c>
      <c r="L2018" s="19">
        <v>0.60313667494829648</v>
      </c>
      <c r="M2018" s="20">
        <v>1</v>
      </c>
      <c r="N2018" s="19">
        <v>0</v>
      </c>
      <c r="O2018" s="19">
        <v>0.39686332505170352</v>
      </c>
      <c r="P2018" s="19">
        <v>0</v>
      </c>
      <c r="Q2018" s="19">
        <v>0.29977087866506374</v>
      </c>
      <c r="R2018" s="19">
        <v>0.28476469018347828</v>
      </c>
      <c r="S2018" s="19">
        <v>1.8601106099754443E-2</v>
      </c>
      <c r="T2018" s="20">
        <v>13</v>
      </c>
      <c r="U2018" s="17">
        <v>2</v>
      </c>
      <c r="V2018" s="17">
        <v>34</v>
      </c>
    </row>
    <row r="2019" spans="1:22" x14ac:dyDescent="0.2">
      <c r="A2019" t="s">
        <v>4890</v>
      </c>
      <c r="B2019" t="s">
        <v>2719</v>
      </c>
      <c r="C2019" t="s">
        <v>2720</v>
      </c>
      <c r="D2019" t="s">
        <v>4867</v>
      </c>
      <c r="E2019" s="10" t="s">
        <v>4891</v>
      </c>
      <c r="F2019" s="10"/>
      <c r="G2019" s="10"/>
      <c r="H2019" s="10" t="s">
        <v>4891</v>
      </c>
      <c r="I2019" s="14">
        <v>15050.52344774618</v>
      </c>
      <c r="J2019" s="19">
        <v>0</v>
      </c>
      <c r="K2019" s="19">
        <v>0.36702477133598166</v>
      </c>
      <c r="L2019" s="19">
        <v>0.63297522866401823</v>
      </c>
      <c r="M2019" s="20">
        <v>1</v>
      </c>
      <c r="N2019" s="19">
        <v>0</v>
      </c>
      <c r="O2019" s="19">
        <v>0.36702477133598166</v>
      </c>
      <c r="P2019" s="19">
        <v>0</v>
      </c>
      <c r="Q2019" s="19">
        <v>0.55312334079614756</v>
      </c>
      <c r="R2019" s="19">
        <v>7.495282867769934E-2</v>
      </c>
      <c r="S2019" s="19">
        <v>4.8990591901713438E-3</v>
      </c>
      <c r="T2019" s="20">
        <v>13</v>
      </c>
      <c r="U2019" s="17">
        <v>2</v>
      </c>
      <c r="V2019" s="17">
        <v>34</v>
      </c>
    </row>
    <row r="2020" spans="1:22" x14ac:dyDescent="0.2">
      <c r="A2020" t="s">
        <v>4892</v>
      </c>
      <c r="B2020" t="s">
        <v>2719</v>
      </c>
      <c r="C2020" t="s">
        <v>2720</v>
      </c>
      <c r="D2020" t="s">
        <v>4867</v>
      </c>
      <c r="E2020" s="10" t="s">
        <v>4893</v>
      </c>
      <c r="F2020" s="10"/>
      <c r="G2020" s="10"/>
      <c r="H2020" s="10" t="s">
        <v>4893</v>
      </c>
      <c r="I2020" s="14">
        <v>45886.39261071384</v>
      </c>
      <c r="J2020" s="19">
        <v>0.20930049502148546</v>
      </c>
      <c r="K2020" s="19">
        <v>0.46893975350811856</v>
      </c>
      <c r="L2020" s="19">
        <v>0.32175975147039604</v>
      </c>
      <c r="M2020" s="20">
        <v>2</v>
      </c>
      <c r="N2020" s="19">
        <v>0.20638000575531726</v>
      </c>
      <c r="O2020" s="19">
        <v>8.6914169805212063E-3</v>
      </c>
      <c r="P2020" s="19">
        <v>0.2538683307722801</v>
      </c>
      <c r="Q2020" s="19">
        <v>0.21380663865085264</v>
      </c>
      <c r="R2020" s="19">
        <v>8.8024444969903054E-2</v>
      </c>
      <c r="S2020" s="19">
        <v>1.9928667849640275E-2</v>
      </c>
      <c r="T2020" s="20">
        <v>23</v>
      </c>
      <c r="U2020" s="17">
        <v>2</v>
      </c>
      <c r="V2020" s="17">
        <v>34</v>
      </c>
    </row>
    <row r="2021" spans="1:22" x14ac:dyDescent="0.2">
      <c r="A2021" t="s">
        <v>4894</v>
      </c>
      <c r="B2021" t="s">
        <v>2719</v>
      </c>
      <c r="C2021" t="s">
        <v>2720</v>
      </c>
      <c r="D2021" t="s">
        <v>4867</v>
      </c>
      <c r="E2021" s="10" t="s">
        <v>4895</v>
      </c>
      <c r="F2021" s="10"/>
      <c r="G2021" s="10"/>
      <c r="H2021" s="10" t="s">
        <v>4895</v>
      </c>
      <c r="I2021" s="14">
        <v>42973.071407532319</v>
      </c>
      <c r="J2021" s="19">
        <v>0</v>
      </c>
      <c r="K2021" s="19">
        <v>0.67729395859756691</v>
      </c>
      <c r="L2021" s="19">
        <v>0.32270604140243309</v>
      </c>
      <c r="M2021" s="20">
        <v>2</v>
      </c>
      <c r="N2021" s="19">
        <v>0.2876569502033624</v>
      </c>
      <c r="O2021" s="19">
        <v>0</v>
      </c>
      <c r="P2021" s="19">
        <v>0.38963700839420451</v>
      </c>
      <c r="Q2021" s="19">
        <v>0.24796099002482158</v>
      </c>
      <c r="R2021" s="19">
        <v>7.2589275986112339E-2</v>
      </c>
      <c r="S2021" s="19">
        <v>2.1557753914991633E-3</v>
      </c>
      <c r="T2021" s="20">
        <v>23</v>
      </c>
      <c r="U2021" s="17">
        <v>2</v>
      </c>
      <c r="V2021" s="17">
        <v>34</v>
      </c>
    </row>
    <row r="2022" spans="1:22" x14ac:dyDescent="0.2">
      <c r="A2022" t="s">
        <v>4896</v>
      </c>
      <c r="B2022" t="s">
        <v>2719</v>
      </c>
      <c r="C2022" t="s">
        <v>2720</v>
      </c>
      <c r="D2022" t="s">
        <v>4867</v>
      </c>
      <c r="E2022" s="10" t="s">
        <v>4897</v>
      </c>
      <c r="F2022" s="10"/>
      <c r="G2022" s="10"/>
      <c r="H2022" s="10" t="s">
        <v>4897</v>
      </c>
      <c r="I2022" s="14">
        <v>41893.388798866421</v>
      </c>
      <c r="J2022" s="19">
        <v>0</v>
      </c>
      <c r="K2022" s="19">
        <v>0.56551643352249348</v>
      </c>
      <c r="L2022" s="19">
        <v>0.43448356647750652</v>
      </c>
      <c r="M2022" s="20">
        <v>2</v>
      </c>
      <c r="N2022" s="19">
        <v>0.46050737121045099</v>
      </c>
      <c r="O2022" s="19">
        <v>0</v>
      </c>
      <c r="P2022" s="19">
        <v>0.10500906231204249</v>
      </c>
      <c r="Q2022" s="19">
        <v>0.36231932892588592</v>
      </c>
      <c r="R2022" s="19">
        <v>6.5072022186828407E-2</v>
      </c>
      <c r="S2022" s="19">
        <v>7.0922153647921043E-3</v>
      </c>
      <c r="T2022" s="20">
        <v>23</v>
      </c>
      <c r="U2022" s="17">
        <v>2</v>
      </c>
      <c r="V2022" s="17">
        <v>34</v>
      </c>
    </row>
    <row r="2023" spans="1:22" x14ac:dyDescent="0.2">
      <c r="A2023" t="s">
        <v>4898</v>
      </c>
      <c r="B2023" t="s">
        <v>2719</v>
      </c>
      <c r="C2023" t="s">
        <v>2720</v>
      </c>
      <c r="D2023" t="s">
        <v>4867</v>
      </c>
      <c r="E2023" s="10" t="s">
        <v>2815</v>
      </c>
      <c r="F2023" s="10"/>
      <c r="G2023" s="10"/>
      <c r="H2023" s="10" t="s">
        <v>2815</v>
      </c>
      <c r="I2023" s="14">
        <v>13942.183456890285</v>
      </c>
      <c r="J2023" s="19">
        <v>0</v>
      </c>
      <c r="K2023" s="19">
        <v>0.76414861502786613</v>
      </c>
      <c r="L2023" s="19">
        <v>0.23585138497213393</v>
      </c>
      <c r="M2023" s="20">
        <v>2</v>
      </c>
      <c r="N2023" s="19">
        <v>0.38325918198742187</v>
      </c>
      <c r="O2023" s="19">
        <v>0</v>
      </c>
      <c r="P2023" s="19">
        <v>0.3808894330404442</v>
      </c>
      <c r="Q2023" s="19">
        <v>0.20178972297413536</v>
      </c>
      <c r="R2023" s="19">
        <v>2.6382029357621215E-2</v>
      </c>
      <c r="S2023" s="19">
        <v>7.6796326403773419E-3</v>
      </c>
      <c r="T2023" s="20">
        <v>23</v>
      </c>
      <c r="U2023" s="17">
        <v>2</v>
      </c>
      <c r="V2023" s="17">
        <v>34</v>
      </c>
    </row>
    <row r="2024" spans="1:22" x14ac:dyDescent="0.2">
      <c r="A2024" t="s">
        <v>4899</v>
      </c>
      <c r="B2024" t="s">
        <v>2719</v>
      </c>
      <c r="C2024" t="s">
        <v>2720</v>
      </c>
      <c r="D2024" t="s">
        <v>4867</v>
      </c>
      <c r="E2024" s="10" t="s">
        <v>4900</v>
      </c>
      <c r="F2024" s="10"/>
      <c r="G2024" s="10"/>
      <c r="H2024" s="10" t="s">
        <v>4900</v>
      </c>
      <c r="I2024" s="14">
        <v>10347.845754912123</v>
      </c>
      <c r="J2024" s="19">
        <v>0</v>
      </c>
      <c r="K2024" s="19">
        <v>0.48986347544822634</v>
      </c>
      <c r="L2024" s="19">
        <v>0.51013652455177361</v>
      </c>
      <c r="M2024" s="20">
        <v>1</v>
      </c>
      <c r="N2024" s="19">
        <v>0</v>
      </c>
      <c r="O2024" s="19">
        <v>0.48986347544822634</v>
      </c>
      <c r="P2024" s="19">
        <v>0</v>
      </c>
      <c r="Q2024" s="19">
        <v>0.4858126033733316</v>
      </c>
      <c r="R2024" s="19">
        <v>1.85206920220948E-2</v>
      </c>
      <c r="S2024" s="19">
        <v>5.8032291563471982E-3</v>
      </c>
      <c r="T2024" s="20">
        <v>13</v>
      </c>
      <c r="U2024" s="17">
        <v>2</v>
      </c>
      <c r="V2024" s="17">
        <v>34</v>
      </c>
    </row>
    <row r="2025" spans="1:22" x14ac:dyDescent="0.2">
      <c r="A2025" t="s">
        <v>4901</v>
      </c>
      <c r="B2025" t="s">
        <v>2719</v>
      </c>
      <c r="C2025" t="s">
        <v>2720</v>
      </c>
      <c r="D2025" t="s">
        <v>4867</v>
      </c>
      <c r="E2025" s="10" t="s">
        <v>2762</v>
      </c>
      <c r="F2025" s="10"/>
      <c r="G2025" s="10"/>
      <c r="H2025" s="10" t="s">
        <v>2762</v>
      </c>
      <c r="I2025" s="14">
        <v>29741.025274705142</v>
      </c>
      <c r="J2025" s="19">
        <v>0</v>
      </c>
      <c r="K2025" s="19">
        <v>0.81206554945323794</v>
      </c>
      <c r="L2025" s="19">
        <v>0.18793445054676206</v>
      </c>
      <c r="M2025" s="20">
        <v>2</v>
      </c>
      <c r="N2025" s="19">
        <v>0.18503507362861255</v>
      </c>
      <c r="O2025" s="19">
        <v>0.17680847680735265</v>
      </c>
      <c r="P2025" s="19">
        <v>0.45022199901727272</v>
      </c>
      <c r="Q2025" s="19">
        <v>0.15344317496612683</v>
      </c>
      <c r="R2025" s="19">
        <v>2.8888042020197163E-2</v>
      </c>
      <c r="S2025" s="19">
        <v>5.6032335604380579E-3</v>
      </c>
      <c r="T2025" s="20">
        <v>23</v>
      </c>
      <c r="U2025" s="17">
        <v>2</v>
      </c>
      <c r="V2025" s="17">
        <v>34</v>
      </c>
    </row>
    <row r="2026" spans="1:22" x14ac:dyDescent="0.2">
      <c r="A2026" t="s">
        <v>4902</v>
      </c>
      <c r="B2026" t="s">
        <v>2719</v>
      </c>
      <c r="C2026" t="s">
        <v>2720</v>
      </c>
      <c r="D2026" t="s">
        <v>4867</v>
      </c>
      <c r="E2026" s="10" t="s">
        <v>2927</v>
      </c>
      <c r="F2026" s="10"/>
      <c r="G2026" s="10"/>
      <c r="H2026" s="10" t="s">
        <v>2927</v>
      </c>
      <c r="I2026" s="14">
        <v>19688.219424264506</v>
      </c>
      <c r="J2026" s="19">
        <v>0</v>
      </c>
      <c r="K2026" s="19">
        <v>0.65714776874314462</v>
      </c>
      <c r="L2026" s="19">
        <v>0.34285223125685538</v>
      </c>
      <c r="M2026" s="20">
        <v>2</v>
      </c>
      <c r="N2026" s="19">
        <v>0.45597111536294005</v>
      </c>
      <c r="O2026" s="19">
        <v>0</v>
      </c>
      <c r="P2026" s="19">
        <v>0.20117665338020457</v>
      </c>
      <c r="Q2026" s="19">
        <v>0.13426231272089062</v>
      </c>
      <c r="R2026" s="19">
        <v>0.18910418663313827</v>
      </c>
      <c r="S2026" s="19">
        <v>1.9485731902826518E-2</v>
      </c>
      <c r="T2026" s="20">
        <v>23</v>
      </c>
      <c r="U2026" s="17">
        <v>2</v>
      </c>
      <c r="V2026" s="17">
        <v>34</v>
      </c>
    </row>
    <row r="2027" spans="1:22" x14ac:dyDescent="0.2">
      <c r="A2027" t="s">
        <v>4903</v>
      </c>
      <c r="B2027" t="s">
        <v>2719</v>
      </c>
      <c r="C2027" t="s">
        <v>2720</v>
      </c>
      <c r="D2027" t="s">
        <v>4867</v>
      </c>
      <c r="E2027" s="10" t="s">
        <v>4904</v>
      </c>
      <c r="F2027" s="10"/>
      <c r="G2027" s="10"/>
      <c r="H2027" s="10" t="s">
        <v>4904</v>
      </c>
      <c r="I2027" s="14">
        <v>36870.30113145709</v>
      </c>
      <c r="J2027" s="19">
        <v>0</v>
      </c>
      <c r="K2027" s="19">
        <v>0.72004429329830089</v>
      </c>
      <c r="L2027" s="19">
        <v>0.27995570670169911</v>
      </c>
      <c r="M2027" s="20">
        <v>2</v>
      </c>
      <c r="N2027" s="19">
        <v>0.56743175489605713</v>
      </c>
      <c r="O2027" s="19">
        <v>0</v>
      </c>
      <c r="P2027" s="19">
        <v>0.15261253840224387</v>
      </c>
      <c r="Q2027" s="19">
        <v>0.19848277167231257</v>
      </c>
      <c r="R2027" s="19">
        <v>7.1328199902827835E-2</v>
      </c>
      <c r="S2027" s="19">
        <v>1.014473512655872E-2</v>
      </c>
      <c r="T2027" s="20">
        <v>23</v>
      </c>
      <c r="U2027" s="17">
        <v>2</v>
      </c>
      <c r="V2027" s="17">
        <v>34</v>
      </c>
    </row>
    <row r="2028" spans="1:22" x14ac:dyDescent="0.2">
      <c r="A2028" t="s">
        <v>4905</v>
      </c>
      <c r="B2028" t="s">
        <v>2719</v>
      </c>
      <c r="C2028" t="s">
        <v>2720</v>
      </c>
      <c r="D2028" t="s">
        <v>4867</v>
      </c>
      <c r="E2028" s="10" t="s">
        <v>3402</v>
      </c>
      <c r="F2028" s="10"/>
      <c r="G2028" s="10"/>
      <c r="H2028" s="10" t="s">
        <v>3402</v>
      </c>
      <c r="I2028" s="14">
        <v>9617.1623174995184</v>
      </c>
      <c r="J2028" s="19">
        <v>0</v>
      </c>
      <c r="K2028" s="19">
        <v>0</v>
      </c>
      <c r="L2028" s="19">
        <v>1</v>
      </c>
      <c r="M2028" s="20">
        <v>1</v>
      </c>
      <c r="N2028" s="19">
        <v>0</v>
      </c>
      <c r="O2028" s="19">
        <v>0</v>
      </c>
      <c r="P2028" s="19">
        <v>0</v>
      </c>
      <c r="Q2028" s="19">
        <v>0.95740957013693995</v>
      </c>
      <c r="R2028" s="19">
        <v>3.8881770974518885E-2</v>
      </c>
      <c r="S2028" s="19">
        <v>3.7086588885411175E-3</v>
      </c>
      <c r="T2028" s="20">
        <v>13</v>
      </c>
      <c r="U2028" s="17">
        <v>2</v>
      </c>
      <c r="V2028" s="17">
        <v>34</v>
      </c>
    </row>
    <row r="2029" spans="1:22" x14ac:dyDescent="0.2">
      <c r="A2029" t="s">
        <v>4906</v>
      </c>
      <c r="B2029" t="s">
        <v>2719</v>
      </c>
      <c r="C2029" t="s">
        <v>2720</v>
      </c>
      <c r="D2029" t="s">
        <v>4867</v>
      </c>
      <c r="E2029" s="10" t="s">
        <v>4907</v>
      </c>
      <c r="F2029" s="10"/>
      <c r="G2029" s="10"/>
      <c r="H2029" s="10" t="s">
        <v>4907</v>
      </c>
      <c r="I2029" s="14">
        <v>17994.874802999198</v>
      </c>
      <c r="J2029" s="19">
        <v>0</v>
      </c>
      <c r="K2029" s="19">
        <v>0.51674270559110869</v>
      </c>
      <c r="L2029" s="19">
        <v>0.48325729440889131</v>
      </c>
      <c r="M2029" s="20">
        <v>2</v>
      </c>
      <c r="N2029" s="19">
        <v>0</v>
      </c>
      <c r="O2029" s="19">
        <v>0.51674270559110869</v>
      </c>
      <c r="P2029" s="19">
        <v>0</v>
      </c>
      <c r="Q2029" s="19">
        <v>0.20437408591492612</v>
      </c>
      <c r="R2029" s="19">
        <v>0.26176030425798125</v>
      </c>
      <c r="S2029" s="19">
        <v>1.7122904235983973E-2</v>
      </c>
      <c r="T2029" s="20">
        <v>22</v>
      </c>
      <c r="U2029" s="17">
        <v>2</v>
      </c>
      <c r="V2029" s="17">
        <v>34</v>
      </c>
    </row>
    <row r="2030" spans="1:22" x14ac:dyDescent="0.2">
      <c r="A2030" t="s">
        <v>4908</v>
      </c>
      <c r="B2030" t="s">
        <v>2719</v>
      </c>
      <c r="C2030" t="s">
        <v>2720</v>
      </c>
      <c r="D2030" t="s">
        <v>4867</v>
      </c>
      <c r="E2030" s="10" t="s">
        <v>4254</v>
      </c>
      <c r="F2030" s="10"/>
      <c r="G2030" s="10"/>
      <c r="H2030" s="10" t="s">
        <v>4254</v>
      </c>
      <c r="I2030" s="14">
        <v>18037.381060647778</v>
      </c>
      <c r="J2030" s="19">
        <v>0</v>
      </c>
      <c r="K2030" s="19">
        <v>0.78648216325789932</v>
      </c>
      <c r="L2030" s="19">
        <v>0.21351783674210065</v>
      </c>
      <c r="M2030" s="20">
        <v>2</v>
      </c>
      <c r="N2030" s="19">
        <v>0.37180412129371632</v>
      </c>
      <c r="O2030" s="19">
        <v>0</v>
      </c>
      <c r="P2030" s="19">
        <v>0.41467804196418295</v>
      </c>
      <c r="Q2030" s="19">
        <v>8.2284981176115907E-2</v>
      </c>
      <c r="R2030" s="19">
        <v>0.1224102483748666</v>
      </c>
      <c r="S2030" s="19">
        <v>8.822607191118154E-3</v>
      </c>
      <c r="T2030" s="20">
        <v>23</v>
      </c>
      <c r="U2030" s="17">
        <v>2</v>
      </c>
      <c r="V2030" s="17">
        <v>34</v>
      </c>
    </row>
    <row r="2031" spans="1:22" x14ac:dyDescent="0.2">
      <c r="A2031" t="s">
        <v>4909</v>
      </c>
      <c r="B2031" t="s">
        <v>2719</v>
      </c>
      <c r="C2031" t="s">
        <v>2720</v>
      </c>
      <c r="D2031" t="s">
        <v>4910</v>
      </c>
      <c r="E2031" s="10" t="s">
        <v>4911</v>
      </c>
      <c r="F2031" s="10"/>
      <c r="G2031" s="10"/>
      <c r="H2031" s="10" t="s">
        <v>4911</v>
      </c>
      <c r="I2031" s="14">
        <v>64123.201599108754</v>
      </c>
      <c r="J2031" s="19">
        <v>0</v>
      </c>
      <c r="K2031" s="19">
        <v>0.9264271568955047</v>
      </c>
      <c r="L2031" s="19">
        <v>7.35728431044953E-2</v>
      </c>
      <c r="M2031" s="20">
        <v>2</v>
      </c>
      <c r="N2031" s="19">
        <v>0.35115767429950351</v>
      </c>
      <c r="O2031" s="19">
        <v>0</v>
      </c>
      <c r="P2031" s="19">
        <v>0.57526948259600119</v>
      </c>
      <c r="Q2031" s="19">
        <v>1.2023606085562641E-2</v>
      </c>
      <c r="R2031" s="19">
        <v>5.6985995472754673E-2</v>
      </c>
      <c r="S2031" s="19">
        <v>4.5632415461779813E-3</v>
      </c>
      <c r="T2031" s="20">
        <v>21</v>
      </c>
      <c r="U2031" s="17">
        <v>2</v>
      </c>
      <c r="V2031" s="17">
        <v>34</v>
      </c>
    </row>
    <row r="2032" spans="1:22" x14ac:dyDescent="0.2">
      <c r="A2032" t="s">
        <v>4912</v>
      </c>
      <c r="B2032" t="s">
        <v>2719</v>
      </c>
      <c r="C2032" t="s">
        <v>2720</v>
      </c>
      <c r="D2032" t="s">
        <v>4910</v>
      </c>
      <c r="E2032" s="10" t="s">
        <v>4913</v>
      </c>
      <c r="F2032" s="10"/>
      <c r="G2032" s="10"/>
      <c r="H2032" s="10" t="s">
        <v>4913</v>
      </c>
      <c r="I2032" s="14">
        <v>64967.092049790554</v>
      </c>
      <c r="J2032" s="19">
        <v>0</v>
      </c>
      <c r="K2032" s="19">
        <v>0.84594254485848552</v>
      </c>
      <c r="L2032" s="19">
        <v>0.15405745514151442</v>
      </c>
      <c r="M2032" s="20">
        <v>2</v>
      </c>
      <c r="N2032" s="19">
        <v>0.60657121065488739</v>
      </c>
      <c r="O2032" s="19">
        <v>0</v>
      </c>
      <c r="P2032" s="19">
        <v>0.23937133420359805</v>
      </c>
      <c r="Q2032" s="19">
        <v>0.10391250804320427</v>
      </c>
      <c r="R2032" s="19">
        <v>4.1680939100129911E-2</v>
      </c>
      <c r="S2032" s="19">
        <v>8.4640079981802233E-3</v>
      </c>
      <c r="T2032" s="20">
        <v>23</v>
      </c>
      <c r="U2032" s="17">
        <v>2</v>
      </c>
      <c r="V2032" s="17">
        <v>34</v>
      </c>
    </row>
    <row r="2033" spans="1:22" x14ac:dyDescent="0.2">
      <c r="A2033" t="s">
        <v>4914</v>
      </c>
      <c r="B2033" t="s">
        <v>2719</v>
      </c>
      <c r="C2033" t="s">
        <v>2720</v>
      </c>
      <c r="D2033" t="s">
        <v>4910</v>
      </c>
      <c r="E2033" s="10" t="s">
        <v>4915</v>
      </c>
      <c r="F2033" s="10"/>
      <c r="G2033" s="10"/>
      <c r="H2033" s="10" t="s">
        <v>4915</v>
      </c>
      <c r="I2033" s="14">
        <v>340121.6925473744</v>
      </c>
      <c r="J2033" s="19">
        <v>0.58054677844326419</v>
      </c>
      <c r="K2033" s="19">
        <v>0.4035674313416529</v>
      </c>
      <c r="L2033" s="19">
        <v>1.5885790215082966E-2</v>
      </c>
      <c r="M2033" s="20">
        <v>3</v>
      </c>
      <c r="N2033" s="19">
        <v>0.1813782584230331</v>
      </c>
      <c r="O2033" s="19">
        <v>0</v>
      </c>
      <c r="P2033" s="19">
        <v>0.22218917291861981</v>
      </c>
      <c r="Q2033" s="19">
        <v>0</v>
      </c>
      <c r="R2033" s="19">
        <v>1.4746658612422543E-2</v>
      </c>
      <c r="S2033" s="19">
        <v>1.139131602660424E-3</v>
      </c>
      <c r="T2033" s="20">
        <v>30</v>
      </c>
      <c r="U2033" s="17">
        <v>2</v>
      </c>
      <c r="V2033" s="17">
        <v>34</v>
      </c>
    </row>
    <row r="2034" spans="1:22" x14ac:dyDescent="0.2">
      <c r="A2034" t="s">
        <v>4916</v>
      </c>
      <c r="B2034" t="s">
        <v>2719</v>
      </c>
      <c r="C2034" t="s">
        <v>2720</v>
      </c>
      <c r="D2034" t="s">
        <v>4910</v>
      </c>
      <c r="E2034" s="10" t="s">
        <v>4917</v>
      </c>
      <c r="F2034" s="10"/>
      <c r="G2034" s="10"/>
      <c r="H2034" s="10" t="s">
        <v>4917</v>
      </c>
      <c r="I2034" s="14">
        <v>90239.786044778535</v>
      </c>
      <c r="J2034" s="19">
        <v>4.0558056712300922E-2</v>
      </c>
      <c r="K2034" s="19">
        <v>0.89262819722323183</v>
      </c>
      <c r="L2034" s="19">
        <v>6.6813746064467258E-2</v>
      </c>
      <c r="M2034" s="20">
        <v>2</v>
      </c>
      <c r="N2034" s="19">
        <v>0.62947233084808196</v>
      </c>
      <c r="O2034" s="19">
        <v>0</v>
      </c>
      <c r="P2034" s="19">
        <v>0.26315586637514987</v>
      </c>
      <c r="Q2034" s="19">
        <v>4.0082958696961518E-2</v>
      </c>
      <c r="R2034" s="19">
        <v>2.3115781241076098E-2</v>
      </c>
      <c r="S2034" s="19">
        <v>3.6150061264296506E-3</v>
      </c>
      <c r="T2034" s="20">
        <v>23</v>
      </c>
      <c r="U2034" s="17">
        <v>2</v>
      </c>
      <c r="V2034" s="17">
        <v>34</v>
      </c>
    </row>
    <row r="2035" spans="1:22" x14ac:dyDescent="0.2">
      <c r="A2035" t="s">
        <v>4918</v>
      </c>
      <c r="B2035" t="s">
        <v>2719</v>
      </c>
      <c r="C2035" t="s">
        <v>2720</v>
      </c>
      <c r="D2035" t="s">
        <v>4910</v>
      </c>
      <c r="E2035" s="10" t="s">
        <v>4919</v>
      </c>
      <c r="F2035" s="10"/>
      <c r="G2035" s="10"/>
      <c r="H2035" s="10" t="s">
        <v>4919</v>
      </c>
      <c r="I2035" s="14">
        <v>49433.998181008734</v>
      </c>
      <c r="J2035" s="19">
        <v>0</v>
      </c>
      <c r="K2035" s="19">
        <v>0.15298610843758026</v>
      </c>
      <c r="L2035" s="19">
        <v>0.84701389156241969</v>
      </c>
      <c r="M2035" s="20">
        <v>1</v>
      </c>
      <c r="N2035" s="19">
        <v>0</v>
      </c>
      <c r="O2035" s="19">
        <v>0.15298610843758026</v>
      </c>
      <c r="P2035" s="19">
        <v>0</v>
      </c>
      <c r="Q2035" s="19">
        <v>0.51319510561517756</v>
      </c>
      <c r="R2035" s="19">
        <v>0.29218201128175153</v>
      </c>
      <c r="S2035" s="19">
        <v>4.163677466549065E-2</v>
      </c>
      <c r="T2035" s="20">
        <v>13</v>
      </c>
      <c r="U2035" s="17">
        <v>2</v>
      </c>
      <c r="V2035" s="17">
        <v>34</v>
      </c>
    </row>
    <row r="2036" spans="1:22" x14ac:dyDescent="0.2">
      <c r="A2036" t="s">
        <v>4920</v>
      </c>
      <c r="B2036" t="s">
        <v>2719</v>
      </c>
      <c r="C2036" t="s">
        <v>2720</v>
      </c>
      <c r="D2036" t="s">
        <v>4910</v>
      </c>
      <c r="E2036" s="10" t="s">
        <v>4921</v>
      </c>
      <c r="F2036" s="10"/>
      <c r="G2036" s="10"/>
      <c r="H2036" s="10" t="s">
        <v>4921</v>
      </c>
      <c r="I2036" s="14">
        <v>75629.897427009884</v>
      </c>
      <c r="J2036" s="19">
        <v>0</v>
      </c>
      <c r="K2036" s="19">
        <v>0.74062238649445633</v>
      </c>
      <c r="L2036" s="19">
        <v>0.25937761350554367</v>
      </c>
      <c r="M2036" s="20">
        <v>2</v>
      </c>
      <c r="N2036" s="19">
        <v>0.16852135880243713</v>
      </c>
      <c r="O2036" s="19">
        <v>6.314635663588925E-3</v>
      </c>
      <c r="P2036" s="19">
        <v>0.5657863920284304</v>
      </c>
      <c r="Q2036" s="19">
        <v>0.11889816423119709</v>
      </c>
      <c r="R2036" s="19">
        <v>0.1289784037427755</v>
      </c>
      <c r="S2036" s="19">
        <v>1.1501045531571108E-2</v>
      </c>
      <c r="T2036" s="20">
        <v>21</v>
      </c>
      <c r="U2036" s="17">
        <v>2</v>
      </c>
      <c r="V2036" s="17">
        <v>34</v>
      </c>
    </row>
    <row r="2037" spans="1:22" x14ac:dyDescent="0.2">
      <c r="A2037" t="s">
        <v>4922</v>
      </c>
      <c r="B2037" t="s">
        <v>2719</v>
      </c>
      <c r="C2037" t="s">
        <v>2720</v>
      </c>
      <c r="D2037" t="s">
        <v>4910</v>
      </c>
      <c r="E2037" s="10" t="s">
        <v>4923</v>
      </c>
      <c r="F2037" s="10"/>
      <c r="G2037" s="10"/>
      <c r="H2037" s="10" t="s">
        <v>4923</v>
      </c>
      <c r="I2037" s="14">
        <v>41727.776234155521</v>
      </c>
      <c r="J2037" s="19">
        <v>0</v>
      </c>
      <c r="K2037" s="19">
        <v>0.8875063627533889</v>
      </c>
      <c r="L2037" s="19">
        <v>0.11249363724661109</v>
      </c>
      <c r="M2037" s="20">
        <v>2</v>
      </c>
      <c r="N2037" s="19">
        <v>0.37938412045959768</v>
      </c>
      <c r="O2037" s="19">
        <v>0</v>
      </c>
      <c r="P2037" s="19">
        <v>0.50812224229379122</v>
      </c>
      <c r="Q2037" s="19">
        <v>0</v>
      </c>
      <c r="R2037" s="19">
        <v>0.10354988217950092</v>
      </c>
      <c r="S2037" s="19">
        <v>8.9437550671101658E-3</v>
      </c>
      <c r="T2037" s="20">
        <v>21</v>
      </c>
      <c r="U2037" s="17">
        <v>2</v>
      </c>
      <c r="V2037" s="17">
        <v>34</v>
      </c>
    </row>
    <row r="2038" spans="1:22" x14ac:dyDescent="0.2">
      <c r="A2038" t="s">
        <v>4924</v>
      </c>
      <c r="B2038" t="s">
        <v>2719</v>
      </c>
      <c r="C2038" t="s">
        <v>2720</v>
      </c>
      <c r="D2038" t="s">
        <v>4910</v>
      </c>
      <c r="E2038" s="10" t="s">
        <v>4925</v>
      </c>
      <c r="F2038" s="10"/>
      <c r="G2038" s="10"/>
      <c r="H2038" s="10" t="s">
        <v>4925</v>
      </c>
      <c r="I2038" s="14">
        <v>123298.01986382622</v>
      </c>
      <c r="J2038" s="19">
        <v>0.38119849592106919</v>
      </c>
      <c r="K2038" s="19">
        <v>0.52677171177281434</v>
      </c>
      <c r="L2038" s="19">
        <v>9.2029792306116479E-2</v>
      </c>
      <c r="M2038" s="20">
        <v>2</v>
      </c>
      <c r="N2038" s="19">
        <v>0.24653767189109499</v>
      </c>
      <c r="O2038" s="19">
        <v>0</v>
      </c>
      <c r="P2038" s="19">
        <v>0.28023403988171935</v>
      </c>
      <c r="Q2038" s="19">
        <v>1.9706166739959098E-2</v>
      </c>
      <c r="R2038" s="19">
        <v>6.938644019338952E-2</v>
      </c>
      <c r="S2038" s="19">
        <v>2.9371853727678562E-3</v>
      </c>
      <c r="T2038" s="20">
        <v>23</v>
      </c>
      <c r="U2038" s="17">
        <v>2</v>
      </c>
      <c r="V2038" s="17">
        <v>34</v>
      </c>
    </row>
    <row r="2039" spans="1:22" x14ac:dyDescent="0.2">
      <c r="A2039" t="s">
        <v>4926</v>
      </c>
      <c r="B2039" t="s">
        <v>2719</v>
      </c>
      <c r="C2039" t="s">
        <v>2720</v>
      </c>
      <c r="D2039" t="s">
        <v>4910</v>
      </c>
      <c r="E2039" s="10" t="s">
        <v>4927</v>
      </c>
      <c r="F2039" s="10"/>
      <c r="G2039" s="10"/>
      <c r="H2039" s="10" t="s">
        <v>4927</v>
      </c>
      <c r="I2039" s="14">
        <v>48212.374863087665</v>
      </c>
      <c r="J2039" s="19">
        <v>0</v>
      </c>
      <c r="K2039" s="19">
        <v>0.87821276659175362</v>
      </c>
      <c r="L2039" s="19">
        <v>0.12178723340824642</v>
      </c>
      <c r="M2039" s="20">
        <v>2</v>
      </c>
      <c r="N2039" s="19">
        <v>1.6109097854170067E-5</v>
      </c>
      <c r="O2039" s="19">
        <v>0</v>
      </c>
      <c r="P2039" s="19">
        <v>0.87819665749389941</v>
      </c>
      <c r="Q2039" s="19">
        <v>0</v>
      </c>
      <c r="R2039" s="19">
        <v>0.11039840390418371</v>
      </c>
      <c r="S2039" s="19">
        <v>1.1388829504062701E-2</v>
      </c>
      <c r="T2039" s="20">
        <v>21</v>
      </c>
      <c r="U2039" s="17">
        <v>2</v>
      </c>
      <c r="V2039" s="17">
        <v>34</v>
      </c>
    </row>
    <row r="2040" spans="1:22" x14ac:dyDescent="0.2">
      <c r="A2040" t="s">
        <v>4928</v>
      </c>
      <c r="B2040" t="s">
        <v>2719</v>
      </c>
      <c r="C2040" t="s">
        <v>2720</v>
      </c>
      <c r="D2040" t="s">
        <v>4910</v>
      </c>
      <c r="E2040" s="10" t="s">
        <v>4929</v>
      </c>
      <c r="F2040" s="10"/>
      <c r="G2040" s="10"/>
      <c r="H2040" s="10" t="s">
        <v>4929</v>
      </c>
      <c r="I2040" s="14">
        <v>53053.754948315211</v>
      </c>
      <c r="J2040" s="19">
        <v>0</v>
      </c>
      <c r="K2040" s="19">
        <v>0.78317769113474056</v>
      </c>
      <c r="L2040" s="19">
        <v>0.21682230886525944</v>
      </c>
      <c r="M2040" s="20">
        <v>2</v>
      </c>
      <c r="N2040" s="19">
        <v>0.37672203091913797</v>
      </c>
      <c r="O2040" s="19">
        <v>0</v>
      </c>
      <c r="P2040" s="19">
        <v>0.40645566021560259</v>
      </c>
      <c r="Q2040" s="19">
        <v>5.0538066938203952E-2</v>
      </c>
      <c r="R2040" s="19">
        <v>0.13826326543342807</v>
      </c>
      <c r="S2040" s="19">
        <v>2.8020976493627423E-2</v>
      </c>
      <c r="T2040" s="20">
        <v>23</v>
      </c>
      <c r="U2040" s="17">
        <v>2</v>
      </c>
      <c r="V2040" s="17">
        <v>34</v>
      </c>
    </row>
    <row r="2041" spans="1:22" x14ac:dyDescent="0.2">
      <c r="A2041" t="s">
        <v>4930</v>
      </c>
      <c r="B2041" t="s">
        <v>2719</v>
      </c>
      <c r="C2041" t="s">
        <v>2720</v>
      </c>
      <c r="D2041" t="s">
        <v>4910</v>
      </c>
      <c r="E2041" s="10" t="s">
        <v>4931</v>
      </c>
      <c r="F2041" s="10"/>
      <c r="G2041" s="10"/>
      <c r="H2041" s="10" t="s">
        <v>4931</v>
      </c>
      <c r="I2041" s="14">
        <v>136216.07333665388</v>
      </c>
      <c r="J2041" s="19">
        <v>0</v>
      </c>
      <c r="K2041" s="19">
        <v>0.92985683218337856</v>
      </c>
      <c r="L2041" s="19">
        <v>7.0143167816621416E-2</v>
      </c>
      <c r="M2041" s="20">
        <v>2</v>
      </c>
      <c r="N2041" s="19">
        <v>0.33291618266738537</v>
      </c>
      <c r="O2041" s="19">
        <v>0</v>
      </c>
      <c r="P2041" s="19">
        <v>0.59694064951599313</v>
      </c>
      <c r="Q2041" s="19">
        <v>1.4931276893414889E-2</v>
      </c>
      <c r="R2041" s="19">
        <v>4.9116107329640939E-2</v>
      </c>
      <c r="S2041" s="19">
        <v>6.0957835935655869E-3</v>
      </c>
      <c r="T2041" s="20">
        <v>21</v>
      </c>
      <c r="U2041" s="17">
        <v>2</v>
      </c>
      <c r="V2041" s="17">
        <v>34</v>
      </c>
    </row>
    <row r="2042" spans="1:22" x14ac:dyDescent="0.2">
      <c r="A2042" t="s">
        <v>4932</v>
      </c>
      <c r="B2042" t="s">
        <v>2719</v>
      </c>
      <c r="C2042" t="s">
        <v>2720</v>
      </c>
      <c r="D2042" t="s">
        <v>4910</v>
      </c>
      <c r="E2042" s="10" t="s">
        <v>4933</v>
      </c>
      <c r="F2042" s="10"/>
      <c r="G2042" s="10"/>
      <c r="H2042" s="10" t="s">
        <v>4933</v>
      </c>
      <c r="I2042" s="14">
        <v>83510.279108883231</v>
      </c>
      <c r="J2042" s="19">
        <v>8.4607315112603942E-2</v>
      </c>
      <c r="K2042" s="19">
        <v>0.88535472342288102</v>
      </c>
      <c r="L2042" s="19">
        <v>3.0037961464515036E-2</v>
      </c>
      <c r="M2042" s="20">
        <v>2</v>
      </c>
      <c r="N2042" s="19">
        <v>0.36473209912746907</v>
      </c>
      <c r="O2042" s="19">
        <v>0</v>
      </c>
      <c r="P2042" s="19">
        <v>0.52062262429541195</v>
      </c>
      <c r="Q2042" s="19">
        <v>0</v>
      </c>
      <c r="R2042" s="19">
        <v>2.8392127807984845E-2</v>
      </c>
      <c r="S2042" s="19">
        <v>1.6458336565301943E-3</v>
      </c>
      <c r="T2042" s="20">
        <v>21</v>
      </c>
      <c r="U2042" s="17">
        <v>2</v>
      </c>
      <c r="V2042" s="17">
        <v>34</v>
      </c>
    </row>
    <row r="2043" spans="1:22" x14ac:dyDescent="0.2">
      <c r="A2043" t="s">
        <v>4934</v>
      </c>
      <c r="B2043" t="s">
        <v>2719</v>
      </c>
      <c r="C2043" t="s">
        <v>2720</v>
      </c>
      <c r="D2043" t="s">
        <v>4910</v>
      </c>
      <c r="E2043" s="10" t="s">
        <v>4935</v>
      </c>
      <c r="F2043" s="10"/>
      <c r="G2043" s="10"/>
      <c r="H2043" s="10" t="s">
        <v>4935</v>
      </c>
      <c r="I2043" s="14">
        <v>39658.549726032652</v>
      </c>
      <c r="J2043" s="19">
        <v>0</v>
      </c>
      <c r="K2043" s="19">
        <v>0.88035641871476056</v>
      </c>
      <c r="L2043" s="19">
        <v>0.11964358128523944</v>
      </c>
      <c r="M2043" s="20">
        <v>2</v>
      </c>
      <c r="N2043" s="19">
        <v>0.27810988122281233</v>
      </c>
      <c r="O2043" s="19">
        <v>0.13292330279939268</v>
      </c>
      <c r="P2043" s="19">
        <v>0.46932323469255555</v>
      </c>
      <c r="Q2043" s="19">
        <v>0</v>
      </c>
      <c r="R2043" s="19">
        <v>0.11087718951914943</v>
      </c>
      <c r="S2043" s="19">
        <v>8.7663917660900162E-3</v>
      </c>
      <c r="T2043" s="20">
        <v>23</v>
      </c>
      <c r="U2043" s="17">
        <v>2</v>
      </c>
      <c r="V2043" s="17">
        <v>34</v>
      </c>
    </row>
    <row r="2044" spans="1:22" x14ac:dyDescent="0.2">
      <c r="A2044" t="s">
        <v>4936</v>
      </c>
      <c r="B2044" t="s">
        <v>2719</v>
      </c>
      <c r="C2044" t="s">
        <v>2720</v>
      </c>
      <c r="D2044" t="s">
        <v>4910</v>
      </c>
      <c r="E2044" s="10" t="s">
        <v>4937</v>
      </c>
      <c r="F2044" s="10"/>
      <c r="G2044" s="10"/>
      <c r="H2044" s="10" t="s">
        <v>4937</v>
      </c>
      <c r="I2044" s="14">
        <v>34411.223306620494</v>
      </c>
      <c r="J2044" s="19">
        <v>0</v>
      </c>
      <c r="K2044" s="19">
        <v>0.96203356370144388</v>
      </c>
      <c r="L2044" s="19">
        <v>3.7966436298556103E-2</v>
      </c>
      <c r="M2044" s="20">
        <v>2</v>
      </c>
      <c r="N2044" s="19">
        <v>0.4712472701263028</v>
      </c>
      <c r="O2044" s="19">
        <v>0</v>
      </c>
      <c r="P2044" s="19">
        <v>0.49078629357514114</v>
      </c>
      <c r="Q2044" s="19">
        <v>0</v>
      </c>
      <c r="R2044" s="19">
        <v>3.4165555156508376E-2</v>
      </c>
      <c r="S2044" s="19">
        <v>3.8008811420477315E-3</v>
      </c>
      <c r="T2044" s="20">
        <v>23</v>
      </c>
      <c r="U2044" s="17">
        <v>2</v>
      </c>
      <c r="V2044" s="17">
        <v>34</v>
      </c>
    </row>
    <row r="2045" spans="1:22" x14ac:dyDescent="0.2">
      <c r="A2045" t="s">
        <v>4938</v>
      </c>
      <c r="B2045" t="s">
        <v>2719</v>
      </c>
      <c r="C2045" t="s">
        <v>2720</v>
      </c>
      <c r="D2045" t="s">
        <v>4910</v>
      </c>
      <c r="E2045" s="10" t="s">
        <v>4939</v>
      </c>
      <c r="F2045" s="10"/>
      <c r="G2045" s="10"/>
      <c r="H2045" s="10" t="s">
        <v>4939</v>
      </c>
      <c r="I2045" s="14">
        <v>46643.609372746665</v>
      </c>
      <c r="J2045" s="19">
        <v>3.5640388280026771E-4</v>
      </c>
      <c r="K2045" s="19">
        <v>0.86789289535240033</v>
      </c>
      <c r="L2045" s="19">
        <v>0.13175070076479942</v>
      </c>
      <c r="M2045" s="20">
        <v>2</v>
      </c>
      <c r="N2045" s="19">
        <v>0.12695300421901881</v>
      </c>
      <c r="O2045" s="19">
        <v>0</v>
      </c>
      <c r="P2045" s="19">
        <v>0.74093989113338155</v>
      </c>
      <c r="Q2045" s="19">
        <v>1.8210952244849268E-2</v>
      </c>
      <c r="R2045" s="19">
        <v>0.10649616158543529</v>
      </c>
      <c r="S2045" s="19">
        <v>7.0435869345148536E-3</v>
      </c>
      <c r="T2045" s="20">
        <v>21</v>
      </c>
      <c r="U2045" s="17">
        <v>2</v>
      </c>
      <c r="V2045" s="17">
        <v>34</v>
      </c>
    </row>
    <row r="2046" spans="1:22" x14ac:dyDescent="0.2">
      <c r="A2046" t="s">
        <v>4940</v>
      </c>
      <c r="B2046" t="s">
        <v>2719</v>
      </c>
      <c r="C2046" t="s">
        <v>2720</v>
      </c>
      <c r="D2046" t="s">
        <v>4910</v>
      </c>
      <c r="E2046" s="10" t="s">
        <v>4941</v>
      </c>
      <c r="F2046" s="10"/>
      <c r="G2046" s="10"/>
      <c r="H2046" s="10" t="s">
        <v>4941</v>
      </c>
      <c r="I2046" s="14">
        <v>54169.500335233286</v>
      </c>
      <c r="J2046" s="19">
        <v>0</v>
      </c>
      <c r="K2046" s="19">
        <v>0.88013692393129817</v>
      </c>
      <c r="L2046" s="19">
        <v>0.11986307606870182</v>
      </c>
      <c r="M2046" s="20">
        <v>2</v>
      </c>
      <c r="N2046" s="19">
        <v>0.36285477729006682</v>
      </c>
      <c r="O2046" s="19">
        <v>0</v>
      </c>
      <c r="P2046" s="19">
        <v>0.5172821466412314</v>
      </c>
      <c r="Q2046" s="19">
        <v>0</v>
      </c>
      <c r="R2046" s="19">
        <v>0.11207336595626387</v>
      </c>
      <c r="S2046" s="19">
        <v>7.7897101124379453E-3</v>
      </c>
      <c r="T2046" s="20">
        <v>21</v>
      </c>
      <c r="U2046" s="17">
        <v>2</v>
      </c>
      <c r="V2046" s="17">
        <v>34</v>
      </c>
    </row>
    <row r="2047" spans="1:22" x14ac:dyDescent="0.2">
      <c r="A2047" t="s">
        <v>4942</v>
      </c>
      <c r="B2047" t="s">
        <v>2719</v>
      </c>
      <c r="C2047" t="s">
        <v>2720</v>
      </c>
      <c r="D2047" t="s">
        <v>4910</v>
      </c>
      <c r="E2047" s="10" t="s">
        <v>4943</v>
      </c>
      <c r="F2047" s="10"/>
      <c r="G2047" s="10"/>
      <c r="H2047" s="10" t="s">
        <v>4943</v>
      </c>
      <c r="I2047" s="14">
        <v>94153.504427160136</v>
      </c>
      <c r="J2047" s="19">
        <v>0</v>
      </c>
      <c r="K2047" s="19">
        <v>0.93948478760240928</v>
      </c>
      <c r="L2047" s="19">
        <v>6.0515212397590765E-2</v>
      </c>
      <c r="M2047" s="20">
        <v>2</v>
      </c>
      <c r="N2047" s="19">
        <v>0.40167660597343618</v>
      </c>
      <c r="O2047" s="19">
        <v>0</v>
      </c>
      <c r="P2047" s="19">
        <v>0.53780818162897304</v>
      </c>
      <c r="Q2047" s="19">
        <v>0</v>
      </c>
      <c r="R2047" s="19">
        <v>5.7488105804898708E-2</v>
      </c>
      <c r="S2047" s="19">
        <v>3.0271065926920629E-3</v>
      </c>
      <c r="T2047" s="20">
        <v>21</v>
      </c>
      <c r="U2047" s="17">
        <v>2</v>
      </c>
      <c r="V2047" s="17">
        <v>34</v>
      </c>
    </row>
    <row r="2048" spans="1:22" x14ac:dyDescent="0.2">
      <c r="A2048" t="s">
        <v>4944</v>
      </c>
      <c r="B2048" t="s">
        <v>2719</v>
      </c>
      <c r="C2048" t="s">
        <v>2720</v>
      </c>
      <c r="D2048" t="s">
        <v>4910</v>
      </c>
      <c r="E2048" s="10" t="s">
        <v>4945</v>
      </c>
      <c r="F2048" s="10"/>
      <c r="G2048" s="10"/>
      <c r="H2048" s="10" t="s">
        <v>4945</v>
      </c>
      <c r="I2048" s="14">
        <v>17835.575796446763</v>
      </c>
      <c r="J2048" s="19">
        <v>0</v>
      </c>
      <c r="K2048" s="19">
        <v>0.9285904679761533</v>
      </c>
      <c r="L2048" s="19">
        <v>7.1409532023846756E-2</v>
      </c>
      <c r="M2048" s="20">
        <v>2</v>
      </c>
      <c r="N2048" s="19">
        <v>0.34022706737754288</v>
      </c>
      <c r="O2048" s="19">
        <v>0</v>
      </c>
      <c r="P2048" s="19">
        <v>0.58836340059861036</v>
      </c>
      <c r="Q2048" s="19">
        <v>0</v>
      </c>
      <c r="R2048" s="19">
        <v>5.8564339874279926E-2</v>
      </c>
      <c r="S2048" s="19">
        <v>1.2845192149566821E-2</v>
      </c>
      <c r="T2048" s="20">
        <v>21</v>
      </c>
      <c r="U2048" s="17">
        <v>2</v>
      </c>
      <c r="V2048" s="17">
        <v>34</v>
      </c>
    </row>
    <row r="2049" spans="1:22" x14ac:dyDescent="0.2">
      <c r="A2049" t="s">
        <v>4946</v>
      </c>
      <c r="B2049" t="s">
        <v>2719</v>
      </c>
      <c r="C2049" t="s">
        <v>2720</v>
      </c>
      <c r="D2049" t="s">
        <v>4910</v>
      </c>
      <c r="E2049" s="10" t="s">
        <v>4947</v>
      </c>
      <c r="F2049" s="10"/>
      <c r="G2049" s="10"/>
      <c r="H2049" s="10" t="s">
        <v>4947</v>
      </c>
      <c r="I2049" s="14">
        <v>51991.858939507045</v>
      </c>
      <c r="J2049" s="19">
        <v>0</v>
      </c>
      <c r="K2049" s="19">
        <v>0.90248325697617637</v>
      </c>
      <c r="L2049" s="19">
        <v>9.751674302382364E-2</v>
      </c>
      <c r="M2049" s="20">
        <v>2</v>
      </c>
      <c r="N2049" s="19">
        <v>0</v>
      </c>
      <c r="O2049" s="19">
        <v>0</v>
      </c>
      <c r="P2049" s="19">
        <v>0.90248325697617637</v>
      </c>
      <c r="Q2049" s="19">
        <v>0</v>
      </c>
      <c r="R2049" s="19">
        <v>9.2916592332924153E-2</v>
      </c>
      <c r="S2049" s="19">
        <v>4.6001506908994955E-3</v>
      </c>
      <c r="T2049" s="20">
        <v>21</v>
      </c>
      <c r="U2049" s="17">
        <v>2</v>
      </c>
      <c r="V2049" s="17">
        <v>34</v>
      </c>
    </row>
    <row r="2050" spans="1:22" x14ac:dyDescent="0.2">
      <c r="A2050" t="s">
        <v>4948</v>
      </c>
      <c r="B2050" t="s">
        <v>2719</v>
      </c>
      <c r="C2050" t="s">
        <v>2720</v>
      </c>
      <c r="D2050" t="s">
        <v>4910</v>
      </c>
      <c r="E2050" s="10" t="s">
        <v>4949</v>
      </c>
      <c r="F2050" s="10"/>
      <c r="G2050" s="10"/>
      <c r="H2050" s="10" t="s">
        <v>4949</v>
      </c>
      <c r="I2050" s="14">
        <v>34860.512607941404</v>
      </c>
      <c r="J2050" s="19">
        <v>0</v>
      </c>
      <c r="K2050" s="19">
        <v>3.820216672651644E-2</v>
      </c>
      <c r="L2050" s="19">
        <v>0.96179783327348356</v>
      </c>
      <c r="M2050" s="20">
        <v>1</v>
      </c>
      <c r="N2050" s="19">
        <v>0</v>
      </c>
      <c r="O2050" s="19">
        <v>0</v>
      </c>
      <c r="P2050" s="19">
        <v>3.820216672651644E-2</v>
      </c>
      <c r="Q2050" s="19">
        <v>0.70065948635323838</v>
      </c>
      <c r="R2050" s="19">
        <v>0.22996165610799704</v>
      </c>
      <c r="S2050" s="19">
        <v>3.1176690812248144E-2</v>
      </c>
      <c r="T2050" s="20">
        <v>13</v>
      </c>
      <c r="U2050" s="17">
        <v>2</v>
      </c>
      <c r="V2050" s="17">
        <v>34</v>
      </c>
    </row>
    <row r="2051" spans="1:22" x14ac:dyDescent="0.2">
      <c r="A2051" t="s">
        <v>4950</v>
      </c>
      <c r="B2051" t="s">
        <v>2719</v>
      </c>
      <c r="C2051" t="s">
        <v>2720</v>
      </c>
      <c r="D2051" t="s">
        <v>4910</v>
      </c>
      <c r="E2051" s="10" t="s">
        <v>4951</v>
      </c>
      <c r="F2051" s="10"/>
      <c r="G2051" s="10"/>
      <c r="H2051" s="10" t="s">
        <v>4951</v>
      </c>
      <c r="I2051" s="14">
        <v>33300.945270295255</v>
      </c>
      <c r="J2051" s="19">
        <v>1.4350421133380064E-2</v>
      </c>
      <c r="K2051" s="19">
        <v>0.91132128243296273</v>
      </c>
      <c r="L2051" s="19">
        <v>7.4328296433657182E-2</v>
      </c>
      <c r="M2051" s="20">
        <v>2</v>
      </c>
      <c r="N2051" s="19">
        <v>0.48069593021324181</v>
      </c>
      <c r="O2051" s="19">
        <v>0</v>
      </c>
      <c r="P2051" s="19">
        <v>0.43062535221972092</v>
      </c>
      <c r="Q2051" s="19">
        <v>8.2320539583028443E-5</v>
      </c>
      <c r="R2051" s="19">
        <v>6.0629640095802774E-2</v>
      </c>
      <c r="S2051" s="19">
        <v>1.3616335798271378E-2</v>
      </c>
      <c r="T2051" s="20">
        <v>23</v>
      </c>
      <c r="U2051" s="17">
        <v>2</v>
      </c>
      <c r="V2051" s="17">
        <v>34</v>
      </c>
    </row>
    <row r="2052" spans="1:22" x14ac:dyDescent="0.2">
      <c r="A2052" t="s">
        <v>4952</v>
      </c>
      <c r="B2052" t="s">
        <v>2719</v>
      </c>
      <c r="C2052" t="s">
        <v>2720</v>
      </c>
      <c r="D2052" t="s">
        <v>4910</v>
      </c>
      <c r="E2052" s="10" t="s">
        <v>3270</v>
      </c>
      <c r="F2052" s="10"/>
      <c r="G2052" s="10"/>
      <c r="H2052" s="10" t="s">
        <v>3270</v>
      </c>
      <c r="I2052" s="14">
        <v>47004.925387751311</v>
      </c>
      <c r="J2052" s="19">
        <v>0</v>
      </c>
      <c r="K2052" s="19">
        <v>0.9416157491975331</v>
      </c>
      <c r="L2052" s="19">
        <v>5.8384250802466869E-2</v>
      </c>
      <c r="M2052" s="20">
        <v>2</v>
      </c>
      <c r="N2052" s="19">
        <v>0.11215117171100271</v>
      </c>
      <c r="O2052" s="19">
        <v>0</v>
      </c>
      <c r="P2052" s="19">
        <v>0.82946457748653046</v>
      </c>
      <c r="Q2052" s="19">
        <v>0</v>
      </c>
      <c r="R2052" s="19">
        <v>5.651461205498691E-2</v>
      </c>
      <c r="S2052" s="19">
        <v>1.8696387474799617E-3</v>
      </c>
      <c r="T2052" s="20">
        <v>21</v>
      </c>
      <c r="U2052" s="17">
        <v>2</v>
      </c>
      <c r="V2052" s="17">
        <v>34</v>
      </c>
    </row>
    <row r="2053" spans="1:22" x14ac:dyDescent="0.2">
      <c r="A2053" t="s">
        <v>4953</v>
      </c>
      <c r="B2053" t="s">
        <v>2719</v>
      </c>
      <c r="C2053" t="s">
        <v>2720</v>
      </c>
      <c r="D2053" t="s">
        <v>4910</v>
      </c>
      <c r="E2053" s="10" t="s">
        <v>3368</v>
      </c>
      <c r="F2053" s="10"/>
      <c r="G2053" s="10"/>
      <c r="H2053" s="10" t="s">
        <v>3368</v>
      </c>
      <c r="I2053" s="14">
        <v>73946.593314603437</v>
      </c>
      <c r="J2053" s="19">
        <v>0</v>
      </c>
      <c r="K2053" s="19">
        <v>0.89543961156908747</v>
      </c>
      <c r="L2053" s="19">
        <v>0.10456038843091259</v>
      </c>
      <c r="M2053" s="20">
        <v>2</v>
      </c>
      <c r="N2053" s="19">
        <v>0.36557663621563347</v>
      </c>
      <c r="O2053" s="19">
        <v>0</v>
      </c>
      <c r="P2053" s="19">
        <v>0.52986297535345395</v>
      </c>
      <c r="Q2053" s="19">
        <v>2.0189845915837407E-2</v>
      </c>
      <c r="R2053" s="19">
        <v>7.4315964534856435E-2</v>
      </c>
      <c r="S2053" s="19">
        <v>1.005457798021874E-2</v>
      </c>
      <c r="T2053" s="20">
        <v>21</v>
      </c>
      <c r="U2053" s="17">
        <v>2</v>
      </c>
      <c r="V2053" s="17">
        <v>34</v>
      </c>
    </row>
    <row r="2054" spans="1:22" x14ac:dyDescent="0.2">
      <c r="A2054" t="s">
        <v>4954</v>
      </c>
      <c r="B2054" t="s">
        <v>2719</v>
      </c>
      <c r="C2054" t="s">
        <v>2720</v>
      </c>
      <c r="D2054" t="s">
        <v>4910</v>
      </c>
      <c r="E2054" s="10" t="s">
        <v>4900</v>
      </c>
      <c r="F2054" s="10"/>
      <c r="G2054" s="10"/>
      <c r="H2054" s="10" t="s">
        <v>4900</v>
      </c>
      <c r="I2054" s="14">
        <v>94531.574347513015</v>
      </c>
      <c r="J2054" s="19">
        <v>1.1711622676041376E-5</v>
      </c>
      <c r="K2054" s="19">
        <v>0.9591285711866393</v>
      </c>
      <c r="L2054" s="19">
        <v>4.0859717190684972E-2</v>
      </c>
      <c r="M2054" s="20">
        <v>2</v>
      </c>
      <c r="N2054" s="19">
        <v>0.72967809378079107</v>
      </c>
      <c r="O2054" s="19">
        <v>0</v>
      </c>
      <c r="P2054" s="19">
        <v>0.22945047740584812</v>
      </c>
      <c r="Q2054" s="19">
        <v>0</v>
      </c>
      <c r="R2054" s="19">
        <v>3.5501895532479448E-2</v>
      </c>
      <c r="S2054" s="19">
        <v>5.3578216582055287E-3</v>
      </c>
      <c r="T2054" s="20">
        <v>23</v>
      </c>
      <c r="U2054" s="17">
        <v>2</v>
      </c>
      <c r="V2054" s="17">
        <v>34</v>
      </c>
    </row>
    <row r="2055" spans="1:22" x14ac:dyDescent="0.2">
      <c r="A2055" t="s">
        <v>4955</v>
      </c>
      <c r="B2055" t="s">
        <v>2719</v>
      </c>
      <c r="C2055" t="s">
        <v>2720</v>
      </c>
      <c r="D2055" t="s">
        <v>4910</v>
      </c>
      <c r="E2055" s="10" t="s">
        <v>2762</v>
      </c>
      <c r="F2055" s="10"/>
      <c r="G2055" s="10"/>
      <c r="H2055" s="10" t="s">
        <v>2762</v>
      </c>
      <c r="I2055" s="14">
        <v>60753.530770258971</v>
      </c>
      <c r="J2055" s="19">
        <v>0.60537024148636387</v>
      </c>
      <c r="K2055" s="19">
        <v>0.3736426270781536</v>
      </c>
      <c r="L2055" s="19">
        <v>2.0987131435482597E-2</v>
      </c>
      <c r="M2055" s="20">
        <v>3</v>
      </c>
      <c r="N2055" s="19">
        <v>8.507135230400012E-2</v>
      </c>
      <c r="O2055" s="19">
        <v>0</v>
      </c>
      <c r="P2055" s="19">
        <v>0.28857127477415351</v>
      </c>
      <c r="Q2055" s="19">
        <v>0</v>
      </c>
      <c r="R2055" s="19">
        <v>1.8350541588681005E-2</v>
      </c>
      <c r="S2055" s="19">
        <v>2.6365898468015928E-3</v>
      </c>
      <c r="T2055" s="20">
        <v>30</v>
      </c>
      <c r="U2055" s="17">
        <v>2</v>
      </c>
      <c r="V2055" s="17">
        <v>34</v>
      </c>
    </row>
    <row r="2056" spans="1:22" x14ac:dyDescent="0.2">
      <c r="A2056" t="s">
        <v>4956</v>
      </c>
      <c r="B2056" t="s">
        <v>2719</v>
      </c>
      <c r="C2056" t="s">
        <v>2720</v>
      </c>
      <c r="D2056" t="s">
        <v>4910</v>
      </c>
      <c r="E2056" s="10" t="s">
        <v>4957</v>
      </c>
      <c r="F2056" s="10"/>
      <c r="G2056" s="10"/>
      <c r="H2056" s="10" t="s">
        <v>4957</v>
      </c>
      <c r="I2056" s="14">
        <v>162539.03177018138</v>
      </c>
      <c r="J2056" s="19">
        <v>0.52226463604454276</v>
      </c>
      <c r="K2056" s="19">
        <v>0.42435234375594694</v>
      </c>
      <c r="L2056" s="19">
        <v>5.33830201995103E-2</v>
      </c>
      <c r="M2056" s="20">
        <v>3</v>
      </c>
      <c r="N2056" s="19">
        <v>3.4368810597416907E-2</v>
      </c>
      <c r="O2056" s="19">
        <v>0</v>
      </c>
      <c r="P2056" s="19">
        <v>0.38998353315853007</v>
      </c>
      <c r="Q2056" s="19">
        <v>5.0596594625296016E-3</v>
      </c>
      <c r="R2056" s="19">
        <v>4.48007355567797E-2</v>
      </c>
      <c r="S2056" s="19">
        <v>3.5226251802010036E-3</v>
      </c>
      <c r="T2056" s="20">
        <v>30</v>
      </c>
      <c r="U2056" s="17">
        <v>2</v>
      </c>
      <c r="V2056" s="17">
        <v>34</v>
      </c>
    </row>
    <row r="2057" spans="1:22" x14ac:dyDescent="0.2">
      <c r="A2057" t="s">
        <v>4958</v>
      </c>
      <c r="B2057" t="s">
        <v>2719</v>
      </c>
      <c r="C2057" t="s">
        <v>2720</v>
      </c>
      <c r="D2057" t="s">
        <v>4910</v>
      </c>
      <c r="E2057" s="10" t="s">
        <v>4959</v>
      </c>
      <c r="F2057" s="10"/>
      <c r="G2057" s="10"/>
      <c r="H2057" s="10" t="s">
        <v>4959</v>
      </c>
      <c r="I2057" s="14">
        <v>73524.366047863266</v>
      </c>
      <c r="J2057" s="19">
        <v>0.63060727981197295</v>
      </c>
      <c r="K2057" s="19">
        <v>0.35281245804404066</v>
      </c>
      <c r="L2057" s="19">
        <v>1.658026214398638E-2</v>
      </c>
      <c r="M2057" s="20">
        <v>3</v>
      </c>
      <c r="N2057" s="19">
        <v>0.19542208699663549</v>
      </c>
      <c r="O2057" s="19">
        <v>0</v>
      </c>
      <c r="P2057" s="19">
        <v>0.15739037104740519</v>
      </c>
      <c r="Q2057" s="19">
        <v>0</v>
      </c>
      <c r="R2057" s="19">
        <v>1.5649787335304685E-2</v>
      </c>
      <c r="S2057" s="19">
        <v>9.3047480868169521E-4</v>
      </c>
      <c r="T2057" s="20">
        <v>30</v>
      </c>
      <c r="U2057" s="17">
        <v>2</v>
      </c>
      <c r="V2057" s="17">
        <v>34</v>
      </c>
    </row>
    <row r="2058" spans="1:22" x14ac:dyDescent="0.2">
      <c r="A2058" t="s">
        <v>4960</v>
      </c>
      <c r="B2058" t="s">
        <v>2719</v>
      </c>
      <c r="C2058" t="s">
        <v>2720</v>
      </c>
      <c r="D2058" t="s">
        <v>4910</v>
      </c>
      <c r="E2058" s="10" t="s">
        <v>4961</v>
      </c>
      <c r="F2058" s="10"/>
      <c r="G2058" s="10"/>
      <c r="H2058" s="10" t="s">
        <v>4961</v>
      </c>
      <c r="I2058" s="14">
        <v>84091.621851611882</v>
      </c>
      <c r="J2058" s="19">
        <v>0.37110990908560365</v>
      </c>
      <c r="K2058" s="19">
        <v>0.48619917688550551</v>
      </c>
      <c r="L2058" s="19">
        <v>0.14269091402889081</v>
      </c>
      <c r="M2058" s="20">
        <v>2</v>
      </c>
      <c r="N2058" s="19">
        <v>6.0506387479205143E-2</v>
      </c>
      <c r="O2058" s="19">
        <v>0</v>
      </c>
      <c r="P2058" s="19">
        <v>0.4256927894063004</v>
      </c>
      <c r="Q2058" s="19">
        <v>4.3391066632989049E-2</v>
      </c>
      <c r="R2058" s="19">
        <v>9.2456393060745795E-2</v>
      </c>
      <c r="S2058" s="19">
        <v>6.843454335155979E-3</v>
      </c>
      <c r="T2058" s="20">
        <v>23</v>
      </c>
      <c r="U2058" s="17">
        <v>2</v>
      </c>
      <c r="V2058" s="17">
        <v>34</v>
      </c>
    </row>
    <row r="2059" spans="1:22" x14ac:dyDescent="0.2">
      <c r="A2059" t="s">
        <v>4962</v>
      </c>
      <c r="B2059" t="s">
        <v>2719</v>
      </c>
      <c r="C2059" t="s">
        <v>2720</v>
      </c>
      <c r="D2059" t="s">
        <v>4910</v>
      </c>
      <c r="E2059" s="10" t="s">
        <v>2898</v>
      </c>
      <c r="F2059" s="10"/>
      <c r="G2059" s="10"/>
      <c r="H2059" s="10" t="s">
        <v>2898</v>
      </c>
      <c r="I2059" s="14">
        <v>64407.587877888931</v>
      </c>
      <c r="J2059" s="19">
        <v>3.8731475654682485E-4</v>
      </c>
      <c r="K2059" s="19">
        <v>0.94912234785056271</v>
      </c>
      <c r="L2059" s="19">
        <v>5.0490337392890494E-2</v>
      </c>
      <c r="M2059" s="20">
        <v>2</v>
      </c>
      <c r="N2059" s="19">
        <v>0.30770020912508089</v>
      </c>
      <c r="O2059" s="19">
        <v>0</v>
      </c>
      <c r="P2059" s="19">
        <v>0.64142213872548182</v>
      </c>
      <c r="Q2059" s="19">
        <v>0</v>
      </c>
      <c r="R2059" s="19">
        <v>4.8561728826838776E-2</v>
      </c>
      <c r="S2059" s="19">
        <v>1.928608566051716E-3</v>
      </c>
      <c r="T2059" s="20">
        <v>21</v>
      </c>
      <c r="U2059" s="17">
        <v>2</v>
      </c>
      <c r="V2059" s="17">
        <v>34</v>
      </c>
    </row>
    <row r="2060" spans="1:22" x14ac:dyDescent="0.2">
      <c r="A2060" t="s">
        <v>4963</v>
      </c>
      <c r="B2060" t="s">
        <v>2719</v>
      </c>
      <c r="C2060" t="s">
        <v>2720</v>
      </c>
      <c r="D2060" t="s">
        <v>4910</v>
      </c>
      <c r="E2060" s="10" t="s">
        <v>4964</v>
      </c>
      <c r="F2060" s="10"/>
      <c r="G2060" s="10"/>
      <c r="H2060" s="10" t="s">
        <v>4964</v>
      </c>
      <c r="I2060" s="14">
        <v>142744.97150299302</v>
      </c>
      <c r="J2060" s="19">
        <v>0.44211423955733686</v>
      </c>
      <c r="K2060" s="19">
        <v>0.53755032347629794</v>
      </c>
      <c r="L2060" s="19">
        <v>2.0335436966365198E-2</v>
      </c>
      <c r="M2060" s="20">
        <v>2</v>
      </c>
      <c r="N2060" s="19">
        <v>0.26598844266954436</v>
      </c>
      <c r="O2060" s="19">
        <v>0</v>
      </c>
      <c r="P2060" s="19">
        <v>0.27156188080675364</v>
      </c>
      <c r="Q2060" s="19">
        <v>0</v>
      </c>
      <c r="R2060" s="19">
        <v>1.9222803184699534E-2</v>
      </c>
      <c r="S2060" s="19">
        <v>1.1126337816656639E-3</v>
      </c>
      <c r="T2060" s="20">
        <v>23</v>
      </c>
      <c r="U2060" s="17">
        <v>2</v>
      </c>
      <c r="V2060" s="17">
        <v>34</v>
      </c>
    </row>
    <row r="2061" spans="1:22" x14ac:dyDescent="0.2">
      <c r="A2061" t="s">
        <v>4965</v>
      </c>
      <c r="B2061" t="s">
        <v>2719</v>
      </c>
      <c r="C2061" t="s">
        <v>2720</v>
      </c>
      <c r="D2061" t="s">
        <v>4910</v>
      </c>
      <c r="E2061" s="10" t="s">
        <v>4966</v>
      </c>
      <c r="F2061" s="10"/>
      <c r="G2061" s="10"/>
      <c r="H2061" s="10" t="s">
        <v>4966</v>
      </c>
      <c r="I2061" s="14">
        <v>26038.301881661639</v>
      </c>
      <c r="J2061" s="19">
        <v>0</v>
      </c>
      <c r="K2061" s="19">
        <v>0.58756597333352856</v>
      </c>
      <c r="L2061" s="19">
        <v>0.41243402666647133</v>
      </c>
      <c r="M2061" s="20">
        <v>2</v>
      </c>
      <c r="N2061" s="19">
        <v>0</v>
      </c>
      <c r="O2061" s="19">
        <v>0.55214612220117909</v>
      </c>
      <c r="P2061" s="19">
        <v>3.5419851132349536E-2</v>
      </c>
      <c r="Q2061" s="19">
        <v>0.17315940662348575</v>
      </c>
      <c r="R2061" s="19">
        <v>0.21948994004184311</v>
      </c>
      <c r="S2061" s="19">
        <v>1.9784680001142474E-2</v>
      </c>
      <c r="T2061" s="20">
        <v>22</v>
      </c>
      <c r="U2061" s="17">
        <v>2</v>
      </c>
      <c r="V2061" s="17">
        <v>34</v>
      </c>
    </row>
    <row r="2062" spans="1:22" x14ac:dyDescent="0.2">
      <c r="A2062" t="s">
        <v>4967</v>
      </c>
      <c r="B2062" t="s">
        <v>2719</v>
      </c>
      <c r="C2062" t="s">
        <v>2720</v>
      </c>
      <c r="D2062" t="s">
        <v>4910</v>
      </c>
      <c r="E2062" s="10" t="s">
        <v>4968</v>
      </c>
      <c r="F2062" s="10"/>
      <c r="G2062" s="10"/>
      <c r="H2062" s="10" t="s">
        <v>4968</v>
      </c>
      <c r="I2062" s="14">
        <v>57460.419238501694</v>
      </c>
      <c r="J2062" s="19">
        <v>0</v>
      </c>
      <c r="K2062" s="19">
        <v>0.95941919326448932</v>
      </c>
      <c r="L2062" s="19">
        <v>4.0580806735510705E-2</v>
      </c>
      <c r="M2062" s="20">
        <v>2</v>
      </c>
      <c r="N2062" s="19">
        <v>0.41502492514124406</v>
      </c>
      <c r="O2062" s="19">
        <v>0</v>
      </c>
      <c r="P2062" s="19">
        <v>0.54439426812324521</v>
      </c>
      <c r="Q2062" s="19">
        <v>0</v>
      </c>
      <c r="R2062" s="19">
        <v>3.4820633599346201E-2</v>
      </c>
      <c r="S2062" s="19">
        <v>5.7601731361645002E-3</v>
      </c>
      <c r="T2062" s="20">
        <v>21</v>
      </c>
      <c r="U2062" s="17">
        <v>2</v>
      </c>
      <c r="V2062" s="17">
        <v>34</v>
      </c>
    </row>
    <row r="2063" spans="1:22" x14ac:dyDescent="0.2">
      <c r="A2063" t="s">
        <v>4969</v>
      </c>
      <c r="B2063" t="s">
        <v>2719</v>
      </c>
      <c r="C2063" t="s">
        <v>2720</v>
      </c>
      <c r="D2063" t="s">
        <v>4970</v>
      </c>
      <c r="E2063" s="10" t="s">
        <v>4971</v>
      </c>
      <c r="F2063" s="10"/>
      <c r="G2063" s="10"/>
      <c r="H2063" s="10" t="s">
        <v>4971</v>
      </c>
      <c r="I2063" s="14">
        <v>9921.093749769032</v>
      </c>
      <c r="J2063" s="19">
        <v>0</v>
      </c>
      <c r="K2063" s="19">
        <v>0</v>
      </c>
      <c r="L2063" s="19">
        <v>1</v>
      </c>
      <c r="M2063" s="20">
        <v>1</v>
      </c>
      <c r="N2063" s="19">
        <v>0</v>
      </c>
      <c r="O2063" s="19">
        <v>0</v>
      </c>
      <c r="P2063" s="19">
        <v>0</v>
      </c>
      <c r="Q2063" s="19">
        <v>0.61835663004810604</v>
      </c>
      <c r="R2063" s="19">
        <v>0.23799331706765808</v>
      </c>
      <c r="S2063" s="19">
        <v>0.14365005288423588</v>
      </c>
      <c r="T2063" s="20">
        <v>13</v>
      </c>
      <c r="U2063" s="17">
        <v>2</v>
      </c>
      <c r="V2063" s="17">
        <v>34</v>
      </c>
    </row>
    <row r="2064" spans="1:22" x14ac:dyDescent="0.2">
      <c r="A2064" t="s">
        <v>4972</v>
      </c>
      <c r="B2064" t="s">
        <v>2719</v>
      </c>
      <c r="C2064" t="s">
        <v>2720</v>
      </c>
      <c r="D2064" t="s">
        <v>4970</v>
      </c>
      <c r="E2064" s="10" t="s">
        <v>4973</v>
      </c>
      <c r="F2064" s="10"/>
      <c r="G2064" s="10"/>
      <c r="H2064" s="10" t="s">
        <v>4973</v>
      </c>
      <c r="I2064" s="14">
        <v>18884.624369993806</v>
      </c>
      <c r="J2064" s="19">
        <v>0</v>
      </c>
      <c r="K2064" s="19">
        <v>1.0396574518433527E-3</v>
      </c>
      <c r="L2064" s="19">
        <v>0.9989603425481568</v>
      </c>
      <c r="M2064" s="20">
        <v>1</v>
      </c>
      <c r="N2064" s="19">
        <v>0</v>
      </c>
      <c r="O2064" s="19">
        <v>0</v>
      </c>
      <c r="P2064" s="19">
        <v>1.0396574518433527E-3</v>
      </c>
      <c r="Q2064" s="19">
        <v>0.56120610233589163</v>
      </c>
      <c r="R2064" s="19">
        <v>0.37626759501022938</v>
      </c>
      <c r="S2064" s="19">
        <v>6.1486645202035603E-2</v>
      </c>
      <c r="T2064" s="20">
        <v>13</v>
      </c>
      <c r="U2064" s="17">
        <v>2</v>
      </c>
      <c r="V2064" s="17">
        <v>34</v>
      </c>
    </row>
    <row r="2065" spans="1:22" x14ac:dyDescent="0.2">
      <c r="A2065" t="s">
        <v>4974</v>
      </c>
      <c r="B2065" t="s">
        <v>2719</v>
      </c>
      <c r="C2065" t="s">
        <v>2720</v>
      </c>
      <c r="D2065" t="s">
        <v>4970</v>
      </c>
      <c r="E2065" s="10" t="s">
        <v>4975</v>
      </c>
      <c r="F2065" s="10"/>
      <c r="G2065" s="10"/>
      <c r="H2065" s="10" t="s">
        <v>4975</v>
      </c>
      <c r="I2065" s="14">
        <v>47761.679378801025</v>
      </c>
      <c r="J2065" s="19">
        <v>0</v>
      </c>
      <c r="K2065" s="19">
        <v>0.68405988784780491</v>
      </c>
      <c r="L2065" s="19">
        <v>0.3159401121521952</v>
      </c>
      <c r="M2065" s="20">
        <v>2</v>
      </c>
      <c r="N2065" s="19">
        <v>0.24605239358194875</v>
      </c>
      <c r="O2065" s="19">
        <v>0</v>
      </c>
      <c r="P2065" s="19">
        <v>0.43800749426585611</v>
      </c>
      <c r="Q2065" s="19">
        <v>9.6236513025671905E-2</v>
      </c>
      <c r="R2065" s="19">
        <v>0.19494864549710741</v>
      </c>
      <c r="S2065" s="19">
        <v>2.4754953629415821E-2</v>
      </c>
      <c r="T2065" s="20">
        <v>23</v>
      </c>
      <c r="U2065" s="17">
        <v>2</v>
      </c>
      <c r="V2065" s="17">
        <v>34</v>
      </c>
    </row>
    <row r="2066" spans="1:22" x14ac:dyDescent="0.2">
      <c r="A2066" t="s">
        <v>4976</v>
      </c>
      <c r="B2066" t="s">
        <v>2719</v>
      </c>
      <c r="C2066" t="s">
        <v>2720</v>
      </c>
      <c r="D2066" t="s">
        <v>4970</v>
      </c>
      <c r="E2066" s="10" t="s">
        <v>4977</v>
      </c>
      <c r="F2066" s="10"/>
      <c r="G2066" s="10"/>
      <c r="H2066" s="10" t="s">
        <v>4977</v>
      </c>
      <c r="I2066" s="14">
        <v>45398.062992719002</v>
      </c>
      <c r="J2066" s="19">
        <v>0</v>
      </c>
      <c r="K2066" s="19">
        <v>0.78399373013486717</v>
      </c>
      <c r="L2066" s="19">
        <v>0.21600626986513283</v>
      </c>
      <c r="M2066" s="20">
        <v>2</v>
      </c>
      <c r="N2066" s="19">
        <v>0.26659313729333428</v>
      </c>
      <c r="O2066" s="19">
        <v>0</v>
      </c>
      <c r="P2066" s="19">
        <v>0.51740059284153284</v>
      </c>
      <c r="Q2066" s="19">
        <v>5.7034858696494571E-2</v>
      </c>
      <c r="R2066" s="19">
        <v>0.14052911085918313</v>
      </c>
      <c r="S2066" s="19">
        <v>1.8442300309455154E-2</v>
      </c>
      <c r="T2066" s="20">
        <v>21</v>
      </c>
      <c r="U2066" s="17">
        <v>2</v>
      </c>
      <c r="V2066" s="17">
        <v>34</v>
      </c>
    </row>
    <row r="2067" spans="1:22" x14ac:dyDescent="0.2">
      <c r="A2067" t="s">
        <v>4978</v>
      </c>
      <c r="B2067" t="s">
        <v>2719</v>
      </c>
      <c r="C2067" t="s">
        <v>2720</v>
      </c>
      <c r="D2067" t="s">
        <v>4970</v>
      </c>
      <c r="E2067" s="10" t="s">
        <v>4979</v>
      </c>
      <c r="F2067" s="10"/>
      <c r="G2067" s="10"/>
      <c r="H2067" s="10" t="s">
        <v>4979</v>
      </c>
      <c r="I2067" s="14">
        <v>59131.525115262717</v>
      </c>
      <c r="J2067" s="19">
        <v>0</v>
      </c>
      <c r="K2067" s="19">
        <v>0.6803873954477061</v>
      </c>
      <c r="L2067" s="19">
        <v>0.3196126045522939</v>
      </c>
      <c r="M2067" s="20">
        <v>2</v>
      </c>
      <c r="N2067" s="19">
        <v>0.21127137170964719</v>
      </c>
      <c r="O2067" s="19">
        <v>7.5038430950580314E-3</v>
      </c>
      <c r="P2067" s="19">
        <v>0.46161218064300086</v>
      </c>
      <c r="Q2067" s="19">
        <v>6.9486778203434726E-2</v>
      </c>
      <c r="R2067" s="19">
        <v>0.21585172865230287</v>
      </c>
      <c r="S2067" s="19">
        <v>3.427409769655633E-2</v>
      </c>
      <c r="T2067" s="20">
        <v>23</v>
      </c>
      <c r="U2067" s="17">
        <v>2</v>
      </c>
      <c r="V2067" s="17">
        <v>34</v>
      </c>
    </row>
    <row r="2068" spans="1:22" x14ac:dyDescent="0.2">
      <c r="A2068" t="s">
        <v>4980</v>
      </c>
      <c r="B2068" t="s">
        <v>2719</v>
      </c>
      <c r="C2068" t="s">
        <v>2720</v>
      </c>
      <c r="D2068" t="s">
        <v>4970</v>
      </c>
      <c r="E2068" s="10" t="s">
        <v>4981</v>
      </c>
      <c r="F2068" s="10"/>
      <c r="G2068" s="10"/>
      <c r="H2068" s="10" t="s">
        <v>4981</v>
      </c>
      <c r="I2068" s="14">
        <v>71561.798026151024</v>
      </c>
      <c r="J2068" s="19">
        <v>0.68661215588962843</v>
      </c>
      <c r="K2068" s="19">
        <v>0.16728733212366195</v>
      </c>
      <c r="L2068" s="19">
        <v>0.14610051198670956</v>
      </c>
      <c r="M2068" s="20">
        <v>3</v>
      </c>
      <c r="N2068" s="19">
        <v>0</v>
      </c>
      <c r="O2068" s="19">
        <v>0</v>
      </c>
      <c r="P2068" s="19">
        <v>0.16728733212366195</v>
      </c>
      <c r="Q2068" s="19">
        <v>7.7024652244102321E-2</v>
      </c>
      <c r="R2068" s="19">
        <v>5.6536371579768138E-2</v>
      </c>
      <c r="S2068" s="19">
        <v>1.2539488162839105E-2</v>
      </c>
      <c r="T2068" s="20">
        <v>30</v>
      </c>
      <c r="U2068" s="17">
        <v>2</v>
      </c>
      <c r="V2068" s="17">
        <v>34</v>
      </c>
    </row>
    <row r="2069" spans="1:22" x14ac:dyDescent="0.2">
      <c r="A2069" t="s">
        <v>4982</v>
      </c>
      <c r="B2069" t="s">
        <v>2719</v>
      </c>
      <c r="C2069" t="s">
        <v>2720</v>
      </c>
      <c r="D2069" t="s">
        <v>4970</v>
      </c>
      <c r="E2069" s="10" t="s">
        <v>4983</v>
      </c>
      <c r="F2069" s="10"/>
      <c r="G2069" s="10"/>
      <c r="H2069" s="10" t="s">
        <v>4983</v>
      </c>
      <c r="I2069" s="14">
        <v>20575.417233313201</v>
      </c>
      <c r="J2069" s="19">
        <v>0</v>
      </c>
      <c r="K2069" s="19">
        <v>0.36320784883176765</v>
      </c>
      <c r="L2069" s="19">
        <v>0.6367921511682324</v>
      </c>
      <c r="M2069" s="20">
        <v>1</v>
      </c>
      <c r="N2069" s="19">
        <v>0</v>
      </c>
      <c r="O2069" s="19">
        <v>0.34977713737252442</v>
      </c>
      <c r="P2069" s="19">
        <v>1.3430711459243204E-2</v>
      </c>
      <c r="Q2069" s="19">
        <v>0.21643901272922131</v>
      </c>
      <c r="R2069" s="19">
        <v>0.34424808558523767</v>
      </c>
      <c r="S2069" s="19">
        <v>7.6105052853773378E-2</v>
      </c>
      <c r="T2069" s="20">
        <v>12</v>
      </c>
      <c r="U2069" s="17">
        <v>2</v>
      </c>
      <c r="V2069" s="17">
        <v>34</v>
      </c>
    </row>
    <row r="2070" spans="1:22" x14ac:dyDescent="0.2">
      <c r="A2070" t="s">
        <v>4984</v>
      </c>
      <c r="B2070" t="s">
        <v>2719</v>
      </c>
      <c r="C2070" t="s">
        <v>2720</v>
      </c>
      <c r="D2070" t="s">
        <v>4970</v>
      </c>
      <c r="E2070" s="10" t="s">
        <v>4985</v>
      </c>
      <c r="F2070" s="10"/>
      <c r="G2070" s="10"/>
      <c r="H2070" s="10" t="s">
        <v>4985</v>
      </c>
      <c r="I2070" s="14">
        <v>32878.112942664418</v>
      </c>
      <c r="J2070" s="19">
        <v>0</v>
      </c>
      <c r="K2070" s="19">
        <v>0.57612290200017124</v>
      </c>
      <c r="L2070" s="19">
        <v>0.42387709799982881</v>
      </c>
      <c r="M2070" s="20">
        <v>2</v>
      </c>
      <c r="N2070" s="19">
        <v>0</v>
      </c>
      <c r="O2070" s="19">
        <v>0.16274393891391931</v>
      </c>
      <c r="P2070" s="19">
        <v>0.41337896308625188</v>
      </c>
      <c r="Q2070" s="19">
        <v>5.7974366661819786E-2</v>
      </c>
      <c r="R2070" s="19">
        <v>0.29988008166028235</v>
      </c>
      <c r="S2070" s="19">
        <v>6.6022649677726683E-2</v>
      </c>
      <c r="T2070" s="20">
        <v>22</v>
      </c>
      <c r="U2070" s="17">
        <v>2</v>
      </c>
      <c r="V2070" s="17">
        <v>34</v>
      </c>
    </row>
    <row r="2071" spans="1:22" x14ac:dyDescent="0.2">
      <c r="A2071" t="s">
        <v>4986</v>
      </c>
      <c r="B2071" t="s">
        <v>2719</v>
      </c>
      <c r="C2071" t="s">
        <v>2720</v>
      </c>
      <c r="D2071" t="s">
        <v>4970</v>
      </c>
      <c r="E2071" s="10" t="s">
        <v>4987</v>
      </c>
      <c r="F2071" s="10"/>
      <c r="G2071" s="10"/>
      <c r="H2071" s="10" t="s">
        <v>4987</v>
      </c>
      <c r="I2071" s="14">
        <v>22341.856194805354</v>
      </c>
      <c r="J2071" s="19">
        <v>0</v>
      </c>
      <c r="K2071" s="19">
        <v>0.48752660230242334</v>
      </c>
      <c r="L2071" s="19">
        <v>0.51247339769757672</v>
      </c>
      <c r="M2071" s="20">
        <v>1</v>
      </c>
      <c r="N2071" s="19">
        <v>0</v>
      </c>
      <c r="O2071" s="19">
        <v>0</v>
      </c>
      <c r="P2071" s="19">
        <v>0.48752660230242334</v>
      </c>
      <c r="Q2071" s="19">
        <v>9.7451040741747166E-2</v>
      </c>
      <c r="R2071" s="19">
        <v>0.34418044765829381</v>
      </c>
      <c r="S2071" s="19">
        <v>7.0841909297535685E-2</v>
      </c>
      <c r="T2071" s="20">
        <v>12</v>
      </c>
      <c r="U2071" s="17">
        <v>2</v>
      </c>
      <c r="V2071" s="17">
        <v>34</v>
      </c>
    </row>
    <row r="2072" spans="1:22" x14ac:dyDescent="0.2">
      <c r="A2072" t="s">
        <v>4988</v>
      </c>
      <c r="B2072" t="s">
        <v>2719</v>
      </c>
      <c r="C2072" t="s">
        <v>2720</v>
      </c>
      <c r="D2072" t="s">
        <v>4970</v>
      </c>
      <c r="E2072" s="10" t="s">
        <v>4989</v>
      </c>
      <c r="F2072" s="10"/>
      <c r="G2072" s="10"/>
      <c r="H2072" s="10" t="s">
        <v>4989</v>
      </c>
      <c r="I2072" s="14">
        <v>41722.955208673375</v>
      </c>
      <c r="J2072" s="19">
        <v>0</v>
      </c>
      <c r="K2072" s="19">
        <v>0.31827742490991284</v>
      </c>
      <c r="L2072" s="19">
        <v>0.68172257509008716</v>
      </c>
      <c r="M2072" s="20">
        <v>1</v>
      </c>
      <c r="N2072" s="19">
        <v>0</v>
      </c>
      <c r="O2072" s="19">
        <v>0.31827742490991284</v>
      </c>
      <c r="P2072" s="19">
        <v>0</v>
      </c>
      <c r="Q2072" s="19">
        <v>0.31359077926674173</v>
      </c>
      <c r="R2072" s="19">
        <v>0.32630147000410831</v>
      </c>
      <c r="S2072" s="19">
        <v>4.1830325819237096E-2</v>
      </c>
      <c r="T2072" s="20">
        <v>12</v>
      </c>
      <c r="U2072" s="17">
        <v>2</v>
      </c>
      <c r="V2072" s="17">
        <v>34</v>
      </c>
    </row>
    <row r="2073" spans="1:22" x14ac:dyDescent="0.2">
      <c r="A2073" t="s">
        <v>4990</v>
      </c>
      <c r="B2073" t="s">
        <v>2719</v>
      </c>
      <c r="C2073" t="s">
        <v>2720</v>
      </c>
      <c r="D2073" t="s">
        <v>4970</v>
      </c>
      <c r="E2073" s="10" t="s">
        <v>4991</v>
      </c>
      <c r="F2073" s="10"/>
      <c r="G2073" s="10"/>
      <c r="H2073" s="10" t="s">
        <v>4991</v>
      </c>
      <c r="I2073" s="14">
        <v>26339.965768314902</v>
      </c>
      <c r="J2073" s="19">
        <v>0</v>
      </c>
      <c r="K2073" s="19">
        <v>0</v>
      </c>
      <c r="L2073" s="19">
        <v>1</v>
      </c>
      <c r="M2073" s="20">
        <v>1</v>
      </c>
      <c r="N2073" s="19">
        <v>0</v>
      </c>
      <c r="O2073" s="19">
        <v>0</v>
      </c>
      <c r="P2073" s="19">
        <v>0</v>
      </c>
      <c r="Q2073" s="19">
        <v>0.36793905937066623</v>
      </c>
      <c r="R2073" s="19">
        <v>0.54950864622713802</v>
      </c>
      <c r="S2073" s="19">
        <v>8.2552294402195595E-2</v>
      </c>
      <c r="T2073" s="20">
        <v>12</v>
      </c>
      <c r="U2073" s="17">
        <v>2</v>
      </c>
      <c r="V2073" s="17">
        <v>34</v>
      </c>
    </row>
    <row r="2074" spans="1:22" x14ac:dyDescent="0.2">
      <c r="A2074" t="s">
        <v>4992</v>
      </c>
      <c r="B2074" t="s">
        <v>2719</v>
      </c>
      <c r="C2074" t="s">
        <v>2720</v>
      </c>
      <c r="D2074" t="s">
        <v>4970</v>
      </c>
      <c r="E2074" s="10" t="s">
        <v>3270</v>
      </c>
      <c r="F2074" s="10"/>
      <c r="G2074" s="10"/>
      <c r="H2074" s="10" t="s">
        <v>3270</v>
      </c>
      <c r="I2074" s="14">
        <v>25541.362440409139</v>
      </c>
      <c r="J2074" s="19">
        <v>0</v>
      </c>
      <c r="K2074" s="19">
        <v>0.39479233809164732</v>
      </c>
      <c r="L2074" s="19">
        <v>0.60520766190835273</v>
      </c>
      <c r="M2074" s="20">
        <v>1</v>
      </c>
      <c r="N2074" s="19">
        <v>0</v>
      </c>
      <c r="O2074" s="19">
        <v>0.29370146728001056</v>
      </c>
      <c r="P2074" s="19">
        <v>0.10109087081163674</v>
      </c>
      <c r="Q2074" s="19">
        <v>0.23798296153600904</v>
      </c>
      <c r="R2074" s="19">
        <v>0.34376918490454417</v>
      </c>
      <c r="S2074" s="19">
        <v>2.3455515467799486E-2</v>
      </c>
      <c r="T2074" s="20">
        <v>12</v>
      </c>
      <c r="U2074" s="17">
        <v>2</v>
      </c>
      <c r="V2074" s="17">
        <v>34</v>
      </c>
    </row>
    <row r="2075" spans="1:22" x14ac:dyDescent="0.2">
      <c r="A2075" t="s">
        <v>4993</v>
      </c>
      <c r="B2075" t="s">
        <v>2719</v>
      </c>
      <c r="C2075" t="s">
        <v>2720</v>
      </c>
      <c r="D2075" t="s">
        <v>4970</v>
      </c>
      <c r="E2075" s="10" t="s">
        <v>3676</v>
      </c>
      <c r="F2075" s="10"/>
      <c r="G2075" s="10"/>
      <c r="H2075" s="10" t="s">
        <v>3676</v>
      </c>
      <c r="I2075" s="14">
        <v>18366.543227531947</v>
      </c>
      <c r="J2075" s="19">
        <v>0</v>
      </c>
      <c r="K2075" s="19">
        <v>0.36935165390258434</v>
      </c>
      <c r="L2075" s="19">
        <v>0.6306483460974156</v>
      </c>
      <c r="M2075" s="20">
        <v>1</v>
      </c>
      <c r="N2075" s="19">
        <v>0</v>
      </c>
      <c r="O2075" s="19">
        <v>0.36935165390258434</v>
      </c>
      <c r="P2075" s="19">
        <v>0</v>
      </c>
      <c r="Q2075" s="19">
        <v>0.1464891529864347</v>
      </c>
      <c r="R2075" s="19">
        <v>0.41967770500083346</v>
      </c>
      <c r="S2075" s="19">
        <v>6.4481488110147492E-2</v>
      </c>
      <c r="T2075" s="20">
        <v>12</v>
      </c>
      <c r="U2075" s="17">
        <v>2</v>
      </c>
      <c r="V2075" s="17">
        <v>34</v>
      </c>
    </row>
    <row r="2076" spans="1:22" x14ac:dyDescent="0.2">
      <c r="A2076" t="s">
        <v>4994</v>
      </c>
      <c r="B2076" t="s">
        <v>2719</v>
      </c>
      <c r="C2076" t="s">
        <v>2720</v>
      </c>
      <c r="D2076" t="s">
        <v>4970</v>
      </c>
      <c r="E2076" s="10" t="s">
        <v>4995</v>
      </c>
      <c r="F2076" s="10"/>
      <c r="G2076" s="10"/>
      <c r="H2076" s="10" t="s">
        <v>4995</v>
      </c>
      <c r="I2076" s="14">
        <v>66215.89639460016</v>
      </c>
      <c r="J2076" s="19">
        <v>0.4487399760310441</v>
      </c>
      <c r="K2076" s="19">
        <v>0.5130966447146984</v>
      </c>
      <c r="L2076" s="19">
        <v>3.8163379254257522E-2</v>
      </c>
      <c r="M2076" s="20">
        <v>2</v>
      </c>
      <c r="N2076" s="19">
        <v>0</v>
      </c>
      <c r="O2076" s="19">
        <v>0</v>
      </c>
      <c r="P2076" s="19">
        <v>0.5130966447146984</v>
      </c>
      <c r="Q2076" s="19">
        <v>0</v>
      </c>
      <c r="R2076" s="19">
        <v>3.5756271389782261E-2</v>
      </c>
      <c r="S2076" s="19">
        <v>2.4071078644752621E-3</v>
      </c>
      <c r="T2076" s="20">
        <v>21</v>
      </c>
      <c r="U2076" s="17">
        <v>2</v>
      </c>
      <c r="V2076" s="17">
        <v>34</v>
      </c>
    </row>
    <row r="2077" spans="1:22" x14ac:dyDescent="0.2">
      <c r="A2077" t="s">
        <v>4996</v>
      </c>
      <c r="B2077" t="s">
        <v>2719</v>
      </c>
      <c r="C2077" t="s">
        <v>2720</v>
      </c>
      <c r="D2077" t="s">
        <v>4970</v>
      </c>
      <c r="E2077" s="10" t="s">
        <v>4997</v>
      </c>
      <c r="F2077" s="10"/>
      <c r="G2077" s="10"/>
      <c r="H2077" s="10" t="s">
        <v>4997</v>
      </c>
      <c r="I2077" s="14">
        <v>22191.158225780353</v>
      </c>
      <c r="J2077" s="19">
        <v>0</v>
      </c>
      <c r="K2077" s="19">
        <v>0.72822124708717273</v>
      </c>
      <c r="L2077" s="19">
        <v>0.27177875291282722</v>
      </c>
      <c r="M2077" s="20">
        <v>2</v>
      </c>
      <c r="N2077" s="19">
        <v>0</v>
      </c>
      <c r="O2077" s="19">
        <v>0.45098998031848281</v>
      </c>
      <c r="P2077" s="19">
        <v>0.27723126676868998</v>
      </c>
      <c r="Q2077" s="19">
        <v>6.2532399659512988E-2</v>
      </c>
      <c r="R2077" s="19">
        <v>0.19392461899206584</v>
      </c>
      <c r="S2077" s="19">
        <v>1.53217342612484E-2</v>
      </c>
      <c r="T2077" s="20">
        <v>22</v>
      </c>
      <c r="U2077" s="17">
        <v>2</v>
      </c>
      <c r="V2077" s="17">
        <v>34</v>
      </c>
    </row>
    <row r="2078" spans="1:22" x14ac:dyDescent="0.2">
      <c r="A2078" t="s">
        <v>4998</v>
      </c>
      <c r="B2078" t="s">
        <v>2719</v>
      </c>
      <c r="C2078" t="s">
        <v>2720</v>
      </c>
      <c r="D2078" t="s">
        <v>4999</v>
      </c>
      <c r="E2078" s="10" t="s">
        <v>5000</v>
      </c>
      <c r="F2078" s="10"/>
      <c r="G2078" s="10"/>
      <c r="H2078" s="10" t="s">
        <v>5000</v>
      </c>
      <c r="I2078" s="14">
        <v>41009.279196538031</v>
      </c>
      <c r="J2078" s="19">
        <v>0</v>
      </c>
      <c r="K2078" s="19">
        <v>0.74505188262622835</v>
      </c>
      <c r="L2078" s="19">
        <v>0.2549481173737716</v>
      </c>
      <c r="M2078" s="20">
        <v>2</v>
      </c>
      <c r="N2078" s="19">
        <v>0.17310702616766685</v>
      </c>
      <c r="O2078" s="19">
        <v>0.54332374037666742</v>
      </c>
      <c r="P2078" s="19">
        <v>2.8621116081894063E-2</v>
      </c>
      <c r="Q2078" s="19">
        <v>0.13671779812067256</v>
      </c>
      <c r="R2078" s="19">
        <v>0.10400399258343877</v>
      </c>
      <c r="S2078" s="19">
        <v>1.4226326669660271E-2</v>
      </c>
      <c r="T2078" s="20">
        <v>22</v>
      </c>
      <c r="U2078" s="17">
        <v>2</v>
      </c>
      <c r="V2078" s="17">
        <v>34</v>
      </c>
    </row>
    <row r="2079" spans="1:22" x14ac:dyDescent="0.2">
      <c r="A2079" t="s">
        <v>5001</v>
      </c>
      <c r="B2079" t="s">
        <v>2719</v>
      </c>
      <c r="C2079" t="s">
        <v>2720</v>
      </c>
      <c r="D2079" t="s">
        <v>4999</v>
      </c>
      <c r="E2079" s="10" t="s">
        <v>5002</v>
      </c>
      <c r="F2079" s="10"/>
      <c r="G2079" s="10"/>
      <c r="H2079" s="10" t="s">
        <v>5002</v>
      </c>
      <c r="I2079" s="14">
        <v>35868.94333784841</v>
      </c>
      <c r="J2079" s="19">
        <v>0</v>
      </c>
      <c r="K2079" s="19">
        <v>0.68836210341088633</v>
      </c>
      <c r="L2079" s="19">
        <v>0.31163789658911373</v>
      </c>
      <c r="M2079" s="20">
        <v>2</v>
      </c>
      <c r="N2079" s="19">
        <v>0.34335684519978094</v>
      </c>
      <c r="O2079" s="19">
        <v>5.9703155659598502E-2</v>
      </c>
      <c r="P2079" s="19">
        <v>0.28530210255150684</v>
      </c>
      <c r="Q2079" s="19">
        <v>0.1070973641668467</v>
      </c>
      <c r="R2079" s="19">
        <v>0.17675480933666887</v>
      </c>
      <c r="S2079" s="19">
        <v>2.7785723085598121E-2</v>
      </c>
      <c r="T2079" s="20">
        <v>23</v>
      </c>
      <c r="U2079" s="17">
        <v>2</v>
      </c>
      <c r="V2079" s="17">
        <v>34</v>
      </c>
    </row>
    <row r="2080" spans="1:22" x14ac:dyDescent="0.2">
      <c r="A2080" t="s">
        <v>5003</v>
      </c>
      <c r="B2080" t="s">
        <v>2719</v>
      </c>
      <c r="C2080" t="s">
        <v>2720</v>
      </c>
      <c r="D2080" t="s">
        <v>4999</v>
      </c>
      <c r="E2080" s="10" t="s">
        <v>5004</v>
      </c>
      <c r="F2080" s="10"/>
      <c r="G2080" s="10"/>
      <c r="H2080" s="10" t="s">
        <v>5004</v>
      </c>
      <c r="I2080" s="14">
        <v>8906.7042942205444</v>
      </c>
      <c r="J2080" s="19">
        <v>0</v>
      </c>
      <c r="K2080" s="19">
        <v>0</v>
      </c>
      <c r="L2080" s="19">
        <v>1</v>
      </c>
      <c r="M2080" s="20">
        <v>1</v>
      </c>
      <c r="N2080" s="19">
        <v>0</v>
      </c>
      <c r="O2080" s="19">
        <v>0</v>
      </c>
      <c r="P2080" s="19">
        <v>0</v>
      </c>
      <c r="Q2080" s="19">
        <v>0.9128518712052941</v>
      </c>
      <c r="R2080" s="19">
        <v>5.9802452595639419E-2</v>
      </c>
      <c r="S2080" s="19">
        <v>2.7345676199066582E-2</v>
      </c>
      <c r="T2080" s="20">
        <v>13</v>
      </c>
      <c r="U2080" s="17">
        <v>2</v>
      </c>
      <c r="V2080" s="17">
        <v>34</v>
      </c>
    </row>
    <row r="2081" spans="1:22" x14ac:dyDescent="0.2">
      <c r="A2081" t="s">
        <v>5005</v>
      </c>
      <c r="B2081" t="s">
        <v>2719</v>
      </c>
      <c r="C2081" t="s">
        <v>2720</v>
      </c>
      <c r="D2081" t="s">
        <v>4999</v>
      </c>
      <c r="E2081" s="10" t="s">
        <v>5006</v>
      </c>
      <c r="F2081" s="10"/>
      <c r="G2081" s="10"/>
      <c r="H2081" s="10" t="s">
        <v>5006</v>
      </c>
      <c r="I2081" s="14">
        <v>21555.758920833468</v>
      </c>
      <c r="J2081" s="19">
        <v>0</v>
      </c>
      <c r="K2081" s="19">
        <v>0.52965676554531727</v>
      </c>
      <c r="L2081" s="19">
        <v>0.47034323445468268</v>
      </c>
      <c r="M2081" s="20">
        <v>2</v>
      </c>
      <c r="N2081" s="19">
        <v>0</v>
      </c>
      <c r="O2081" s="19">
        <v>0.52965676554531727</v>
      </c>
      <c r="P2081" s="19">
        <v>0</v>
      </c>
      <c r="Q2081" s="19">
        <v>0.31688155293135706</v>
      </c>
      <c r="R2081" s="19">
        <v>0.13584630844273832</v>
      </c>
      <c r="S2081" s="19">
        <v>1.7615373080587367E-2</v>
      </c>
      <c r="T2081" s="20">
        <v>22</v>
      </c>
      <c r="U2081" s="17">
        <v>2</v>
      </c>
      <c r="V2081" s="17">
        <v>34</v>
      </c>
    </row>
    <row r="2082" spans="1:22" x14ac:dyDescent="0.2">
      <c r="A2082" t="s">
        <v>5007</v>
      </c>
      <c r="B2082" t="s">
        <v>2719</v>
      </c>
      <c r="C2082" t="s">
        <v>2720</v>
      </c>
      <c r="D2082" t="s">
        <v>4999</v>
      </c>
      <c r="E2082" s="10" t="s">
        <v>3750</v>
      </c>
      <c r="F2082" s="10"/>
      <c r="G2082" s="10"/>
      <c r="H2082" s="10" t="s">
        <v>3750</v>
      </c>
      <c r="I2082" s="14">
        <v>40446.189234220423</v>
      </c>
      <c r="J2082" s="19">
        <v>0</v>
      </c>
      <c r="K2082" s="19">
        <v>0.28039020376082213</v>
      </c>
      <c r="L2082" s="19">
        <v>0.71960979623917798</v>
      </c>
      <c r="M2082" s="20">
        <v>1</v>
      </c>
      <c r="N2082" s="19">
        <v>0.12747743778040713</v>
      </c>
      <c r="O2082" s="19">
        <v>0</v>
      </c>
      <c r="P2082" s="19">
        <v>0.15291276598041503</v>
      </c>
      <c r="Q2082" s="19">
        <v>0.49826650530097544</v>
      </c>
      <c r="R2082" s="19">
        <v>0.18777608031072734</v>
      </c>
      <c r="S2082" s="19">
        <v>3.35672106274751E-2</v>
      </c>
      <c r="T2082" s="20">
        <v>13</v>
      </c>
      <c r="U2082" s="17">
        <v>2</v>
      </c>
      <c r="V2082" s="17">
        <v>34</v>
      </c>
    </row>
    <row r="2083" spans="1:22" x14ac:dyDescent="0.2">
      <c r="A2083" t="s">
        <v>5008</v>
      </c>
      <c r="B2083" t="s">
        <v>2719</v>
      </c>
      <c r="C2083" t="s">
        <v>2720</v>
      </c>
      <c r="D2083" t="s">
        <v>4999</v>
      </c>
      <c r="E2083" s="10" t="s">
        <v>5009</v>
      </c>
      <c r="F2083" s="10"/>
      <c r="G2083" s="10"/>
      <c r="H2083" s="10" t="s">
        <v>5009</v>
      </c>
      <c r="I2083" s="14">
        <v>53654.845859682195</v>
      </c>
      <c r="J2083" s="19">
        <v>0</v>
      </c>
      <c r="K2083" s="19">
        <v>0.64990963773671773</v>
      </c>
      <c r="L2083" s="19">
        <v>0.35009036226328211</v>
      </c>
      <c r="M2083" s="20">
        <v>2</v>
      </c>
      <c r="N2083" s="19">
        <v>0.48008663144667996</v>
      </c>
      <c r="O2083" s="19">
        <v>0</v>
      </c>
      <c r="P2083" s="19">
        <v>0.16982300629003771</v>
      </c>
      <c r="Q2083" s="19">
        <v>0.17499686572146692</v>
      </c>
      <c r="R2083" s="19">
        <v>0.16041676366793933</v>
      </c>
      <c r="S2083" s="19">
        <v>1.467673287387594E-2</v>
      </c>
      <c r="T2083" s="20">
        <v>23</v>
      </c>
      <c r="U2083" s="17">
        <v>2</v>
      </c>
      <c r="V2083" s="17">
        <v>34</v>
      </c>
    </row>
    <row r="2084" spans="1:22" x14ac:dyDescent="0.2">
      <c r="A2084" t="s">
        <v>5010</v>
      </c>
      <c r="B2084" t="s">
        <v>2719</v>
      </c>
      <c r="C2084" t="s">
        <v>2720</v>
      </c>
      <c r="D2084" t="s">
        <v>4999</v>
      </c>
      <c r="E2084" s="10" t="s">
        <v>5011</v>
      </c>
      <c r="F2084" s="10"/>
      <c r="G2084" s="10"/>
      <c r="H2084" s="10" t="s">
        <v>5011</v>
      </c>
      <c r="I2084" s="14">
        <v>19604.696984940208</v>
      </c>
      <c r="J2084" s="19">
        <v>0</v>
      </c>
      <c r="K2084" s="19">
        <v>0.40762780180069152</v>
      </c>
      <c r="L2084" s="19">
        <v>0.59237219819930842</v>
      </c>
      <c r="M2084" s="20">
        <v>1</v>
      </c>
      <c r="N2084" s="19">
        <v>0</v>
      </c>
      <c r="O2084" s="19">
        <v>0.40762780180069152</v>
      </c>
      <c r="P2084" s="19">
        <v>0</v>
      </c>
      <c r="Q2084" s="19">
        <v>0.31181230386348152</v>
      </c>
      <c r="R2084" s="19">
        <v>0.24508048414727754</v>
      </c>
      <c r="S2084" s="19">
        <v>3.5479410188549387E-2</v>
      </c>
      <c r="T2084" s="20">
        <v>13</v>
      </c>
      <c r="U2084" s="17">
        <v>2</v>
      </c>
      <c r="V2084" s="17">
        <v>34</v>
      </c>
    </row>
    <row r="2085" spans="1:22" x14ac:dyDescent="0.2">
      <c r="A2085" t="s">
        <v>5012</v>
      </c>
      <c r="B2085" t="s">
        <v>2719</v>
      </c>
      <c r="C2085" t="s">
        <v>2720</v>
      </c>
      <c r="D2085" t="s">
        <v>4999</v>
      </c>
      <c r="E2085" s="10" t="s">
        <v>3368</v>
      </c>
      <c r="F2085" s="10"/>
      <c r="G2085" s="10"/>
      <c r="H2085" s="10" t="s">
        <v>3368</v>
      </c>
      <c r="I2085" s="14">
        <v>45088.092898119241</v>
      </c>
      <c r="J2085" s="19">
        <v>0</v>
      </c>
      <c r="K2085" s="19">
        <v>0.45545798104863033</v>
      </c>
      <c r="L2085" s="19">
        <v>0.54454201895136967</v>
      </c>
      <c r="M2085" s="20">
        <v>1</v>
      </c>
      <c r="N2085" s="19">
        <v>0</v>
      </c>
      <c r="O2085" s="19">
        <v>0.45503951049117702</v>
      </c>
      <c r="P2085" s="19">
        <v>4.1847055745332205E-4</v>
      </c>
      <c r="Q2085" s="19">
        <v>0.35609791595931739</v>
      </c>
      <c r="R2085" s="19">
        <v>0.16767234517215657</v>
      </c>
      <c r="S2085" s="19">
        <v>2.0771757819895726E-2</v>
      </c>
      <c r="T2085" s="20">
        <v>13</v>
      </c>
      <c r="U2085" s="17">
        <v>2</v>
      </c>
      <c r="V2085" s="17">
        <v>34</v>
      </c>
    </row>
    <row r="2086" spans="1:22" x14ac:dyDescent="0.2">
      <c r="A2086" t="s">
        <v>5013</v>
      </c>
      <c r="B2086" t="s">
        <v>2719</v>
      </c>
      <c r="C2086" t="s">
        <v>2720</v>
      </c>
      <c r="D2086" t="s">
        <v>4999</v>
      </c>
      <c r="E2086" s="10" t="s">
        <v>5014</v>
      </c>
      <c r="F2086" s="10"/>
      <c r="G2086" s="10"/>
      <c r="H2086" s="10" t="s">
        <v>5014</v>
      </c>
      <c r="I2086" s="14">
        <v>100178.09190564789</v>
      </c>
      <c r="J2086" s="19">
        <v>0</v>
      </c>
      <c r="K2086" s="19">
        <v>0.371619501984366</v>
      </c>
      <c r="L2086" s="19">
        <v>0.628380498015634</v>
      </c>
      <c r="M2086" s="20">
        <v>1</v>
      </c>
      <c r="N2086" s="19">
        <v>0.13281010441355093</v>
      </c>
      <c r="O2086" s="19">
        <v>0.14231788055301844</v>
      </c>
      <c r="P2086" s="19">
        <v>9.6491517017796596E-2</v>
      </c>
      <c r="Q2086" s="19">
        <v>0.3581616899017171</v>
      </c>
      <c r="R2086" s="19">
        <v>0.20317887539528712</v>
      </c>
      <c r="S2086" s="19">
        <v>6.7039932718629833E-2</v>
      </c>
      <c r="T2086" s="20">
        <v>13</v>
      </c>
      <c r="U2086" s="17">
        <v>2</v>
      </c>
      <c r="V2086" s="17">
        <v>34</v>
      </c>
    </row>
    <row r="2087" spans="1:22" x14ac:dyDescent="0.2">
      <c r="A2087" t="s">
        <v>5015</v>
      </c>
      <c r="B2087" t="s">
        <v>2719</v>
      </c>
      <c r="C2087" t="s">
        <v>2720</v>
      </c>
      <c r="D2087" t="s">
        <v>4999</v>
      </c>
      <c r="E2087" s="10" t="s">
        <v>2927</v>
      </c>
      <c r="F2087" s="10"/>
      <c r="G2087" s="10"/>
      <c r="H2087" s="10" t="s">
        <v>2927</v>
      </c>
      <c r="I2087" s="14">
        <v>174812.18703935668</v>
      </c>
      <c r="J2087" s="19">
        <v>0.40143508869760897</v>
      </c>
      <c r="K2087" s="19">
        <v>0.4126554323389533</v>
      </c>
      <c r="L2087" s="19">
        <v>0.18590947896343771</v>
      </c>
      <c r="M2087" s="20">
        <v>2</v>
      </c>
      <c r="N2087" s="19">
        <v>4.3714096928214173E-2</v>
      </c>
      <c r="O2087" s="19">
        <v>0.23361365611994261</v>
      </c>
      <c r="P2087" s="19">
        <v>0.1353276792907965</v>
      </c>
      <c r="Q2087" s="19">
        <v>8.6244866538977144E-2</v>
      </c>
      <c r="R2087" s="19">
        <v>9.060389838498091E-2</v>
      </c>
      <c r="S2087" s="19">
        <v>9.060714039479641E-3</v>
      </c>
      <c r="T2087" s="20">
        <v>22</v>
      </c>
      <c r="U2087" s="17">
        <v>2</v>
      </c>
      <c r="V2087" s="17">
        <v>34</v>
      </c>
    </row>
    <row r="2088" spans="1:22" x14ac:dyDescent="0.2">
      <c r="A2088" t="s">
        <v>5016</v>
      </c>
      <c r="B2088" t="s">
        <v>2719</v>
      </c>
      <c r="C2088" t="s">
        <v>2720</v>
      </c>
      <c r="D2088" t="s">
        <v>4999</v>
      </c>
      <c r="E2088" s="10" t="s">
        <v>3760</v>
      </c>
      <c r="F2088" s="10"/>
      <c r="G2088" s="10"/>
      <c r="H2088" s="10" t="s">
        <v>3760</v>
      </c>
      <c r="I2088" s="14">
        <v>47855.134322872385</v>
      </c>
      <c r="J2088" s="19">
        <v>0</v>
      </c>
      <c r="K2088" s="19">
        <v>0.57214902502278453</v>
      </c>
      <c r="L2088" s="19">
        <v>0.42785097497721547</v>
      </c>
      <c r="M2088" s="20">
        <v>2</v>
      </c>
      <c r="N2088" s="19">
        <v>0.34921485254851475</v>
      </c>
      <c r="O2088" s="19">
        <v>0.14875218342926425</v>
      </c>
      <c r="P2088" s="19">
        <v>7.4181989045005531E-2</v>
      </c>
      <c r="Q2088" s="19">
        <v>0.2020785761631374</v>
      </c>
      <c r="R2088" s="19">
        <v>0.15891746098860043</v>
      </c>
      <c r="S2088" s="19">
        <v>6.6854937825477634E-2</v>
      </c>
      <c r="T2088" s="20">
        <v>23</v>
      </c>
      <c r="U2088" s="17">
        <v>2</v>
      </c>
      <c r="V2088" s="17">
        <v>34</v>
      </c>
    </row>
    <row r="2089" spans="1:22" x14ac:dyDescent="0.2">
      <c r="A2089" t="s">
        <v>5017</v>
      </c>
      <c r="B2089" t="s">
        <v>2719</v>
      </c>
      <c r="C2089" t="s">
        <v>2720</v>
      </c>
      <c r="D2089" t="s">
        <v>5018</v>
      </c>
      <c r="E2089" s="10" t="s">
        <v>5019</v>
      </c>
      <c r="F2089" s="10"/>
      <c r="G2089" s="10"/>
      <c r="H2089" s="10" t="s">
        <v>5019</v>
      </c>
      <c r="I2089" s="14">
        <v>43177.177534601651</v>
      </c>
      <c r="J2089" s="19">
        <v>0</v>
      </c>
      <c r="K2089" s="19">
        <v>0.74640959965595999</v>
      </c>
      <c r="L2089" s="19">
        <v>0.25359040034404001</v>
      </c>
      <c r="M2089" s="20">
        <v>2</v>
      </c>
      <c r="N2089" s="19">
        <v>6.2930571493549969E-2</v>
      </c>
      <c r="O2089" s="19">
        <v>0</v>
      </c>
      <c r="P2089" s="19">
        <v>0.68347902816241002</v>
      </c>
      <c r="Q2089" s="19">
        <v>6.300525351196766E-2</v>
      </c>
      <c r="R2089" s="19">
        <v>0.18124312569566645</v>
      </c>
      <c r="S2089" s="19">
        <v>9.3420211364059289E-3</v>
      </c>
      <c r="T2089" s="20">
        <v>21</v>
      </c>
      <c r="U2089" s="17">
        <v>2</v>
      </c>
      <c r="V2089" s="17">
        <v>34</v>
      </c>
    </row>
    <row r="2090" spans="1:22" x14ac:dyDescent="0.2">
      <c r="A2090" t="s">
        <v>5020</v>
      </c>
      <c r="B2090" t="s">
        <v>2719</v>
      </c>
      <c r="C2090" t="s">
        <v>2720</v>
      </c>
      <c r="D2090" t="s">
        <v>5018</v>
      </c>
      <c r="E2090" s="10" t="s">
        <v>5021</v>
      </c>
      <c r="F2090" s="10"/>
      <c r="G2090" s="10"/>
      <c r="H2090" s="10" t="s">
        <v>5021</v>
      </c>
      <c r="I2090" s="14">
        <v>49903.407353177667</v>
      </c>
      <c r="J2090" s="19">
        <v>0</v>
      </c>
      <c r="K2090" s="19">
        <v>0.88931137012640937</v>
      </c>
      <c r="L2090" s="19">
        <v>0.11068862987359067</v>
      </c>
      <c r="M2090" s="20">
        <v>2</v>
      </c>
      <c r="N2090" s="19">
        <v>0.45069159279917492</v>
      </c>
      <c r="O2090" s="19">
        <v>0</v>
      </c>
      <c r="P2090" s="19">
        <v>0.43861977732723439</v>
      </c>
      <c r="Q2090" s="19">
        <v>2.7626317792847518E-2</v>
      </c>
      <c r="R2090" s="19">
        <v>7.4625966771379962E-2</v>
      </c>
      <c r="S2090" s="19">
        <v>8.436345309363184E-3</v>
      </c>
      <c r="T2090" s="20">
        <v>23</v>
      </c>
      <c r="U2090" s="17">
        <v>2</v>
      </c>
      <c r="V2090" s="17">
        <v>34</v>
      </c>
    </row>
    <row r="2091" spans="1:22" x14ac:dyDescent="0.2">
      <c r="A2091" t="s">
        <v>5022</v>
      </c>
      <c r="B2091" t="s">
        <v>2719</v>
      </c>
      <c r="C2091" t="s">
        <v>2720</v>
      </c>
      <c r="D2091" t="s">
        <v>5018</v>
      </c>
      <c r="E2091" s="10" t="s">
        <v>5023</v>
      </c>
      <c r="F2091" s="10"/>
      <c r="G2091" s="10"/>
      <c r="H2091" s="10" t="s">
        <v>5023</v>
      </c>
      <c r="I2091" s="14">
        <v>86782.876963052899</v>
      </c>
      <c r="J2091" s="19">
        <v>0</v>
      </c>
      <c r="K2091" s="19">
        <v>0.68735447803667837</v>
      </c>
      <c r="L2091" s="19">
        <v>0.31264552196332157</v>
      </c>
      <c r="M2091" s="20">
        <v>2</v>
      </c>
      <c r="N2091" s="19">
        <v>0.22539947849659797</v>
      </c>
      <c r="O2091" s="19">
        <v>0.10210238762166066</v>
      </c>
      <c r="P2091" s="19">
        <v>0.35985261191841977</v>
      </c>
      <c r="Q2091" s="19">
        <v>2.7901476409490471E-2</v>
      </c>
      <c r="R2091" s="19">
        <v>0.26428392997220945</v>
      </c>
      <c r="S2091" s="19">
        <v>2.0460115581621648E-2</v>
      </c>
      <c r="T2091" s="20">
        <v>23</v>
      </c>
      <c r="U2091" s="17">
        <v>2</v>
      </c>
      <c r="V2091" s="17">
        <v>34</v>
      </c>
    </row>
    <row r="2092" spans="1:22" x14ac:dyDescent="0.2">
      <c r="A2092" t="s">
        <v>5024</v>
      </c>
      <c r="B2092" t="s">
        <v>2719</v>
      </c>
      <c r="C2092" t="s">
        <v>2720</v>
      </c>
      <c r="D2092" t="s">
        <v>5018</v>
      </c>
      <c r="E2092" s="10" t="s">
        <v>5025</v>
      </c>
      <c r="F2092" s="10"/>
      <c r="G2092" s="10"/>
      <c r="H2092" s="10" t="s">
        <v>5025</v>
      </c>
      <c r="I2092" s="14">
        <v>45246.076842491515</v>
      </c>
      <c r="J2092" s="19">
        <v>0</v>
      </c>
      <c r="K2092" s="19">
        <v>0.27902328891025113</v>
      </c>
      <c r="L2092" s="19">
        <v>0.72097671108974881</v>
      </c>
      <c r="M2092" s="20">
        <v>1</v>
      </c>
      <c r="N2092" s="19">
        <v>0.11129298172002972</v>
      </c>
      <c r="O2092" s="19">
        <v>0</v>
      </c>
      <c r="P2092" s="19">
        <v>0.16773030719022142</v>
      </c>
      <c r="Q2092" s="19">
        <v>0.34592255002549721</v>
      </c>
      <c r="R2092" s="19">
        <v>0.33328739798840007</v>
      </c>
      <c r="S2092" s="19">
        <v>4.1766763075851546E-2</v>
      </c>
      <c r="T2092" s="20">
        <v>13</v>
      </c>
      <c r="U2092" s="17">
        <v>2</v>
      </c>
      <c r="V2092" s="17">
        <v>34</v>
      </c>
    </row>
    <row r="2093" spans="1:22" x14ac:dyDescent="0.2">
      <c r="A2093" t="s">
        <v>5026</v>
      </c>
      <c r="B2093" t="s">
        <v>2719</v>
      </c>
      <c r="C2093" t="s">
        <v>2720</v>
      </c>
      <c r="D2093" t="s">
        <v>5018</v>
      </c>
      <c r="E2093" s="10" t="s">
        <v>5027</v>
      </c>
      <c r="F2093" s="10"/>
      <c r="G2093" s="10"/>
      <c r="H2093" s="10" t="s">
        <v>5027</v>
      </c>
      <c r="I2093" s="14">
        <v>158334.79045077693</v>
      </c>
      <c r="J2093" s="19">
        <v>0.49535192134441525</v>
      </c>
      <c r="K2093" s="19">
        <v>0.37363495993375762</v>
      </c>
      <c r="L2093" s="19">
        <v>0.13101311872182714</v>
      </c>
      <c r="M2093" s="20">
        <v>2</v>
      </c>
      <c r="N2093" s="19">
        <v>5.2424934696820788E-2</v>
      </c>
      <c r="O2093" s="19">
        <v>9.7990699413927265E-4</v>
      </c>
      <c r="P2093" s="19">
        <v>0.32023011824279751</v>
      </c>
      <c r="Q2093" s="19">
        <v>3.3935145904964645E-2</v>
      </c>
      <c r="R2093" s="19">
        <v>9.3334230516495517E-2</v>
      </c>
      <c r="S2093" s="19">
        <v>3.743742300366973E-3</v>
      </c>
      <c r="T2093" s="20">
        <v>23</v>
      </c>
      <c r="U2093" s="17">
        <v>2</v>
      </c>
      <c r="V2093" s="17">
        <v>34</v>
      </c>
    </row>
    <row r="2094" spans="1:22" x14ac:dyDescent="0.2">
      <c r="A2094" t="s">
        <v>5028</v>
      </c>
      <c r="B2094" t="s">
        <v>2719</v>
      </c>
      <c r="C2094" t="s">
        <v>2720</v>
      </c>
      <c r="D2094" t="s">
        <v>5018</v>
      </c>
      <c r="E2094" s="10" t="s">
        <v>5029</v>
      </c>
      <c r="F2094" s="10"/>
      <c r="G2094" s="10"/>
      <c r="H2094" s="10" t="s">
        <v>5029</v>
      </c>
      <c r="I2094" s="14">
        <v>52296.256371211261</v>
      </c>
      <c r="J2094" s="19">
        <v>0</v>
      </c>
      <c r="K2094" s="19">
        <v>0.6766936538984365</v>
      </c>
      <c r="L2094" s="19">
        <v>0.3233063461015635</v>
      </c>
      <c r="M2094" s="20">
        <v>2</v>
      </c>
      <c r="N2094" s="19">
        <v>0.12271018147579035</v>
      </c>
      <c r="O2094" s="19">
        <v>0</v>
      </c>
      <c r="P2094" s="19">
        <v>0.55398347242264612</v>
      </c>
      <c r="Q2094" s="19">
        <v>9.6333640128661524E-2</v>
      </c>
      <c r="R2094" s="19">
        <v>0.20803027737545451</v>
      </c>
      <c r="S2094" s="19">
        <v>1.8942428597447439E-2</v>
      </c>
      <c r="T2094" s="20">
        <v>21</v>
      </c>
      <c r="U2094" s="17">
        <v>2</v>
      </c>
      <c r="V2094" s="17">
        <v>34</v>
      </c>
    </row>
    <row r="2095" spans="1:22" x14ac:dyDescent="0.2">
      <c r="A2095" t="s">
        <v>5030</v>
      </c>
      <c r="B2095" t="s">
        <v>2719</v>
      </c>
      <c r="C2095" t="s">
        <v>2720</v>
      </c>
      <c r="D2095" t="s">
        <v>5018</v>
      </c>
      <c r="E2095" s="10" t="s">
        <v>5031</v>
      </c>
      <c r="F2095" s="10"/>
      <c r="G2095" s="10"/>
      <c r="H2095" s="10" t="s">
        <v>5031</v>
      </c>
      <c r="I2095" s="14">
        <v>74122.162200815044</v>
      </c>
      <c r="J2095" s="19">
        <v>0</v>
      </c>
      <c r="K2095" s="19">
        <v>0.73981709665762241</v>
      </c>
      <c r="L2095" s="19">
        <v>0.26018290334237754</v>
      </c>
      <c r="M2095" s="20">
        <v>2</v>
      </c>
      <c r="N2095" s="19">
        <v>0.2765431384571036</v>
      </c>
      <c r="O2095" s="19">
        <v>0</v>
      </c>
      <c r="P2095" s="19">
        <v>0.46327395820051881</v>
      </c>
      <c r="Q2095" s="19">
        <v>9.8230548108743793E-2</v>
      </c>
      <c r="R2095" s="19">
        <v>0.1431007229647403</v>
      </c>
      <c r="S2095" s="19">
        <v>1.885163226889347E-2</v>
      </c>
      <c r="T2095" s="20">
        <v>23</v>
      </c>
      <c r="U2095" s="17">
        <v>2</v>
      </c>
      <c r="V2095" s="17">
        <v>34</v>
      </c>
    </row>
    <row r="2096" spans="1:22" x14ac:dyDescent="0.2">
      <c r="A2096" t="s">
        <v>5032</v>
      </c>
      <c r="B2096" t="s">
        <v>2719</v>
      </c>
      <c r="C2096" t="s">
        <v>2720</v>
      </c>
      <c r="D2096" t="s">
        <v>5018</v>
      </c>
      <c r="E2096" s="10" t="s">
        <v>5033</v>
      </c>
      <c r="F2096" s="10"/>
      <c r="G2096" s="10"/>
      <c r="H2096" s="10" t="s">
        <v>5033</v>
      </c>
      <c r="I2096" s="14">
        <v>117559.56991929025</v>
      </c>
      <c r="J2096" s="19">
        <v>0</v>
      </c>
      <c r="K2096" s="19">
        <v>0.66245081966328423</v>
      </c>
      <c r="L2096" s="19">
        <v>0.33754918033671577</v>
      </c>
      <c r="M2096" s="20">
        <v>2</v>
      </c>
      <c r="N2096" s="19">
        <v>4.7272292036215115E-2</v>
      </c>
      <c r="O2096" s="19">
        <v>0.13270719369377487</v>
      </c>
      <c r="P2096" s="19">
        <v>0.48247133393329428</v>
      </c>
      <c r="Q2096" s="19">
        <v>0.11939055341832472</v>
      </c>
      <c r="R2096" s="19">
        <v>0.20365873939168139</v>
      </c>
      <c r="S2096" s="19">
        <v>1.4499887526709668E-2</v>
      </c>
      <c r="T2096" s="20">
        <v>22</v>
      </c>
      <c r="U2096" s="17">
        <v>2</v>
      </c>
      <c r="V2096" s="17">
        <v>34</v>
      </c>
    </row>
    <row r="2097" spans="1:22" x14ac:dyDescent="0.2">
      <c r="A2097" t="s">
        <v>5034</v>
      </c>
      <c r="B2097" t="s">
        <v>2719</v>
      </c>
      <c r="C2097" t="s">
        <v>2720</v>
      </c>
      <c r="D2097" t="s">
        <v>5018</v>
      </c>
      <c r="E2097" s="10" t="s">
        <v>5035</v>
      </c>
      <c r="F2097" s="10"/>
      <c r="G2097" s="10"/>
      <c r="H2097" s="10" t="s">
        <v>5035</v>
      </c>
      <c r="I2097" s="14">
        <v>47.787398807704449</v>
      </c>
      <c r="J2097" s="19">
        <v>0</v>
      </c>
      <c r="K2097" s="19">
        <v>0</v>
      </c>
      <c r="L2097" s="19">
        <v>1</v>
      </c>
      <c r="M2097" s="20">
        <v>1</v>
      </c>
      <c r="N2097" s="19">
        <v>0</v>
      </c>
      <c r="O2097" s="19">
        <v>0</v>
      </c>
      <c r="P2097" s="19">
        <v>0</v>
      </c>
      <c r="Q2097" s="19">
        <v>0</v>
      </c>
      <c r="R2097" s="19">
        <v>1</v>
      </c>
      <c r="S2097" s="19">
        <v>0</v>
      </c>
      <c r="T2097" s="20">
        <v>12</v>
      </c>
      <c r="U2097" s="17">
        <v>2</v>
      </c>
      <c r="V2097" s="17">
        <v>34</v>
      </c>
    </row>
    <row r="2098" spans="1:22" x14ac:dyDescent="0.2">
      <c r="A2098" t="s">
        <v>5036</v>
      </c>
      <c r="B2098" t="s">
        <v>2719</v>
      </c>
      <c r="C2098" t="s">
        <v>2720</v>
      </c>
      <c r="D2098" t="s">
        <v>5018</v>
      </c>
      <c r="E2098" s="10" t="s">
        <v>5037</v>
      </c>
      <c r="F2098" s="10"/>
      <c r="G2098" s="10"/>
      <c r="H2098" s="10" t="s">
        <v>5037</v>
      </c>
      <c r="I2098" s="14">
        <v>103547.21814017487</v>
      </c>
      <c r="J2098" s="19">
        <v>0</v>
      </c>
      <c r="K2098" s="19">
        <v>0.9239862446566578</v>
      </c>
      <c r="L2098" s="19">
        <v>7.6013755343342218E-2</v>
      </c>
      <c r="M2098" s="20">
        <v>2</v>
      </c>
      <c r="N2098" s="19">
        <v>0.40716158708851191</v>
      </c>
      <c r="O2098" s="19">
        <v>0</v>
      </c>
      <c r="P2098" s="19">
        <v>0.51682465756814588</v>
      </c>
      <c r="Q2098" s="19">
        <v>0</v>
      </c>
      <c r="R2098" s="19">
        <v>6.9791284176061716E-2</v>
      </c>
      <c r="S2098" s="19">
        <v>6.2224711672804918E-3</v>
      </c>
      <c r="T2098" s="20">
        <v>21</v>
      </c>
      <c r="U2098" s="17">
        <v>2</v>
      </c>
      <c r="V2098" s="17">
        <v>34</v>
      </c>
    </row>
    <row r="2099" spans="1:22" x14ac:dyDescent="0.2">
      <c r="A2099" t="s">
        <v>5038</v>
      </c>
      <c r="B2099" t="s">
        <v>2719</v>
      </c>
      <c r="C2099" t="s">
        <v>2720</v>
      </c>
      <c r="D2099" t="s">
        <v>5018</v>
      </c>
      <c r="E2099" s="10" t="s">
        <v>5039</v>
      </c>
      <c r="F2099" s="10"/>
      <c r="G2099" s="10"/>
      <c r="H2099" s="10" t="s">
        <v>5039</v>
      </c>
      <c r="I2099" s="14">
        <v>38982.837093701586</v>
      </c>
      <c r="J2099" s="19">
        <v>0</v>
      </c>
      <c r="K2099" s="19">
        <v>0.65050463932941927</v>
      </c>
      <c r="L2099" s="19">
        <v>0.34949536067058068</v>
      </c>
      <c r="M2099" s="20">
        <v>2</v>
      </c>
      <c r="N2099" s="19">
        <v>0</v>
      </c>
      <c r="O2099" s="19">
        <v>0</v>
      </c>
      <c r="P2099" s="19">
        <v>0.65050463932941927</v>
      </c>
      <c r="Q2099" s="19">
        <v>0.13073818531430068</v>
      </c>
      <c r="R2099" s="19">
        <v>0.2023300359233341</v>
      </c>
      <c r="S2099" s="19">
        <v>1.6427139432945895E-2</v>
      </c>
      <c r="T2099" s="20">
        <v>21</v>
      </c>
      <c r="U2099" s="17">
        <v>2</v>
      </c>
      <c r="V2099" s="17">
        <v>34</v>
      </c>
    </row>
    <row r="2100" spans="1:22" x14ac:dyDescent="0.2">
      <c r="A2100" t="s">
        <v>5040</v>
      </c>
      <c r="B2100" t="s">
        <v>2719</v>
      </c>
      <c r="C2100" t="s">
        <v>2720</v>
      </c>
      <c r="D2100" t="s">
        <v>5018</v>
      </c>
      <c r="E2100" s="10" t="s">
        <v>5041</v>
      </c>
      <c r="F2100" s="10"/>
      <c r="G2100" s="10"/>
      <c r="H2100" s="10" t="s">
        <v>5041</v>
      </c>
      <c r="I2100" s="14">
        <v>44308.523642321117</v>
      </c>
      <c r="J2100" s="19">
        <v>0</v>
      </c>
      <c r="K2100" s="19">
        <v>0.96038891501534496</v>
      </c>
      <c r="L2100" s="19">
        <v>3.9611084984654994E-2</v>
      </c>
      <c r="M2100" s="20">
        <v>2</v>
      </c>
      <c r="N2100" s="19">
        <v>0.84234358336432369</v>
      </c>
      <c r="O2100" s="19">
        <v>0</v>
      </c>
      <c r="P2100" s="19">
        <v>0.11804533165102127</v>
      </c>
      <c r="Q2100" s="19">
        <v>0</v>
      </c>
      <c r="R2100" s="19">
        <v>3.3794440787265109E-2</v>
      </c>
      <c r="S2100" s="19">
        <v>5.8166441973898962E-3</v>
      </c>
      <c r="T2100" s="20">
        <v>23</v>
      </c>
      <c r="U2100" s="17">
        <v>2</v>
      </c>
      <c r="V2100" s="17">
        <v>34</v>
      </c>
    </row>
    <row r="2101" spans="1:22" x14ac:dyDescent="0.2">
      <c r="A2101" t="s">
        <v>5042</v>
      </c>
      <c r="B2101" t="s">
        <v>2719</v>
      </c>
      <c r="C2101" t="s">
        <v>2720</v>
      </c>
      <c r="D2101" t="s">
        <v>5018</v>
      </c>
      <c r="E2101" s="10" t="s">
        <v>4118</v>
      </c>
      <c r="F2101" s="10"/>
      <c r="G2101" s="10"/>
      <c r="H2101" s="10" t="s">
        <v>4118</v>
      </c>
      <c r="I2101" s="14">
        <v>62609.506730196066</v>
      </c>
      <c r="J2101" s="19">
        <v>0</v>
      </c>
      <c r="K2101" s="19">
        <v>0.87722864480078544</v>
      </c>
      <c r="L2101" s="19">
        <v>0.12277135519921442</v>
      </c>
      <c r="M2101" s="20">
        <v>2</v>
      </c>
      <c r="N2101" s="19">
        <v>0.38849624692527962</v>
      </c>
      <c r="O2101" s="19">
        <v>0</v>
      </c>
      <c r="P2101" s="19">
        <v>0.48873239787550593</v>
      </c>
      <c r="Q2101" s="19">
        <v>5.2731595463912172E-2</v>
      </c>
      <c r="R2101" s="19">
        <v>6.8267118096420956E-2</v>
      </c>
      <c r="S2101" s="19">
        <v>1.7726416388812889E-3</v>
      </c>
      <c r="T2101" s="20">
        <v>23</v>
      </c>
      <c r="U2101" s="17">
        <v>2</v>
      </c>
      <c r="V2101" s="17">
        <v>34</v>
      </c>
    </row>
    <row r="2102" spans="1:22" x14ac:dyDescent="0.2">
      <c r="A2102" t="s">
        <v>5043</v>
      </c>
      <c r="B2102" t="s">
        <v>2719</v>
      </c>
      <c r="C2102" t="s">
        <v>2720</v>
      </c>
      <c r="D2102" t="s">
        <v>5018</v>
      </c>
      <c r="E2102" s="10" t="s">
        <v>5044</v>
      </c>
      <c r="F2102" s="10"/>
      <c r="G2102" s="10"/>
      <c r="H2102" s="10" t="s">
        <v>5044</v>
      </c>
      <c r="I2102" s="14">
        <v>19722.102663245518</v>
      </c>
      <c r="J2102" s="19">
        <v>0</v>
      </c>
      <c r="K2102" s="19">
        <v>0.52438472039245976</v>
      </c>
      <c r="L2102" s="19">
        <v>0.47561527960754019</v>
      </c>
      <c r="M2102" s="20">
        <v>2</v>
      </c>
      <c r="N2102" s="19">
        <v>4.6034550832975057E-2</v>
      </c>
      <c r="O2102" s="19">
        <v>0</v>
      </c>
      <c r="P2102" s="19">
        <v>0.47835016955948473</v>
      </c>
      <c r="Q2102" s="19">
        <v>0.16788050761130621</v>
      </c>
      <c r="R2102" s="19">
        <v>0.27954075324830041</v>
      </c>
      <c r="S2102" s="19">
        <v>2.8194018747933609E-2</v>
      </c>
      <c r="T2102" s="20">
        <v>23</v>
      </c>
      <c r="U2102" s="17">
        <v>2</v>
      </c>
      <c r="V2102" s="17">
        <v>34</v>
      </c>
    </row>
    <row r="2103" spans="1:22" x14ac:dyDescent="0.2">
      <c r="A2103" t="s">
        <v>5045</v>
      </c>
      <c r="B2103" t="s">
        <v>2719</v>
      </c>
      <c r="C2103" t="s">
        <v>2720</v>
      </c>
      <c r="D2103" t="s">
        <v>5018</v>
      </c>
      <c r="E2103" s="10" t="s">
        <v>5046</v>
      </c>
      <c r="F2103" s="10"/>
      <c r="G2103" s="10"/>
      <c r="H2103" s="10" t="s">
        <v>5046</v>
      </c>
      <c r="I2103" s="14">
        <v>46387.969648706727</v>
      </c>
      <c r="J2103" s="19">
        <v>0</v>
      </c>
      <c r="K2103" s="19">
        <v>0.70776567357967468</v>
      </c>
      <c r="L2103" s="19">
        <v>0.29223432642032532</v>
      </c>
      <c r="M2103" s="20">
        <v>2</v>
      </c>
      <c r="N2103" s="19">
        <v>0.13442054579862214</v>
      </c>
      <c r="O2103" s="19">
        <v>0</v>
      </c>
      <c r="P2103" s="19">
        <v>0.57334512778105251</v>
      </c>
      <c r="Q2103" s="19">
        <v>0.10025558969952982</v>
      </c>
      <c r="R2103" s="19">
        <v>0.17426750282842898</v>
      </c>
      <c r="S2103" s="19">
        <v>1.7711233892366514E-2</v>
      </c>
      <c r="T2103" s="20">
        <v>21</v>
      </c>
      <c r="U2103" s="17">
        <v>2</v>
      </c>
      <c r="V2103" s="17">
        <v>34</v>
      </c>
    </row>
    <row r="2104" spans="1:22" x14ac:dyDescent="0.2">
      <c r="A2104" t="s">
        <v>5047</v>
      </c>
      <c r="B2104" t="s">
        <v>2719</v>
      </c>
      <c r="C2104" t="s">
        <v>2720</v>
      </c>
      <c r="D2104" t="s">
        <v>5018</v>
      </c>
      <c r="E2104" s="10" t="s">
        <v>4254</v>
      </c>
      <c r="F2104" s="10"/>
      <c r="G2104" s="10"/>
      <c r="H2104" s="10" t="s">
        <v>4254</v>
      </c>
      <c r="I2104" s="14">
        <v>62841.409766897559</v>
      </c>
      <c r="J2104" s="19">
        <v>0</v>
      </c>
      <c r="K2104" s="19">
        <v>0.88927017497754923</v>
      </c>
      <c r="L2104" s="19">
        <v>0.1107298250224508</v>
      </c>
      <c r="M2104" s="20">
        <v>2</v>
      </c>
      <c r="N2104" s="19">
        <v>0</v>
      </c>
      <c r="O2104" s="19">
        <v>0</v>
      </c>
      <c r="P2104" s="19">
        <v>0.88927017497754923</v>
      </c>
      <c r="Q2104" s="19">
        <v>1.0888044909455165E-2</v>
      </c>
      <c r="R2104" s="19">
        <v>9.2959931694723191E-2</v>
      </c>
      <c r="S2104" s="19">
        <v>6.881848418272437E-3</v>
      </c>
      <c r="T2104" s="20">
        <v>21</v>
      </c>
      <c r="U2104" s="17">
        <v>2</v>
      </c>
      <c r="V2104" s="17">
        <v>34</v>
      </c>
    </row>
    <row r="2105" spans="1:22" x14ac:dyDescent="0.2">
      <c r="A2105" t="s">
        <v>5048</v>
      </c>
      <c r="B2105" t="s">
        <v>2719</v>
      </c>
      <c r="C2105" t="s">
        <v>2720</v>
      </c>
      <c r="D2105" t="s">
        <v>5049</v>
      </c>
      <c r="E2105" s="10" t="s">
        <v>5050</v>
      </c>
      <c r="F2105" s="10"/>
      <c r="G2105" s="10"/>
      <c r="H2105" s="10" t="s">
        <v>5050</v>
      </c>
      <c r="I2105" s="14">
        <v>50401.184623267502</v>
      </c>
      <c r="J2105" s="19">
        <v>0</v>
      </c>
      <c r="K2105" s="19">
        <v>0.40653462272248908</v>
      </c>
      <c r="L2105" s="19">
        <v>0.59346537727751092</v>
      </c>
      <c r="M2105" s="20">
        <v>1</v>
      </c>
      <c r="N2105" s="19">
        <v>0.14010658612659413</v>
      </c>
      <c r="O2105" s="19">
        <v>0.13504499931902533</v>
      </c>
      <c r="P2105" s="19">
        <v>0.13138303727686962</v>
      </c>
      <c r="Q2105" s="19">
        <v>0.30584466638009339</v>
      </c>
      <c r="R2105" s="19">
        <v>0.24941747715268262</v>
      </c>
      <c r="S2105" s="19">
        <v>3.8203233744734923E-2</v>
      </c>
      <c r="T2105" s="20">
        <v>13</v>
      </c>
      <c r="U2105" s="17">
        <v>2</v>
      </c>
      <c r="V2105" s="17">
        <v>34</v>
      </c>
    </row>
    <row r="2106" spans="1:22" x14ac:dyDescent="0.2">
      <c r="A2106" t="s">
        <v>5051</v>
      </c>
      <c r="B2106" t="s">
        <v>2719</v>
      </c>
      <c r="C2106" t="s">
        <v>2720</v>
      </c>
      <c r="D2106" t="s">
        <v>5049</v>
      </c>
      <c r="E2106" s="10" t="s">
        <v>5052</v>
      </c>
      <c r="F2106" s="10"/>
      <c r="G2106" s="10"/>
      <c r="H2106" s="10" t="s">
        <v>5052</v>
      </c>
      <c r="I2106" s="14">
        <v>16861.794625369832</v>
      </c>
      <c r="J2106" s="19">
        <v>0</v>
      </c>
      <c r="K2106" s="19">
        <v>0.39154738994752564</v>
      </c>
      <c r="L2106" s="19">
        <v>0.60845261005247442</v>
      </c>
      <c r="M2106" s="20">
        <v>1</v>
      </c>
      <c r="N2106" s="19">
        <v>0</v>
      </c>
      <c r="O2106" s="19">
        <v>0.39154738994752564</v>
      </c>
      <c r="P2106" s="19">
        <v>0</v>
      </c>
      <c r="Q2106" s="19">
        <v>0.55151007989866807</v>
      </c>
      <c r="R2106" s="19">
        <v>5.3922192027631828E-2</v>
      </c>
      <c r="S2106" s="19">
        <v>3.0203381261744429E-3</v>
      </c>
      <c r="T2106" s="20">
        <v>13</v>
      </c>
      <c r="U2106" s="17">
        <v>2</v>
      </c>
      <c r="V2106" s="17">
        <v>34</v>
      </c>
    </row>
    <row r="2107" spans="1:22" x14ac:dyDescent="0.2">
      <c r="A2107" t="s">
        <v>5053</v>
      </c>
      <c r="B2107" t="s">
        <v>2719</v>
      </c>
      <c r="C2107" t="s">
        <v>2720</v>
      </c>
      <c r="D2107" t="s">
        <v>5049</v>
      </c>
      <c r="E2107" s="10" t="s">
        <v>5054</v>
      </c>
      <c r="F2107" s="10"/>
      <c r="G2107" s="10"/>
      <c r="H2107" s="10" t="s">
        <v>5054</v>
      </c>
      <c r="I2107" s="14">
        <v>19824.584357894957</v>
      </c>
      <c r="J2107" s="19">
        <v>0</v>
      </c>
      <c r="K2107" s="19">
        <v>0</v>
      </c>
      <c r="L2107" s="19">
        <v>1</v>
      </c>
      <c r="M2107" s="20">
        <v>1</v>
      </c>
      <c r="N2107" s="19">
        <v>0</v>
      </c>
      <c r="O2107" s="19">
        <v>0</v>
      </c>
      <c r="P2107" s="19">
        <v>0</v>
      </c>
      <c r="Q2107" s="19">
        <v>0.71286820757784197</v>
      </c>
      <c r="R2107" s="19">
        <v>0.25487867697566158</v>
      </c>
      <c r="S2107" s="19">
        <v>3.2253115446496401E-2</v>
      </c>
      <c r="T2107" s="20">
        <v>13</v>
      </c>
      <c r="U2107" s="17">
        <v>2</v>
      </c>
      <c r="V2107" s="17">
        <v>34</v>
      </c>
    </row>
    <row r="2108" spans="1:22" x14ac:dyDescent="0.2">
      <c r="A2108" t="s">
        <v>5055</v>
      </c>
      <c r="B2108" t="s">
        <v>2719</v>
      </c>
      <c r="C2108" t="s">
        <v>2720</v>
      </c>
      <c r="D2108" t="s">
        <v>5049</v>
      </c>
      <c r="E2108" s="10" t="s">
        <v>5056</v>
      </c>
      <c r="F2108" s="10"/>
      <c r="G2108" s="10"/>
      <c r="H2108" s="10" t="s">
        <v>5056</v>
      </c>
      <c r="I2108" s="14">
        <v>55354.767168084159</v>
      </c>
      <c r="J2108" s="19">
        <v>0</v>
      </c>
      <c r="K2108" s="19">
        <v>0.33748990761933845</v>
      </c>
      <c r="L2108" s="19">
        <v>0.6625100923806615</v>
      </c>
      <c r="M2108" s="20">
        <v>1</v>
      </c>
      <c r="N2108" s="19">
        <v>0.24477261355140115</v>
      </c>
      <c r="O2108" s="19">
        <v>9.0827936064424797E-2</v>
      </c>
      <c r="P2108" s="19">
        <v>1.8893580035125185E-3</v>
      </c>
      <c r="Q2108" s="19">
        <v>0.44789877863829308</v>
      </c>
      <c r="R2108" s="19">
        <v>0.198896946824832</v>
      </c>
      <c r="S2108" s="19">
        <v>1.5714366917536436E-2</v>
      </c>
      <c r="T2108" s="20">
        <v>13</v>
      </c>
      <c r="U2108" s="17">
        <v>2</v>
      </c>
      <c r="V2108" s="17">
        <v>34</v>
      </c>
    </row>
    <row r="2109" spans="1:22" x14ac:dyDescent="0.2">
      <c r="A2109" t="s">
        <v>5057</v>
      </c>
      <c r="B2109" t="s">
        <v>2719</v>
      </c>
      <c r="C2109" t="s">
        <v>2720</v>
      </c>
      <c r="D2109" t="s">
        <v>5049</v>
      </c>
      <c r="E2109" s="10" t="s">
        <v>5058</v>
      </c>
      <c r="F2109" s="10"/>
      <c r="G2109" s="10"/>
      <c r="H2109" s="10" t="s">
        <v>5058</v>
      </c>
      <c r="I2109" s="14">
        <v>103580.61221279018</v>
      </c>
      <c r="J2109" s="19">
        <v>0</v>
      </c>
      <c r="K2109" s="19">
        <v>0.55648494595504316</v>
      </c>
      <c r="L2109" s="19">
        <v>0.44351505404495684</v>
      </c>
      <c r="M2109" s="20">
        <v>2</v>
      </c>
      <c r="N2109" s="19">
        <v>0.22219393714653571</v>
      </c>
      <c r="O2109" s="19">
        <v>6.2291372003537154E-2</v>
      </c>
      <c r="P2109" s="19">
        <v>0.27199963680497036</v>
      </c>
      <c r="Q2109" s="19">
        <v>0.1887919215763805</v>
      </c>
      <c r="R2109" s="19">
        <v>0.22114202736907534</v>
      </c>
      <c r="S2109" s="19">
        <v>3.3581105099500956E-2</v>
      </c>
      <c r="T2109" s="20">
        <v>23</v>
      </c>
      <c r="U2109" s="17">
        <v>2</v>
      </c>
      <c r="V2109" s="17">
        <v>34</v>
      </c>
    </row>
    <row r="2110" spans="1:22" x14ac:dyDescent="0.2">
      <c r="A2110" t="s">
        <v>5059</v>
      </c>
      <c r="B2110" t="s">
        <v>2719</v>
      </c>
      <c r="C2110" t="s">
        <v>2720</v>
      </c>
      <c r="D2110" t="s">
        <v>5049</v>
      </c>
      <c r="E2110" s="10" t="s">
        <v>5060</v>
      </c>
      <c r="F2110" s="10"/>
      <c r="G2110" s="10"/>
      <c r="H2110" s="10" t="s">
        <v>5060</v>
      </c>
      <c r="I2110" s="14">
        <v>90552.651105679572</v>
      </c>
      <c r="J2110" s="19">
        <v>0</v>
      </c>
      <c r="K2110" s="19">
        <v>0.62438041949068479</v>
      </c>
      <c r="L2110" s="19">
        <v>0.37561958050931532</v>
      </c>
      <c r="M2110" s="20">
        <v>2</v>
      </c>
      <c r="N2110" s="19">
        <v>0.17587264937606539</v>
      </c>
      <c r="O2110" s="19">
        <v>0</v>
      </c>
      <c r="P2110" s="19">
        <v>0.44850777011461934</v>
      </c>
      <c r="Q2110" s="19">
        <v>0.12424477374731771</v>
      </c>
      <c r="R2110" s="19">
        <v>0.22938486260421054</v>
      </c>
      <c r="S2110" s="19">
        <v>2.1989944157787007E-2</v>
      </c>
      <c r="T2110" s="20">
        <v>23</v>
      </c>
      <c r="U2110" s="17">
        <v>2</v>
      </c>
      <c r="V2110" s="17">
        <v>34</v>
      </c>
    </row>
    <row r="2111" spans="1:22" x14ac:dyDescent="0.2">
      <c r="A2111" t="s">
        <v>5061</v>
      </c>
      <c r="B2111" t="s">
        <v>2719</v>
      </c>
      <c r="C2111" t="s">
        <v>2720</v>
      </c>
      <c r="D2111" t="s">
        <v>5049</v>
      </c>
      <c r="E2111" s="10" t="s">
        <v>5062</v>
      </c>
      <c r="F2111" s="10"/>
      <c r="G2111" s="10"/>
      <c r="H2111" s="10" t="s">
        <v>5062</v>
      </c>
      <c r="I2111" s="14">
        <v>30665.013999819756</v>
      </c>
      <c r="J2111" s="19">
        <v>0</v>
      </c>
      <c r="K2111" s="19">
        <v>0.19283757977238888</v>
      </c>
      <c r="L2111" s="19">
        <v>0.8071624202276112</v>
      </c>
      <c r="M2111" s="20">
        <v>1</v>
      </c>
      <c r="N2111" s="19">
        <v>0.17814507980929692</v>
      </c>
      <c r="O2111" s="19">
        <v>0</v>
      </c>
      <c r="P2111" s="19">
        <v>1.4692499963091951E-2</v>
      </c>
      <c r="Q2111" s="19">
        <v>0.61855169148572986</v>
      </c>
      <c r="R2111" s="19">
        <v>0.14780201110553917</v>
      </c>
      <c r="S2111" s="19">
        <v>4.080871763634205E-2</v>
      </c>
      <c r="T2111" s="20">
        <v>13</v>
      </c>
      <c r="U2111" s="17">
        <v>2</v>
      </c>
      <c r="V2111" s="17">
        <v>34</v>
      </c>
    </row>
    <row r="2112" spans="1:22" x14ac:dyDescent="0.2">
      <c r="A2112" t="s">
        <v>5063</v>
      </c>
      <c r="B2112" t="s">
        <v>2719</v>
      </c>
      <c r="C2112" t="s">
        <v>2720</v>
      </c>
      <c r="D2112" t="s">
        <v>5049</v>
      </c>
      <c r="E2112" s="10" t="s">
        <v>5064</v>
      </c>
      <c r="F2112" s="10"/>
      <c r="G2112" s="10"/>
      <c r="H2112" s="10" t="s">
        <v>5064</v>
      </c>
      <c r="I2112" s="14">
        <v>10358.176795294043</v>
      </c>
      <c r="J2112" s="19">
        <v>0</v>
      </c>
      <c r="K2112" s="19">
        <v>0.54072073956703837</v>
      </c>
      <c r="L2112" s="19">
        <v>0.45927926043296169</v>
      </c>
      <c r="M2112" s="20">
        <v>2</v>
      </c>
      <c r="N2112" s="19">
        <v>0</v>
      </c>
      <c r="O2112" s="19">
        <v>0.54072073956703837</v>
      </c>
      <c r="P2112" s="19">
        <v>0</v>
      </c>
      <c r="Q2112" s="19">
        <v>0.40106310080728913</v>
      </c>
      <c r="R2112" s="19">
        <v>5.8157373813178974E-2</v>
      </c>
      <c r="S2112" s="19">
        <v>5.8785812493567049E-5</v>
      </c>
      <c r="T2112" s="20">
        <v>22</v>
      </c>
      <c r="U2112" s="17">
        <v>2</v>
      </c>
      <c r="V2112" s="17">
        <v>34</v>
      </c>
    </row>
    <row r="2113" spans="1:22" x14ac:dyDescent="0.2">
      <c r="A2113" t="s">
        <v>5065</v>
      </c>
      <c r="B2113" t="s">
        <v>2719</v>
      </c>
      <c r="C2113" t="s">
        <v>2720</v>
      </c>
      <c r="D2113" t="s">
        <v>5049</v>
      </c>
      <c r="E2113" s="10" t="s">
        <v>5066</v>
      </c>
      <c r="F2113" s="10"/>
      <c r="G2113" s="10"/>
      <c r="H2113" s="10" t="s">
        <v>5066</v>
      </c>
      <c r="I2113" s="14">
        <v>60915.628353019012</v>
      </c>
      <c r="J2113" s="19">
        <v>0</v>
      </c>
      <c r="K2113" s="19">
        <v>0.44838402843794201</v>
      </c>
      <c r="L2113" s="19">
        <v>0.55161597156205799</v>
      </c>
      <c r="M2113" s="20">
        <v>1</v>
      </c>
      <c r="N2113" s="19">
        <v>0</v>
      </c>
      <c r="O2113" s="19">
        <v>0.44838402843794201</v>
      </c>
      <c r="P2113" s="19">
        <v>0</v>
      </c>
      <c r="Q2113" s="19">
        <v>0.27333553510648423</v>
      </c>
      <c r="R2113" s="19">
        <v>0.22477195089181212</v>
      </c>
      <c r="S2113" s="19">
        <v>5.3508485563761671E-2</v>
      </c>
      <c r="T2113" s="20">
        <v>13</v>
      </c>
      <c r="U2113" s="17">
        <v>2</v>
      </c>
      <c r="V2113" s="17">
        <v>34</v>
      </c>
    </row>
    <row r="2114" spans="1:22" x14ac:dyDescent="0.2">
      <c r="A2114" t="s">
        <v>5067</v>
      </c>
      <c r="B2114" t="s">
        <v>2719</v>
      </c>
      <c r="C2114" t="s">
        <v>2720</v>
      </c>
      <c r="D2114" t="s">
        <v>5049</v>
      </c>
      <c r="E2114" s="10" t="s">
        <v>5068</v>
      </c>
      <c r="F2114" s="10"/>
      <c r="G2114" s="10"/>
      <c r="H2114" s="10" t="s">
        <v>5068</v>
      </c>
      <c r="I2114" s="14">
        <v>28409.765178183094</v>
      </c>
      <c r="J2114" s="19">
        <v>0</v>
      </c>
      <c r="K2114" s="19">
        <v>0.2062702063489609</v>
      </c>
      <c r="L2114" s="19">
        <v>0.79372979365103913</v>
      </c>
      <c r="M2114" s="20">
        <v>1</v>
      </c>
      <c r="N2114" s="19">
        <v>0</v>
      </c>
      <c r="O2114" s="19">
        <v>0.2062702063489609</v>
      </c>
      <c r="P2114" s="19">
        <v>0</v>
      </c>
      <c r="Q2114" s="19">
        <v>0.42287093384020452</v>
      </c>
      <c r="R2114" s="19">
        <v>0.32991840605631056</v>
      </c>
      <c r="S2114" s="19">
        <v>4.0940453754524056E-2</v>
      </c>
      <c r="T2114" s="20">
        <v>13</v>
      </c>
      <c r="U2114" s="17">
        <v>2</v>
      </c>
      <c r="V2114" s="17">
        <v>34</v>
      </c>
    </row>
    <row r="2115" spans="1:22" x14ac:dyDescent="0.2">
      <c r="A2115" t="s">
        <v>5069</v>
      </c>
      <c r="B2115" t="s">
        <v>2719</v>
      </c>
      <c r="C2115" t="s">
        <v>2720</v>
      </c>
      <c r="D2115" t="s">
        <v>5049</v>
      </c>
      <c r="E2115" s="10" t="s">
        <v>5070</v>
      </c>
      <c r="F2115" s="10"/>
      <c r="G2115" s="10"/>
      <c r="H2115" s="10" t="s">
        <v>5070</v>
      </c>
      <c r="I2115" s="14">
        <v>31467.064466954205</v>
      </c>
      <c r="J2115" s="19">
        <v>0</v>
      </c>
      <c r="K2115" s="19">
        <v>0.79723455684077904</v>
      </c>
      <c r="L2115" s="19">
        <v>0.2027654431592211</v>
      </c>
      <c r="M2115" s="20">
        <v>2</v>
      </c>
      <c r="N2115" s="19">
        <v>0.46030048757232289</v>
      </c>
      <c r="O2115" s="19">
        <v>0</v>
      </c>
      <c r="P2115" s="19">
        <v>0.33693406926845604</v>
      </c>
      <c r="Q2115" s="19">
        <v>0.17718026611914547</v>
      </c>
      <c r="R2115" s="19">
        <v>2.367014377110738E-2</v>
      </c>
      <c r="S2115" s="19">
        <v>1.9150332689682535E-3</v>
      </c>
      <c r="T2115" s="20">
        <v>23</v>
      </c>
      <c r="U2115" s="17">
        <v>2</v>
      </c>
      <c r="V2115" s="17">
        <v>34</v>
      </c>
    </row>
    <row r="2116" spans="1:22" x14ac:dyDescent="0.2">
      <c r="A2116" t="s">
        <v>5071</v>
      </c>
      <c r="B2116" t="s">
        <v>2719</v>
      </c>
      <c r="C2116" t="s">
        <v>2720</v>
      </c>
      <c r="D2116" t="s">
        <v>5049</v>
      </c>
      <c r="E2116" s="10" t="s">
        <v>5072</v>
      </c>
      <c r="F2116" s="10"/>
      <c r="G2116" s="10"/>
      <c r="H2116" s="10" t="s">
        <v>5072</v>
      </c>
      <c r="I2116" s="14">
        <v>32615.947002878413</v>
      </c>
      <c r="J2116" s="19">
        <v>0</v>
      </c>
      <c r="K2116" s="19">
        <v>0</v>
      </c>
      <c r="L2116" s="19">
        <v>1</v>
      </c>
      <c r="M2116" s="20">
        <v>1</v>
      </c>
      <c r="N2116" s="19">
        <v>0</v>
      </c>
      <c r="O2116" s="19">
        <v>0</v>
      </c>
      <c r="P2116" s="19">
        <v>0</v>
      </c>
      <c r="Q2116" s="19">
        <v>0.60516881300874492</v>
      </c>
      <c r="R2116" s="19">
        <v>0.33854812807943008</v>
      </c>
      <c r="S2116" s="19">
        <v>5.6283058911824987E-2</v>
      </c>
      <c r="T2116" s="20">
        <v>13</v>
      </c>
      <c r="U2116" s="17">
        <v>2</v>
      </c>
      <c r="V2116" s="17">
        <v>34</v>
      </c>
    </row>
    <row r="2117" spans="1:22" x14ac:dyDescent="0.2">
      <c r="A2117" t="s">
        <v>5073</v>
      </c>
      <c r="B2117" t="s">
        <v>2719</v>
      </c>
      <c r="C2117" t="s">
        <v>2720</v>
      </c>
      <c r="D2117" t="s">
        <v>5049</v>
      </c>
      <c r="E2117" s="10" t="s">
        <v>5074</v>
      </c>
      <c r="F2117" s="10"/>
      <c r="G2117" s="10"/>
      <c r="H2117" s="10" t="s">
        <v>5074</v>
      </c>
      <c r="I2117" s="14">
        <v>58605.2738754889</v>
      </c>
      <c r="J2117" s="19">
        <v>0</v>
      </c>
      <c r="K2117" s="19">
        <v>0.18775175384780385</v>
      </c>
      <c r="L2117" s="19">
        <v>0.81224824615219615</v>
      </c>
      <c r="M2117" s="20">
        <v>1</v>
      </c>
      <c r="N2117" s="19">
        <v>0.13414459884294508</v>
      </c>
      <c r="O2117" s="19">
        <v>0</v>
      </c>
      <c r="P2117" s="19">
        <v>5.3607155004858791E-2</v>
      </c>
      <c r="Q2117" s="19">
        <v>0.55639525749306673</v>
      </c>
      <c r="R2117" s="19">
        <v>0.22417578479153352</v>
      </c>
      <c r="S2117" s="19">
        <v>3.1677203867595913E-2</v>
      </c>
      <c r="T2117" s="20">
        <v>13</v>
      </c>
      <c r="U2117" s="17">
        <v>2</v>
      </c>
      <c r="V2117" s="17">
        <v>34</v>
      </c>
    </row>
    <row r="2118" spans="1:22" x14ac:dyDescent="0.2">
      <c r="A2118" t="s">
        <v>5075</v>
      </c>
      <c r="B2118" t="s">
        <v>2719</v>
      </c>
      <c r="C2118" t="s">
        <v>2720</v>
      </c>
      <c r="D2118" t="s">
        <v>5049</v>
      </c>
      <c r="E2118" s="10" t="s">
        <v>5076</v>
      </c>
      <c r="F2118" s="10"/>
      <c r="G2118" s="10"/>
      <c r="H2118" s="10" t="s">
        <v>5076</v>
      </c>
      <c r="I2118" s="14">
        <v>21195.452210612595</v>
      </c>
      <c r="J2118" s="19">
        <v>0</v>
      </c>
      <c r="K2118" s="19">
        <v>0.21551821936392987</v>
      </c>
      <c r="L2118" s="19">
        <v>0.78448178063607021</v>
      </c>
      <c r="M2118" s="20">
        <v>1</v>
      </c>
      <c r="N2118" s="19">
        <v>0.20595298412848126</v>
      </c>
      <c r="O2118" s="19">
        <v>0</v>
      </c>
      <c r="P2118" s="19">
        <v>9.5652352354486207E-3</v>
      </c>
      <c r="Q2118" s="19">
        <v>0.64773870801276601</v>
      </c>
      <c r="R2118" s="19">
        <v>0.1182011523278141</v>
      </c>
      <c r="S2118" s="19">
        <v>1.8541920295490066E-2</v>
      </c>
      <c r="T2118" s="20">
        <v>13</v>
      </c>
      <c r="U2118" s="17">
        <v>2</v>
      </c>
      <c r="V2118" s="17">
        <v>34</v>
      </c>
    </row>
    <row r="2119" spans="1:22" x14ac:dyDescent="0.2">
      <c r="A2119" t="s">
        <v>5077</v>
      </c>
      <c r="B2119" t="s">
        <v>2719</v>
      </c>
      <c r="C2119" t="s">
        <v>2720</v>
      </c>
      <c r="D2119" t="s">
        <v>5049</v>
      </c>
      <c r="E2119" s="10" t="s">
        <v>3750</v>
      </c>
      <c r="F2119" s="10"/>
      <c r="G2119" s="10"/>
      <c r="H2119" s="10" t="s">
        <v>3750</v>
      </c>
      <c r="I2119" s="14">
        <v>15986.859828097746</v>
      </c>
      <c r="J2119" s="19">
        <v>0</v>
      </c>
      <c r="K2119" s="19">
        <v>0.60022924754338269</v>
      </c>
      <c r="L2119" s="19">
        <v>0.39977075245661725</v>
      </c>
      <c r="M2119" s="20">
        <v>2</v>
      </c>
      <c r="N2119" s="19">
        <v>1.8990785720822585E-2</v>
      </c>
      <c r="O2119" s="19">
        <v>0</v>
      </c>
      <c r="P2119" s="19">
        <v>0.58123846182256012</v>
      </c>
      <c r="Q2119" s="19">
        <v>0.22675790041156663</v>
      </c>
      <c r="R2119" s="19">
        <v>0.16548596441710767</v>
      </c>
      <c r="S2119" s="19">
        <v>7.5268876279429818E-3</v>
      </c>
      <c r="T2119" s="20">
        <v>21</v>
      </c>
      <c r="U2119" s="17">
        <v>2</v>
      </c>
      <c r="V2119" s="17">
        <v>34</v>
      </c>
    </row>
    <row r="2120" spans="1:22" x14ac:dyDescent="0.2">
      <c r="A2120" t="s">
        <v>5078</v>
      </c>
      <c r="B2120" t="s">
        <v>2719</v>
      </c>
      <c r="C2120" t="s">
        <v>2720</v>
      </c>
      <c r="D2120" t="s">
        <v>5049</v>
      </c>
      <c r="E2120" s="10" t="s">
        <v>5079</v>
      </c>
      <c r="F2120" s="10"/>
      <c r="G2120" s="10"/>
      <c r="H2120" s="10" t="s">
        <v>5079</v>
      </c>
      <c r="I2120" s="14">
        <v>87205.828302107751</v>
      </c>
      <c r="J2120" s="19">
        <v>0</v>
      </c>
      <c r="K2120" s="19">
        <v>0.54332026410150713</v>
      </c>
      <c r="L2120" s="19">
        <v>0.45667973589849281</v>
      </c>
      <c r="M2120" s="20">
        <v>2</v>
      </c>
      <c r="N2120" s="19">
        <v>0.27625728562950369</v>
      </c>
      <c r="O2120" s="19">
        <v>0.1428009501499668</v>
      </c>
      <c r="P2120" s="19">
        <v>0.1242620283220367</v>
      </c>
      <c r="Q2120" s="19">
        <v>0.21807310866861421</v>
      </c>
      <c r="R2120" s="19">
        <v>0.20460710060907211</v>
      </c>
      <c r="S2120" s="19">
        <v>3.3999526620806485E-2</v>
      </c>
      <c r="T2120" s="20">
        <v>23</v>
      </c>
      <c r="U2120" s="17">
        <v>2</v>
      </c>
      <c r="V2120" s="17">
        <v>34</v>
      </c>
    </row>
    <row r="2121" spans="1:22" x14ac:dyDescent="0.2">
      <c r="A2121" t="s">
        <v>5080</v>
      </c>
      <c r="B2121" t="s">
        <v>2719</v>
      </c>
      <c r="C2121" t="s">
        <v>2720</v>
      </c>
      <c r="D2121" t="s">
        <v>5049</v>
      </c>
      <c r="E2121" s="10" t="s">
        <v>5081</v>
      </c>
      <c r="F2121" s="10"/>
      <c r="G2121" s="10"/>
      <c r="H2121" s="10" t="s">
        <v>5081</v>
      </c>
      <c r="I2121" s="14">
        <v>275447.91099571972</v>
      </c>
      <c r="J2121" s="19">
        <v>0.64980864794358295</v>
      </c>
      <c r="K2121" s="19">
        <v>0.13923679967835301</v>
      </c>
      <c r="L2121" s="19">
        <v>0.21095455237806401</v>
      </c>
      <c r="M2121" s="20">
        <v>3</v>
      </c>
      <c r="N2121" s="19">
        <v>0</v>
      </c>
      <c r="O2121" s="19">
        <v>5.6687135547166798E-2</v>
      </c>
      <c r="P2121" s="19">
        <v>8.2549664131186209E-2</v>
      </c>
      <c r="Q2121" s="19">
        <v>0.10586044240291335</v>
      </c>
      <c r="R2121" s="19">
        <v>9.0461735954157144E-2</v>
      </c>
      <c r="S2121" s="19">
        <v>1.4632374020993499E-2</v>
      </c>
      <c r="T2121" s="20">
        <v>30</v>
      </c>
      <c r="U2121" s="17">
        <v>2</v>
      </c>
      <c r="V2121" s="17">
        <v>34</v>
      </c>
    </row>
    <row r="2122" spans="1:22" x14ac:dyDescent="0.2">
      <c r="A2122" t="s">
        <v>5082</v>
      </c>
      <c r="B2122" t="s">
        <v>2719</v>
      </c>
      <c r="C2122" t="s">
        <v>2720</v>
      </c>
      <c r="D2122" t="s">
        <v>5049</v>
      </c>
      <c r="E2122" s="10" t="s">
        <v>3270</v>
      </c>
      <c r="F2122" s="10"/>
      <c r="G2122" s="10"/>
      <c r="H2122" s="10" t="s">
        <v>3270</v>
      </c>
      <c r="I2122" s="14">
        <v>80376.822495385073</v>
      </c>
      <c r="J2122" s="19">
        <v>0</v>
      </c>
      <c r="K2122" s="19">
        <v>0.36913573059063909</v>
      </c>
      <c r="L2122" s="19">
        <v>0.63086426940936091</v>
      </c>
      <c r="M2122" s="20">
        <v>1</v>
      </c>
      <c r="N2122" s="19">
        <v>0.27353187981077903</v>
      </c>
      <c r="O2122" s="19">
        <v>6.4279073120038596E-2</v>
      </c>
      <c r="P2122" s="19">
        <v>3.132477765982148E-2</v>
      </c>
      <c r="Q2122" s="19">
        <v>0.39595338073552705</v>
      </c>
      <c r="R2122" s="19">
        <v>0.20064819533565068</v>
      </c>
      <c r="S2122" s="19">
        <v>3.4262693338183207E-2</v>
      </c>
      <c r="T2122" s="20">
        <v>13</v>
      </c>
      <c r="U2122" s="17">
        <v>2</v>
      </c>
      <c r="V2122" s="17">
        <v>34</v>
      </c>
    </row>
    <row r="2123" spans="1:22" x14ac:dyDescent="0.2">
      <c r="A2123" t="s">
        <v>5083</v>
      </c>
      <c r="B2123" t="s">
        <v>2719</v>
      </c>
      <c r="C2123" t="s">
        <v>2720</v>
      </c>
      <c r="D2123" t="s">
        <v>5049</v>
      </c>
      <c r="E2123" s="10" t="s">
        <v>3368</v>
      </c>
      <c r="F2123" s="10"/>
      <c r="G2123" s="10"/>
      <c r="H2123" s="10" t="s">
        <v>3368</v>
      </c>
      <c r="I2123" s="14">
        <v>70539.094051558524</v>
      </c>
      <c r="J2123" s="19">
        <v>0</v>
      </c>
      <c r="K2123" s="19">
        <v>0.45317998129869796</v>
      </c>
      <c r="L2123" s="19">
        <v>0.54682001870130215</v>
      </c>
      <c r="M2123" s="20">
        <v>1</v>
      </c>
      <c r="N2123" s="19">
        <v>0</v>
      </c>
      <c r="O2123" s="19">
        <v>0.45317998129869796</v>
      </c>
      <c r="P2123" s="19">
        <v>0</v>
      </c>
      <c r="Q2123" s="19">
        <v>0.25858103507476277</v>
      </c>
      <c r="R2123" s="19">
        <v>0.23754972976684588</v>
      </c>
      <c r="S2123" s="19">
        <v>5.0689253859693452E-2</v>
      </c>
      <c r="T2123" s="20">
        <v>13</v>
      </c>
      <c r="U2123" s="17">
        <v>2</v>
      </c>
      <c r="V2123" s="17">
        <v>34</v>
      </c>
    </row>
    <row r="2124" spans="1:22" x14ac:dyDescent="0.2">
      <c r="A2124" t="s">
        <v>5084</v>
      </c>
      <c r="B2124" t="s">
        <v>2719</v>
      </c>
      <c r="C2124" t="s">
        <v>2720</v>
      </c>
      <c r="D2124" t="s">
        <v>5049</v>
      </c>
      <c r="E2124" s="10" t="s">
        <v>4118</v>
      </c>
      <c r="F2124" s="10"/>
      <c r="G2124" s="10"/>
      <c r="H2124" s="10" t="s">
        <v>4118</v>
      </c>
      <c r="I2124" s="14">
        <v>95357.850580181694</v>
      </c>
      <c r="J2124" s="19">
        <v>0</v>
      </c>
      <c r="K2124" s="19">
        <v>0.25168696402879576</v>
      </c>
      <c r="L2124" s="19">
        <v>0.74831303597120424</v>
      </c>
      <c r="M2124" s="20">
        <v>1</v>
      </c>
      <c r="N2124" s="19">
        <v>0.16933407674061929</v>
      </c>
      <c r="O2124" s="19">
        <v>0</v>
      </c>
      <c r="P2124" s="19">
        <v>8.2352887288176427E-2</v>
      </c>
      <c r="Q2124" s="19">
        <v>0.50541529132638341</v>
      </c>
      <c r="R2124" s="19">
        <v>0.21317914063475513</v>
      </c>
      <c r="S2124" s="19">
        <v>2.9718604010065756E-2</v>
      </c>
      <c r="T2124" s="20">
        <v>13</v>
      </c>
      <c r="U2124" s="17">
        <v>2</v>
      </c>
      <c r="V2124" s="17">
        <v>34</v>
      </c>
    </row>
    <row r="2125" spans="1:22" x14ac:dyDescent="0.2">
      <c r="A2125" t="s">
        <v>5085</v>
      </c>
      <c r="B2125" t="s">
        <v>2719</v>
      </c>
      <c r="C2125" t="s">
        <v>2720</v>
      </c>
      <c r="D2125" t="s">
        <v>5049</v>
      </c>
      <c r="E2125" s="10" t="s">
        <v>3402</v>
      </c>
      <c r="F2125" s="10"/>
      <c r="G2125" s="10"/>
      <c r="H2125" s="10" t="s">
        <v>3402</v>
      </c>
      <c r="I2125" s="14">
        <v>51259.432740163058</v>
      </c>
      <c r="J2125" s="19">
        <v>0</v>
      </c>
      <c r="K2125" s="19">
        <v>0.49663732540898142</v>
      </c>
      <c r="L2125" s="19">
        <v>0.50336267459101858</v>
      </c>
      <c r="M2125" s="20">
        <v>1</v>
      </c>
      <c r="N2125" s="19">
        <v>0.32248436915551532</v>
      </c>
      <c r="O2125" s="19">
        <v>0</v>
      </c>
      <c r="P2125" s="19">
        <v>0.17415295625346608</v>
      </c>
      <c r="Q2125" s="19">
        <v>0.19852018038398431</v>
      </c>
      <c r="R2125" s="19">
        <v>0.26292081370867132</v>
      </c>
      <c r="S2125" s="19">
        <v>4.1921680498362972E-2</v>
      </c>
      <c r="T2125" s="20">
        <v>12</v>
      </c>
      <c r="U2125" s="17">
        <v>2</v>
      </c>
      <c r="V2125" s="17">
        <v>34</v>
      </c>
    </row>
    <row r="2126" spans="1:22" x14ac:dyDescent="0.2">
      <c r="A2126" t="s">
        <v>5086</v>
      </c>
      <c r="B2126" t="s">
        <v>2719</v>
      </c>
      <c r="C2126" t="s">
        <v>2720</v>
      </c>
      <c r="D2126" t="s">
        <v>5049</v>
      </c>
      <c r="E2126" s="10" t="s">
        <v>5087</v>
      </c>
      <c r="F2126" s="10"/>
      <c r="G2126" s="10"/>
      <c r="H2126" s="10" t="s">
        <v>5087</v>
      </c>
      <c r="I2126" s="14">
        <v>42396.458628723398</v>
      </c>
      <c r="J2126" s="19">
        <v>0</v>
      </c>
      <c r="K2126" s="19">
        <v>0.28074442758881146</v>
      </c>
      <c r="L2126" s="19">
        <v>0.71925557241118865</v>
      </c>
      <c r="M2126" s="20">
        <v>1</v>
      </c>
      <c r="N2126" s="19">
        <v>0.25037145489540363</v>
      </c>
      <c r="O2126" s="19">
        <v>0</v>
      </c>
      <c r="P2126" s="19">
        <v>3.0372972693407836E-2</v>
      </c>
      <c r="Q2126" s="19">
        <v>0.2966471313060296</v>
      </c>
      <c r="R2126" s="19">
        <v>0.35610533691235802</v>
      </c>
      <c r="S2126" s="19">
        <v>6.6503104192800935E-2</v>
      </c>
      <c r="T2126" s="20">
        <v>12</v>
      </c>
      <c r="U2126" s="17">
        <v>2</v>
      </c>
      <c r="V2126" s="17">
        <v>34</v>
      </c>
    </row>
    <row r="2127" spans="1:22" x14ac:dyDescent="0.2">
      <c r="A2127" t="s">
        <v>5088</v>
      </c>
      <c r="B2127" t="s">
        <v>2719</v>
      </c>
      <c r="C2127" t="s">
        <v>2720</v>
      </c>
      <c r="D2127" t="s">
        <v>5049</v>
      </c>
      <c r="E2127" s="10" t="s">
        <v>5089</v>
      </c>
      <c r="F2127" s="10"/>
      <c r="G2127" s="10"/>
      <c r="H2127" s="10" t="s">
        <v>5089</v>
      </c>
      <c r="I2127" s="14">
        <v>104959.05452331202</v>
      </c>
      <c r="J2127" s="19">
        <v>0</v>
      </c>
      <c r="K2127" s="19">
        <v>0.30874496534628931</v>
      </c>
      <c r="L2127" s="19">
        <v>0.69125503465371063</v>
      </c>
      <c r="M2127" s="20">
        <v>1</v>
      </c>
      <c r="N2127" s="19">
        <v>0.14030519421522405</v>
      </c>
      <c r="O2127" s="19">
        <v>0.10445386300897851</v>
      </c>
      <c r="P2127" s="19">
        <v>6.3985908122086738E-2</v>
      </c>
      <c r="Q2127" s="19">
        <v>0.39858370327638104</v>
      </c>
      <c r="R2127" s="19">
        <v>0.25726170065813447</v>
      </c>
      <c r="S2127" s="19">
        <v>3.5409630719195138E-2</v>
      </c>
      <c r="T2127" s="20">
        <v>13</v>
      </c>
      <c r="U2127" s="17">
        <v>2</v>
      </c>
      <c r="V2127" s="17">
        <v>34</v>
      </c>
    </row>
    <row r="2128" spans="1:22" x14ac:dyDescent="0.2">
      <c r="A2128" t="s">
        <v>5090</v>
      </c>
      <c r="B2128" t="s">
        <v>2719</v>
      </c>
      <c r="C2128" t="s">
        <v>2720</v>
      </c>
      <c r="D2128" t="s">
        <v>5091</v>
      </c>
      <c r="E2128" s="10" t="s">
        <v>5092</v>
      </c>
      <c r="F2128" s="10"/>
      <c r="G2128" s="10"/>
      <c r="H2128" s="10" t="s">
        <v>5092</v>
      </c>
      <c r="I2128" s="14">
        <v>481988.60178003355</v>
      </c>
      <c r="J2128" s="19">
        <v>0.99529385179300889</v>
      </c>
      <c r="K2128" s="19">
        <v>2.5777761941342646E-3</v>
      </c>
      <c r="L2128" s="19">
        <v>2.1283720128568869E-3</v>
      </c>
      <c r="M2128" s="20">
        <v>3</v>
      </c>
      <c r="N2128" s="19">
        <v>0</v>
      </c>
      <c r="O2128" s="19">
        <v>0</v>
      </c>
      <c r="P2128" s="19">
        <v>2.5777761941342646E-3</v>
      </c>
      <c r="Q2128" s="19">
        <v>0</v>
      </c>
      <c r="R2128" s="19">
        <v>1.96362613531967E-3</v>
      </c>
      <c r="S2128" s="19">
        <v>1.6474587753721726E-4</v>
      </c>
      <c r="T2128" s="20">
        <v>30</v>
      </c>
      <c r="U2128" s="17">
        <v>2</v>
      </c>
      <c r="V2128" s="17">
        <v>34</v>
      </c>
    </row>
    <row r="2129" spans="1:22" x14ac:dyDescent="0.2">
      <c r="A2129" t="s">
        <v>5093</v>
      </c>
      <c r="B2129" t="s">
        <v>2719</v>
      </c>
      <c r="C2129" t="s">
        <v>2720</v>
      </c>
      <c r="D2129" t="s">
        <v>5091</v>
      </c>
      <c r="E2129" s="10" t="s">
        <v>5094</v>
      </c>
      <c r="F2129" s="10"/>
      <c r="G2129" s="10"/>
      <c r="H2129" s="10" t="s">
        <v>5094</v>
      </c>
      <c r="I2129" s="14">
        <v>125721.40357187692</v>
      </c>
      <c r="J2129" s="19">
        <v>0.68411770270129668</v>
      </c>
      <c r="K2129" s="19">
        <v>0.30908046454659699</v>
      </c>
      <c r="L2129" s="19">
        <v>6.8018327521064395E-3</v>
      </c>
      <c r="M2129" s="20">
        <v>3</v>
      </c>
      <c r="N2129" s="19">
        <v>0.18790387780441825</v>
      </c>
      <c r="O2129" s="19">
        <v>0</v>
      </c>
      <c r="P2129" s="19">
        <v>0.12117658674217877</v>
      </c>
      <c r="Q2129" s="19">
        <v>0</v>
      </c>
      <c r="R2129" s="19">
        <v>6.0148381772313908E-3</v>
      </c>
      <c r="S2129" s="19">
        <v>7.8699457487504802E-4</v>
      </c>
      <c r="T2129" s="20">
        <v>30</v>
      </c>
      <c r="U2129" s="17">
        <v>2</v>
      </c>
      <c r="V2129" s="17">
        <v>34</v>
      </c>
    </row>
    <row r="2130" spans="1:22" x14ac:dyDescent="0.2">
      <c r="A2130" t="s">
        <v>5095</v>
      </c>
      <c r="B2130" t="s">
        <v>2719</v>
      </c>
      <c r="C2130" t="s">
        <v>2720</v>
      </c>
      <c r="D2130" t="s">
        <v>5091</v>
      </c>
      <c r="E2130" s="10" t="s">
        <v>5096</v>
      </c>
      <c r="F2130" s="10"/>
      <c r="G2130" s="10"/>
      <c r="H2130" s="10" t="s">
        <v>5096</v>
      </c>
      <c r="I2130" s="14">
        <v>144827.29065947141</v>
      </c>
      <c r="J2130" s="19">
        <v>0.51501276277163732</v>
      </c>
      <c r="K2130" s="19">
        <v>0.46128120474142503</v>
      </c>
      <c r="L2130" s="19">
        <v>2.3706032486937617E-2</v>
      </c>
      <c r="M2130" s="20">
        <v>3</v>
      </c>
      <c r="N2130" s="19">
        <v>0.20843292061082344</v>
      </c>
      <c r="O2130" s="19">
        <v>0</v>
      </c>
      <c r="P2130" s="19">
        <v>0.25284828413060156</v>
      </c>
      <c r="Q2130" s="19">
        <v>0</v>
      </c>
      <c r="R2130" s="19">
        <v>2.1949183367583575E-2</v>
      </c>
      <c r="S2130" s="19">
        <v>1.7568491193540397E-3</v>
      </c>
      <c r="T2130" s="20">
        <v>30</v>
      </c>
      <c r="U2130" s="17">
        <v>2</v>
      </c>
      <c r="V2130" s="17">
        <v>34</v>
      </c>
    </row>
    <row r="2131" spans="1:22" x14ac:dyDescent="0.2">
      <c r="A2131" t="s">
        <v>5097</v>
      </c>
      <c r="B2131" t="s">
        <v>2719</v>
      </c>
      <c r="C2131" t="s">
        <v>2720</v>
      </c>
      <c r="D2131" t="s">
        <v>5091</v>
      </c>
      <c r="E2131" s="10" t="s">
        <v>5098</v>
      </c>
      <c r="F2131" s="10"/>
      <c r="G2131" s="10"/>
      <c r="H2131" s="10" t="s">
        <v>5098</v>
      </c>
      <c r="I2131" s="14">
        <v>46885.001469706855</v>
      </c>
      <c r="J2131" s="19">
        <v>0.34799929256169904</v>
      </c>
      <c r="K2131" s="19">
        <v>0.5969136737820615</v>
      </c>
      <c r="L2131" s="19">
        <v>5.5087033656239397E-2</v>
      </c>
      <c r="M2131" s="20">
        <v>2</v>
      </c>
      <c r="N2131" s="19">
        <v>0.25981256866743324</v>
      </c>
      <c r="O2131" s="19">
        <v>0</v>
      </c>
      <c r="P2131" s="19">
        <v>0.33710110511462821</v>
      </c>
      <c r="Q2131" s="19">
        <v>0</v>
      </c>
      <c r="R2131" s="19">
        <v>5.0558186803976952E-2</v>
      </c>
      <c r="S2131" s="19">
        <v>4.5288468522624433E-3</v>
      </c>
      <c r="T2131" s="20">
        <v>23</v>
      </c>
      <c r="U2131" s="17">
        <v>2</v>
      </c>
      <c r="V2131" s="17">
        <v>34</v>
      </c>
    </row>
    <row r="2132" spans="1:22" x14ac:dyDescent="0.2">
      <c r="A2132" t="s">
        <v>5099</v>
      </c>
      <c r="B2132" t="s">
        <v>2719</v>
      </c>
      <c r="C2132" t="s">
        <v>2720</v>
      </c>
      <c r="D2132" t="s">
        <v>5091</v>
      </c>
      <c r="E2132" s="10" t="s">
        <v>5100</v>
      </c>
      <c r="F2132" s="10"/>
      <c r="G2132" s="10"/>
      <c r="H2132" s="10" t="s">
        <v>5100</v>
      </c>
      <c r="I2132" s="14">
        <v>126197.08961822186</v>
      </c>
      <c r="J2132" s="19">
        <v>0</v>
      </c>
      <c r="K2132" s="19">
        <v>0.82207509940841816</v>
      </c>
      <c r="L2132" s="19">
        <v>0.17792490059158186</v>
      </c>
      <c r="M2132" s="20">
        <v>2</v>
      </c>
      <c r="N2132" s="19">
        <v>0.33795429624893708</v>
      </c>
      <c r="O2132" s="19">
        <v>0</v>
      </c>
      <c r="P2132" s="19">
        <v>0.48412080315948103</v>
      </c>
      <c r="Q2132" s="19">
        <v>7.9172258332444664E-2</v>
      </c>
      <c r="R2132" s="19">
        <v>9.0746827407266209E-2</v>
      </c>
      <c r="S2132" s="19">
        <v>8.0058148518709921E-3</v>
      </c>
      <c r="T2132" s="20">
        <v>23</v>
      </c>
      <c r="U2132" s="17">
        <v>2</v>
      </c>
      <c r="V2132" s="17">
        <v>34</v>
      </c>
    </row>
    <row r="2133" spans="1:22" x14ac:dyDescent="0.2">
      <c r="A2133" t="s">
        <v>5101</v>
      </c>
      <c r="B2133" t="s">
        <v>2719</v>
      </c>
      <c r="C2133" t="s">
        <v>2720</v>
      </c>
      <c r="D2133" t="s">
        <v>5091</v>
      </c>
      <c r="E2133" s="10" t="s">
        <v>5102</v>
      </c>
      <c r="F2133" s="10"/>
      <c r="G2133" s="10"/>
      <c r="H2133" s="10" t="s">
        <v>5102</v>
      </c>
      <c r="I2133" s="14">
        <v>138626.1233097529</v>
      </c>
      <c r="J2133" s="19">
        <v>0.39541553933065637</v>
      </c>
      <c r="K2133" s="19">
        <v>0.54048573679026446</v>
      </c>
      <c r="L2133" s="19">
        <v>6.4098723879079209E-2</v>
      </c>
      <c r="M2133" s="20">
        <v>2</v>
      </c>
      <c r="N2133" s="19">
        <v>0.1667681116353871</v>
      </c>
      <c r="O2133" s="19">
        <v>4.2478139836874186E-2</v>
      </c>
      <c r="P2133" s="19">
        <v>0.33123948531800312</v>
      </c>
      <c r="Q2133" s="19">
        <v>2.7374504745296787E-2</v>
      </c>
      <c r="R2133" s="19">
        <v>3.2765846960720602E-2</v>
      </c>
      <c r="S2133" s="19">
        <v>3.95837217306182E-3</v>
      </c>
      <c r="T2133" s="20">
        <v>23</v>
      </c>
      <c r="U2133" s="17">
        <v>2</v>
      </c>
      <c r="V2133" s="17">
        <v>34</v>
      </c>
    </row>
    <row r="2134" spans="1:22" x14ac:dyDescent="0.2">
      <c r="A2134" t="s">
        <v>5103</v>
      </c>
      <c r="B2134" t="s">
        <v>2719</v>
      </c>
      <c r="C2134" t="s">
        <v>2720</v>
      </c>
      <c r="D2134" t="s">
        <v>5091</v>
      </c>
      <c r="E2134" s="10" t="s">
        <v>5104</v>
      </c>
      <c r="F2134" s="10"/>
      <c r="G2134" s="10"/>
      <c r="H2134" s="10" t="s">
        <v>5104</v>
      </c>
      <c r="I2134" s="14">
        <v>130977.48894694098</v>
      </c>
      <c r="J2134" s="19">
        <v>0.72464707964848607</v>
      </c>
      <c r="K2134" s="19">
        <v>0.27206848232852004</v>
      </c>
      <c r="L2134" s="19">
        <v>3.2844380229939013E-3</v>
      </c>
      <c r="M2134" s="20">
        <v>3</v>
      </c>
      <c r="N2134" s="19">
        <v>0.12984401658831474</v>
      </c>
      <c r="O2134" s="19">
        <v>0</v>
      </c>
      <c r="P2134" s="19">
        <v>0.14222446574020531</v>
      </c>
      <c r="Q2134" s="19">
        <v>0</v>
      </c>
      <c r="R2134" s="19">
        <v>3.2839489832875383E-3</v>
      </c>
      <c r="S2134" s="19">
        <v>4.8903970636256656E-7</v>
      </c>
      <c r="T2134" s="20">
        <v>30</v>
      </c>
      <c r="U2134" s="17">
        <v>2</v>
      </c>
      <c r="V2134" s="17">
        <v>34</v>
      </c>
    </row>
    <row r="2135" spans="1:22" x14ac:dyDescent="0.2">
      <c r="A2135" t="s">
        <v>5105</v>
      </c>
      <c r="B2135" t="s">
        <v>2719</v>
      </c>
      <c r="C2135" t="s">
        <v>2720</v>
      </c>
      <c r="D2135" t="s">
        <v>5091</v>
      </c>
      <c r="E2135" s="10" t="s">
        <v>5106</v>
      </c>
      <c r="F2135" s="10"/>
      <c r="G2135" s="10"/>
      <c r="H2135" s="10" t="s">
        <v>5106</v>
      </c>
      <c r="I2135" s="14">
        <v>186177.15763425245</v>
      </c>
      <c r="J2135" s="19">
        <v>0.79746253294363212</v>
      </c>
      <c r="K2135" s="19">
        <v>0.18859216560330427</v>
      </c>
      <c r="L2135" s="19">
        <v>1.3945301453063568E-2</v>
      </c>
      <c r="M2135" s="20">
        <v>3</v>
      </c>
      <c r="N2135" s="19">
        <v>1.6615805348115008E-3</v>
      </c>
      <c r="O2135" s="19">
        <v>0</v>
      </c>
      <c r="P2135" s="19">
        <v>0.18693058506849278</v>
      </c>
      <c r="Q2135" s="19">
        <v>0</v>
      </c>
      <c r="R2135" s="19">
        <v>1.3539220145443566E-2</v>
      </c>
      <c r="S2135" s="19">
        <v>4.0608130762000264E-4</v>
      </c>
      <c r="T2135" s="20">
        <v>30</v>
      </c>
      <c r="U2135" s="17">
        <v>2</v>
      </c>
      <c r="V2135" s="17">
        <v>34</v>
      </c>
    </row>
    <row r="2136" spans="1:22" x14ac:dyDescent="0.2">
      <c r="A2136" t="s">
        <v>5107</v>
      </c>
      <c r="B2136" t="s">
        <v>2719</v>
      </c>
      <c r="C2136" t="s">
        <v>2720</v>
      </c>
      <c r="D2136" t="s">
        <v>5091</v>
      </c>
      <c r="E2136" s="10" t="s">
        <v>5108</v>
      </c>
      <c r="F2136" s="10"/>
      <c r="G2136" s="10"/>
      <c r="H2136" s="10" t="s">
        <v>5108</v>
      </c>
      <c r="I2136" s="14">
        <v>268608.67929602176</v>
      </c>
      <c r="J2136" s="19">
        <v>0.91827221273141246</v>
      </c>
      <c r="K2136" s="19">
        <v>7.3321953309080798E-2</v>
      </c>
      <c r="L2136" s="19">
        <v>8.4058339595067897E-3</v>
      </c>
      <c r="M2136" s="20">
        <v>3</v>
      </c>
      <c r="N2136" s="19">
        <v>3.3043658341490423E-2</v>
      </c>
      <c r="O2136" s="19">
        <v>0</v>
      </c>
      <c r="P2136" s="19">
        <v>4.0278294967590375E-2</v>
      </c>
      <c r="Q2136" s="19">
        <v>0</v>
      </c>
      <c r="R2136" s="19">
        <v>6.0346059297015668E-3</v>
      </c>
      <c r="S2136" s="19">
        <v>2.3712280298052234E-3</v>
      </c>
      <c r="T2136" s="20">
        <v>30</v>
      </c>
      <c r="U2136" s="17">
        <v>2</v>
      </c>
      <c r="V2136" s="17">
        <v>34</v>
      </c>
    </row>
    <row r="2137" spans="1:22" x14ac:dyDescent="0.2">
      <c r="A2137" t="s">
        <v>5109</v>
      </c>
      <c r="B2137" t="s">
        <v>2719</v>
      </c>
      <c r="C2137" t="s">
        <v>2720</v>
      </c>
      <c r="D2137" t="s">
        <v>5091</v>
      </c>
      <c r="E2137" s="10" t="s">
        <v>5110</v>
      </c>
      <c r="F2137" s="10"/>
      <c r="G2137" s="10"/>
      <c r="H2137" s="10" t="s">
        <v>5110</v>
      </c>
      <c r="I2137" s="14">
        <v>83391.49393077963</v>
      </c>
      <c r="J2137" s="19">
        <v>0.91362739512034374</v>
      </c>
      <c r="K2137" s="19">
        <v>8.5104408587597186E-2</v>
      </c>
      <c r="L2137" s="19">
        <v>1.26819629205906E-3</v>
      </c>
      <c r="M2137" s="20">
        <v>3</v>
      </c>
      <c r="N2137" s="19">
        <v>0</v>
      </c>
      <c r="O2137" s="19">
        <v>0</v>
      </c>
      <c r="P2137" s="19">
        <v>8.5104408587597186E-2</v>
      </c>
      <c r="Q2137" s="19">
        <v>0</v>
      </c>
      <c r="R2137" s="19">
        <v>1.2681962920590602E-3</v>
      </c>
      <c r="S2137" s="19">
        <v>0</v>
      </c>
      <c r="T2137" s="20">
        <v>30</v>
      </c>
      <c r="U2137" s="17">
        <v>2</v>
      </c>
      <c r="V2137" s="17">
        <v>34</v>
      </c>
    </row>
    <row r="2138" spans="1:22" x14ac:dyDescent="0.2">
      <c r="A2138" t="s">
        <v>5111</v>
      </c>
      <c r="B2138" t="s">
        <v>2719</v>
      </c>
      <c r="C2138" t="s">
        <v>2720</v>
      </c>
      <c r="D2138" t="s">
        <v>5091</v>
      </c>
      <c r="E2138" s="10" t="s">
        <v>5112</v>
      </c>
      <c r="F2138" s="10"/>
      <c r="G2138" s="10"/>
      <c r="H2138" s="10" t="s">
        <v>5112</v>
      </c>
      <c r="I2138" s="14">
        <v>127304.70901093817</v>
      </c>
      <c r="J2138" s="19">
        <v>0.6905482637311593</v>
      </c>
      <c r="K2138" s="19">
        <v>0.29187879943708472</v>
      </c>
      <c r="L2138" s="19">
        <v>1.7572936831756026E-2</v>
      </c>
      <c r="M2138" s="20">
        <v>3</v>
      </c>
      <c r="N2138" s="19">
        <v>5.5106489258587438E-2</v>
      </c>
      <c r="O2138" s="19">
        <v>0</v>
      </c>
      <c r="P2138" s="19">
        <v>0.23677231017849731</v>
      </c>
      <c r="Q2138" s="19">
        <v>0</v>
      </c>
      <c r="R2138" s="19">
        <v>1.6815280072432381E-2</v>
      </c>
      <c r="S2138" s="19">
        <v>7.5765675932364552E-4</v>
      </c>
      <c r="T2138" s="20">
        <v>30</v>
      </c>
      <c r="U2138" s="17">
        <v>2</v>
      </c>
      <c r="V2138" s="17">
        <v>34</v>
      </c>
    </row>
    <row r="2139" spans="1:22" x14ac:dyDescent="0.2">
      <c r="A2139" t="s">
        <v>5113</v>
      </c>
      <c r="B2139" t="s">
        <v>2719</v>
      </c>
      <c r="C2139" t="s">
        <v>2720</v>
      </c>
      <c r="D2139" t="s">
        <v>5091</v>
      </c>
      <c r="E2139" s="10" t="s">
        <v>5114</v>
      </c>
      <c r="F2139" s="10"/>
      <c r="G2139" s="10"/>
      <c r="H2139" s="10" t="s">
        <v>5114</v>
      </c>
      <c r="I2139" s="14">
        <v>62899.234165186062</v>
      </c>
      <c r="J2139" s="19">
        <v>0.9783682950708259</v>
      </c>
      <c r="K2139" s="19">
        <v>1.0369149911822187E-3</v>
      </c>
      <c r="L2139" s="19">
        <v>2.059478993799203E-2</v>
      </c>
      <c r="M2139" s="20">
        <v>3</v>
      </c>
      <c r="N2139" s="19">
        <v>0</v>
      </c>
      <c r="O2139" s="19">
        <v>0</v>
      </c>
      <c r="P2139" s="19">
        <v>1.0369149911822187E-3</v>
      </c>
      <c r="Q2139" s="19">
        <v>2.0594789937992027E-2</v>
      </c>
      <c r="R2139" s="19">
        <v>0</v>
      </c>
      <c r="S2139" s="19">
        <v>0</v>
      </c>
      <c r="T2139" s="20">
        <v>30</v>
      </c>
      <c r="U2139" s="17">
        <v>2</v>
      </c>
      <c r="V2139" s="17">
        <v>34</v>
      </c>
    </row>
    <row r="2140" spans="1:22" x14ac:dyDescent="0.2">
      <c r="A2140" t="s">
        <v>5115</v>
      </c>
      <c r="B2140" t="s">
        <v>2719</v>
      </c>
      <c r="C2140" t="s">
        <v>2720</v>
      </c>
      <c r="D2140" t="s">
        <v>5091</v>
      </c>
      <c r="E2140" s="10" t="s">
        <v>5116</v>
      </c>
      <c r="F2140" s="10"/>
      <c r="G2140" s="10"/>
      <c r="H2140" s="10" t="s">
        <v>5116</v>
      </c>
      <c r="I2140" s="14">
        <v>179834.56828954536</v>
      </c>
      <c r="J2140" s="19">
        <v>0.28228036418374947</v>
      </c>
      <c r="K2140" s="19">
        <v>0.7074450164409215</v>
      </c>
      <c r="L2140" s="19">
        <v>1.0274619375329079E-2</v>
      </c>
      <c r="M2140" s="20">
        <v>2</v>
      </c>
      <c r="N2140" s="19">
        <v>0.44015142839376054</v>
      </c>
      <c r="O2140" s="19">
        <v>0</v>
      </c>
      <c r="P2140" s="19">
        <v>0.26729358804716086</v>
      </c>
      <c r="Q2140" s="19">
        <v>0</v>
      </c>
      <c r="R2140" s="19">
        <v>9.5958287800504399E-3</v>
      </c>
      <c r="S2140" s="19">
        <v>6.7879059527863896E-4</v>
      </c>
      <c r="T2140" s="20">
        <v>23</v>
      </c>
      <c r="U2140" s="17">
        <v>2</v>
      </c>
      <c r="V2140" s="17">
        <v>34</v>
      </c>
    </row>
    <row r="2141" spans="1:22" x14ac:dyDescent="0.2">
      <c r="A2141" t="s">
        <v>5117</v>
      </c>
      <c r="B2141" t="s">
        <v>2719</v>
      </c>
      <c r="C2141" t="s">
        <v>2720</v>
      </c>
      <c r="D2141" t="s">
        <v>5091</v>
      </c>
      <c r="E2141" s="10" t="s">
        <v>5118</v>
      </c>
      <c r="F2141" s="10"/>
      <c r="G2141" s="10"/>
      <c r="H2141" s="10" t="s">
        <v>5118</v>
      </c>
      <c r="I2141" s="14">
        <v>53495.045140336821</v>
      </c>
      <c r="J2141" s="19">
        <v>0.37408781421198095</v>
      </c>
      <c r="K2141" s="19">
        <v>0.61750185656361678</v>
      </c>
      <c r="L2141" s="19">
        <v>8.4103292244022999E-3</v>
      </c>
      <c r="M2141" s="20">
        <v>2</v>
      </c>
      <c r="N2141" s="19">
        <v>0.38502039448248832</v>
      </c>
      <c r="O2141" s="19">
        <v>0</v>
      </c>
      <c r="P2141" s="19">
        <v>0.23248146208112844</v>
      </c>
      <c r="Q2141" s="19">
        <v>0</v>
      </c>
      <c r="R2141" s="19">
        <v>8.0773703174208539E-3</v>
      </c>
      <c r="S2141" s="19">
        <v>3.3295890698144525E-4</v>
      </c>
      <c r="T2141" s="20">
        <v>23</v>
      </c>
      <c r="U2141" s="17">
        <v>2</v>
      </c>
      <c r="V2141" s="17">
        <v>34</v>
      </c>
    </row>
    <row r="2142" spans="1:22" x14ac:dyDescent="0.2">
      <c r="A2142" t="s">
        <v>5119</v>
      </c>
      <c r="B2142" t="s">
        <v>2719</v>
      </c>
      <c r="C2142" t="s">
        <v>2720</v>
      </c>
      <c r="D2142" t="s">
        <v>5091</v>
      </c>
      <c r="E2142" s="10" t="s">
        <v>5120</v>
      </c>
      <c r="F2142" s="10"/>
      <c r="G2142" s="10"/>
      <c r="H2142" s="10" t="s">
        <v>5120</v>
      </c>
      <c r="I2142" s="14">
        <v>143050.38762601867</v>
      </c>
      <c r="J2142" s="19">
        <v>0.36131183153864938</v>
      </c>
      <c r="K2142" s="19">
        <v>0.5832021160950569</v>
      </c>
      <c r="L2142" s="19">
        <v>5.5486052366293788E-2</v>
      </c>
      <c r="M2142" s="20">
        <v>2</v>
      </c>
      <c r="N2142" s="19">
        <v>0.34927872002968685</v>
      </c>
      <c r="O2142" s="19">
        <v>0</v>
      </c>
      <c r="P2142" s="19">
        <v>0.23392339606536997</v>
      </c>
      <c r="Q2142" s="19">
        <v>1.049006489328686E-2</v>
      </c>
      <c r="R2142" s="19">
        <v>4.0467783422337117E-2</v>
      </c>
      <c r="S2142" s="19">
        <v>4.5282040506698148E-3</v>
      </c>
      <c r="T2142" s="20">
        <v>23</v>
      </c>
      <c r="U2142" s="17">
        <v>2</v>
      </c>
      <c r="V2142" s="17">
        <v>34</v>
      </c>
    </row>
    <row r="2143" spans="1:22" x14ac:dyDescent="0.2">
      <c r="A2143" t="s">
        <v>5121</v>
      </c>
      <c r="B2143" t="s">
        <v>2719</v>
      </c>
      <c r="C2143" t="s">
        <v>2720</v>
      </c>
      <c r="D2143" t="s">
        <v>5091</v>
      </c>
      <c r="E2143" s="10" t="s">
        <v>4178</v>
      </c>
      <c r="F2143" s="10"/>
      <c r="G2143" s="10"/>
      <c r="H2143" s="10" t="s">
        <v>4178</v>
      </c>
      <c r="I2143" s="14">
        <v>352088.54923719901</v>
      </c>
      <c r="J2143" s="19">
        <v>0.99656729232540053</v>
      </c>
      <c r="K2143" s="19">
        <v>3.4133814915515335E-3</v>
      </c>
      <c r="L2143" s="19">
        <v>1.9326183047923005E-5</v>
      </c>
      <c r="M2143" s="20">
        <v>3</v>
      </c>
      <c r="N2143" s="19">
        <v>1.2832469558176894E-3</v>
      </c>
      <c r="O2143" s="19">
        <v>0</v>
      </c>
      <c r="P2143" s="19">
        <v>2.1301345357338441E-3</v>
      </c>
      <c r="Q2143" s="19">
        <v>0</v>
      </c>
      <c r="R2143" s="19">
        <v>3.0336473025727428E-7</v>
      </c>
      <c r="S2143" s="19">
        <v>1.902281831766573E-5</v>
      </c>
      <c r="T2143" s="20">
        <v>30</v>
      </c>
      <c r="U2143" s="17">
        <v>2</v>
      </c>
      <c r="V2143" s="17">
        <v>34</v>
      </c>
    </row>
    <row r="2144" spans="1:22" x14ac:dyDescent="0.2">
      <c r="A2144" t="s">
        <v>5122</v>
      </c>
      <c r="B2144" t="s">
        <v>2719</v>
      </c>
      <c r="C2144" t="s">
        <v>2720</v>
      </c>
      <c r="D2144" t="s">
        <v>5091</v>
      </c>
      <c r="E2144" s="10" t="s">
        <v>2819</v>
      </c>
      <c r="F2144" s="10"/>
      <c r="G2144" s="10"/>
      <c r="H2144" s="10" t="s">
        <v>2819</v>
      </c>
      <c r="I2144" s="14">
        <v>59085.901309513945</v>
      </c>
      <c r="J2144" s="19">
        <v>0.19327772141803426</v>
      </c>
      <c r="K2144" s="19">
        <v>0.78224879267462111</v>
      </c>
      <c r="L2144" s="19">
        <v>2.4473485907344831E-2</v>
      </c>
      <c r="M2144" s="20">
        <v>2</v>
      </c>
      <c r="N2144" s="19">
        <v>0.39684338929290347</v>
      </c>
      <c r="O2144" s="19">
        <v>0</v>
      </c>
      <c r="P2144" s="19">
        <v>0.38540540338171758</v>
      </c>
      <c r="Q2144" s="19">
        <v>0</v>
      </c>
      <c r="R2144" s="19">
        <v>2.3816485087888171E-2</v>
      </c>
      <c r="S2144" s="19">
        <v>6.570008194566599E-4</v>
      </c>
      <c r="T2144" s="20">
        <v>23</v>
      </c>
      <c r="U2144" s="17">
        <v>2</v>
      </c>
      <c r="V2144" s="17">
        <v>34</v>
      </c>
    </row>
    <row r="2145" spans="1:22" x14ac:dyDescent="0.2">
      <c r="A2145" t="s">
        <v>5123</v>
      </c>
      <c r="B2145" t="s">
        <v>2719</v>
      </c>
      <c r="C2145" t="s">
        <v>2720</v>
      </c>
      <c r="D2145" t="s">
        <v>5091</v>
      </c>
      <c r="E2145" s="10" t="s">
        <v>5124</v>
      </c>
      <c r="F2145" s="10"/>
      <c r="G2145" s="10"/>
      <c r="H2145" s="10" t="s">
        <v>5124</v>
      </c>
      <c r="I2145" s="14">
        <v>56562.536117602613</v>
      </c>
      <c r="J2145" s="19">
        <v>0.39168630622809752</v>
      </c>
      <c r="K2145" s="19">
        <v>0.57664029505228898</v>
      </c>
      <c r="L2145" s="19">
        <v>3.1673398719613423E-2</v>
      </c>
      <c r="M2145" s="20">
        <v>2</v>
      </c>
      <c r="N2145" s="19">
        <v>0.26990545999300936</v>
      </c>
      <c r="O2145" s="19">
        <v>0</v>
      </c>
      <c r="P2145" s="19">
        <v>0.30673483505927956</v>
      </c>
      <c r="Q2145" s="19">
        <v>0</v>
      </c>
      <c r="R2145" s="19">
        <v>3.0500712561746669E-2</v>
      </c>
      <c r="S2145" s="19">
        <v>1.172686157866752E-3</v>
      </c>
      <c r="T2145" s="20">
        <v>23</v>
      </c>
      <c r="U2145" s="17">
        <v>2</v>
      </c>
      <c r="V2145" s="17">
        <v>34</v>
      </c>
    </row>
    <row r="2146" spans="1:22" x14ac:dyDescent="0.2">
      <c r="A2146" t="s">
        <v>5125</v>
      </c>
      <c r="B2146" t="s">
        <v>2719</v>
      </c>
      <c r="C2146" t="s">
        <v>2720</v>
      </c>
      <c r="D2146" t="s">
        <v>5091</v>
      </c>
      <c r="E2146" s="10" t="s">
        <v>3372</v>
      </c>
      <c r="F2146" s="10"/>
      <c r="G2146" s="10"/>
      <c r="H2146" s="10" t="s">
        <v>3372</v>
      </c>
      <c r="I2146" s="14">
        <v>65950.231712651672</v>
      </c>
      <c r="J2146" s="19">
        <v>0.14942936977519519</v>
      </c>
      <c r="K2146" s="19">
        <v>0.82966228166469802</v>
      </c>
      <c r="L2146" s="19">
        <v>2.0908348560106857E-2</v>
      </c>
      <c r="M2146" s="20">
        <v>2</v>
      </c>
      <c r="N2146" s="19">
        <v>0.59670376858803087</v>
      </c>
      <c r="O2146" s="19">
        <v>0</v>
      </c>
      <c r="P2146" s="19">
        <v>0.23295851307666712</v>
      </c>
      <c r="Q2146" s="19">
        <v>0</v>
      </c>
      <c r="R2146" s="19">
        <v>1.9730246100929862E-2</v>
      </c>
      <c r="S2146" s="19">
        <v>1.1781024591769956E-3</v>
      </c>
      <c r="T2146" s="20">
        <v>23</v>
      </c>
      <c r="U2146" s="17">
        <v>2</v>
      </c>
      <c r="V2146" s="17">
        <v>34</v>
      </c>
    </row>
    <row r="2147" spans="1:22" x14ac:dyDescent="0.2">
      <c r="A2147" t="s">
        <v>5126</v>
      </c>
      <c r="B2147" t="s">
        <v>2719</v>
      </c>
      <c r="C2147" t="s">
        <v>2720</v>
      </c>
      <c r="D2147" t="s">
        <v>5091</v>
      </c>
      <c r="E2147" s="10" t="s">
        <v>5127</v>
      </c>
      <c r="F2147" s="10"/>
      <c r="G2147" s="10"/>
      <c r="H2147" s="10" t="s">
        <v>5127</v>
      </c>
      <c r="I2147" s="14">
        <v>46390.020621075761</v>
      </c>
      <c r="J2147" s="19">
        <v>0</v>
      </c>
      <c r="K2147" s="19">
        <v>0.97903803099734732</v>
      </c>
      <c r="L2147" s="19">
        <v>2.0961969002652698E-2</v>
      </c>
      <c r="M2147" s="20">
        <v>2</v>
      </c>
      <c r="N2147" s="19">
        <v>0.79455840696442548</v>
      </c>
      <c r="O2147" s="19">
        <v>0</v>
      </c>
      <c r="P2147" s="19">
        <v>0.18447962403292179</v>
      </c>
      <c r="Q2147" s="19">
        <v>0</v>
      </c>
      <c r="R2147" s="19">
        <v>2.0383741738210674E-2</v>
      </c>
      <c r="S2147" s="19">
        <v>5.7822726444202379E-4</v>
      </c>
      <c r="T2147" s="20">
        <v>23</v>
      </c>
      <c r="U2147" s="17">
        <v>2</v>
      </c>
      <c r="V2147" s="17">
        <v>34</v>
      </c>
    </row>
    <row r="2148" spans="1:22" x14ac:dyDescent="0.2">
      <c r="A2148" t="s">
        <v>5128</v>
      </c>
      <c r="B2148" t="s">
        <v>2719</v>
      </c>
      <c r="C2148" t="s">
        <v>2720</v>
      </c>
      <c r="D2148" t="s">
        <v>5091</v>
      </c>
      <c r="E2148" s="10" t="s">
        <v>3082</v>
      </c>
      <c r="F2148" s="10"/>
      <c r="G2148" s="10"/>
      <c r="H2148" s="10" t="s">
        <v>3082</v>
      </c>
      <c r="I2148" s="14">
        <v>42555.377494080225</v>
      </c>
      <c r="J2148" s="19">
        <v>0.33526069707816791</v>
      </c>
      <c r="K2148" s="19">
        <v>0.66216609330655174</v>
      </c>
      <c r="L2148" s="19">
        <v>2.5732096152803687E-3</v>
      </c>
      <c r="M2148" s="20">
        <v>2</v>
      </c>
      <c r="N2148" s="19">
        <v>0.5652195198988248</v>
      </c>
      <c r="O2148" s="19">
        <v>0</v>
      </c>
      <c r="P2148" s="19">
        <v>9.694657340772693E-2</v>
      </c>
      <c r="Q2148" s="19">
        <v>0</v>
      </c>
      <c r="R2148" s="19">
        <v>1.4704890608914134E-3</v>
      </c>
      <c r="S2148" s="19">
        <v>1.1027205543889553E-3</v>
      </c>
      <c r="T2148" s="20">
        <v>23</v>
      </c>
      <c r="U2148" s="17">
        <v>2</v>
      </c>
      <c r="V2148" s="17">
        <v>34</v>
      </c>
    </row>
    <row r="2149" spans="1:22" x14ac:dyDescent="0.2">
      <c r="A2149" t="s">
        <v>5129</v>
      </c>
      <c r="B2149" t="s">
        <v>2719</v>
      </c>
      <c r="C2149" t="s">
        <v>2720</v>
      </c>
      <c r="D2149" t="s">
        <v>5091</v>
      </c>
      <c r="E2149" s="10" t="s">
        <v>5130</v>
      </c>
      <c r="F2149" s="10"/>
      <c r="G2149" s="10"/>
      <c r="H2149" s="10" t="s">
        <v>5130</v>
      </c>
      <c r="I2149" s="14">
        <v>32502.723529487852</v>
      </c>
      <c r="J2149" s="19">
        <v>0.84794831541088256</v>
      </c>
      <c r="K2149" s="19">
        <v>0.14302906458083034</v>
      </c>
      <c r="L2149" s="19">
        <v>9.0226200082870172E-3</v>
      </c>
      <c r="M2149" s="20">
        <v>3</v>
      </c>
      <c r="N2149" s="19">
        <v>0</v>
      </c>
      <c r="O2149" s="19">
        <v>0</v>
      </c>
      <c r="P2149" s="19">
        <v>0.14302906458083034</v>
      </c>
      <c r="Q2149" s="19">
        <v>0</v>
      </c>
      <c r="R2149" s="19">
        <v>8.8615634375955807E-3</v>
      </c>
      <c r="S2149" s="19">
        <v>1.610565706914373E-4</v>
      </c>
      <c r="T2149" s="20">
        <v>30</v>
      </c>
      <c r="U2149" s="17">
        <v>2</v>
      </c>
      <c r="V2149" s="17">
        <v>34</v>
      </c>
    </row>
    <row r="2150" spans="1:22" x14ac:dyDescent="0.2">
      <c r="A2150" t="s">
        <v>5131</v>
      </c>
      <c r="B2150" t="s">
        <v>2719</v>
      </c>
      <c r="C2150" t="s">
        <v>2720</v>
      </c>
      <c r="D2150" t="s">
        <v>5132</v>
      </c>
      <c r="E2150" s="10" t="s">
        <v>5133</v>
      </c>
      <c r="F2150" s="10"/>
      <c r="G2150" s="10"/>
      <c r="H2150" s="10" t="s">
        <v>5133</v>
      </c>
      <c r="I2150" s="14">
        <v>33641.018017679453</v>
      </c>
      <c r="J2150" s="19">
        <v>0</v>
      </c>
      <c r="K2150" s="19">
        <v>0.50312601742543306</v>
      </c>
      <c r="L2150" s="19">
        <v>0.49687398257456683</v>
      </c>
      <c r="M2150" s="20">
        <v>2</v>
      </c>
      <c r="N2150" s="19">
        <v>0</v>
      </c>
      <c r="O2150" s="19">
        <v>0</v>
      </c>
      <c r="P2150" s="19">
        <v>0.50312601742543306</v>
      </c>
      <c r="Q2150" s="19">
        <v>0.14651637605129245</v>
      </c>
      <c r="R2150" s="19">
        <v>0.32477401893735486</v>
      </c>
      <c r="S2150" s="19">
        <v>2.5583587585919602E-2</v>
      </c>
      <c r="T2150" s="20">
        <v>21</v>
      </c>
      <c r="U2150" s="17">
        <v>2</v>
      </c>
      <c r="V2150" s="17">
        <v>34</v>
      </c>
    </row>
    <row r="2151" spans="1:22" x14ac:dyDescent="0.2">
      <c r="A2151" t="s">
        <v>5134</v>
      </c>
      <c r="B2151" t="s">
        <v>2719</v>
      </c>
      <c r="C2151" t="s">
        <v>2720</v>
      </c>
      <c r="D2151" t="s">
        <v>5132</v>
      </c>
      <c r="E2151" s="10" t="s">
        <v>5135</v>
      </c>
      <c r="F2151" s="10"/>
      <c r="G2151" s="10"/>
      <c r="H2151" s="10" t="s">
        <v>5135</v>
      </c>
      <c r="I2151" s="14">
        <v>49741.139500408433</v>
      </c>
      <c r="J2151" s="19">
        <v>0</v>
      </c>
      <c r="K2151" s="19">
        <v>0.96719952035294188</v>
      </c>
      <c r="L2151" s="19">
        <v>3.2800479647058178E-2</v>
      </c>
      <c r="M2151" s="20">
        <v>2</v>
      </c>
      <c r="N2151" s="19">
        <v>0.30254857754736869</v>
      </c>
      <c r="O2151" s="19">
        <v>0</v>
      </c>
      <c r="P2151" s="19">
        <v>0.66465094280557313</v>
      </c>
      <c r="Q2151" s="19">
        <v>0</v>
      </c>
      <c r="R2151" s="19">
        <v>2.9951894516837867E-2</v>
      </c>
      <c r="S2151" s="19">
        <v>2.8485851302203075E-3</v>
      </c>
      <c r="T2151" s="20">
        <v>21</v>
      </c>
      <c r="U2151" s="17">
        <v>2</v>
      </c>
      <c r="V2151" s="17">
        <v>34</v>
      </c>
    </row>
    <row r="2152" spans="1:22" x14ac:dyDescent="0.2">
      <c r="A2152" t="s">
        <v>5136</v>
      </c>
      <c r="B2152" t="s">
        <v>2719</v>
      </c>
      <c r="C2152" t="s">
        <v>2720</v>
      </c>
      <c r="D2152" t="s">
        <v>5132</v>
      </c>
      <c r="E2152" s="10" t="s">
        <v>5137</v>
      </c>
      <c r="F2152" s="10"/>
      <c r="G2152" s="10"/>
      <c r="H2152" s="10" t="s">
        <v>5137</v>
      </c>
      <c r="I2152" s="14">
        <v>105059.48688856419</v>
      </c>
      <c r="J2152" s="19">
        <v>0</v>
      </c>
      <c r="K2152" s="19">
        <v>0.92479890266858078</v>
      </c>
      <c r="L2152" s="19">
        <v>7.5201097331419275E-2</v>
      </c>
      <c r="M2152" s="20">
        <v>2</v>
      </c>
      <c r="N2152" s="19">
        <v>0.17163011409056844</v>
      </c>
      <c r="O2152" s="19">
        <v>0</v>
      </c>
      <c r="P2152" s="19">
        <v>0.75316878857801228</v>
      </c>
      <c r="Q2152" s="19">
        <v>2.9056191091631719E-3</v>
      </c>
      <c r="R2152" s="19">
        <v>7.0316914979074191E-2</v>
      </c>
      <c r="S2152" s="19">
        <v>1.9785632431818952E-3</v>
      </c>
      <c r="T2152" s="20">
        <v>21</v>
      </c>
      <c r="U2152" s="17">
        <v>2</v>
      </c>
      <c r="V2152" s="17">
        <v>34</v>
      </c>
    </row>
    <row r="2153" spans="1:22" x14ac:dyDescent="0.2">
      <c r="A2153" t="s">
        <v>5138</v>
      </c>
      <c r="B2153" t="s">
        <v>2719</v>
      </c>
      <c r="C2153" t="s">
        <v>2720</v>
      </c>
      <c r="D2153" t="s">
        <v>5132</v>
      </c>
      <c r="E2153" s="10" t="s">
        <v>3330</v>
      </c>
      <c r="F2153" s="10"/>
      <c r="G2153" s="10"/>
      <c r="H2153" s="10" t="s">
        <v>3330</v>
      </c>
      <c r="I2153" s="14">
        <v>50445.018752784468</v>
      </c>
      <c r="J2153" s="19">
        <v>1.5444283112125442E-4</v>
      </c>
      <c r="K2153" s="19">
        <v>0.97433880242609394</v>
      </c>
      <c r="L2153" s="19">
        <v>2.5506754742784823E-2</v>
      </c>
      <c r="M2153" s="20">
        <v>2</v>
      </c>
      <c r="N2153" s="19">
        <v>0.69856749656970818</v>
      </c>
      <c r="O2153" s="19">
        <v>0</v>
      </c>
      <c r="P2153" s="19">
        <v>0.27577130585638571</v>
      </c>
      <c r="Q2153" s="19">
        <v>0</v>
      </c>
      <c r="R2153" s="19">
        <v>2.3755682209524193E-2</v>
      </c>
      <c r="S2153" s="19">
        <v>1.7510725332606284E-3</v>
      </c>
      <c r="T2153" s="20">
        <v>23</v>
      </c>
      <c r="U2153" s="17">
        <v>2</v>
      </c>
      <c r="V2153" s="17">
        <v>34</v>
      </c>
    </row>
    <row r="2154" spans="1:22" x14ac:dyDescent="0.2">
      <c r="A2154" t="s">
        <v>5139</v>
      </c>
      <c r="B2154" t="s">
        <v>2719</v>
      </c>
      <c r="C2154" t="s">
        <v>2720</v>
      </c>
      <c r="D2154" t="s">
        <v>5132</v>
      </c>
      <c r="E2154" s="10" t="s">
        <v>3148</v>
      </c>
      <c r="F2154" s="10"/>
      <c r="G2154" s="10"/>
      <c r="H2154" s="10" t="s">
        <v>3148</v>
      </c>
      <c r="I2154" s="14">
        <v>45506.215225881897</v>
      </c>
      <c r="J2154" s="19">
        <v>0</v>
      </c>
      <c r="K2154" s="19">
        <v>0.93950971223474167</v>
      </c>
      <c r="L2154" s="19">
        <v>6.0490287765258312E-2</v>
      </c>
      <c r="M2154" s="20">
        <v>2</v>
      </c>
      <c r="N2154" s="19">
        <v>0</v>
      </c>
      <c r="O2154" s="19">
        <v>0</v>
      </c>
      <c r="P2154" s="19">
        <v>0.93950971223474167</v>
      </c>
      <c r="Q2154" s="19">
        <v>0</v>
      </c>
      <c r="R2154" s="19">
        <v>6.0490287765258312E-2</v>
      </c>
      <c r="S2154" s="19">
        <v>0</v>
      </c>
      <c r="T2154" s="20">
        <v>21</v>
      </c>
      <c r="U2154" s="17">
        <v>2</v>
      </c>
      <c r="V2154" s="17">
        <v>34</v>
      </c>
    </row>
    <row r="2155" spans="1:22" x14ac:dyDescent="0.2">
      <c r="A2155" t="s">
        <v>5140</v>
      </c>
      <c r="B2155" t="s">
        <v>2719</v>
      </c>
      <c r="C2155" t="s">
        <v>2720</v>
      </c>
      <c r="D2155" t="s">
        <v>5132</v>
      </c>
      <c r="E2155" s="10" t="s">
        <v>5141</v>
      </c>
      <c r="F2155" s="10"/>
      <c r="G2155" s="10"/>
      <c r="H2155" s="10" t="s">
        <v>5141</v>
      </c>
      <c r="I2155" s="14">
        <v>68150.222706005443</v>
      </c>
      <c r="J2155" s="19">
        <v>0</v>
      </c>
      <c r="K2155" s="19">
        <v>0.96746474244869685</v>
      </c>
      <c r="L2155" s="19">
        <v>3.2535257551303196E-2</v>
      </c>
      <c r="M2155" s="20">
        <v>2</v>
      </c>
      <c r="N2155" s="19">
        <v>0.4261321259086952</v>
      </c>
      <c r="O2155" s="19">
        <v>0</v>
      </c>
      <c r="P2155" s="19">
        <v>0.54133261654000164</v>
      </c>
      <c r="Q2155" s="19">
        <v>0</v>
      </c>
      <c r="R2155" s="19">
        <v>3.004693834651052E-2</v>
      </c>
      <c r="S2155" s="19">
        <v>2.4883192047926747E-3</v>
      </c>
      <c r="T2155" s="20">
        <v>21</v>
      </c>
      <c r="U2155" s="17">
        <v>2</v>
      </c>
      <c r="V2155" s="17">
        <v>34</v>
      </c>
    </row>
    <row r="2156" spans="1:22" x14ac:dyDescent="0.2">
      <c r="A2156" t="s">
        <v>5142</v>
      </c>
      <c r="B2156" t="s">
        <v>2719</v>
      </c>
      <c r="C2156" t="s">
        <v>2720</v>
      </c>
      <c r="D2156" t="s">
        <v>5132</v>
      </c>
      <c r="E2156" s="10" t="s">
        <v>5143</v>
      </c>
      <c r="F2156" s="10"/>
      <c r="G2156" s="10"/>
      <c r="H2156" s="10" t="s">
        <v>5143</v>
      </c>
      <c r="I2156" s="14">
        <v>32933.895573461195</v>
      </c>
      <c r="J2156" s="19">
        <v>0.27031320138050663</v>
      </c>
      <c r="K2156" s="19">
        <v>0.53857402558461298</v>
      </c>
      <c r="L2156" s="19">
        <v>0.19111277303488042</v>
      </c>
      <c r="M2156" s="20">
        <v>2</v>
      </c>
      <c r="N2156" s="19">
        <v>0</v>
      </c>
      <c r="O2156" s="19">
        <v>1.5921527912763248E-2</v>
      </c>
      <c r="P2156" s="19">
        <v>0.52265249767184974</v>
      </c>
      <c r="Q2156" s="19">
        <v>3.6169530639510859E-2</v>
      </c>
      <c r="R2156" s="19">
        <v>0.15028822247571871</v>
      </c>
      <c r="S2156" s="19">
        <v>4.6550199196508362E-3</v>
      </c>
      <c r="T2156" s="20">
        <v>21</v>
      </c>
      <c r="U2156" s="17">
        <v>2</v>
      </c>
      <c r="V2156" s="17">
        <v>34</v>
      </c>
    </row>
    <row r="2157" spans="1:22" x14ac:dyDescent="0.2">
      <c r="A2157" t="s">
        <v>5144</v>
      </c>
      <c r="B2157" t="s">
        <v>2719</v>
      </c>
      <c r="C2157" t="s">
        <v>2720</v>
      </c>
      <c r="D2157" t="s">
        <v>5132</v>
      </c>
      <c r="E2157" s="10" t="s">
        <v>5145</v>
      </c>
      <c r="F2157" s="10"/>
      <c r="G2157" s="10"/>
      <c r="H2157" s="10" t="s">
        <v>5145</v>
      </c>
      <c r="I2157" s="14">
        <v>53072.323793589137</v>
      </c>
      <c r="J2157" s="19">
        <v>0</v>
      </c>
      <c r="K2157" s="19">
        <v>0.74467486053843734</v>
      </c>
      <c r="L2157" s="19">
        <v>0.25532513946156266</v>
      </c>
      <c r="M2157" s="20">
        <v>2</v>
      </c>
      <c r="N2157" s="19">
        <v>0</v>
      </c>
      <c r="O2157" s="19">
        <v>3.7128713922884228E-2</v>
      </c>
      <c r="P2157" s="19">
        <v>0.70754614661555315</v>
      </c>
      <c r="Q2157" s="19">
        <v>2.1855668801861088E-3</v>
      </c>
      <c r="R2157" s="19">
        <v>0.24454931659977661</v>
      </c>
      <c r="S2157" s="19">
        <v>8.5902559815999504E-3</v>
      </c>
      <c r="T2157" s="20">
        <v>21</v>
      </c>
      <c r="U2157" s="17">
        <v>2</v>
      </c>
      <c r="V2157" s="17">
        <v>34</v>
      </c>
    </row>
    <row r="2158" spans="1:22" x14ac:dyDescent="0.2">
      <c r="A2158" t="s">
        <v>5146</v>
      </c>
      <c r="B2158" t="s">
        <v>2719</v>
      </c>
      <c r="C2158" t="s">
        <v>2720</v>
      </c>
      <c r="D2158" t="s">
        <v>5132</v>
      </c>
      <c r="E2158" s="10" t="s">
        <v>5147</v>
      </c>
      <c r="F2158" s="10"/>
      <c r="G2158" s="10"/>
      <c r="H2158" s="10" t="s">
        <v>5147</v>
      </c>
      <c r="I2158" s="14">
        <v>38201.791081753559</v>
      </c>
      <c r="J2158" s="19">
        <v>0</v>
      </c>
      <c r="K2158" s="19">
        <v>0.98912555456512175</v>
      </c>
      <c r="L2158" s="19">
        <v>1.0874445434878208E-2</v>
      </c>
      <c r="M2158" s="20">
        <v>2</v>
      </c>
      <c r="N2158" s="19">
        <v>0.8399726444238117</v>
      </c>
      <c r="O2158" s="19">
        <v>0</v>
      </c>
      <c r="P2158" s="19">
        <v>0.14915291014131007</v>
      </c>
      <c r="Q2158" s="19">
        <v>0</v>
      </c>
      <c r="R2158" s="19">
        <v>1.0439019505149746E-2</v>
      </c>
      <c r="S2158" s="19">
        <v>4.3542592972846216E-4</v>
      </c>
      <c r="T2158" s="20">
        <v>23</v>
      </c>
      <c r="U2158" s="17">
        <v>2</v>
      </c>
      <c r="V2158" s="17">
        <v>34</v>
      </c>
    </row>
    <row r="2159" spans="1:22" x14ac:dyDescent="0.2">
      <c r="A2159" t="s">
        <v>5148</v>
      </c>
      <c r="B2159" t="s">
        <v>2719</v>
      </c>
      <c r="C2159" t="s">
        <v>2720</v>
      </c>
      <c r="D2159" t="s">
        <v>5132</v>
      </c>
      <c r="E2159" s="10" t="s">
        <v>5149</v>
      </c>
      <c r="F2159" s="10"/>
      <c r="G2159" s="10"/>
      <c r="H2159" s="10" t="s">
        <v>5149</v>
      </c>
      <c r="I2159" s="14">
        <v>37751.800177503377</v>
      </c>
      <c r="J2159" s="19">
        <v>0.52969504429519598</v>
      </c>
      <c r="K2159" s="19">
        <v>0.39830976204441582</v>
      </c>
      <c r="L2159" s="19">
        <v>7.1995193660388188E-2</v>
      </c>
      <c r="M2159" s="20">
        <v>3</v>
      </c>
      <c r="N2159" s="19">
        <v>0</v>
      </c>
      <c r="O2159" s="19">
        <v>0</v>
      </c>
      <c r="P2159" s="19">
        <v>0.39830976204441582</v>
      </c>
      <c r="Q2159" s="19">
        <v>2.9424995727105791E-2</v>
      </c>
      <c r="R2159" s="19">
        <v>3.7289901060140469E-2</v>
      </c>
      <c r="S2159" s="19">
        <v>5.2802968731419176E-3</v>
      </c>
      <c r="T2159" s="20">
        <v>30</v>
      </c>
      <c r="U2159" s="17">
        <v>2</v>
      </c>
      <c r="V2159" s="17">
        <v>34</v>
      </c>
    </row>
    <row r="2160" spans="1:22" x14ac:dyDescent="0.2">
      <c r="A2160" t="s">
        <v>5150</v>
      </c>
      <c r="B2160" t="s">
        <v>2719</v>
      </c>
      <c r="C2160" t="s">
        <v>2720</v>
      </c>
      <c r="D2160" t="s">
        <v>5132</v>
      </c>
      <c r="E2160" s="10" t="s">
        <v>5151</v>
      </c>
      <c r="F2160" s="10"/>
      <c r="G2160" s="10"/>
      <c r="H2160" s="10" t="s">
        <v>5151</v>
      </c>
      <c r="I2160" s="14">
        <v>140586.5990596523</v>
      </c>
      <c r="J2160" s="19">
        <v>0.37898512847852445</v>
      </c>
      <c r="K2160" s="19">
        <v>0.58707111008161927</v>
      </c>
      <c r="L2160" s="19">
        <v>3.3943761439856272E-2</v>
      </c>
      <c r="M2160" s="20">
        <v>2</v>
      </c>
      <c r="N2160" s="19">
        <v>0.16395522602541193</v>
      </c>
      <c r="O2160" s="19">
        <v>0</v>
      </c>
      <c r="P2160" s="19">
        <v>0.42311588405620737</v>
      </c>
      <c r="Q2160" s="19">
        <v>5.5452838310198881E-3</v>
      </c>
      <c r="R2160" s="19">
        <v>2.6980430914929444E-2</v>
      </c>
      <c r="S2160" s="19">
        <v>1.4180466939069428E-3</v>
      </c>
      <c r="T2160" s="20">
        <v>23</v>
      </c>
      <c r="U2160" s="17">
        <v>2</v>
      </c>
      <c r="V2160" s="17">
        <v>34</v>
      </c>
    </row>
    <row r="2161" spans="1:22" x14ac:dyDescent="0.2">
      <c r="A2161" t="s">
        <v>5152</v>
      </c>
      <c r="B2161" t="s">
        <v>2719</v>
      </c>
      <c r="C2161" t="s">
        <v>2720</v>
      </c>
      <c r="D2161" t="s">
        <v>5132</v>
      </c>
      <c r="E2161" s="10" t="s">
        <v>5153</v>
      </c>
      <c r="F2161" s="10"/>
      <c r="G2161" s="10"/>
      <c r="H2161" s="10" t="s">
        <v>5153</v>
      </c>
      <c r="I2161" s="14">
        <v>61438.255010201479</v>
      </c>
      <c r="J2161" s="19">
        <v>0</v>
      </c>
      <c r="K2161" s="19">
        <v>0.94812384509785785</v>
      </c>
      <c r="L2161" s="19">
        <v>5.1876154902142119E-2</v>
      </c>
      <c r="M2161" s="20">
        <v>2</v>
      </c>
      <c r="N2161" s="19">
        <v>0.46294997703790514</v>
      </c>
      <c r="O2161" s="19">
        <v>0</v>
      </c>
      <c r="P2161" s="19">
        <v>0.48517386805995272</v>
      </c>
      <c r="Q2161" s="19">
        <v>6.8206321908198739E-3</v>
      </c>
      <c r="R2161" s="19">
        <v>4.2980934710282769E-2</v>
      </c>
      <c r="S2161" s="19">
        <v>2.0745880010394776E-3</v>
      </c>
      <c r="T2161" s="20">
        <v>23</v>
      </c>
      <c r="U2161" s="17">
        <v>2</v>
      </c>
      <c r="V2161" s="17">
        <v>34</v>
      </c>
    </row>
    <row r="2162" spans="1:22" x14ac:dyDescent="0.2">
      <c r="A2162" t="s">
        <v>5154</v>
      </c>
      <c r="B2162" t="s">
        <v>2719</v>
      </c>
      <c r="C2162" t="s">
        <v>2720</v>
      </c>
      <c r="D2162" t="s">
        <v>5132</v>
      </c>
      <c r="E2162" s="10" t="s">
        <v>5155</v>
      </c>
      <c r="F2162" s="10"/>
      <c r="G2162" s="10"/>
      <c r="H2162" s="10" t="s">
        <v>5155</v>
      </c>
      <c r="I2162" s="14">
        <v>94652.660199791193</v>
      </c>
      <c r="J2162" s="19">
        <v>0.90942897633473219</v>
      </c>
      <c r="K2162" s="19">
        <v>7.9127979160588516E-2</v>
      </c>
      <c r="L2162" s="19">
        <v>1.144304450467931E-2</v>
      </c>
      <c r="M2162" s="20">
        <v>3</v>
      </c>
      <c r="N2162" s="19">
        <v>0</v>
      </c>
      <c r="O2162" s="19">
        <v>0</v>
      </c>
      <c r="P2162" s="19">
        <v>7.9127979160588516E-2</v>
      </c>
      <c r="Q2162" s="19">
        <v>5.1808253001640082E-3</v>
      </c>
      <c r="R2162" s="19">
        <v>6.1185987665033992E-3</v>
      </c>
      <c r="S2162" s="19">
        <v>1.4362043801190223E-4</v>
      </c>
      <c r="T2162" s="20">
        <v>30</v>
      </c>
      <c r="U2162" s="17">
        <v>2</v>
      </c>
      <c r="V2162" s="17">
        <v>34</v>
      </c>
    </row>
    <row r="2163" spans="1:22" x14ac:dyDescent="0.2">
      <c r="A2163" t="s">
        <v>5156</v>
      </c>
      <c r="B2163" t="s">
        <v>2719</v>
      </c>
      <c r="C2163" t="s">
        <v>2720</v>
      </c>
      <c r="D2163" t="s">
        <v>5132</v>
      </c>
      <c r="E2163" s="10" t="s">
        <v>5157</v>
      </c>
      <c r="F2163" s="10"/>
      <c r="G2163" s="10"/>
      <c r="H2163" s="10" t="s">
        <v>5157</v>
      </c>
      <c r="I2163" s="14">
        <v>91264.039022471756</v>
      </c>
      <c r="J2163" s="19">
        <v>0</v>
      </c>
      <c r="K2163" s="19">
        <v>0.80807068478647537</v>
      </c>
      <c r="L2163" s="19">
        <v>0.19192931521352455</v>
      </c>
      <c r="M2163" s="20">
        <v>2</v>
      </c>
      <c r="N2163" s="19">
        <v>0.30294541072072639</v>
      </c>
      <c r="O2163" s="19">
        <v>0.10160837023682899</v>
      </c>
      <c r="P2163" s="19">
        <v>0.40351690382892003</v>
      </c>
      <c r="Q2163" s="19">
        <v>6.0620368560815707E-2</v>
      </c>
      <c r="R2163" s="19">
        <v>0.12241412108016804</v>
      </c>
      <c r="S2163" s="19">
        <v>8.8948255725408345E-3</v>
      </c>
      <c r="T2163" s="20">
        <v>23</v>
      </c>
      <c r="U2163" s="17">
        <v>2</v>
      </c>
      <c r="V2163" s="17">
        <v>34</v>
      </c>
    </row>
    <row r="2164" spans="1:22" x14ac:dyDescent="0.2">
      <c r="A2164" t="s">
        <v>5158</v>
      </c>
      <c r="B2164" t="s">
        <v>2719</v>
      </c>
      <c r="C2164" t="s">
        <v>2720</v>
      </c>
      <c r="D2164" t="s">
        <v>5132</v>
      </c>
      <c r="E2164" s="10" t="s">
        <v>5159</v>
      </c>
      <c r="F2164" s="10"/>
      <c r="G2164" s="10"/>
      <c r="H2164" s="10" t="s">
        <v>5159</v>
      </c>
      <c r="I2164" s="14">
        <v>77288.174297180958</v>
      </c>
      <c r="J2164" s="19">
        <v>2.202318374861776E-2</v>
      </c>
      <c r="K2164" s="19">
        <v>0.91652300808260323</v>
      </c>
      <c r="L2164" s="19">
        <v>6.1453808168779059E-2</v>
      </c>
      <c r="M2164" s="20">
        <v>2</v>
      </c>
      <c r="N2164" s="19">
        <v>0.41075336554264519</v>
      </c>
      <c r="O2164" s="19">
        <v>0</v>
      </c>
      <c r="P2164" s="19">
        <v>0.50576964253995804</v>
      </c>
      <c r="Q2164" s="19">
        <v>1.271633955422783E-2</v>
      </c>
      <c r="R2164" s="19">
        <v>4.5494073808977908E-2</v>
      </c>
      <c r="S2164" s="19">
        <v>3.2433948055733183E-3</v>
      </c>
      <c r="T2164" s="20">
        <v>21</v>
      </c>
      <c r="U2164" s="17">
        <v>2</v>
      </c>
      <c r="V2164" s="17">
        <v>34</v>
      </c>
    </row>
    <row r="2165" spans="1:22" x14ac:dyDescent="0.2">
      <c r="A2165" t="s">
        <v>5160</v>
      </c>
      <c r="B2165" t="s">
        <v>2719</v>
      </c>
      <c r="C2165" t="s">
        <v>2720</v>
      </c>
      <c r="D2165" t="s">
        <v>5132</v>
      </c>
      <c r="E2165" s="10" t="s">
        <v>3893</v>
      </c>
      <c r="F2165" s="10"/>
      <c r="G2165" s="10"/>
      <c r="H2165" s="10" t="s">
        <v>3893</v>
      </c>
      <c r="I2165" s="14">
        <v>19107.414501696127</v>
      </c>
      <c r="J2165" s="19">
        <v>0</v>
      </c>
      <c r="K2165" s="19">
        <v>0.39500991472745473</v>
      </c>
      <c r="L2165" s="19">
        <v>0.60499008527254527</v>
      </c>
      <c r="M2165" s="20">
        <v>1</v>
      </c>
      <c r="N2165" s="19">
        <v>0</v>
      </c>
      <c r="O2165" s="19">
        <v>0.3950091553631831</v>
      </c>
      <c r="P2165" s="19">
        <v>7.5936427170037531E-7</v>
      </c>
      <c r="Q2165" s="19">
        <v>0.18762439286025048</v>
      </c>
      <c r="R2165" s="19">
        <v>0.365464392216583</v>
      </c>
      <c r="S2165" s="19">
        <v>5.1901300195711722E-2</v>
      </c>
      <c r="T2165" s="20">
        <v>12</v>
      </c>
      <c r="U2165" s="17">
        <v>2</v>
      </c>
      <c r="V2165" s="17">
        <v>34</v>
      </c>
    </row>
    <row r="2166" spans="1:22" x14ac:dyDescent="0.2">
      <c r="A2166" t="s">
        <v>5161</v>
      </c>
      <c r="B2166" t="s">
        <v>2719</v>
      </c>
      <c r="C2166" t="s">
        <v>2720</v>
      </c>
      <c r="D2166" t="s">
        <v>5132</v>
      </c>
      <c r="E2166" s="10" t="s">
        <v>5162</v>
      </c>
      <c r="F2166" s="10"/>
      <c r="G2166" s="10"/>
      <c r="H2166" s="10" t="s">
        <v>5162</v>
      </c>
      <c r="I2166" s="14">
        <v>113062.97614684142</v>
      </c>
      <c r="J2166" s="19">
        <v>0.84883746309194485</v>
      </c>
      <c r="K2166" s="19">
        <v>0.15074428241833279</v>
      </c>
      <c r="L2166" s="19">
        <v>4.1825448972241048E-4</v>
      </c>
      <c r="M2166" s="20">
        <v>3</v>
      </c>
      <c r="N2166" s="19">
        <v>8.5595033263388257E-2</v>
      </c>
      <c r="O2166" s="19">
        <v>0</v>
      </c>
      <c r="P2166" s="19">
        <v>6.5149249154944536E-2</v>
      </c>
      <c r="Q2166" s="19">
        <v>0</v>
      </c>
      <c r="R2166" s="19">
        <v>0</v>
      </c>
      <c r="S2166" s="19">
        <v>4.1825448972241048E-4</v>
      </c>
      <c r="T2166" s="20">
        <v>30</v>
      </c>
      <c r="U2166" s="17">
        <v>2</v>
      </c>
      <c r="V2166" s="17">
        <v>34</v>
      </c>
    </row>
    <row r="2167" spans="1:22" x14ac:dyDescent="0.2">
      <c r="A2167" t="s">
        <v>5163</v>
      </c>
      <c r="B2167" t="s">
        <v>2719</v>
      </c>
      <c r="C2167" t="s">
        <v>2720</v>
      </c>
      <c r="D2167" t="s">
        <v>5132</v>
      </c>
      <c r="E2167" s="10" t="s">
        <v>5164</v>
      </c>
      <c r="F2167" s="10"/>
      <c r="G2167" s="10"/>
      <c r="H2167" s="10" t="s">
        <v>5164</v>
      </c>
      <c r="I2167" s="14">
        <v>208729.54766708985</v>
      </c>
      <c r="J2167" s="19">
        <v>1</v>
      </c>
      <c r="K2167" s="19">
        <v>0</v>
      </c>
      <c r="L2167" s="19">
        <v>0</v>
      </c>
      <c r="M2167" s="20">
        <v>3</v>
      </c>
      <c r="N2167" s="19">
        <v>0</v>
      </c>
      <c r="O2167" s="19">
        <v>0</v>
      </c>
      <c r="P2167" s="19">
        <v>0</v>
      </c>
      <c r="Q2167" s="19">
        <v>0</v>
      </c>
      <c r="R2167" s="19">
        <v>0</v>
      </c>
      <c r="S2167" s="19">
        <v>0</v>
      </c>
      <c r="T2167" s="20">
        <v>30</v>
      </c>
      <c r="U2167" s="17">
        <v>2</v>
      </c>
      <c r="V2167" s="17">
        <v>34</v>
      </c>
    </row>
    <row r="2168" spans="1:22" x14ac:dyDescent="0.2">
      <c r="A2168" t="s">
        <v>5165</v>
      </c>
      <c r="B2168" t="s">
        <v>2719</v>
      </c>
      <c r="C2168" t="s">
        <v>2720</v>
      </c>
      <c r="D2168" t="s">
        <v>5132</v>
      </c>
      <c r="E2168" s="10" t="s">
        <v>5166</v>
      </c>
      <c r="F2168" s="10"/>
      <c r="G2168" s="10"/>
      <c r="H2168" s="10" t="s">
        <v>5166</v>
      </c>
      <c r="I2168" s="14">
        <v>31073.730548712654</v>
      </c>
      <c r="J2168" s="19">
        <v>0</v>
      </c>
      <c r="K2168" s="19">
        <v>0.61075546332488639</v>
      </c>
      <c r="L2168" s="19">
        <v>0.38924453667511366</v>
      </c>
      <c r="M2168" s="20">
        <v>2</v>
      </c>
      <c r="N2168" s="19">
        <v>0</v>
      </c>
      <c r="O2168" s="19">
        <v>1.7836949541076753E-4</v>
      </c>
      <c r="P2168" s="19">
        <v>0.61057709382947567</v>
      </c>
      <c r="Q2168" s="19">
        <v>0.11764701556206082</v>
      </c>
      <c r="R2168" s="19">
        <v>0.23001164058986798</v>
      </c>
      <c r="S2168" s="19">
        <v>4.1585880523184883E-2</v>
      </c>
      <c r="T2168" s="20">
        <v>21</v>
      </c>
      <c r="U2168" s="17">
        <v>2</v>
      </c>
      <c r="V2168" s="17">
        <v>34</v>
      </c>
    </row>
    <row r="2169" spans="1:22" x14ac:dyDescent="0.2">
      <c r="A2169" t="s">
        <v>5167</v>
      </c>
      <c r="B2169" t="s">
        <v>2719</v>
      </c>
      <c r="C2169" t="s">
        <v>2720</v>
      </c>
      <c r="D2169" t="s">
        <v>5132</v>
      </c>
      <c r="E2169" s="10" t="s">
        <v>5168</v>
      </c>
      <c r="F2169" s="10"/>
      <c r="G2169" s="10"/>
      <c r="H2169" s="10" t="s">
        <v>5168</v>
      </c>
      <c r="I2169" s="14">
        <v>26630.305021652952</v>
      </c>
      <c r="J2169" s="19">
        <v>0</v>
      </c>
      <c r="K2169" s="19">
        <v>0.66616029551306921</v>
      </c>
      <c r="L2169" s="19">
        <v>0.33383970448693068</v>
      </c>
      <c r="M2169" s="20">
        <v>2</v>
      </c>
      <c r="N2169" s="19">
        <v>0.20059863565674091</v>
      </c>
      <c r="O2169" s="19">
        <v>0</v>
      </c>
      <c r="P2169" s="19">
        <v>0.46556165985632836</v>
      </c>
      <c r="Q2169" s="19">
        <v>0.16090028340968349</v>
      </c>
      <c r="R2169" s="19">
        <v>0.15263131020857282</v>
      </c>
      <c r="S2169" s="19">
        <v>2.0308110868674435E-2</v>
      </c>
      <c r="T2169" s="20">
        <v>23</v>
      </c>
      <c r="U2169" s="17">
        <v>2</v>
      </c>
      <c r="V2169" s="17">
        <v>34</v>
      </c>
    </row>
    <row r="2170" spans="1:22" x14ac:dyDescent="0.2">
      <c r="A2170" t="s">
        <v>5169</v>
      </c>
      <c r="B2170" t="s">
        <v>2719</v>
      </c>
      <c r="C2170" t="s">
        <v>2720</v>
      </c>
      <c r="D2170" t="s">
        <v>5132</v>
      </c>
      <c r="E2170" s="10" t="s">
        <v>5170</v>
      </c>
      <c r="F2170" s="10"/>
      <c r="G2170" s="10"/>
      <c r="H2170" s="10" t="s">
        <v>5170</v>
      </c>
      <c r="I2170" s="14">
        <v>25273.363609530028</v>
      </c>
      <c r="J2170" s="19">
        <v>5.1102362108636862E-2</v>
      </c>
      <c r="K2170" s="19">
        <v>0.88691332320432148</v>
      </c>
      <c r="L2170" s="19">
        <v>6.1984314687041804E-2</v>
      </c>
      <c r="M2170" s="20">
        <v>2</v>
      </c>
      <c r="N2170" s="19">
        <v>5.04211219218604E-2</v>
      </c>
      <c r="O2170" s="19">
        <v>0</v>
      </c>
      <c r="P2170" s="19">
        <v>0.83649220128246105</v>
      </c>
      <c r="Q2170" s="19">
        <v>0</v>
      </c>
      <c r="R2170" s="19">
        <v>5.6919486139602009E-2</v>
      </c>
      <c r="S2170" s="19">
        <v>5.064828547439797E-3</v>
      </c>
      <c r="T2170" s="20">
        <v>21</v>
      </c>
      <c r="U2170" s="17">
        <v>2</v>
      </c>
      <c r="V2170" s="17">
        <v>34</v>
      </c>
    </row>
    <row r="2171" spans="1:22" x14ac:dyDescent="0.2">
      <c r="A2171" t="s">
        <v>5171</v>
      </c>
      <c r="B2171" t="s">
        <v>2719</v>
      </c>
      <c r="C2171" t="s">
        <v>2720</v>
      </c>
      <c r="D2171" t="s">
        <v>5132</v>
      </c>
      <c r="E2171" s="10" t="s">
        <v>5172</v>
      </c>
      <c r="F2171" s="10"/>
      <c r="G2171" s="10"/>
      <c r="H2171" s="10" t="s">
        <v>5172</v>
      </c>
      <c r="I2171" s="14">
        <v>36064.205967296846</v>
      </c>
      <c r="J2171" s="19">
        <v>8.9929808658964536E-2</v>
      </c>
      <c r="K2171" s="19">
        <v>0.88903140785723511</v>
      </c>
      <c r="L2171" s="19">
        <v>2.1038783483800214E-2</v>
      </c>
      <c r="M2171" s="20">
        <v>2</v>
      </c>
      <c r="N2171" s="19">
        <v>0.24323078652783353</v>
      </c>
      <c r="O2171" s="19">
        <v>0</v>
      </c>
      <c r="P2171" s="19">
        <v>0.64580062132940175</v>
      </c>
      <c r="Q2171" s="19">
        <v>0</v>
      </c>
      <c r="R2171" s="19">
        <v>2.1037047887945279E-2</v>
      </c>
      <c r="S2171" s="19">
        <v>1.7355958549333182E-6</v>
      </c>
      <c r="T2171" s="20">
        <v>21</v>
      </c>
      <c r="U2171" s="17">
        <v>2</v>
      </c>
      <c r="V2171" s="17">
        <v>34</v>
      </c>
    </row>
    <row r="2172" spans="1:22" x14ac:dyDescent="0.2">
      <c r="A2172" t="s">
        <v>5173</v>
      </c>
      <c r="B2172" t="s">
        <v>2719</v>
      </c>
      <c r="C2172" t="s">
        <v>2720</v>
      </c>
      <c r="D2172" t="s">
        <v>5132</v>
      </c>
      <c r="E2172" s="10" t="s">
        <v>5174</v>
      </c>
      <c r="F2172" s="10"/>
      <c r="G2172" s="10"/>
      <c r="H2172" s="10" t="s">
        <v>5174</v>
      </c>
      <c r="I2172" s="14">
        <v>108076.68998449948</v>
      </c>
      <c r="J2172" s="19">
        <v>0.76703448300794685</v>
      </c>
      <c r="K2172" s="19">
        <v>0.20117740101597861</v>
      </c>
      <c r="L2172" s="19">
        <v>3.1788115976074505E-2</v>
      </c>
      <c r="M2172" s="20">
        <v>3</v>
      </c>
      <c r="N2172" s="19">
        <v>0</v>
      </c>
      <c r="O2172" s="19">
        <v>0</v>
      </c>
      <c r="P2172" s="19">
        <v>0.20117740101597861</v>
      </c>
      <c r="Q2172" s="19">
        <v>2.1263418830927017E-2</v>
      </c>
      <c r="R2172" s="19">
        <v>1.0363086778138741E-2</v>
      </c>
      <c r="S2172" s="19">
        <v>1.6161036700874148E-4</v>
      </c>
      <c r="T2172" s="20">
        <v>30</v>
      </c>
      <c r="U2172" s="17">
        <v>2</v>
      </c>
      <c r="V2172" s="17">
        <v>34</v>
      </c>
    </row>
    <row r="2173" spans="1:22" x14ac:dyDescent="0.2">
      <c r="A2173" t="s">
        <v>5175</v>
      </c>
      <c r="B2173" t="s">
        <v>2719</v>
      </c>
      <c r="C2173" t="s">
        <v>2720</v>
      </c>
      <c r="D2173" t="s">
        <v>5132</v>
      </c>
      <c r="E2173" s="10" t="s">
        <v>3062</v>
      </c>
      <c r="F2173" s="10"/>
      <c r="G2173" s="10"/>
      <c r="H2173" s="10" t="s">
        <v>3062</v>
      </c>
      <c r="I2173" s="14">
        <v>28643.454105780456</v>
      </c>
      <c r="J2173" s="19">
        <v>0</v>
      </c>
      <c r="K2173" s="19">
        <v>0.67338992402746467</v>
      </c>
      <c r="L2173" s="19">
        <v>0.32661007597253544</v>
      </c>
      <c r="M2173" s="20">
        <v>2</v>
      </c>
      <c r="N2173" s="19">
        <v>0</v>
      </c>
      <c r="O2173" s="19">
        <v>0</v>
      </c>
      <c r="P2173" s="19">
        <v>0.67338992402746467</v>
      </c>
      <c r="Q2173" s="19">
        <v>6.2595177046758502E-2</v>
      </c>
      <c r="R2173" s="19">
        <v>0.23328698534958334</v>
      </c>
      <c r="S2173" s="19">
        <v>3.0727913576193602E-2</v>
      </c>
      <c r="T2173" s="20">
        <v>21</v>
      </c>
      <c r="U2173" s="17">
        <v>2</v>
      </c>
      <c r="V2173" s="17">
        <v>34</v>
      </c>
    </row>
    <row r="2174" spans="1:22" x14ac:dyDescent="0.2">
      <c r="A2174" t="s">
        <v>5176</v>
      </c>
      <c r="B2174" t="s">
        <v>2719</v>
      </c>
      <c r="C2174" t="s">
        <v>2720</v>
      </c>
      <c r="D2174" t="s">
        <v>5132</v>
      </c>
      <c r="E2174" s="10" t="s">
        <v>5177</v>
      </c>
      <c r="F2174" s="10"/>
      <c r="G2174" s="10"/>
      <c r="H2174" s="10" t="s">
        <v>5177</v>
      </c>
      <c r="I2174" s="14">
        <v>143843.12652520766</v>
      </c>
      <c r="J2174" s="19">
        <v>0</v>
      </c>
      <c r="K2174" s="19">
        <v>0.98491883138594039</v>
      </c>
      <c r="L2174" s="19">
        <v>1.5081168614059655E-2</v>
      </c>
      <c r="M2174" s="20">
        <v>2</v>
      </c>
      <c r="N2174" s="19">
        <v>0.53129351345420728</v>
      </c>
      <c r="O2174" s="19">
        <v>0</v>
      </c>
      <c r="P2174" s="19">
        <v>0.45362531793173311</v>
      </c>
      <c r="Q2174" s="19">
        <v>0</v>
      </c>
      <c r="R2174" s="19">
        <v>1.4152234178500306E-2</v>
      </c>
      <c r="S2174" s="19">
        <v>9.2893443555934962E-4</v>
      </c>
      <c r="T2174" s="20">
        <v>23</v>
      </c>
      <c r="U2174" s="17">
        <v>2</v>
      </c>
      <c r="V2174" s="17">
        <v>34</v>
      </c>
    </row>
    <row r="2175" spans="1:22" x14ac:dyDescent="0.2">
      <c r="A2175" t="s">
        <v>5178</v>
      </c>
      <c r="B2175" t="s">
        <v>2719</v>
      </c>
      <c r="C2175" t="s">
        <v>2720</v>
      </c>
      <c r="D2175" t="s">
        <v>5132</v>
      </c>
      <c r="E2175" s="10" t="s">
        <v>5179</v>
      </c>
      <c r="F2175" s="10"/>
      <c r="G2175" s="10"/>
      <c r="H2175" s="10" t="s">
        <v>5179</v>
      </c>
      <c r="I2175" s="14">
        <v>76885.91708169505</v>
      </c>
      <c r="J2175" s="19">
        <v>0.76060311407925296</v>
      </c>
      <c r="K2175" s="19">
        <v>0.23658376377608625</v>
      </c>
      <c r="L2175" s="19">
        <v>2.8131221446607824E-3</v>
      </c>
      <c r="M2175" s="20">
        <v>3</v>
      </c>
      <c r="N2175" s="19">
        <v>1.1008313460238938E-2</v>
      </c>
      <c r="O2175" s="19">
        <v>0</v>
      </c>
      <c r="P2175" s="19">
        <v>0.2255754503158473</v>
      </c>
      <c r="Q2175" s="19">
        <v>0</v>
      </c>
      <c r="R2175" s="19">
        <v>2.570676811722624E-3</v>
      </c>
      <c r="S2175" s="19">
        <v>2.4244533293815826E-4</v>
      </c>
      <c r="T2175" s="20">
        <v>30</v>
      </c>
      <c r="U2175" s="17">
        <v>2</v>
      </c>
      <c r="V2175" s="17">
        <v>34</v>
      </c>
    </row>
    <row r="2176" spans="1:22" x14ac:dyDescent="0.2">
      <c r="A2176" t="s">
        <v>5180</v>
      </c>
      <c r="B2176" t="s">
        <v>2719</v>
      </c>
      <c r="C2176" t="s">
        <v>2720</v>
      </c>
      <c r="D2176" t="s">
        <v>5132</v>
      </c>
      <c r="E2176" s="10" t="s">
        <v>5181</v>
      </c>
      <c r="F2176" s="10"/>
      <c r="G2176" s="10"/>
      <c r="H2176" s="10" t="s">
        <v>5181</v>
      </c>
      <c r="I2176" s="14">
        <v>126764.19516255241</v>
      </c>
      <c r="J2176" s="19">
        <v>0.98910901927374761</v>
      </c>
      <c r="K2176" s="19">
        <v>1.0890980726252403E-2</v>
      </c>
      <c r="L2176" s="19">
        <v>0</v>
      </c>
      <c r="M2176" s="20">
        <v>3</v>
      </c>
      <c r="N2176" s="19">
        <v>0</v>
      </c>
      <c r="O2176" s="19">
        <v>0</v>
      </c>
      <c r="P2176" s="19">
        <v>1.0890980726252403E-2</v>
      </c>
      <c r="Q2176" s="19">
        <v>0</v>
      </c>
      <c r="R2176" s="19">
        <v>0</v>
      </c>
      <c r="S2176" s="19">
        <v>0</v>
      </c>
      <c r="T2176" s="20">
        <v>30</v>
      </c>
      <c r="U2176" s="17">
        <v>2</v>
      </c>
      <c r="V2176" s="17">
        <v>34</v>
      </c>
    </row>
    <row r="2177" spans="1:22" x14ac:dyDescent="0.2">
      <c r="A2177" t="s">
        <v>5182</v>
      </c>
      <c r="B2177" t="s">
        <v>2719</v>
      </c>
      <c r="C2177" t="s">
        <v>2720</v>
      </c>
      <c r="D2177" t="s">
        <v>5132</v>
      </c>
      <c r="E2177" s="10" t="s">
        <v>5183</v>
      </c>
      <c r="F2177" s="10"/>
      <c r="G2177" s="10"/>
      <c r="H2177" s="10" t="s">
        <v>5183</v>
      </c>
      <c r="I2177" s="14">
        <v>87405.962784547359</v>
      </c>
      <c r="J2177" s="19">
        <v>0</v>
      </c>
      <c r="K2177" s="19">
        <v>0.90726870143258564</v>
      </c>
      <c r="L2177" s="19">
        <v>9.2731298567414328E-2</v>
      </c>
      <c r="M2177" s="20">
        <v>2</v>
      </c>
      <c r="N2177" s="19">
        <v>0.21588744489560655</v>
      </c>
      <c r="O2177" s="19">
        <v>0</v>
      </c>
      <c r="P2177" s="19">
        <v>0.69138125653697913</v>
      </c>
      <c r="Q2177" s="19">
        <v>0</v>
      </c>
      <c r="R2177" s="19">
        <v>8.7501616319773365E-2</v>
      </c>
      <c r="S2177" s="19">
        <v>5.2296822476409696E-3</v>
      </c>
      <c r="T2177" s="20">
        <v>21</v>
      </c>
      <c r="U2177" s="17">
        <v>2</v>
      </c>
      <c r="V2177" s="17">
        <v>34</v>
      </c>
    </row>
    <row r="2178" spans="1:22" x14ac:dyDescent="0.2">
      <c r="A2178" t="s">
        <v>5184</v>
      </c>
      <c r="B2178" t="s">
        <v>2719</v>
      </c>
      <c r="C2178" t="s">
        <v>2720</v>
      </c>
      <c r="D2178" t="s">
        <v>5132</v>
      </c>
      <c r="E2178" s="10" t="s">
        <v>5185</v>
      </c>
      <c r="F2178" s="10"/>
      <c r="G2178" s="10"/>
      <c r="H2178" s="10" t="s">
        <v>5185</v>
      </c>
      <c r="I2178" s="14">
        <v>41903.651666800724</v>
      </c>
      <c r="J2178" s="19">
        <v>0.99338712043421751</v>
      </c>
      <c r="K2178" s="19">
        <v>3.4741905173758828E-5</v>
      </c>
      <c r="L2178" s="19">
        <v>6.5781376606087252E-3</v>
      </c>
      <c r="M2178" s="20">
        <v>3</v>
      </c>
      <c r="N2178" s="19">
        <v>0</v>
      </c>
      <c r="O2178" s="19">
        <v>0</v>
      </c>
      <c r="P2178" s="19">
        <v>3.4741905173758828E-5</v>
      </c>
      <c r="Q2178" s="19">
        <v>0</v>
      </c>
      <c r="R2178" s="19">
        <v>6.5781376606087252E-3</v>
      </c>
      <c r="S2178" s="19">
        <v>0</v>
      </c>
      <c r="T2178" s="20">
        <v>30</v>
      </c>
      <c r="U2178" s="17">
        <v>2</v>
      </c>
      <c r="V2178" s="17">
        <v>34</v>
      </c>
    </row>
    <row r="2179" spans="1:22" x14ac:dyDescent="0.2">
      <c r="A2179" t="s">
        <v>5186</v>
      </c>
      <c r="B2179" t="s">
        <v>2719</v>
      </c>
      <c r="C2179" t="s">
        <v>2720</v>
      </c>
      <c r="D2179" t="s">
        <v>5132</v>
      </c>
      <c r="E2179" s="10" t="s">
        <v>5187</v>
      </c>
      <c r="F2179" s="10"/>
      <c r="G2179" s="10"/>
      <c r="H2179" s="10" t="s">
        <v>5187</v>
      </c>
      <c r="I2179" s="14">
        <v>27888.595628377981</v>
      </c>
      <c r="J2179" s="19">
        <v>0</v>
      </c>
      <c r="K2179" s="19">
        <v>0.90716959944139963</v>
      </c>
      <c r="L2179" s="19">
        <v>9.2830400558600396E-2</v>
      </c>
      <c r="M2179" s="20">
        <v>2</v>
      </c>
      <c r="N2179" s="19">
        <v>0.23215311375524153</v>
      </c>
      <c r="O2179" s="19">
        <v>0</v>
      </c>
      <c r="P2179" s="19">
        <v>0.67501648568615813</v>
      </c>
      <c r="Q2179" s="19">
        <v>0</v>
      </c>
      <c r="R2179" s="19">
        <v>8.9421755144343598E-2</v>
      </c>
      <c r="S2179" s="19">
        <v>3.4086454142568039E-3</v>
      </c>
      <c r="T2179" s="20">
        <v>21</v>
      </c>
      <c r="U2179" s="17">
        <v>2</v>
      </c>
      <c r="V2179" s="17">
        <v>34</v>
      </c>
    </row>
    <row r="2180" spans="1:22" x14ac:dyDescent="0.2">
      <c r="A2180" t="s">
        <v>5188</v>
      </c>
      <c r="B2180" t="s">
        <v>2719</v>
      </c>
      <c r="C2180" t="s">
        <v>2720</v>
      </c>
      <c r="D2180" t="s">
        <v>5132</v>
      </c>
      <c r="E2180" s="10" t="s">
        <v>5189</v>
      </c>
      <c r="F2180" s="10"/>
      <c r="G2180" s="10"/>
      <c r="H2180" s="10" t="s">
        <v>5189</v>
      </c>
      <c r="I2180" s="14">
        <v>79395.179226190317</v>
      </c>
      <c r="J2180" s="19">
        <v>0</v>
      </c>
      <c r="K2180" s="19">
        <v>0.95934620423852834</v>
      </c>
      <c r="L2180" s="19">
        <v>4.0653795761471635E-2</v>
      </c>
      <c r="M2180" s="20">
        <v>2</v>
      </c>
      <c r="N2180" s="19">
        <v>0.51204171161883139</v>
      </c>
      <c r="O2180" s="19">
        <v>0</v>
      </c>
      <c r="P2180" s="19">
        <v>0.44730449261969701</v>
      </c>
      <c r="Q2180" s="19">
        <v>0</v>
      </c>
      <c r="R2180" s="19">
        <v>4.0218934105948595E-2</v>
      </c>
      <c r="S2180" s="19">
        <v>4.3486165552303574E-4</v>
      </c>
      <c r="T2180" s="20">
        <v>23</v>
      </c>
      <c r="U2180" s="17">
        <v>2</v>
      </c>
      <c r="V2180" s="17">
        <v>34</v>
      </c>
    </row>
    <row r="2181" spans="1:22" x14ac:dyDescent="0.2">
      <c r="A2181" t="s">
        <v>5190</v>
      </c>
      <c r="B2181" t="s">
        <v>2719</v>
      </c>
      <c r="C2181" t="s">
        <v>2720</v>
      </c>
      <c r="D2181" t="s">
        <v>5132</v>
      </c>
      <c r="E2181" s="10" t="s">
        <v>5191</v>
      </c>
      <c r="F2181" s="10"/>
      <c r="G2181" s="10"/>
      <c r="H2181" s="10" t="s">
        <v>5191</v>
      </c>
      <c r="I2181" s="14">
        <v>71723.091510871192</v>
      </c>
      <c r="J2181" s="19">
        <v>0.53101290796512679</v>
      </c>
      <c r="K2181" s="19">
        <v>0.44656373080116574</v>
      </c>
      <c r="L2181" s="19">
        <v>2.2423361233707476E-2</v>
      </c>
      <c r="M2181" s="20">
        <v>3</v>
      </c>
      <c r="N2181" s="19">
        <v>0.14082613989313408</v>
      </c>
      <c r="O2181" s="19">
        <v>0</v>
      </c>
      <c r="P2181" s="19">
        <v>0.30573759090803165</v>
      </c>
      <c r="Q2181" s="19">
        <v>0</v>
      </c>
      <c r="R2181" s="19">
        <v>2.2026669246144746E-2</v>
      </c>
      <c r="S2181" s="19">
        <v>3.9669198756273169E-4</v>
      </c>
      <c r="T2181" s="20">
        <v>30</v>
      </c>
      <c r="U2181" s="17">
        <v>2</v>
      </c>
      <c r="V2181" s="17">
        <v>34</v>
      </c>
    </row>
    <row r="2182" spans="1:22" x14ac:dyDescent="0.2">
      <c r="A2182" t="s">
        <v>5192</v>
      </c>
      <c r="B2182" t="s">
        <v>2719</v>
      </c>
      <c r="C2182" t="s">
        <v>2720</v>
      </c>
      <c r="D2182" t="s">
        <v>5132</v>
      </c>
      <c r="E2182" s="10" t="s">
        <v>4771</v>
      </c>
      <c r="F2182" s="10"/>
      <c r="G2182" s="10"/>
      <c r="H2182" s="10" t="s">
        <v>4771</v>
      </c>
      <c r="I2182" s="14">
        <v>220752.60300245322</v>
      </c>
      <c r="J2182" s="19">
        <v>0.43641983178511745</v>
      </c>
      <c r="K2182" s="19">
        <v>0.55073940968126145</v>
      </c>
      <c r="L2182" s="19">
        <v>1.2840758533621077E-2</v>
      </c>
      <c r="M2182" s="20">
        <v>2</v>
      </c>
      <c r="N2182" s="19">
        <v>0.20819443297733733</v>
      </c>
      <c r="O2182" s="19">
        <v>0</v>
      </c>
      <c r="P2182" s="19">
        <v>0.34254497670392414</v>
      </c>
      <c r="Q2182" s="19">
        <v>0</v>
      </c>
      <c r="R2182" s="19">
        <v>1.2719099704953243E-2</v>
      </c>
      <c r="S2182" s="19">
        <v>1.2165882866783333E-4</v>
      </c>
      <c r="T2182" s="20">
        <v>23</v>
      </c>
      <c r="U2182" s="17">
        <v>2</v>
      </c>
      <c r="V2182" s="17">
        <v>34</v>
      </c>
    </row>
    <row r="2183" spans="1:22" x14ac:dyDescent="0.2">
      <c r="A2183" t="s">
        <v>5193</v>
      </c>
      <c r="B2183" t="s">
        <v>2719</v>
      </c>
      <c r="C2183" t="s">
        <v>2720</v>
      </c>
      <c r="D2183" t="s">
        <v>5132</v>
      </c>
      <c r="E2183" s="10" t="s">
        <v>5194</v>
      </c>
      <c r="F2183" s="10"/>
      <c r="G2183" s="10"/>
      <c r="H2183" s="10" t="s">
        <v>5194</v>
      </c>
      <c r="I2183" s="14">
        <v>95029.007019078359</v>
      </c>
      <c r="J2183" s="19">
        <v>0.51342400901782914</v>
      </c>
      <c r="K2183" s="19">
        <v>0.46650394442174165</v>
      </c>
      <c r="L2183" s="19">
        <v>2.0072046560429206E-2</v>
      </c>
      <c r="M2183" s="20">
        <v>3</v>
      </c>
      <c r="N2183" s="19">
        <v>8.1118206668936654E-2</v>
      </c>
      <c r="O2183" s="19">
        <v>0</v>
      </c>
      <c r="P2183" s="19">
        <v>0.3853857377528051</v>
      </c>
      <c r="Q2183" s="19">
        <v>0</v>
      </c>
      <c r="R2183" s="19">
        <v>2.0072046560429206E-2</v>
      </c>
      <c r="S2183" s="19">
        <v>0</v>
      </c>
      <c r="T2183" s="20">
        <v>30</v>
      </c>
      <c r="U2183" s="17">
        <v>2</v>
      </c>
      <c r="V2183" s="17">
        <v>34</v>
      </c>
    </row>
    <row r="2184" spans="1:22" x14ac:dyDescent="0.2">
      <c r="A2184" t="s">
        <v>5195</v>
      </c>
      <c r="B2184" t="s">
        <v>2719</v>
      </c>
      <c r="C2184" t="s">
        <v>2720</v>
      </c>
      <c r="D2184" t="s">
        <v>5132</v>
      </c>
      <c r="E2184" s="10" t="s">
        <v>4584</v>
      </c>
      <c r="F2184" s="10"/>
      <c r="G2184" s="10"/>
      <c r="H2184" s="10" t="s">
        <v>4584</v>
      </c>
      <c r="I2184" s="14">
        <v>45961.647699846886</v>
      </c>
      <c r="J2184" s="19">
        <v>0.5667586814409169</v>
      </c>
      <c r="K2184" s="19">
        <v>0.41219448561672667</v>
      </c>
      <c r="L2184" s="19">
        <v>2.1046832942356451E-2</v>
      </c>
      <c r="M2184" s="20">
        <v>3</v>
      </c>
      <c r="N2184" s="19">
        <v>0.1940077538150892</v>
      </c>
      <c r="O2184" s="19">
        <v>0</v>
      </c>
      <c r="P2184" s="19">
        <v>0.21818673180163745</v>
      </c>
      <c r="Q2184" s="19">
        <v>0</v>
      </c>
      <c r="R2184" s="19">
        <v>2.1046832942356455E-2</v>
      </c>
      <c r="S2184" s="19">
        <v>0</v>
      </c>
      <c r="T2184" s="20">
        <v>30</v>
      </c>
      <c r="U2184" s="17">
        <v>2</v>
      </c>
      <c r="V2184" s="17">
        <v>34</v>
      </c>
    </row>
    <row r="2185" spans="1:22" x14ac:dyDescent="0.2">
      <c r="A2185" t="s">
        <v>5196</v>
      </c>
      <c r="B2185" t="s">
        <v>2719</v>
      </c>
      <c r="C2185" t="s">
        <v>2720</v>
      </c>
      <c r="D2185" t="s">
        <v>5132</v>
      </c>
      <c r="E2185" s="10" t="s">
        <v>4125</v>
      </c>
      <c r="F2185" s="10"/>
      <c r="G2185" s="10"/>
      <c r="H2185" s="10" t="s">
        <v>4125</v>
      </c>
      <c r="I2185" s="14">
        <v>54477.748362066224</v>
      </c>
      <c r="J2185" s="19">
        <v>0</v>
      </c>
      <c r="K2185" s="19">
        <v>0.93139018441001475</v>
      </c>
      <c r="L2185" s="19">
        <v>6.860981558998519E-2</v>
      </c>
      <c r="M2185" s="20">
        <v>2</v>
      </c>
      <c r="N2185" s="19">
        <v>0.36206992796545717</v>
      </c>
      <c r="O2185" s="19">
        <v>0</v>
      </c>
      <c r="P2185" s="19">
        <v>0.56932025644455753</v>
      </c>
      <c r="Q2185" s="19">
        <v>0</v>
      </c>
      <c r="R2185" s="19">
        <v>5.9649510287357578E-2</v>
      </c>
      <c r="S2185" s="19">
        <v>8.9603053026276122E-3</v>
      </c>
      <c r="T2185" s="20">
        <v>21</v>
      </c>
      <c r="U2185" s="17">
        <v>2</v>
      </c>
      <c r="V2185" s="17">
        <v>34</v>
      </c>
    </row>
    <row r="2186" spans="1:22" x14ac:dyDescent="0.2">
      <c r="A2186" t="s">
        <v>5197</v>
      </c>
      <c r="B2186" t="s">
        <v>2719</v>
      </c>
      <c r="C2186" t="s">
        <v>2720</v>
      </c>
      <c r="D2186" t="s">
        <v>5132</v>
      </c>
      <c r="E2186" s="10" t="s">
        <v>3076</v>
      </c>
      <c r="F2186" s="10"/>
      <c r="G2186" s="10"/>
      <c r="H2186" s="10" t="s">
        <v>3076</v>
      </c>
      <c r="I2186" s="14">
        <v>40267.630979065783</v>
      </c>
      <c r="J2186" s="19">
        <v>0</v>
      </c>
      <c r="K2186" s="19">
        <v>0.68786402210481135</v>
      </c>
      <c r="L2186" s="19">
        <v>0.31213597789518877</v>
      </c>
      <c r="M2186" s="20">
        <v>2</v>
      </c>
      <c r="N2186" s="19">
        <v>0.20130821713367308</v>
      </c>
      <c r="O2186" s="19">
        <v>0.13587298845879742</v>
      </c>
      <c r="P2186" s="19">
        <v>0.35068281651234073</v>
      </c>
      <c r="Q2186" s="19">
        <v>0.14989562343019736</v>
      </c>
      <c r="R2186" s="19">
        <v>0.15238652665157246</v>
      </c>
      <c r="S2186" s="19">
        <v>9.8538278134190204E-3</v>
      </c>
      <c r="T2186" s="20">
        <v>23</v>
      </c>
      <c r="U2186" s="17">
        <v>2</v>
      </c>
      <c r="V2186" s="17">
        <v>34</v>
      </c>
    </row>
    <row r="2187" spans="1:22" x14ac:dyDescent="0.2">
      <c r="A2187" t="s">
        <v>5198</v>
      </c>
      <c r="B2187" t="s">
        <v>2719</v>
      </c>
      <c r="C2187" t="s">
        <v>2720</v>
      </c>
      <c r="D2187" t="s">
        <v>5132</v>
      </c>
      <c r="E2187" s="10" t="s">
        <v>2766</v>
      </c>
      <c r="F2187" s="10"/>
      <c r="G2187" s="10"/>
      <c r="H2187" s="10" t="s">
        <v>2766</v>
      </c>
      <c r="I2187" s="14">
        <v>40708.395761993248</v>
      </c>
      <c r="J2187" s="19">
        <v>0</v>
      </c>
      <c r="K2187" s="19">
        <v>0.8841397679939369</v>
      </c>
      <c r="L2187" s="19">
        <v>0.11586023200606306</v>
      </c>
      <c r="M2187" s="20">
        <v>2</v>
      </c>
      <c r="N2187" s="19">
        <v>0.21201187939293459</v>
      </c>
      <c r="O2187" s="19">
        <v>0</v>
      </c>
      <c r="P2187" s="19">
        <v>0.67212788860100237</v>
      </c>
      <c r="Q2187" s="19">
        <v>0</v>
      </c>
      <c r="R2187" s="19">
        <v>0.11188717297541424</v>
      </c>
      <c r="S2187" s="19">
        <v>3.9730590306488161E-3</v>
      </c>
      <c r="T2187" s="20">
        <v>21</v>
      </c>
      <c r="U2187" s="17">
        <v>2</v>
      </c>
      <c r="V2187" s="17">
        <v>34</v>
      </c>
    </row>
    <row r="2188" spans="1:22" x14ac:dyDescent="0.2">
      <c r="A2188" t="s">
        <v>5199</v>
      </c>
      <c r="B2188" t="s">
        <v>2719</v>
      </c>
      <c r="C2188" t="s">
        <v>2720</v>
      </c>
      <c r="D2188" t="s">
        <v>5132</v>
      </c>
      <c r="E2188" s="10" t="s">
        <v>4064</v>
      </c>
      <c r="F2188" s="10"/>
      <c r="G2188" s="10"/>
      <c r="H2188" s="10" t="s">
        <v>4064</v>
      </c>
      <c r="I2188" s="14">
        <v>93765.562607504195</v>
      </c>
      <c r="J2188" s="19">
        <v>0.66141913158685328</v>
      </c>
      <c r="K2188" s="19">
        <v>0.3357476637949286</v>
      </c>
      <c r="L2188" s="19">
        <v>2.8332046182180403E-3</v>
      </c>
      <c r="M2188" s="20">
        <v>3</v>
      </c>
      <c r="N2188" s="19">
        <v>9.5848133352845616E-2</v>
      </c>
      <c r="O2188" s="19">
        <v>0</v>
      </c>
      <c r="P2188" s="19">
        <v>0.23989953044208298</v>
      </c>
      <c r="Q2188" s="19">
        <v>0</v>
      </c>
      <c r="R2188" s="19">
        <v>2.7772740478170846E-3</v>
      </c>
      <c r="S2188" s="19">
        <v>5.5930570400955867E-5</v>
      </c>
      <c r="T2188" s="20">
        <v>30</v>
      </c>
      <c r="U2188" s="17">
        <v>2</v>
      </c>
      <c r="V2188" s="17">
        <v>34</v>
      </c>
    </row>
    <row r="2189" spans="1:22" x14ac:dyDescent="0.2">
      <c r="A2189" t="s">
        <v>5200</v>
      </c>
      <c r="B2189" t="s">
        <v>2719</v>
      </c>
      <c r="C2189" t="s">
        <v>2720</v>
      </c>
      <c r="D2189" t="s">
        <v>5132</v>
      </c>
      <c r="E2189" s="10" t="s">
        <v>3325</v>
      </c>
      <c r="F2189" s="10"/>
      <c r="G2189" s="10"/>
      <c r="H2189" s="10" t="s">
        <v>3325</v>
      </c>
      <c r="I2189" s="14">
        <v>36138.941269653616</v>
      </c>
      <c r="J2189" s="19">
        <v>0</v>
      </c>
      <c r="K2189" s="19">
        <v>0.93974865204421887</v>
      </c>
      <c r="L2189" s="19">
        <v>6.0251347955781159E-2</v>
      </c>
      <c r="M2189" s="20">
        <v>2</v>
      </c>
      <c r="N2189" s="19">
        <v>0.28245830600871707</v>
      </c>
      <c r="O2189" s="19">
        <v>0</v>
      </c>
      <c r="P2189" s="19">
        <v>0.65729034603550174</v>
      </c>
      <c r="Q2189" s="19">
        <v>0</v>
      </c>
      <c r="R2189" s="19">
        <v>5.5187380956371768E-2</v>
      </c>
      <c r="S2189" s="19">
        <v>5.063966999409396E-3</v>
      </c>
      <c r="T2189" s="20">
        <v>21</v>
      </c>
      <c r="U2189" s="17">
        <v>2</v>
      </c>
      <c r="V2189" s="17">
        <v>34</v>
      </c>
    </row>
    <row r="2190" spans="1:22" x14ac:dyDescent="0.2">
      <c r="A2190" t="s">
        <v>5201</v>
      </c>
      <c r="B2190" t="s">
        <v>2719</v>
      </c>
      <c r="C2190" t="s">
        <v>2720</v>
      </c>
      <c r="D2190" t="s">
        <v>5132</v>
      </c>
      <c r="E2190" s="10" t="s">
        <v>3082</v>
      </c>
      <c r="F2190" s="10"/>
      <c r="G2190" s="10"/>
      <c r="H2190" s="10" t="s">
        <v>3082</v>
      </c>
      <c r="I2190" s="14">
        <v>17769.087145712227</v>
      </c>
      <c r="J2190" s="19">
        <v>0.28163096851369823</v>
      </c>
      <c r="K2190" s="19">
        <v>0.70299226011032068</v>
      </c>
      <c r="L2190" s="19">
        <v>1.537677137598108E-2</v>
      </c>
      <c r="M2190" s="20">
        <v>2</v>
      </c>
      <c r="N2190" s="19">
        <v>0.51968843649197616</v>
      </c>
      <c r="O2190" s="19">
        <v>0</v>
      </c>
      <c r="P2190" s="19">
        <v>0.18330382361834449</v>
      </c>
      <c r="Q2190" s="19">
        <v>0</v>
      </c>
      <c r="R2190" s="19">
        <v>1.4678204729052719E-2</v>
      </c>
      <c r="S2190" s="19">
        <v>6.9856664692836111E-4</v>
      </c>
      <c r="T2190" s="20">
        <v>23</v>
      </c>
      <c r="U2190" s="17">
        <v>2</v>
      </c>
      <c r="V2190" s="17">
        <v>34</v>
      </c>
    </row>
    <row r="2191" spans="1:22" x14ac:dyDescent="0.2">
      <c r="A2191" t="s">
        <v>5202</v>
      </c>
      <c r="B2191" t="s">
        <v>2719</v>
      </c>
      <c r="C2191" t="s">
        <v>2720</v>
      </c>
      <c r="D2191" t="s">
        <v>5132</v>
      </c>
      <c r="E2191" s="10" t="s">
        <v>5203</v>
      </c>
      <c r="F2191" s="10"/>
      <c r="G2191" s="10"/>
      <c r="H2191" s="10" t="s">
        <v>5203</v>
      </c>
      <c r="I2191" s="14">
        <v>52666.520395506639</v>
      </c>
      <c r="J2191" s="19">
        <v>0</v>
      </c>
      <c r="K2191" s="19">
        <v>0.9149671494495647</v>
      </c>
      <c r="L2191" s="19">
        <v>8.5032850550435329E-2</v>
      </c>
      <c r="M2191" s="20">
        <v>2</v>
      </c>
      <c r="N2191" s="19">
        <v>1.4668674500587616E-2</v>
      </c>
      <c r="O2191" s="19">
        <v>0</v>
      </c>
      <c r="P2191" s="19">
        <v>0.90029847494897708</v>
      </c>
      <c r="Q2191" s="19">
        <v>1.8302480076729782E-2</v>
      </c>
      <c r="R2191" s="19">
        <v>5.3241211195438266E-2</v>
      </c>
      <c r="S2191" s="19">
        <v>1.3489159278267269E-2</v>
      </c>
      <c r="T2191" s="20">
        <v>21</v>
      </c>
      <c r="U2191" s="17">
        <v>2</v>
      </c>
      <c r="V2191" s="17">
        <v>34</v>
      </c>
    </row>
    <row r="2192" spans="1:22" x14ac:dyDescent="0.2">
      <c r="A2192" t="s">
        <v>5204</v>
      </c>
      <c r="B2192" t="s">
        <v>2719</v>
      </c>
      <c r="C2192" t="s">
        <v>2720</v>
      </c>
      <c r="D2192" t="s">
        <v>5132</v>
      </c>
      <c r="E2192" s="10" t="s">
        <v>5205</v>
      </c>
      <c r="F2192" s="10"/>
      <c r="G2192" s="10"/>
      <c r="H2192" s="10" t="s">
        <v>5205</v>
      </c>
      <c r="I2192" s="14">
        <v>37365.115129617043</v>
      </c>
      <c r="J2192" s="19">
        <v>0</v>
      </c>
      <c r="K2192" s="19">
        <v>0.74154945229690505</v>
      </c>
      <c r="L2192" s="19">
        <v>0.25845054770309489</v>
      </c>
      <c r="M2192" s="20">
        <v>2</v>
      </c>
      <c r="N2192" s="19">
        <v>0.17846006397057707</v>
      </c>
      <c r="O2192" s="19">
        <v>0</v>
      </c>
      <c r="P2192" s="19">
        <v>0.56308938832632804</v>
      </c>
      <c r="Q2192" s="19">
        <v>2.2363181932528516E-2</v>
      </c>
      <c r="R2192" s="19">
        <v>0.21498273395333251</v>
      </c>
      <c r="S2192" s="19">
        <v>2.1104631817233863E-2</v>
      </c>
      <c r="T2192" s="20">
        <v>21</v>
      </c>
      <c r="U2192" s="17">
        <v>2</v>
      </c>
      <c r="V2192" s="17">
        <v>34</v>
      </c>
    </row>
    <row r="2193" spans="1:22" x14ac:dyDescent="0.2">
      <c r="A2193" t="s">
        <v>5206</v>
      </c>
      <c r="B2193" t="s">
        <v>2719</v>
      </c>
      <c r="C2193" t="s">
        <v>2720</v>
      </c>
      <c r="D2193" t="s">
        <v>5132</v>
      </c>
      <c r="E2193" s="10" t="s">
        <v>5207</v>
      </c>
      <c r="F2193" s="10"/>
      <c r="G2193" s="10"/>
      <c r="H2193" s="10" t="s">
        <v>5207</v>
      </c>
      <c r="I2193" s="14">
        <v>49241.849144215936</v>
      </c>
      <c r="J2193" s="19">
        <v>0</v>
      </c>
      <c r="K2193" s="19">
        <v>0.94737206994422707</v>
      </c>
      <c r="L2193" s="19">
        <v>5.2627930055772779E-2</v>
      </c>
      <c r="M2193" s="20">
        <v>2</v>
      </c>
      <c r="N2193" s="19">
        <v>0.42945701265033281</v>
      </c>
      <c r="O2193" s="19">
        <v>0</v>
      </c>
      <c r="P2193" s="19">
        <v>0.51791505729389431</v>
      </c>
      <c r="Q2193" s="19">
        <v>0</v>
      </c>
      <c r="R2193" s="19">
        <v>5.1922638611637775E-2</v>
      </c>
      <c r="S2193" s="19">
        <v>7.0529144413500214E-4</v>
      </c>
      <c r="T2193" s="20">
        <v>21</v>
      </c>
      <c r="U2193" s="17">
        <v>2</v>
      </c>
      <c r="V2193" s="17">
        <v>34</v>
      </c>
    </row>
    <row r="2194" spans="1:22" x14ac:dyDescent="0.2">
      <c r="A2194" t="s">
        <v>5208</v>
      </c>
      <c r="B2194" t="s">
        <v>2719</v>
      </c>
      <c r="C2194" t="s">
        <v>2720</v>
      </c>
      <c r="D2194" t="s">
        <v>5132</v>
      </c>
      <c r="E2194" s="10" t="s">
        <v>5209</v>
      </c>
      <c r="F2194" s="10"/>
      <c r="G2194" s="10"/>
      <c r="H2194" s="10" t="s">
        <v>5209</v>
      </c>
      <c r="I2194" s="14">
        <v>84780.183929331135</v>
      </c>
      <c r="J2194" s="19">
        <v>0</v>
      </c>
      <c r="K2194" s="19">
        <v>0.81782848495865001</v>
      </c>
      <c r="L2194" s="19">
        <v>0.18217151504134999</v>
      </c>
      <c r="M2194" s="20">
        <v>2</v>
      </c>
      <c r="N2194" s="19">
        <v>0.14988196402886708</v>
      </c>
      <c r="O2194" s="19">
        <v>7.9286015074471514E-2</v>
      </c>
      <c r="P2194" s="19">
        <v>0.58866050585531138</v>
      </c>
      <c r="Q2194" s="19">
        <v>3.996106679295789E-2</v>
      </c>
      <c r="R2194" s="19">
        <v>0.13357573540068646</v>
      </c>
      <c r="S2194" s="19">
        <v>8.634712847705648E-3</v>
      </c>
      <c r="T2194" s="20">
        <v>21</v>
      </c>
      <c r="U2194" s="17">
        <v>2</v>
      </c>
      <c r="V2194" s="17">
        <v>34</v>
      </c>
    </row>
    <row r="2195" spans="1:22" x14ac:dyDescent="0.2">
      <c r="A2195" t="s">
        <v>5210</v>
      </c>
      <c r="B2195" t="s">
        <v>2719</v>
      </c>
      <c r="C2195" t="s">
        <v>2720</v>
      </c>
      <c r="D2195" t="s">
        <v>5132</v>
      </c>
      <c r="E2195" s="10" t="s">
        <v>5211</v>
      </c>
      <c r="F2195" s="10"/>
      <c r="G2195" s="10"/>
      <c r="H2195" s="10" t="s">
        <v>5211</v>
      </c>
      <c r="I2195" s="14">
        <v>61506.436408785637</v>
      </c>
      <c r="J2195" s="19">
        <v>0</v>
      </c>
      <c r="K2195" s="19">
        <v>0.967344066975383</v>
      </c>
      <c r="L2195" s="19">
        <v>3.2655933024617154E-2</v>
      </c>
      <c r="M2195" s="20">
        <v>2</v>
      </c>
      <c r="N2195" s="19">
        <v>0.50691349339041225</v>
      </c>
      <c r="O2195" s="19">
        <v>0</v>
      </c>
      <c r="P2195" s="19">
        <v>0.46043057358497069</v>
      </c>
      <c r="Q2195" s="19">
        <v>0</v>
      </c>
      <c r="R2195" s="19">
        <v>3.2655933024617154E-2</v>
      </c>
      <c r="S2195" s="19">
        <v>0</v>
      </c>
      <c r="T2195" s="20">
        <v>23</v>
      </c>
      <c r="U2195" s="17">
        <v>2</v>
      </c>
      <c r="V2195" s="17">
        <v>34</v>
      </c>
    </row>
    <row r="2196" spans="1:22" x14ac:dyDescent="0.2">
      <c r="A2196" t="s">
        <v>5212</v>
      </c>
      <c r="B2196" t="s">
        <v>2719</v>
      </c>
      <c r="C2196" t="s">
        <v>2720</v>
      </c>
      <c r="D2196" t="s">
        <v>5132</v>
      </c>
      <c r="E2196" s="10" t="s">
        <v>5213</v>
      </c>
      <c r="F2196" s="10"/>
      <c r="G2196" s="10"/>
      <c r="H2196" s="10" t="s">
        <v>5213</v>
      </c>
      <c r="I2196" s="14">
        <v>151449.58755674772</v>
      </c>
      <c r="J2196" s="19">
        <v>0.68117625104243917</v>
      </c>
      <c r="K2196" s="19">
        <v>0.30613036810397343</v>
      </c>
      <c r="L2196" s="19">
        <v>1.2693380853587366E-2</v>
      </c>
      <c r="M2196" s="20">
        <v>3</v>
      </c>
      <c r="N2196" s="19">
        <v>7.7113969275514768E-2</v>
      </c>
      <c r="O2196" s="19">
        <v>0</v>
      </c>
      <c r="P2196" s="19">
        <v>0.22901639882845867</v>
      </c>
      <c r="Q2196" s="19">
        <v>0</v>
      </c>
      <c r="R2196" s="19">
        <v>1.2479442946947228E-2</v>
      </c>
      <c r="S2196" s="19">
        <v>2.1393790664013852E-4</v>
      </c>
      <c r="T2196" s="20">
        <v>30</v>
      </c>
      <c r="U2196" s="17">
        <v>2</v>
      </c>
      <c r="V2196" s="17">
        <v>34</v>
      </c>
    </row>
    <row r="2197" spans="1:22" x14ac:dyDescent="0.2">
      <c r="A2197" t="s">
        <v>5214</v>
      </c>
      <c r="B2197" t="s">
        <v>2719</v>
      </c>
      <c r="C2197" t="s">
        <v>2720</v>
      </c>
      <c r="D2197" t="s">
        <v>5132</v>
      </c>
      <c r="E2197" s="10" t="s">
        <v>5215</v>
      </c>
      <c r="F2197" s="10"/>
      <c r="G2197" s="10"/>
      <c r="H2197" s="10" t="s">
        <v>5215</v>
      </c>
      <c r="I2197" s="14">
        <v>71813.527300603688</v>
      </c>
      <c r="J2197" s="19">
        <v>0.41243553651980702</v>
      </c>
      <c r="K2197" s="19">
        <v>0.5577364380647335</v>
      </c>
      <c r="L2197" s="19">
        <v>2.9828025415459498E-2</v>
      </c>
      <c r="M2197" s="20">
        <v>2</v>
      </c>
      <c r="N2197" s="19">
        <v>0.15631351158754239</v>
      </c>
      <c r="O2197" s="19">
        <v>0</v>
      </c>
      <c r="P2197" s="19">
        <v>0.40142292647719102</v>
      </c>
      <c r="Q2197" s="19">
        <v>0</v>
      </c>
      <c r="R2197" s="19">
        <v>2.7898924706916461E-2</v>
      </c>
      <c r="S2197" s="19">
        <v>1.9291007085430376E-3</v>
      </c>
      <c r="T2197" s="20">
        <v>23</v>
      </c>
      <c r="U2197" s="17">
        <v>2</v>
      </c>
      <c r="V2197" s="17">
        <v>34</v>
      </c>
    </row>
    <row r="2198" spans="1:22" x14ac:dyDescent="0.2">
      <c r="A2198" t="s">
        <v>5216</v>
      </c>
      <c r="B2198" t="s">
        <v>2719</v>
      </c>
      <c r="C2198" t="s">
        <v>2720</v>
      </c>
      <c r="D2198" t="s">
        <v>3270</v>
      </c>
      <c r="E2198" s="10" t="s">
        <v>5217</v>
      </c>
      <c r="F2198" s="10"/>
      <c r="G2198" s="10"/>
      <c r="H2198" s="10" t="s">
        <v>5217</v>
      </c>
      <c r="I2198" s="14">
        <v>14187.929165687414</v>
      </c>
      <c r="J2198" s="19">
        <v>0</v>
      </c>
      <c r="K2198" s="19">
        <v>0.93843277020253368</v>
      </c>
      <c r="L2198" s="19">
        <v>6.1567229797466164E-2</v>
      </c>
      <c r="M2198" s="20">
        <v>2</v>
      </c>
      <c r="N2198" s="19">
        <v>0.4049846474425724</v>
      </c>
      <c r="O2198" s="19">
        <v>0</v>
      </c>
      <c r="P2198" s="19">
        <v>0.53344812275996134</v>
      </c>
      <c r="Q2198" s="19">
        <v>0</v>
      </c>
      <c r="R2198" s="19">
        <v>5.8645389377775754E-2</v>
      </c>
      <c r="S2198" s="19">
        <v>2.921840419690399E-3</v>
      </c>
      <c r="T2198" s="20">
        <v>21</v>
      </c>
      <c r="U2198" s="17">
        <v>2</v>
      </c>
      <c r="V2198" s="17">
        <v>34</v>
      </c>
    </row>
    <row r="2199" spans="1:22" x14ac:dyDescent="0.2">
      <c r="A2199" t="s">
        <v>5218</v>
      </c>
      <c r="B2199" t="s">
        <v>2719</v>
      </c>
      <c r="C2199" t="s">
        <v>2720</v>
      </c>
      <c r="D2199" t="s">
        <v>3270</v>
      </c>
      <c r="E2199" s="10" t="s">
        <v>5219</v>
      </c>
      <c r="F2199" s="10"/>
      <c r="G2199" s="10"/>
      <c r="H2199" s="10" t="s">
        <v>5219</v>
      </c>
      <c r="I2199" s="14">
        <v>20282.107341744006</v>
      </c>
      <c r="J2199" s="19">
        <v>0</v>
      </c>
      <c r="K2199" s="19">
        <v>0.55963880298499413</v>
      </c>
      <c r="L2199" s="19">
        <v>0.44036119701500598</v>
      </c>
      <c r="M2199" s="20">
        <v>2</v>
      </c>
      <c r="N2199" s="19">
        <v>0.48974758930166823</v>
      </c>
      <c r="O2199" s="19">
        <v>0</v>
      </c>
      <c r="P2199" s="19">
        <v>6.9891213683325862E-2</v>
      </c>
      <c r="Q2199" s="19">
        <v>0.36527909004879822</v>
      </c>
      <c r="R2199" s="19">
        <v>6.7814066882883453E-2</v>
      </c>
      <c r="S2199" s="19">
        <v>7.2680400833242459E-3</v>
      </c>
      <c r="T2199" s="20">
        <v>23</v>
      </c>
      <c r="U2199" s="17">
        <v>2</v>
      </c>
      <c r="V2199" s="17">
        <v>34</v>
      </c>
    </row>
    <row r="2200" spans="1:22" x14ac:dyDescent="0.2">
      <c r="A2200" t="s">
        <v>5220</v>
      </c>
      <c r="B2200" t="s">
        <v>2719</v>
      </c>
      <c r="C2200" t="s">
        <v>2720</v>
      </c>
      <c r="D2200" t="s">
        <v>3270</v>
      </c>
      <c r="E2200" s="10" t="s">
        <v>5221</v>
      </c>
      <c r="F2200" s="10"/>
      <c r="G2200" s="10"/>
      <c r="H2200" s="10" t="s">
        <v>5221</v>
      </c>
      <c r="I2200" s="14">
        <v>72063.629088880494</v>
      </c>
      <c r="J2200" s="19">
        <v>0</v>
      </c>
      <c r="K2200" s="19">
        <v>0.86521604125562512</v>
      </c>
      <c r="L2200" s="19">
        <v>0.13478395874437485</v>
      </c>
      <c r="M2200" s="20">
        <v>2</v>
      </c>
      <c r="N2200" s="19">
        <v>0.36369361180282195</v>
      </c>
      <c r="O2200" s="19">
        <v>0</v>
      </c>
      <c r="P2200" s="19">
        <v>0.50152242945280323</v>
      </c>
      <c r="Q2200" s="19">
        <v>4.21486255539434E-2</v>
      </c>
      <c r="R2200" s="19">
        <v>8.2932618986859621E-2</v>
      </c>
      <c r="S2200" s="19">
        <v>9.7027142035718394E-3</v>
      </c>
      <c r="T2200" s="20">
        <v>21</v>
      </c>
      <c r="U2200" s="17">
        <v>2</v>
      </c>
      <c r="V2200" s="17">
        <v>34</v>
      </c>
    </row>
    <row r="2201" spans="1:22" x14ac:dyDescent="0.2">
      <c r="A2201" t="s">
        <v>5222</v>
      </c>
      <c r="B2201" t="s">
        <v>2719</v>
      </c>
      <c r="C2201" t="s">
        <v>2720</v>
      </c>
      <c r="D2201" t="s">
        <v>3270</v>
      </c>
      <c r="E2201" s="10" t="s">
        <v>2777</v>
      </c>
      <c r="F2201" s="10"/>
      <c r="G2201" s="10"/>
      <c r="H2201" s="10" t="s">
        <v>2777</v>
      </c>
      <c r="I2201" s="14">
        <v>40596.662832651287</v>
      </c>
      <c r="J2201" s="19">
        <v>0</v>
      </c>
      <c r="K2201" s="19">
        <v>0.52047656743278692</v>
      </c>
      <c r="L2201" s="19">
        <v>0.47952343256721314</v>
      </c>
      <c r="M2201" s="20">
        <v>2</v>
      </c>
      <c r="N2201" s="19">
        <v>0</v>
      </c>
      <c r="O2201" s="19">
        <v>0.52047656743278692</v>
      </c>
      <c r="P2201" s="19">
        <v>0</v>
      </c>
      <c r="Q2201" s="19">
        <v>0.25679917022236176</v>
      </c>
      <c r="R2201" s="19">
        <v>0.20664059760979081</v>
      </c>
      <c r="S2201" s="19">
        <v>1.6083664735060555E-2</v>
      </c>
      <c r="T2201" s="20">
        <v>22</v>
      </c>
      <c r="U2201" s="17">
        <v>2</v>
      </c>
      <c r="V2201" s="17">
        <v>34</v>
      </c>
    </row>
    <row r="2202" spans="1:22" x14ac:dyDescent="0.2">
      <c r="A2202" t="s">
        <v>5223</v>
      </c>
      <c r="B2202" t="s">
        <v>2719</v>
      </c>
      <c r="C2202" t="s">
        <v>2720</v>
      </c>
      <c r="D2202" t="s">
        <v>3270</v>
      </c>
      <c r="E2202" s="10" t="s">
        <v>5224</v>
      </c>
      <c r="F2202" s="10"/>
      <c r="G2202" s="10"/>
      <c r="H2202" s="10" t="s">
        <v>5224</v>
      </c>
      <c r="I2202" s="14">
        <v>28296.556512020528</v>
      </c>
      <c r="J2202" s="19">
        <v>0</v>
      </c>
      <c r="K2202" s="19">
        <v>0.24884478930904799</v>
      </c>
      <c r="L2202" s="19">
        <v>0.75115521069095204</v>
      </c>
      <c r="M2202" s="20">
        <v>1</v>
      </c>
      <c r="N2202" s="19">
        <v>0</v>
      </c>
      <c r="O2202" s="19">
        <v>0.24884478930904799</v>
      </c>
      <c r="P2202" s="19">
        <v>0</v>
      </c>
      <c r="Q2202" s="19">
        <v>0.5976270191019426</v>
      </c>
      <c r="R2202" s="19">
        <v>0.12682424544344362</v>
      </c>
      <c r="S2202" s="19">
        <v>2.6703946145565829E-2</v>
      </c>
      <c r="T2202" s="20">
        <v>13</v>
      </c>
      <c r="U2202" s="17">
        <v>2</v>
      </c>
      <c r="V2202" s="17">
        <v>34</v>
      </c>
    </row>
    <row r="2203" spans="1:22" x14ac:dyDescent="0.2">
      <c r="A2203" t="s">
        <v>5225</v>
      </c>
      <c r="B2203" t="s">
        <v>2719</v>
      </c>
      <c r="C2203" t="s">
        <v>2720</v>
      </c>
      <c r="D2203" t="s">
        <v>3270</v>
      </c>
      <c r="E2203" s="10" t="s">
        <v>5226</v>
      </c>
      <c r="F2203" s="10"/>
      <c r="G2203" s="10"/>
      <c r="H2203" s="10" t="s">
        <v>5226</v>
      </c>
      <c r="I2203" s="14">
        <v>79925.743680458516</v>
      </c>
      <c r="J2203" s="19">
        <v>0</v>
      </c>
      <c r="K2203" s="19">
        <v>0.59033699623725844</v>
      </c>
      <c r="L2203" s="19">
        <v>0.40966300376274162</v>
      </c>
      <c r="M2203" s="20">
        <v>2</v>
      </c>
      <c r="N2203" s="19">
        <v>0.32606801547396169</v>
      </c>
      <c r="O2203" s="19">
        <v>6.1862897482251385E-2</v>
      </c>
      <c r="P2203" s="19">
        <v>0.20240608328104534</v>
      </c>
      <c r="Q2203" s="19">
        <v>0.17179696126675822</v>
      </c>
      <c r="R2203" s="19">
        <v>0.22349468706923195</v>
      </c>
      <c r="S2203" s="19">
        <v>1.4371355426751432E-2</v>
      </c>
      <c r="T2203" s="20">
        <v>23</v>
      </c>
      <c r="U2203" s="17">
        <v>2</v>
      </c>
      <c r="V2203" s="17">
        <v>34</v>
      </c>
    </row>
    <row r="2204" spans="1:22" x14ac:dyDescent="0.2">
      <c r="A2204" t="s">
        <v>5227</v>
      </c>
      <c r="B2204" t="s">
        <v>2719</v>
      </c>
      <c r="C2204" t="s">
        <v>2720</v>
      </c>
      <c r="D2204" t="s">
        <v>3270</v>
      </c>
      <c r="E2204" s="10" t="s">
        <v>5228</v>
      </c>
      <c r="F2204" s="10"/>
      <c r="G2204" s="10"/>
      <c r="H2204" s="10" t="s">
        <v>5228</v>
      </c>
      <c r="I2204" s="14">
        <v>135928.77392781107</v>
      </c>
      <c r="J2204" s="19">
        <v>0.53111108612760971</v>
      </c>
      <c r="K2204" s="19">
        <v>0.42198166856562846</v>
      </c>
      <c r="L2204" s="19">
        <v>4.6907245306761831E-2</v>
      </c>
      <c r="M2204" s="20">
        <v>3</v>
      </c>
      <c r="N2204" s="19">
        <v>2.3717752134888577E-3</v>
      </c>
      <c r="O2204" s="19">
        <v>0</v>
      </c>
      <c r="P2204" s="19">
        <v>0.41960989335213961</v>
      </c>
      <c r="Q2204" s="19">
        <v>0</v>
      </c>
      <c r="R2204" s="19">
        <v>4.4956285927055542E-2</v>
      </c>
      <c r="S2204" s="19">
        <v>1.9509593797062898E-3</v>
      </c>
      <c r="T2204" s="20">
        <v>30</v>
      </c>
      <c r="U2204" s="17">
        <v>2</v>
      </c>
      <c r="V2204" s="17">
        <v>34</v>
      </c>
    </row>
    <row r="2205" spans="1:22" x14ac:dyDescent="0.2">
      <c r="A2205" t="s">
        <v>5229</v>
      </c>
      <c r="B2205" t="s">
        <v>2719</v>
      </c>
      <c r="C2205" t="s">
        <v>2720</v>
      </c>
      <c r="D2205" t="s">
        <v>3270</v>
      </c>
      <c r="E2205" s="10" t="s">
        <v>5230</v>
      </c>
      <c r="F2205" s="10"/>
      <c r="G2205" s="10"/>
      <c r="H2205" s="10" t="s">
        <v>5230</v>
      </c>
      <c r="I2205" s="14">
        <v>77343.430820900947</v>
      </c>
      <c r="J2205" s="19">
        <v>0</v>
      </c>
      <c r="K2205" s="19">
        <v>0.7367988606081346</v>
      </c>
      <c r="L2205" s="19">
        <v>0.2632011393918654</v>
      </c>
      <c r="M2205" s="20">
        <v>2</v>
      </c>
      <c r="N2205" s="19">
        <v>0.25324957699764694</v>
      </c>
      <c r="O2205" s="19">
        <v>0.11736383020892686</v>
      </c>
      <c r="P2205" s="19">
        <v>0.36618545340156083</v>
      </c>
      <c r="Q2205" s="19">
        <v>6.7464678330243125E-2</v>
      </c>
      <c r="R2205" s="19">
        <v>0.17930543868526547</v>
      </c>
      <c r="S2205" s="19">
        <v>1.6431022376356828E-2</v>
      </c>
      <c r="T2205" s="20">
        <v>23</v>
      </c>
      <c r="U2205" s="17">
        <v>2</v>
      </c>
      <c r="V2205" s="17">
        <v>34</v>
      </c>
    </row>
    <row r="2206" spans="1:22" x14ac:dyDescent="0.2">
      <c r="A2206" t="s">
        <v>5231</v>
      </c>
      <c r="B2206" t="s">
        <v>2719</v>
      </c>
      <c r="C2206" t="s">
        <v>2720</v>
      </c>
      <c r="D2206" t="s">
        <v>3270</v>
      </c>
      <c r="E2206" s="10" t="s">
        <v>2734</v>
      </c>
      <c r="F2206" s="10"/>
      <c r="G2206" s="10"/>
      <c r="H2206" s="10" t="s">
        <v>2734</v>
      </c>
      <c r="I2206" s="14">
        <v>34375.144029445946</v>
      </c>
      <c r="J2206" s="19">
        <v>0</v>
      </c>
      <c r="K2206" s="19">
        <v>0.91154571123135841</v>
      </c>
      <c r="L2206" s="19">
        <v>8.8454288768641559E-2</v>
      </c>
      <c r="M2206" s="20">
        <v>2</v>
      </c>
      <c r="N2206" s="19">
        <v>0.29290734950107661</v>
      </c>
      <c r="O2206" s="19">
        <v>0</v>
      </c>
      <c r="P2206" s="19">
        <v>0.61863836173028186</v>
      </c>
      <c r="Q2206" s="19">
        <v>0</v>
      </c>
      <c r="R2206" s="19">
        <v>8.4036534510660219E-2</v>
      </c>
      <c r="S2206" s="19">
        <v>4.4177542579813493E-3</v>
      </c>
      <c r="T2206" s="20">
        <v>21</v>
      </c>
      <c r="U2206" s="17">
        <v>2</v>
      </c>
      <c r="V2206" s="17">
        <v>34</v>
      </c>
    </row>
    <row r="2207" spans="1:22" x14ac:dyDescent="0.2">
      <c r="A2207" t="s">
        <v>5232</v>
      </c>
      <c r="B2207" t="s">
        <v>2719</v>
      </c>
      <c r="C2207" t="s">
        <v>2720</v>
      </c>
      <c r="D2207" t="s">
        <v>3270</v>
      </c>
      <c r="E2207" s="10" t="s">
        <v>5233</v>
      </c>
      <c r="F2207" s="10"/>
      <c r="G2207" s="10"/>
      <c r="H2207" s="10" t="s">
        <v>5233</v>
      </c>
      <c r="I2207" s="14">
        <v>32273.013748167083</v>
      </c>
      <c r="J2207" s="19">
        <v>0</v>
      </c>
      <c r="K2207" s="19">
        <v>0.70445059678480171</v>
      </c>
      <c r="L2207" s="19">
        <v>0.29554940321519829</v>
      </c>
      <c r="M2207" s="20">
        <v>2</v>
      </c>
      <c r="N2207" s="19">
        <v>0.24918835699534825</v>
      </c>
      <c r="O2207" s="19">
        <v>5.2280829111870555E-2</v>
      </c>
      <c r="P2207" s="19">
        <v>0.40298141067758292</v>
      </c>
      <c r="Q2207" s="19">
        <v>0.11143091863500075</v>
      </c>
      <c r="R2207" s="19">
        <v>0.16357009659234634</v>
      </c>
      <c r="S2207" s="19">
        <v>2.0548387987851191E-2</v>
      </c>
      <c r="T2207" s="20">
        <v>23</v>
      </c>
      <c r="U2207" s="17">
        <v>2</v>
      </c>
      <c r="V2207" s="17">
        <v>34</v>
      </c>
    </row>
    <row r="2208" spans="1:22" x14ac:dyDescent="0.2">
      <c r="A2208" t="s">
        <v>5234</v>
      </c>
      <c r="B2208" t="s">
        <v>2719</v>
      </c>
      <c r="C2208" t="s">
        <v>2720</v>
      </c>
      <c r="D2208" t="s">
        <v>3270</v>
      </c>
      <c r="E2208" s="10" t="s">
        <v>5235</v>
      </c>
      <c r="F2208" s="10"/>
      <c r="G2208" s="10"/>
      <c r="H2208" s="10" t="s">
        <v>5235</v>
      </c>
      <c r="I2208" s="14">
        <v>31747.699405280408</v>
      </c>
      <c r="J2208" s="19">
        <v>0</v>
      </c>
      <c r="K2208" s="19">
        <v>0.49039342627312787</v>
      </c>
      <c r="L2208" s="19">
        <v>0.50960657372687224</v>
      </c>
      <c r="M2208" s="20">
        <v>1</v>
      </c>
      <c r="N2208" s="19">
        <v>0</v>
      </c>
      <c r="O2208" s="19">
        <v>0.13231943207489688</v>
      </c>
      <c r="P2208" s="19">
        <v>0.35807399419823088</v>
      </c>
      <c r="Q2208" s="19">
        <v>0.18712389688803113</v>
      </c>
      <c r="R2208" s="19">
        <v>0.25007939727144796</v>
      </c>
      <c r="S2208" s="19">
        <v>7.2403279567393092E-2</v>
      </c>
      <c r="T2208" s="20">
        <v>12</v>
      </c>
      <c r="U2208" s="17">
        <v>2</v>
      </c>
      <c r="V2208" s="17">
        <v>34</v>
      </c>
    </row>
    <row r="2209" spans="1:22" x14ac:dyDescent="0.2">
      <c r="A2209" t="s">
        <v>5236</v>
      </c>
      <c r="B2209" t="s">
        <v>2719</v>
      </c>
      <c r="C2209" t="s">
        <v>2720</v>
      </c>
      <c r="D2209" t="s">
        <v>3270</v>
      </c>
      <c r="E2209" s="10" t="s">
        <v>5237</v>
      </c>
      <c r="F2209" s="10"/>
      <c r="G2209" s="10"/>
      <c r="H2209" s="10" t="s">
        <v>5237</v>
      </c>
      <c r="I2209" s="14">
        <v>51640.49849517829</v>
      </c>
      <c r="J2209" s="19">
        <v>0</v>
      </c>
      <c r="K2209" s="19">
        <v>0.39108760589971409</v>
      </c>
      <c r="L2209" s="19">
        <v>0.60891239410028608</v>
      </c>
      <c r="M2209" s="20">
        <v>1</v>
      </c>
      <c r="N2209" s="19">
        <v>0.27412217561494345</v>
      </c>
      <c r="O2209" s="19">
        <v>7.472012840309062E-3</v>
      </c>
      <c r="P2209" s="19">
        <v>0.1094934174444616</v>
      </c>
      <c r="Q2209" s="19">
        <v>0.22485276667037152</v>
      </c>
      <c r="R2209" s="19">
        <v>0.35422194478405256</v>
      </c>
      <c r="S2209" s="19">
        <v>2.9837682645861986E-2</v>
      </c>
      <c r="T2209" s="20">
        <v>12</v>
      </c>
      <c r="U2209" s="17">
        <v>2</v>
      </c>
      <c r="V2209" s="17">
        <v>34</v>
      </c>
    </row>
    <row r="2210" spans="1:22" x14ac:dyDescent="0.2">
      <c r="A2210" t="s">
        <v>5238</v>
      </c>
      <c r="B2210" t="s">
        <v>2719</v>
      </c>
      <c r="C2210" t="s">
        <v>2720</v>
      </c>
      <c r="D2210" t="s">
        <v>3270</v>
      </c>
      <c r="E2210" s="10" t="s">
        <v>5239</v>
      </c>
      <c r="F2210" s="10"/>
      <c r="G2210" s="10"/>
      <c r="H2210" s="10" t="s">
        <v>5239</v>
      </c>
      <c r="I2210" s="14">
        <v>88119.728140478008</v>
      </c>
      <c r="J2210" s="19">
        <v>0</v>
      </c>
      <c r="K2210" s="19">
        <v>0.83873303545712086</v>
      </c>
      <c r="L2210" s="19">
        <v>0.16126696454287928</v>
      </c>
      <c r="M2210" s="20">
        <v>2</v>
      </c>
      <c r="N2210" s="19">
        <v>0.55826617440436577</v>
      </c>
      <c r="O2210" s="19">
        <v>0</v>
      </c>
      <c r="P2210" s="19">
        <v>0.28046686105275515</v>
      </c>
      <c r="Q2210" s="19">
        <v>8.2914424241026477E-2</v>
      </c>
      <c r="R2210" s="19">
        <v>6.7289002725010857E-2</v>
      </c>
      <c r="S2210" s="19">
        <v>1.1063537576841939E-2</v>
      </c>
      <c r="T2210" s="20">
        <v>23</v>
      </c>
      <c r="U2210" s="17">
        <v>2</v>
      </c>
      <c r="V2210" s="17">
        <v>34</v>
      </c>
    </row>
    <row r="2211" spans="1:22" x14ac:dyDescent="0.2">
      <c r="A2211" t="s">
        <v>5240</v>
      </c>
      <c r="B2211" t="s">
        <v>2719</v>
      </c>
      <c r="C2211" t="s">
        <v>2720</v>
      </c>
      <c r="D2211" t="s">
        <v>3270</v>
      </c>
      <c r="E2211" s="10" t="s">
        <v>5241</v>
      </c>
      <c r="F2211" s="10"/>
      <c r="G2211" s="10"/>
      <c r="H2211" s="10" t="s">
        <v>5241</v>
      </c>
      <c r="I2211" s="14">
        <v>962.01642579771578</v>
      </c>
      <c r="J2211" s="19">
        <v>0</v>
      </c>
      <c r="K2211" s="19">
        <v>0</v>
      </c>
      <c r="L2211" s="19">
        <v>1</v>
      </c>
      <c r="M2211" s="20">
        <v>1</v>
      </c>
      <c r="N2211" s="19">
        <v>0</v>
      </c>
      <c r="O2211" s="19">
        <v>0</v>
      </c>
      <c r="P2211" s="19">
        <v>0</v>
      </c>
      <c r="Q2211" s="19">
        <v>0</v>
      </c>
      <c r="R2211" s="19">
        <v>1.0000000000000002</v>
      </c>
      <c r="S2211" s="19">
        <v>0</v>
      </c>
      <c r="T2211" s="20">
        <v>12</v>
      </c>
      <c r="U2211" s="17">
        <v>2</v>
      </c>
      <c r="V2211" s="17">
        <v>34</v>
      </c>
    </row>
    <row r="2212" spans="1:22" x14ac:dyDescent="0.2">
      <c r="A2212" t="s">
        <v>5242</v>
      </c>
      <c r="B2212" t="s">
        <v>2719</v>
      </c>
      <c r="C2212" t="s">
        <v>2720</v>
      </c>
      <c r="D2212" t="s">
        <v>3270</v>
      </c>
      <c r="E2212" s="10" t="s">
        <v>5168</v>
      </c>
      <c r="F2212" s="10"/>
      <c r="G2212" s="10"/>
      <c r="H2212" s="10" t="s">
        <v>5168</v>
      </c>
      <c r="I2212" s="14">
        <v>81250.319365169853</v>
      </c>
      <c r="J2212" s="19">
        <v>0</v>
      </c>
      <c r="K2212" s="19">
        <v>0.96713466893456668</v>
      </c>
      <c r="L2212" s="19">
        <v>3.2865331065433268E-2</v>
      </c>
      <c r="M2212" s="20">
        <v>2</v>
      </c>
      <c r="N2212" s="19">
        <v>0.56549963167790418</v>
      </c>
      <c r="O2212" s="19">
        <v>0</v>
      </c>
      <c r="P2212" s="19">
        <v>0.40163503725666255</v>
      </c>
      <c r="Q2212" s="19">
        <v>0</v>
      </c>
      <c r="R2212" s="19">
        <v>3.109320418209845E-2</v>
      </c>
      <c r="S2212" s="19">
        <v>1.7721268833348204E-3</v>
      </c>
      <c r="T2212" s="20">
        <v>23</v>
      </c>
      <c r="U2212" s="17">
        <v>2</v>
      </c>
      <c r="V2212" s="17">
        <v>34</v>
      </c>
    </row>
    <row r="2213" spans="1:22" x14ac:dyDescent="0.2">
      <c r="A2213" t="s">
        <v>5243</v>
      </c>
      <c r="B2213" t="s">
        <v>2719</v>
      </c>
      <c r="C2213" t="s">
        <v>2720</v>
      </c>
      <c r="D2213" t="s">
        <v>3270</v>
      </c>
      <c r="E2213" s="10" t="s">
        <v>5244</v>
      </c>
      <c r="F2213" s="10"/>
      <c r="G2213" s="10"/>
      <c r="H2213" s="10" t="s">
        <v>5244</v>
      </c>
      <c r="I2213" s="14">
        <v>8861.4834746159613</v>
      </c>
      <c r="J2213" s="19">
        <v>0</v>
      </c>
      <c r="K2213" s="19">
        <v>0</v>
      </c>
      <c r="L2213" s="19">
        <v>1</v>
      </c>
      <c r="M2213" s="20">
        <v>1</v>
      </c>
      <c r="N2213" s="19">
        <v>0</v>
      </c>
      <c r="O2213" s="19">
        <v>0</v>
      </c>
      <c r="P2213" s="19">
        <v>0</v>
      </c>
      <c r="Q2213" s="19">
        <v>0.61868229948215081</v>
      </c>
      <c r="R2213" s="19">
        <v>0.3713050419857436</v>
      </c>
      <c r="S2213" s="19">
        <v>1.0012658532105511E-2</v>
      </c>
      <c r="T2213" s="20">
        <v>13</v>
      </c>
      <c r="U2213" s="17">
        <v>2</v>
      </c>
      <c r="V2213" s="17">
        <v>34</v>
      </c>
    </row>
    <row r="2214" spans="1:22" x14ac:dyDescent="0.2">
      <c r="A2214" t="s">
        <v>5245</v>
      </c>
      <c r="B2214" t="s">
        <v>2719</v>
      </c>
      <c r="C2214" t="s">
        <v>2720</v>
      </c>
      <c r="D2214" t="s">
        <v>3270</v>
      </c>
      <c r="E2214" s="10" t="s">
        <v>5246</v>
      </c>
      <c r="F2214" s="10"/>
      <c r="G2214" s="10"/>
      <c r="H2214" s="10" t="s">
        <v>5246</v>
      </c>
      <c r="I2214" s="14">
        <v>112571.19501647353</v>
      </c>
      <c r="J2214" s="19">
        <v>0</v>
      </c>
      <c r="K2214" s="19">
        <v>0.75745183220476708</v>
      </c>
      <c r="L2214" s="19">
        <v>0.24254816779523289</v>
      </c>
      <c r="M2214" s="20">
        <v>2</v>
      </c>
      <c r="N2214" s="19">
        <v>0.36559124848146235</v>
      </c>
      <c r="O2214" s="19">
        <v>0.16974821433861684</v>
      </c>
      <c r="P2214" s="19">
        <v>0.22211236938468798</v>
      </c>
      <c r="Q2214" s="19">
        <v>3.7904119282659743E-2</v>
      </c>
      <c r="R2214" s="19">
        <v>0.18817832067860812</v>
      </c>
      <c r="S2214" s="19">
        <v>1.6465727833965021E-2</v>
      </c>
      <c r="T2214" s="20">
        <v>23</v>
      </c>
      <c r="U2214" s="17">
        <v>2</v>
      </c>
      <c r="V2214" s="17">
        <v>34</v>
      </c>
    </row>
    <row r="2215" spans="1:22" x14ac:dyDescent="0.2">
      <c r="A2215" t="s">
        <v>5247</v>
      </c>
      <c r="B2215" t="s">
        <v>2719</v>
      </c>
      <c r="C2215" t="s">
        <v>2720</v>
      </c>
      <c r="D2215" t="s">
        <v>3270</v>
      </c>
      <c r="E2215" s="10" t="s">
        <v>5248</v>
      </c>
      <c r="F2215" s="10"/>
      <c r="G2215" s="10"/>
      <c r="H2215" s="10" t="s">
        <v>5248</v>
      </c>
      <c r="I2215" s="14">
        <v>56394.89573767734</v>
      </c>
      <c r="J2215" s="19">
        <v>0</v>
      </c>
      <c r="K2215" s="19">
        <v>0.8836321876052281</v>
      </c>
      <c r="L2215" s="19">
        <v>0.11636781239477202</v>
      </c>
      <c r="M2215" s="20">
        <v>2</v>
      </c>
      <c r="N2215" s="19">
        <v>0.61587783725077538</v>
      </c>
      <c r="O2215" s="19">
        <v>0</v>
      </c>
      <c r="P2215" s="19">
        <v>0.26775435035445266</v>
      </c>
      <c r="Q2215" s="19">
        <v>1.770257611633004E-2</v>
      </c>
      <c r="R2215" s="19">
        <v>9.0301990841896704E-2</v>
      </c>
      <c r="S2215" s="19">
        <v>8.3632454365452774E-3</v>
      </c>
      <c r="T2215" s="20">
        <v>23</v>
      </c>
      <c r="U2215" s="17">
        <v>2</v>
      </c>
      <c r="V2215" s="17">
        <v>34</v>
      </c>
    </row>
    <row r="2216" spans="1:22" x14ac:dyDescent="0.2">
      <c r="A2216" t="s">
        <v>5249</v>
      </c>
      <c r="B2216" t="s">
        <v>2719</v>
      </c>
      <c r="C2216" t="s">
        <v>2720</v>
      </c>
      <c r="D2216" t="s">
        <v>3270</v>
      </c>
      <c r="E2216" s="10" t="s">
        <v>5250</v>
      </c>
      <c r="F2216" s="10"/>
      <c r="G2216" s="10"/>
      <c r="H2216" s="10" t="s">
        <v>5250</v>
      </c>
      <c r="I2216" s="14">
        <v>292727.5837394949</v>
      </c>
      <c r="J2216" s="19">
        <v>0.91421924885145167</v>
      </c>
      <c r="K2216" s="19">
        <v>7.6931380080602296E-2</v>
      </c>
      <c r="L2216" s="19">
        <v>8.8493710679460116E-3</v>
      </c>
      <c r="M2216" s="20">
        <v>3</v>
      </c>
      <c r="N2216" s="19">
        <v>0</v>
      </c>
      <c r="O2216" s="19">
        <v>0</v>
      </c>
      <c r="P2216" s="19">
        <v>7.6931380080602296E-2</v>
      </c>
      <c r="Q2216" s="19">
        <v>0</v>
      </c>
      <c r="R2216" s="19">
        <v>8.292058251096102E-3</v>
      </c>
      <c r="S2216" s="19">
        <v>5.5731281684991022E-4</v>
      </c>
      <c r="T2216" s="20">
        <v>30</v>
      </c>
      <c r="U2216" s="17">
        <v>2</v>
      </c>
      <c r="V2216" s="17">
        <v>34</v>
      </c>
    </row>
    <row r="2217" spans="1:22" x14ac:dyDescent="0.2">
      <c r="A2217" t="s">
        <v>5251</v>
      </c>
      <c r="B2217" t="s">
        <v>2719</v>
      </c>
      <c r="C2217" t="s">
        <v>2720</v>
      </c>
      <c r="D2217" t="s">
        <v>3270</v>
      </c>
      <c r="E2217" s="10" t="s">
        <v>5252</v>
      </c>
      <c r="F2217" s="10"/>
      <c r="G2217" s="10"/>
      <c r="H2217" s="10" t="s">
        <v>5252</v>
      </c>
      <c r="I2217" s="14">
        <v>31411.360264897346</v>
      </c>
      <c r="J2217" s="19">
        <v>0</v>
      </c>
      <c r="K2217" s="19">
        <v>0.81429172796349802</v>
      </c>
      <c r="L2217" s="19">
        <v>0.185708272036502</v>
      </c>
      <c r="M2217" s="20">
        <v>2</v>
      </c>
      <c r="N2217" s="19">
        <v>0.35296771612032096</v>
      </c>
      <c r="O2217" s="19">
        <v>0</v>
      </c>
      <c r="P2217" s="19">
        <v>0.46132401184317706</v>
      </c>
      <c r="Q2217" s="19">
        <v>5.6493878134632317E-2</v>
      </c>
      <c r="R2217" s="19">
        <v>0.12606797191841046</v>
      </c>
      <c r="S2217" s="19">
        <v>3.1464219834592268E-3</v>
      </c>
      <c r="T2217" s="20">
        <v>23</v>
      </c>
      <c r="U2217" s="17">
        <v>2</v>
      </c>
      <c r="V2217" s="17">
        <v>34</v>
      </c>
    </row>
    <row r="2218" spans="1:22" x14ac:dyDescent="0.2">
      <c r="A2218" t="s">
        <v>5253</v>
      </c>
      <c r="B2218" t="s">
        <v>2719</v>
      </c>
      <c r="C2218" t="s">
        <v>2720</v>
      </c>
      <c r="D2218" t="s">
        <v>3270</v>
      </c>
      <c r="E2218" s="10" t="s">
        <v>5254</v>
      </c>
      <c r="F2218" s="10"/>
      <c r="G2218" s="10"/>
      <c r="H2218" s="10" t="s">
        <v>5254</v>
      </c>
      <c r="I2218" s="14">
        <v>78071.989111082628</v>
      </c>
      <c r="J2218" s="19">
        <v>0</v>
      </c>
      <c r="K2218" s="19">
        <v>0.75539239654579216</v>
      </c>
      <c r="L2218" s="19">
        <v>0.24460760345420796</v>
      </c>
      <c r="M2218" s="20">
        <v>2</v>
      </c>
      <c r="N2218" s="19">
        <v>0.53425045649537839</v>
      </c>
      <c r="O2218" s="19">
        <v>6.2547115994568928E-2</v>
      </c>
      <c r="P2218" s="19">
        <v>0.15859482405584471</v>
      </c>
      <c r="Q2218" s="19">
        <v>0.15303804372031996</v>
      </c>
      <c r="R2218" s="19">
        <v>8.5631744489039804E-2</v>
      </c>
      <c r="S2218" s="19">
        <v>5.9378152448481625E-3</v>
      </c>
      <c r="T2218" s="20">
        <v>23</v>
      </c>
      <c r="U2218" s="17">
        <v>2</v>
      </c>
      <c r="V2218" s="17">
        <v>34</v>
      </c>
    </row>
    <row r="2219" spans="1:22" x14ac:dyDescent="0.2">
      <c r="A2219" t="s">
        <v>5255</v>
      </c>
      <c r="B2219" t="s">
        <v>2719</v>
      </c>
      <c r="C2219" t="s">
        <v>2720</v>
      </c>
      <c r="D2219" t="s">
        <v>3270</v>
      </c>
      <c r="E2219" s="10" t="s">
        <v>5256</v>
      </c>
      <c r="F2219" s="10"/>
      <c r="G2219" s="10"/>
      <c r="H2219" s="10" t="s">
        <v>5256</v>
      </c>
      <c r="I2219" s="14">
        <v>62242.028851028539</v>
      </c>
      <c r="J2219" s="19">
        <v>0</v>
      </c>
      <c r="K2219" s="19">
        <v>0.54381835520689059</v>
      </c>
      <c r="L2219" s="19">
        <v>0.45618164479310935</v>
      </c>
      <c r="M2219" s="20">
        <v>2</v>
      </c>
      <c r="N2219" s="19">
        <v>0.19216063666381175</v>
      </c>
      <c r="O2219" s="19">
        <v>0.1157835839869063</v>
      </c>
      <c r="P2219" s="19">
        <v>0.23587413455617257</v>
      </c>
      <c r="Q2219" s="19">
        <v>0.21435865090322145</v>
      </c>
      <c r="R2219" s="19">
        <v>0.21533544278802841</v>
      </c>
      <c r="S2219" s="19">
        <v>2.6487551101859404E-2</v>
      </c>
      <c r="T2219" s="20">
        <v>23</v>
      </c>
      <c r="U2219" s="17">
        <v>2</v>
      </c>
      <c r="V2219" s="17">
        <v>34</v>
      </c>
    </row>
    <row r="2220" spans="1:22" x14ac:dyDescent="0.2">
      <c r="A2220" t="s">
        <v>5257</v>
      </c>
      <c r="B2220" t="s">
        <v>2719</v>
      </c>
      <c r="C2220" t="s">
        <v>2720</v>
      </c>
      <c r="D2220" t="s">
        <v>3270</v>
      </c>
      <c r="E2220" s="10" t="s">
        <v>5258</v>
      </c>
      <c r="F2220" s="10"/>
      <c r="G2220" s="10"/>
      <c r="H2220" s="10" t="s">
        <v>5258</v>
      </c>
      <c r="I2220" s="14">
        <v>23777.166027869098</v>
      </c>
      <c r="J2220" s="19">
        <v>0</v>
      </c>
      <c r="K2220" s="19">
        <v>0.85314513486952015</v>
      </c>
      <c r="L2220" s="19">
        <v>0.14685486513047979</v>
      </c>
      <c r="M2220" s="20">
        <v>2</v>
      </c>
      <c r="N2220" s="19">
        <v>0.22737953235222061</v>
      </c>
      <c r="O2220" s="19">
        <v>0</v>
      </c>
      <c r="P2220" s="19">
        <v>0.62576560251729962</v>
      </c>
      <c r="Q2220" s="19">
        <v>0</v>
      </c>
      <c r="R2220" s="19">
        <v>0.13687332064505445</v>
      </c>
      <c r="S2220" s="19">
        <v>9.981544485425365E-3</v>
      </c>
      <c r="T2220" s="20">
        <v>21</v>
      </c>
      <c r="U2220" s="17">
        <v>2</v>
      </c>
      <c r="V2220" s="17">
        <v>34</v>
      </c>
    </row>
    <row r="2221" spans="1:22" x14ac:dyDescent="0.2">
      <c r="A2221" t="s">
        <v>5259</v>
      </c>
      <c r="B2221" t="s">
        <v>2719</v>
      </c>
      <c r="C2221" t="s">
        <v>2720</v>
      </c>
      <c r="D2221" t="s">
        <v>3270</v>
      </c>
      <c r="E2221" s="10" t="s">
        <v>5260</v>
      </c>
      <c r="F2221" s="10"/>
      <c r="G2221" s="10"/>
      <c r="H2221" s="10" t="s">
        <v>5260</v>
      </c>
      <c r="I2221" s="14">
        <v>81912.0940153962</v>
      </c>
      <c r="J2221" s="19">
        <v>0.53909412921758504</v>
      </c>
      <c r="K2221" s="19">
        <v>0.36107175158894084</v>
      </c>
      <c r="L2221" s="19">
        <v>9.9834119193474194E-2</v>
      </c>
      <c r="M2221" s="20">
        <v>3</v>
      </c>
      <c r="N2221" s="19">
        <v>0</v>
      </c>
      <c r="O2221" s="19">
        <v>6.3321477798710529E-2</v>
      </c>
      <c r="P2221" s="19">
        <v>0.29775027379023028</v>
      </c>
      <c r="Q2221" s="19">
        <v>4.7297514304936276E-2</v>
      </c>
      <c r="R2221" s="19">
        <v>4.7549652366875438E-2</v>
      </c>
      <c r="S2221" s="19">
        <v>4.9869525216624851E-3</v>
      </c>
      <c r="T2221" s="20">
        <v>30</v>
      </c>
      <c r="U2221" s="17">
        <v>2</v>
      </c>
      <c r="V2221" s="17">
        <v>34</v>
      </c>
    </row>
    <row r="2222" spans="1:22" x14ac:dyDescent="0.2">
      <c r="A2222" t="s">
        <v>5261</v>
      </c>
      <c r="B2222" t="s">
        <v>2719</v>
      </c>
      <c r="C2222" t="s">
        <v>2720</v>
      </c>
      <c r="D2222" t="s">
        <v>3270</v>
      </c>
      <c r="E2222" s="10" t="s">
        <v>5262</v>
      </c>
      <c r="F2222" s="10"/>
      <c r="G2222" s="10"/>
      <c r="H2222" s="10" t="s">
        <v>5262</v>
      </c>
      <c r="I2222" s="14">
        <v>15028.492630664259</v>
      </c>
      <c r="J2222" s="19">
        <v>0</v>
      </c>
      <c r="K2222" s="19">
        <v>0</v>
      </c>
      <c r="L2222" s="19">
        <v>1</v>
      </c>
      <c r="M2222" s="20">
        <v>1</v>
      </c>
      <c r="N2222" s="19">
        <v>0</v>
      </c>
      <c r="O2222" s="19">
        <v>0</v>
      </c>
      <c r="P2222" s="19">
        <v>0</v>
      </c>
      <c r="Q2222" s="19">
        <v>0.88525845551653537</v>
      </c>
      <c r="R2222" s="19">
        <v>9.0632720412142515E-2</v>
      </c>
      <c r="S2222" s="19">
        <v>2.4108824071322213E-2</v>
      </c>
      <c r="T2222" s="20">
        <v>13</v>
      </c>
      <c r="U2222" s="17">
        <v>2</v>
      </c>
      <c r="V2222" s="17">
        <v>34</v>
      </c>
    </row>
    <row r="2223" spans="1:22" x14ac:dyDescent="0.2">
      <c r="A2223" t="s">
        <v>5263</v>
      </c>
      <c r="B2223" t="s">
        <v>2719</v>
      </c>
      <c r="C2223" t="s">
        <v>2720</v>
      </c>
      <c r="D2223" t="s">
        <v>3270</v>
      </c>
      <c r="E2223" s="10" t="s">
        <v>5264</v>
      </c>
      <c r="F2223" s="10"/>
      <c r="G2223" s="10"/>
      <c r="H2223" s="10" t="s">
        <v>5264</v>
      </c>
      <c r="I2223" s="14">
        <v>16487.976598501205</v>
      </c>
      <c r="J2223" s="19">
        <v>0</v>
      </c>
      <c r="K2223" s="19">
        <v>0.34623607690344815</v>
      </c>
      <c r="L2223" s="19">
        <v>0.65376392309655185</v>
      </c>
      <c r="M2223" s="20">
        <v>1</v>
      </c>
      <c r="N2223" s="19">
        <v>0.3365840854926711</v>
      </c>
      <c r="O2223" s="19">
        <v>0</v>
      </c>
      <c r="P2223" s="19">
        <v>9.6519914107770517E-3</v>
      </c>
      <c r="Q2223" s="19">
        <v>0.59261858935697764</v>
      </c>
      <c r="R2223" s="19">
        <v>5.7110141533036562E-2</v>
      </c>
      <c r="S2223" s="19">
        <v>4.0351922065376871E-3</v>
      </c>
      <c r="T2223" s="20">
        <v>13</v>
      </c>
      <c r="U2223" s="17">
        <v>2</v>
      </c>
      <c r="V2223" s="17">
        <v>34</v>
      </c>
    </row>
    <row r="2224" spans="1:22" x14ac:dyDescent="0.2">
      <c r="A2224" t="s">
        <v>5265</v>
      </c>
      <c r="B2224" t="s">
        <v>2719</v>
      </c>
      <c r="C2224" t="s">
        <v>2720</v>
      </c>
      <c r="D2224" t="s">
        <v>3270</v>
      </c>
      <c r="E2224" s="10" t="s">
        <v>5266</v>
      </c>
      <c r="F2224" s="10"/>
      <c r="G2224" s="10"/>
      <c r="H2224" s="10" t="s">
        <v>5266</v>
      </c>
      <c r="I2224" s="14">
        <v>14987.124406791292</v>
      </c>
      <c r="J2224" s="19">
        <v>0</v>
      </c>
      <c r="K2224" s="19">
        <v>0.63720572923406205</v>
      </c>
      <c r="L2224" s="19">
        <v>0.36279427076593795</v>
      </c>
      <c r="M2224" s="20">
        <v>2</v>
      </c>
      <c r="N2224" s="19">
        <v>0.39926116710525816</v>
      </c>
      <c r="O2224" s="19">
        <v>0</v>
      </c>
      <c r="P2224" s="19">
        <v>0.23794456212880385</v>
      </c>
      <c r="Q2224" s="19">
        <v>0.23847417244879859</v>
      </c>
      <c r="R2224" s="19">
        <v>0.11794815592461333</v>
      </c>
      <c r="S2224" s="19">
        <v>6.3719423925260458E-3</v>
      </c>
      <c r="T2224" s="20">
        <v>23</v>
      </c>
      <c r="U2224" s="17">
        <v>2</v>
      </c>
      <c r="V2224" s="17">
        <v>34</v>
      </c>
    </row>
    <row r="2225" spans="1:22" x14ac:dyDescent="0.2">
      <c r="A2225" t="s">
        <v>5267</v>
      </c>
      <c r="B2225" t="s">
        <v>2719</v>
      </c>
      <c r="C2225" t="s">
        <v>2720</v>
      </c>
      <c r="D2225" t="s">
        <v>3270</v>
      </c>
      <c r="E2225" s="10" t="s">
        <v>5268</v>
      </c>
      <c r="F2225" s="10"/>
      <c r="G2225" s="10"/>
      <c r="H2225" s="10" t="s">
        <v>5268</v>
      </c>
      <c r="I2225" s="14">
        <v>25350.024985933676</v>
      </c>
      <c r="J2225" s="19">
        <v>0</v>
      </c>
      <c r="K2225" s="19">
        <v>0.79777071103515174</v>
      </c>
      <c r="L2225" s="19">
        <v>0.20222928896484832</v>
      </c>
      <c r="M2225" s="20">
        <v>2</v>
      </c>
      <c r="N2225" s="19">
        <v>0.31095268961967248</v>
      </c>
      <c r="O2225" s="19">
        <v>0</v>
      </c>
      <c r="P2225" s="19">
        <v>0.48681802141547925</v>
      </c>
      <c r="Q2225" s="19">
        <v>5.9919129251754709E-2</v>
      </c>
      <c r="R2225" s="19">
        <v>0.12774216805912264</v>
      </c>
      <c r="S2225" s="19">
        <v>1.456799165397092E-2</v>
      </c>
      <c r="T2225" s="20">
        <v>23</v>
      </c>
      <c r="U2225" s="17">
        <v>2</v>
      </c>
      <c r="V2225" s="17">
        <v>34</v>
      </c>
    </row>
    <row r="2226" spans="1:22" x14ac:dyDescent="0.2">
      <c r="A2226" t="s">
        <v>5269</v>
      </c>
      <c r="B2226" t="s">
        <v>2719</v>
      </c>
      <c r="C2226" t="s">
        <v>2720</v>
      </c>
      <c r="D2226" t="s">
        <v>3270</v>
      </c>
      <c r="E2226" s="10" t="s">
        <v>3314</v>
      </c>
      <c r="F2226" s="10"/>
      <c r="G2226" s="10"/>
      <c r="H2226" s="10" t="s">
        <v>3314</v>
      </c>
      <c r="I2226" s="14">
        <v>11230.972071170807</v>
      </c>
      <c r="J2226" s="19">
        <v>0</v>
      </c>
      <c r="K2226" s="19">
        <v>0.955369911447841</v>
      </c>
      <c r="L2226" s="19">
        <v>4.4630088552159025E-2</v>
      </c>
      <c r="M2226" s="20">
        <v>2</v>
      </c>
      <c r="N2226" s="19">
        <v>0.54638398652531539</v>
      </c>
      <c r="O2226" s="19">
        <v>0</v>
      </c>
      <c r="P2226" s="19">
        <v>0.40898592492252556</v>
      </c>
      <c r="Q2226" s="19">
        <v>0</v>
      </c>
      <c r="R2226" s="19">
        <v>4.171495672593039E-2</v>
      </c>
      <c r="S2226" s="19">
        <v>2.9151318262286433E-3</v>
      </c>
      <c r="T2226" s="20">
        <v>23</v>
      </c>
      <c r="U2226" s="17">
        <v>2</v>
      </c>
      <c r="V2226" s="17">
        <v>34</v>
      </c>
    </row>
    <row r="2227" spans="1:22" x14ac:dyDescent="0.2">
      <c r="A2227" t="s">
        <v>5270</v>
      </c>
      <c r="B2227" t="s">
        <v>2719</v>
      </c>
      <c r="C2227" t="s">
        <v>2720</v>
      </c>
      <c r="D2227" t="s">
        <v>3270</v>
      </c>
      <c r="E2227" s="10" t="s">
        <v>5271</v>
      </c>
      <c r="F2227" s="10"/>
      <c r="G2227" s="10"/>
      <c r="H2227" s="10" t="s">
        <v>5271</v>
      </c>
      <c r="I2227" s="14">
        <v>32643.683543798514</v>
      </c>
      <c r="J2227" s="19">
        <v>0</v>
      </c>
      <c r="K2227" s="19">
        <v>0.39041947834867879</v>
      </c>
      <c r="L2227" s="19">
        <v>0.60958052165132126</v>
      </c>
      <c r="M2227" s="20">
        <v>1</v>
      </c>
      <c r="N2227" s="19">
        <v>0.34669980315798049</v>
      </c>
      <c r="O2227" s="19">
        <v>0</v>
      </c>
      <c r="P2227" s="19">
        <v>4.3719675190698276E-2</v>
      </c>
      <c r="Q2227" s="19">
        <v>0.42804884892819045</v>
      </c>
      <c r="R2227" s="19">
        <v>0.1683665883472486</v>
      </c>
      <c r="S2227" s="19">
        <v>1.3165084375882211E-2</v>
      </c>
      <c r="T2227" s="20">
        <v>13</v>
      </c>
      <c r="U2227" s="17">
        <v>2</v>
      </c>
      <c r="V2227" s="17">
        <v>34</v>
      </c>
    </row>
    <row r="2228" spans="1:22" x14ac:dyDescent="0.2">
      <c r="A2228" t="s">
        <v>5272</v>
      </c>
      <c r="B2228" t="s">
        <v>2719</v>
      </c>
      <c r="C2228" t="s">
        <v>2720</v>
      </c>
      <c r="D2228" t="s">
        <v>3270</v>
      </c>
      <c r="E2228" s="10" t="s">
        <v>3270</v>
      </c>
      <c r="F2228" s="10"/>
      <c r="G2228" s="10"/>
      <c r="H2228" s="10" t="s">
        <v>3270</v>
      </c>
      <c r="I2228" s="14">
        <v>14627.032230023295</v>
      </c>
      <c r="J2228" s="19">
        <v>0</v>
      </c>
      <c r="K2228" s="19">
        <v>0.39252640355716162</v>
      </c>
      <c r="L2228" s="19">
        <v>0.60747359644283838</v>
      </c>
      <c r="M2228" s="20">
        <v>1</v>
      </c>
      <c r="N2228" s="19">
        <v>0.35239856967724803</v>
      </c>
      <c r="O2228" s="19">
        <v>0</v>
      </c>
      <c r="P2228" s="19">
        <v>4.0127833879913623E-2</v>
      </c>
      <c r="Q2228" s="19">
        <v>0.40131521021960909</v>
      </c>
      <c r="R2228" s="19">
        <v>0.1903436642061801</v>
      </c>
      <c r="S2228" s="19">
        <v>1.5814722017049202E-2</v>
      </c>
      <c r="T2228" s="20">
        <v>13</v>
      </c>
      <c r="U2228" s="17">
        <v>2</v>
      </c>
      <c r="V2228" s="17">
        <v>34</v>
      </c>
    </row>
    <row r="2229" spans="1:22" x14ac:dyDescent="0.2">
      <c r="A2229" t="s">
        <v>5273</v>
      </c>
      <c r="B2229" t="s">
        <v>2719</v>
      </c>
      <c r="C2229" t="s">
        <v>2720</v>
      </c>
      <c r="D2229" t="s">
        <v>3270</v>
      </c>
      <c r="E2229" s="10" t="s">
        <v>5274</v>
      </c>
      <c r="F2229" s="10"/>
      <c r="G2229" s="10"/>
      <c r="H2229" s="10" t="s">
        <v>5274</v>
      </c>
      <c r="I2229" s="14">
        <v>43229.908788297325</v>
      </c>
      <c r="J2229" s="19">
        <v>0</v>
      </c>
      <c r="K2229" s="19">
        <v>0.53727306025079613</v>
      </c>
      <c r="L2229" s="19">
        <v>0.46272693974920392</v>
      </c>
      <c r="M2229" s="20">
        <v>2</v>
      </c>
      <c r="N2229" s="19">
        <v>0.37202556119922919</v>
      </c>
      <c r="O2229" s="19">
        <v>0.12593500010854014</v>
      </c>
      <c r="P2229" s="19">
        <v>3.9312498943026762E-2</v>
      </c>
      <c r="Q2229" s="19">
        <v>0.3494287103312449</v>
      </c>
      <c r="R2229" s="19">
        <v>0.10022025675639454</v>
      </c>
      <c r="S2229" s="19">
        <v>1.3077972661564493E-2</v>
      </c>
      <c r="T2229" s="20">
        <v>23</v>
      </c>
      <c r="U2229" s="17">
        <v>2</v>
      </c>
      <c r="V2229" s="17">
        <v>34</v>
      </c>
    </row>
    <row r="2230" spans="1:22" x14ac:dyDescent="0.2">
      <c r="A2230" t="s">
        <v>5275</v>
      </c>
      <c r="B2230" t="s">
        <v>2719</v>
      </c>
      <c r="C2230" t="s">
        <v>2720</v>
      </c>
      <c r="D2230" t="s">
        <v>3270</v>
      </c>
      <c r="E2230" s="10" t="s">
        <v>5276</v>
      </c>
      <c r="F2230" s="10"/>
      <c r="G2230" s="10"/>
      <c r="H2230" s="10" t="s">
        <v>5276</v>
      </c>
      <c r="I2230" s="14">
        <v>14857.881817760877</v>
      </c>
      <c r="J2230" s="19">
        <v>0</v>
      </c>
      <c r="K2230" s="19">
        <v>0.84714806946111165</v>
      </c>
      <c r="L2230" s="19">
        <v>0.15285193053888835</v>
      </c>
      <c r="M2230" s="20">
        <v>2</v>
      </c>
      <c r="N2230" s="19">
        <v>0.58810644237283005</v>
      </c>
      <c r="O2230" s="19">
        <v>0</v>
      </c>
      <c r="P2230" s="19">
        <v>0.2590416270882816</v>
      </c>
      <c r="Q2230" s="19">
        <v>0</v>
      </c>
      <c r="R2230" s="19">
        <v>0.12352816464340316</v>
      </c>
      <c r="S2230" s="19">
        <v>2.9323765895485167E-2</v>
      </c>
      <c r="T2230" s="20">
        <v>23</v>
      </c>
      <c r="U2230" s="17">
        <v>2</v>
      </c>
      <c r="V2230" s="17">
        <v>34</v>
      </c>
    </row>
    <row r="2231" spans="1:22" x14ac:dyDescent="0.2">
      <c r="A2231" t="s">
        <v>5277</v>
      </c>
      <c r="B2231" t="s">
        <v>2719</v>
      </c>
      <c r="C2231" t="s">
        <v>2720</v>
      </c>
      <c r="D2231" t="s">
        <v>3270</v>
      </c>
      <c r="E2231" s="10" t="s">
        <v>3542</v>
      </c>
      <c r="F2231" s="10"/>
      <c r="G2231" s="10"/>
      <c r="H2231" s="10" t="s">
        <v>3542</v>
      </c>
      <c r="I2231" s="14">
        <v>43992.370386432856</v>
      </c>
      <c r="J2231" s="19">
        <v>0</v>
      </c>
      <c r="K2231" s="19">
        <v>0.82751715331088638</v>
      </c>
      <c r="L2231" s="19">
        <v>0.17248284668911359</v>
      </c>
      <c r="M2231" s="20">
        <v>2</v>
      </c>
      <c r="N2231" s="19">
        <v>0.36273500676644355</v>
      </c>
      <c r="O2231" s="19">
        <v>0.21802084055224794</v>
      </c>
      <c r="P2231" s="19">
        <v>0.24676130599219492</v>
      </c>
      <c r="Q2231" s="19">
        <v>7.3737388795223929E-2</v>
      </c>
      <c r="R2231" s="19">
        <v>7.6413684305002741E-2</v>
      </c>
      <c r="S2231" s="19">
        <v>2.2331773588886938E-2</v>
      </c>
      <c r="T2231" s="20">
        <v>23</v>
      </c>
      <c r="U2231" s="17">
        <v>2</v>
      </c>
      <c r="V2231" s="17">
        <v>34</v>
      </c>
    </row>
    <row r="2232" spans="1:22" x14ac:dyDescent="0.2">
      <c r="A2232" t="s">
        <v>5278</v>
      </c>
      <c r="B2232" t="s">
        <v>2719</v>
      </c>
      <c r="C2232" t="s">
        <v>2720</v>
      </c>
      <c r="D2232" t="s">
        <v>3270</v>
      </c>
      <c r="E2232" s="10" t="s">
        <v>4900</v>
      </c>
      <c r="F2232" s="10"/>
      <c r="G2232" s="10"/>
      <c r="H2232" s="10" t="s">
        <v>4900</v>
      </c>
      <c r="I2232" s="14">
        <v>39329.341135872062</v>
      </c>
      <c r="J2232" s="19">
        <v>0</v>
      </c>
      <c r="K2232" s="19">
        <v>0.93877821988902033</v>
      </c>
      <c r="L2232" s="19">
        <v>6.1221780110979687E-2</v>
      </c>
      <c r="M2232" s="20">
        <v>2</v>
      </c>
      <c r="N2232" s="19">
        <v>1.435050220979532E-3</v>
      </c>
      <c r="O2232" s="19">
        <v>0</v>
      </c>
      <c r="P2232" s="19">
        <v>0.93734316966804077</v>
      </c>
      <c r="Q2232" s="19">
        <v>0</v>
      </c>
      <c r="R2232" s="19">
        <v>5.8988583262215316E-2</v>
      </c>
      <c r="S2232" s="19">
        <v>2.2331968487643824E-3</v>
      </c>
      <c r="T2232" s="20">
        <v>21</v>
      </c>
      <c r="U2232" s="17">
        <v>2</v>
      </c>
      <c r="V2232" s="17">
        <v>34</v>
      </c>
    </row>
    <row r="2233" spans="1:22" x14ac:dyDescent="0.2">
      <c r="A2233" t="s">
        <v>5279</v>
      </c>
      <c r="B2233" t="s">
        <v>2719</v>
      </c>
      <c r="C2233" t="s">
        <v>2720</v>
      </c>
      <c r="D2233" t="s">
        <v>3270</v>
      </c>
      <c r="E2233" s="10" t="s">
        <v>2817</v>
      </c>
      <c r="F2233" s="10"/>
      <c r="G2233" s="10"/>
      <c r="H2233" s="10" t="s">
        <v>2817</v>
      </c>
      <c r="I2233" s="14">
        <v>73372.159917568788</v>
      </c>
      <c r="J2233" s="19">
        <v>0</v>
      </c>
      <c r="K2233" s="19">
        <v>0.69315343018335185</v>
      </c>
      <c r="L2233" s="19">
        <v>0.3068465698166481</v>
      </c>
      <c r="M2233" s="20">
        <v>2</v>
      </c>
      <c r="N2233" s="19">
        <v>0.24074488923533294</v>
      </c>
      <c r="O2233" s="19">
        <v>0.33502049383016419</v>
      </c>
      <c r="P2233" s="19">
        <v>0.11738804711785478</v>
      </c>
      <c r="Q2233" s="19">
        <v>0.19221408539495596</v>
      </c>
      <c r="R2233" s="19">
        <v>9.122473037941134E-2</v>
      </c>
      <c r="S2233" s="19">
        <v>2.3407754042280803E-2</v>
      </c>
      <c r="T2233" s="20">
        <v>22</v>
      </c>
      <c r="U2233" s="17">
        <v>2</v>
      </c>
      <c r="V2233" s="17">
        <v>34</v>
      </c>
    </row>
    <row r="2234" spans="1:22" x14ac:dyDescent="0.2">
      <c r="A2234" t="s">
        <v>5280</v>
      </c>
      <c r="B2234" t="s">
        <v>2719</v>
      </c>
      <c r="C2234" t="s">
        <v>2720</v>
      </c>
      <c r="D2234" t="s">
        <v>3270</v>
      </c>
      <c r="E2234" s="10" t="s">
        <v>5281</v>
      </c>
      <c r="F2234" s="10"/>
      <c r="G2234" s="10"/>
      <c r="H2234" s="10" t="s">
        <v>5281</v>
      </c>
      <c r="I2234" s="14">
        <v>60287.252122960985</v>
      </c>
      <c r="J2234" s="19">
        <v>0</v>
      </c>
      <c r="K2234" s="19">
        <v>0.77309062295532571</v>
      </c>
      <c r="L2234" s="19">
        <v>0.22690937704467429</v>
      </c>
      <c r="M2234" s="20">
        <v>2</v>
      </c>
      <c r="N2234" s="19">
        <v>9.6967521590855907E-2</v>
      </c>
      <c r="O2234" s="19">
        <v>0.43591661963759998</v>
      </c>
      <c r="P2234" s="19">
        <v>0.24020648172686987</v>
      </c>
      <c r="Q2234" s="19">
        <v>3.1983881281629184E-2</v>
      </c>
      <c r="R2234" s="19">
        <v>0.17752623000768397</v>
      </c>
      <c r="S2234" s="19">
        <v>1.7399265755361111E-2</v>
      </c>
      <c r="T2234" s="20">
        <v>22</v>
      </c>
      <c r="U2234" s="17">
        <v>2</v>
      </c>
      <c r="V2234" s="17">
        <v>34</v>
      </c>
    </row>
    <row r="2235" spans="1:22" x14ac:dyDescent="0.2">
      <c r="A2235" t="s">
        <v>5282</v>
      </c>
      <c r="B2235" t="s">
        <v>2719</v>
      </c>
      <c r="C2235" t="s">
        <v>2720</v>
      </c>
      <c r="D2235" t="s">
        <v>3270</v>
      </c>
      <c r="E2235" s="10" t="s">
        <v>5283</v>
      </c>
      <c r="F2235" s="10"/>
      <c r="G2235" s="10"/>
      <c r="H2235" s="10" t="s">
        <v>5283</v>
      </c>
      <c r="I2235" s="14">
        <v>177104.77858791078</v>
      </c>
      <c r="J2235" s="19">
        <v>0.32738149740448785</v>
      </c>
      <c r="K2235" s="19">
        <v>0.64324214807382241</v>
      </c>
      <c r="L2235" s="19">
        <v>2.9376354521689831E-2</v>
      </c>
      <c r="M2235" s="20">
        <v>2</v>
      </c>
      <c r="N2235" s="19">
        <v>0</v>
      </c>
      <c r="O2235" s="19">
        <v>0</v>
      </c>
      <c r="P2235" s="19">
        <v>0.64324214807382241</v>
      </c>
      <c r="Q2235" s="19">
        <v>6.4437155795900945E-6</v>
      </c>
      <c r="R2235" s="19">
        <v>2.8707469681609778E-2</v>
      </c>
      <c r="S2235" s="19">
        <v>6.6244112450046023E-4</v>
      </c>
      <c r="T2235" s="20">
        <v>21</v>
      </c>
      <c r="U2235" s="17">
        <v>2</v>
      </c>
      <c r="V2235" s="17">
        <v>34</v>
      </c>
    </row>
    <row r="2236" spans="1:22" x14ac:dyDescent="0.2">
      <c r="A2236" t="s">
        <v>5284</v>
      </c>
      <c r="B2236" t="s">
        <v>2719</v>
      </c>
      <c r="C2236" t="s">
        <v>2720</v>
      </c>
      <c r="D2236" t="s">
        <v>3270</v>
      </c>
      <c r="E2236" s="10" t="s">
        <v>5285</v>
      </c>
      <c r="F2236" s="10"/>
      <c r="G2236" s="10"/>
      <c r="H2236" s="10" t="s">
        <v>5285</v>
      </c>
      <c r="I2236" s="14">
        <v>64607.643764298409</v>
      </c>
      <c r="J2236" s="19">
        <v>0</v>
      </c>
      <c r="K2236" s="19">
        <v>0.410738982366885</v>
      </c>
      <c r="L2236" s="19">
        <v>0.589261017633115</v>
      </c>
      <c r="M2236" s="20">
        <v>1</v>
      </c>
      <c r="N2236" s="19">
        <v>0.34775531019661016</v>
      </c>
      <c r="O2236" s="19">
        <v>0</v>
      </c>
      <c r="P2236" s="19">
        <v>6.298367217027484E-2</v>
      </c>
      <c r="Q2236" s="19">
        <v>0.27634431915379232</v>
      </c>
      <c r="R2236" s="19">
        <v>0.28096819812969082</v>
      </c>
      <c r="S2236" s="19">
        <v>3.1948500349631918E-2</v>
      </c>
      <c r="T2236" s="20">
        <v>12</v>
      </c>
      <c r="U2236" s="17">
        <v>2</v>
      </c>
      <c r="V2236" s="17">
        <v>34</v>
      </c>
    </row>
    <row r="2237" spans="1:22" x14ac:dyDescent="0.2">
      <c r="A2237" t="s">
        <v>5286</v>
      </c>
      <c r="B2237" t="s">
        <v>2719</v>
      </c>
      <c r="C2237" t="s">
        <v>2720</v>
      </c>
      <c r="D2237" t="s">
        <v>3270</v>
      </c>
      <c r="E2237" s="10" t="s">
        <v>5287</v>
      </c>
      <c r="F2237" s="10"/>
      <c r="G2237" s="10"/>
      <c r="H2237" s="10" t="s">
        <v>5287</v>
      </c>
      <c r="I2237" s="14">
        <v>112432.81013618689</v>
      </c>
      <c r="J2237" s="19">
        <v>7.1268176516321835E-2</v>
      </c>
      <c r="K2237" s="19">
        <v>0.77891786396052753</v>
      </c>
      <c r="L2237" s="19">
        <v>0.14981395952315063</v>
      </c>
      <c r="M2237" s="20">
        <v>2</v>
      </c>
      <c r="N2237" s="19">
        <v>0.45011747564112975</v>
      </c>
      <c r="O2237" s="19">
        <v>5.0221116902608248E-2</v>
      </c>
      <c r="P2237" s="19">
        <v>0.27857927141678951</v>
      </c>
      <c r="Q2237" s="19">
        <v>5.8607858252724382E-2</v>
      </c>
      <c r="R2237" s="19">
        <v>8.498863598956842E-2</v>
      </c>
      <c r="S2237" s="19">
        <v>6.2174652808578371E-3</v>
      </c>
      <c r="T2237" s="20">
        <v>23</v>
      </c>
      <c r="U2237" s="17">
        <v>2</v>
      </c>
      <c r="V2237" s="17">
        <v>34</v>
      </c>
    </row>
    <row r="2238" spans="1:22" x14ac:dyDescent="0.2">
      <c r="A2238" t="s">
        <v>5288</v>
      </c>
      <c r="B2238" t="s">
        <v>2719</v>
      </c>
      <c r="C2238" t="s">
        <v>2720</v>
      </c>
      <c r="D2238" t="s">
        <v>3270</v>
      </c>
      <c r="E2238" s="10" t="s">
        <v>5289</v>
      </c>
      <c r="F2238" s="10"/>
      <c r="G2238" s="10"/>
      <c r="H2238" s="10" t="s">
        <v>5289</v>
      </c>
      <c r="I2238" s="14">
        <v>112676.22476986841</v>
      </c>
      <c r="J2238" s="19">
        <v>0</v>
      </c>
      <c r="K2238" s="19">
        <v>0.966592260371121</v>
      </c>
      <c r="L2238" s="19">
        <v>3.3407739628879121E-2</v>
      </c>
      <c r="M2238" s="20">
        <v>2</v>
      </c>
      <c r="N2238" s="19">
        <v>0.49914552936536388</v>
      </c>
      <c r="O2238" s="19">
        <v>0</v>
      </c>
      <c r="P2238" s="19">
        <v>0.46744673100575718</v>
      </c>
      <c r="Q2238" s="19">
        <v>0</v>
      </c>
      <c r="R2238" s="19">
        <v>3.1781953075808146E-2</v>
      </c>
      <c r="S2238" s="19">
        <v>1.6257865530709772E-3</v>
      </c>
      <c r="T2238" s="20">
        <v>23</v>
      </c>
      <c r="U2238" s="17">
        <v>2</v>
      </c>
      <c r="V2238" s="17">
        <v>34</v>
      </c>
    </row>
    <row r="2239" spans="1:22" x14ac:dyDescent="0.2">
      <c r="A2239" t="s">
        <v>5290</v>
      </c>
      <c r="B2239" t="s">
        <v>2719</v>
      </c>
      <c r="C2239" t="s">
        <v>2720</v>
      </c>
      <c r="D2239" t="s">
        <v>3270</v>
      </c>
      <c r="E2239" s="10" t="s">
        <v>5291</v>
      </c>
      <c r="F2239" s="10"/>
      <c r="G2239" s="10"/>
      <c r="H2239" s="10" t="s">
        <v>5291</v>
      </c>
      <c r="I2239" s="14">
        <v>30997.043352505192</v>
      </c>
      <c r="J2239" s="19">
        <v>0</v>
      </c>
      <c r="K2239" s="19">
        <v>0.64025808619976532</v>
      </c>
      <c r="L2239" s="19">
        <v>0.35974191380023468</v>
      </c>
      <c r="M2239" s="20">
        <v>2</v>
      </c>
      <c r="N2239" s="19">
        <v>0.23592176779862992</v>
      </c>
      <c r="O2239" s="19">
        <v>0</v>
      </c>
      <c r="P2239" s="19">
        <v>0.40433631840113543</v>
      </c>
      <c r="Q2239" s="19">
        <v>0.13329464730763388</v>
      </c>
      <c r="R2239" s="19">
        <v>0.21218389417916472</v>
      </c>
      <c r="S2239" s="19">
        <v>1.426337231343606E-2</v>
      </c>
      <c r="T2239" s="20">
        <v>23</v>
      </c>
      <c r="U2239" s="17">
        <v>2</v>
      </c>
      <c r="V2239" s="17">
        <v>34</v>
      </c>
    </row>
    <row r="2240" spans="1:22" x14ac:dyDescent="0.2">
      <c r="A2240" t="s">
        <v>5292</v>
      </c>
      <c r="B2240" t="s">
        <v>2719</v>
      </c>
      <c r="C2240" t="s">
        <v>2720</v>
      </c>
      <c r="D2240" t="s">
        <v>3956</v>
      </c>
      <c r="E2240" s="10" t="s">
        <v>5293</v>
      </c>
      <c r="F2240" s="10"/>
      <c r="G2240" s="10"/>
      <c r="H2240" s="10" t="s">
        <v>5293</v>
      </c>
      <c r="I2240" s="14">
        <v>33687.176471598446</v>
      </c>
      <c r="J2240" s="19">
        <v>0</v>
      </c>
      <c r="K2240" s="19">
        <v>0.46138094414081082</v>
      </c>
      <c r="L2240" s="19">
        <v>0.53861905585918923</v>
      </c>
      <c r="M2240" s="20">
        <v>1</v>
      </c>
      <c r="N2240" s="19">
        <v>0</v>
      </c>
      <c r="O2240" s="19">
        <v>0.46138094414081082</v>
      </c>
      <c r="P2240" s="19">
        <v>0</v>
      </c>
      <c r="Q2240" s="19">
        <v>0.14478185076391029</v>
      </c>
      <c r="R2240" s="19">
        <v>0.36530240581528206</v>
      </c>
      <c r="S2240" s="19">
        <v>2.853479927999682E-2</v>
      </c>
      <c r="T2240" s="20">
        <v>12</v>
      </c>
      <c r="U2240" s="17">
        <v>2</v>
      </c>
      <c r="V2240" s="17">
        <v>34</v>
      </c>
    </row>
    <row r="2241" spans="1:22" x14ac:dyDescent="0.2">
      <c r="A2241" t="s">
        <v>5294</v>
      </c>
      <c r="B2241" t="s">
        <v>2719</v>
      </c>
      <c r="C2241" t="s">
        <v>2720</v>
      </c>
      <c r="D2241" t="s">
        <v>3956</v>
      </c>
      <c r="E2241" s="10" t="s">
        <v>5295</v>
      </c>
      <c r="F2241" s="10"/>
      <c r="G2241" s="10"/>
      <c r="H2241" s="10" t="s">
        <v>5295</v>
      </c>
      <c r="I2241" s="14">
        <v>38108.111522008083</v>
      </c>
      <c r="J2241" s="19">
        <v>0</v>
      </c>
      <c r="K2241" s="19">
        <v>0.55871534794013011</v>
      </c>
      <c r="L2241" s="19">
        <v>0.44128465205986983</v>
      </c>
      <c r="M2241" s="20">
        <v>2</v>
      </c>
      <c r="N2241" s="19">
        <v>0</v>
      </c>
      <c r="O2241" s="19">
        <v>1.9488623695156433E-3</v>
      </c>
      <c r="P2241" s="19">
        <v>0.55676648557061448</v>
      </c>
      <c r="Q2241" s="19">
        <v>0.19015301886324321</v>
      </c>
      <c r="R2241" s="19">
        <v>0.22093985157411647</v>
      </c>
      <c r="S2241" s="19">
        <v>3.0191781622510152E-2</v>
      </c>
      <c r="T2241" s="20">
        <v>21</v>
      </c>
      <c r="U2241" s="17">
        <v>2</v>
      </c>
      <c r="V2241" s="17">
        <v>34</v>
      </c>
    </row>
    <row r="2242" spans="1:22" x14ac:dyDescent="0.2">
      <c r="A2242" t="s">
        <v>5296</v>
      </c>
      <c r="B2242" t="s">
        <v>2719</v>
      </c>
      <c r="C2242" t="s">
        <v>2720</v>
      </c>
      <c r="D2242" t="s">
        <v>3956</v>
      </c>
      <c r="E2242" s="10" t="s">
        <v>5297</v>
      </c>
      <c r="F2242" s="10"/>
      <c r="G2242" s="10"/>
      <c r="H2242" s="10" t="s">
        <v>5297</v>
      </c>
      <c r="I2242" s="14">
        <v>67900.014203040861</v>
      </c>
      <c r="J2242" s="19">
        <v>0</v>
      </c>
      <c r="K2242" s="19">
        <v>0.65682393483544521</v>
      </c>
      <c r="L2242" s="19">
        <v>0.34317606516455479</v>
      </c>
      <c r="M2242" s="20">
        <v>2</v>
      </c>
      <c r="N2242" s="19">
        <v>0.17420174634968605</v>
      </c>
      <c r="O2242" s="19">
        <v>0</v>
      </c>
      <c r="P2242" s="19">
        <v>0.48262218848575916</v>
      </c>
      <c r="Q2242" s="19">
        <v>0.12961324052007847</v>
      </c>
      <c r="R2242" s="19">
        <v>0.19139059045446863</v>
      </c>
      <c r="S2242" s="19">
        <v>2.2172234190007717E-2</v>
      </c>
      <c r="T2242" s="20">
        <v>23</v>
      </c>
      <c r="U2242" s="17">
        <v>2</v>
      </c>
      <c r="V2242" s="17">
        <v>34</v>
      </c>
    </row>
    <row r="2243" spans="1:22" x14ac:dyDescent="0.2">
      <c r="A2243" t="s">
        <v>5298</v>
      </c>
      <c r="B2243" t="s">
        <v>2719</v>
      </c>
      <c r="C2243" t="s">
        <v>2720</v>
      </c>
      <c r="D2243" t="s">
        <v>3956</v>
      </c>
      <c r="E2243" s="10" t="s">
        <v>5299</v>
      </c>
      <c r="F2243" s="10"/>
      <c r="G2243" s="10"/>
      <c r="H2243" s="10" t="s">
        <v>5299</v>
      </c>
      <c r="I2243" s="14">
        <v>46530.324095680844</v>
      </c>
      <c r="J2243" s="19">
        <v>0</v>
      </c>
      <c r="K2243" s="19">
        <v>0.60854639093242957</v>
      </c>
      <c r="L2243" s="19">
        <v>0.39145360906757032</v>
      </c>
      <c r="M2243" s="20">
        <v>2</v>
      </c>
      <c r="N2243" s="19">
        <v>0.18265451708230385</v>
      </c>
      <c r="O2243" s="19">
        <v>0</v>
      </c>
      <c r="P2243" s="19">
        <v>0.42589187385012578</v>
      </c>
      <c r="Q2243" s="19">
        <v>0.10678676692586189</v>
      </c>
      <c r="R2243" s="19">
        <v>0.25835825537327828</v>
      </c>
      <c r="S2243" s="19">
        <v>2.63085867684302E-2</v>
      </c>
      <c r="T2243" s="20">
        <v>23</v>
      </c>
      <c r="U2243" s="17">
        <v>2</v>
      </c>
      <c r="V2243" s="17">
        <v>34</v>
      </c>
    </row>
    <row r="2244" spans="1:22" x14ac:dyDescent="0.2">
      <c r="A2244" t="s">
        <v>5300</v>
      </c>
      <c r="B2244" t="s">
        <v>2719</v>
      </c>
      <c r="C2244" t="s">
        <v>2720</v>
      </c>
      <c r="D2244" t="s">
        <v>3956</v>
      </c>
      <c r="E2244" s="10" t="s">
        <v>5301</v>
      </c>
      <c r="F2244" s="10"/>
      <c r="G2244" s="10"/>
      <c r="H2244" s="10" t="s">
        <v>5301</v>
      </c>
      <c r="I2244" s="14">
        <v>30580.905774822808</v>
      </c>
      <c r="J2244" s="19">
        <v>0</v>
      </c>
      <c r="K2244" s="19">
        <v>0.2978473010237136</v>
      </c>
      <c r="L2244" s="19">
        <v>0.7021526989762864</v>
      </c>
      <c r="M2244" s="20">
        <v>1</v>
      </c>
      <c r="N2244" s="19">
        <v>0</v>
      </c>
      <c r="O2244" s="19">
        <v>0.22533093175155913</v>
      </c>
      <c r="P2244" s="19">
        <v>7.2516369272154477E-2</v>
      </c>
      <c r="Q2244" s="19">
        <v>0.16365516775613898</v>
      </c>
      <c r="R2244" s="19">
        <v>0.43181058431030561</v>
      </c>
      <c r="S2244" s="19">
        <v>0.10668694690984176</v>
      </c>
      <c r="T2244" s="20">
        <v>12</v>
      </c>
      <c r="U2244" s="17">
        <v>2</v>
      </c>
      <c r="V2244" s="17">
        <v>34</v>
      </c>
    </row>
    <row r="2245" spans="1:22" x14ac:dyDescent="0.2">
      <c r="A2245" t="s">
        <v>5302</v>
      </c>
      <c r="B2245" t="s">
        <v>2719</v>
      </c>
      <c r="C2245" t="s">
        <v>2720</v>
      </c>
      <c r="D2245" t="s">
        <v>3956</v>
      </c>
      <c r="E2245" s="10" t="s">
        <v>5303</v>
      </c>
      <c r="F2245" s="10"/>
      <c r="G2245" s="10"/>
      <c r="H2245" s="10" t="s">
        <v>5303</v>
      </c>
      <c r="I2245" s="14">
        <v>19596.523848355282</v>
      </c>
      <c r="J2245" s="19">
        <v>0</v>
      </c>
      <c r="K2245" s="19">
        <v>0.77062404170422472</v>
      </c>
      <c r="L2245" s="19">
        <v>0.22937595829577537</v>
      </c>
      <c r="M2245" s="20">
        <v>2</v>
      </c>
      <c r="N2245" s="19">
        <v>0.27701489196662549</v>
      </c>
      <c r="O2245" s="19">
        <v>0</v>
      </c>
      <c r="P2245" s="19">
        <v>0.49360914973759912</v>
      </c>
      <c r="Q2245" s="19">
        <v>5.2899862421084694E-2</v>
      </c>
      <c r="R2245" s="19">
        <v>0.15889826020143072</v>
      </c>
      <c r="S2245" s="19">
        <v>1.7577835673259972E-2</v>
      </c>
      <c r="T2245" s="20">
        <v>23</v>
      </c>
      <c r="U2245" s="17">
        <v>2</v>
      </c>
      <c r="V2245" s="17">
        <v>34</v>
      </c>
    </row>
    <row r="2246" spans="1:22" x14ac:dyDescent="0.2">
      <c r="A2246" t="s">
        <v>5304</v>
      </c>
      <c r="B2246" t="s">
        <v>2719</v>
      </c>
      <c r="C2246" t="s">
        <v>2720</v>
      </c>
      <c r="D2246" t="s">
        <v>3368</v>
      </c>
      <c r="E2246" s="10" t="s">
        <v>5305</v>
      </c>
      <c r="F2246" s="10"/>
      <c r="G2246" s="10"/>
      <c r="H2246" s="10" t="s">
        <v>5305</v>
      </c>
      <c r="I2246" s="14">
        <v>129472.19046905264</v>
      </c>
      <c r="J2246" s="19">
        <v>0.99998305933199982</v>
      </c>
      <c r="K2246" s="19">
        <v>0</v>
      </c>
      <c r="L2246" s="19">
        <v>1.6940668000127632E-5</v>
      </c>
      <c r="M2246" s="20">
        <v>3</v>
      </c>
      <c r="N2246" s="19">
        <v>0</v>
      </c>
      <c r="O2246" s="19">
        <v>0</v>
      </c>
      <c r="P2246" s="19">
        <v>0</v>
      </c>
      <c r="Q2246" s="19">
        <v>0</v>
      </c>
      <c r="R2246" s="19">
        <v>1.6940668000127632E-5</v>
      </c>
      <c r="S2246" s="19">
        <v>0</v>
      </c>
      <c r="T2246" s="20">
        <v>30</v>
      </c>
      <c r="U2246" s="17">
        <v>2</v>
      </c>
      <c r="V2246" s="17">
        <v>34</v>
      </c>
    </row>
    <row r="2247" spans="1:22" x14ac:dyDescent="0.2">
      <c r="A2247" t="s">
        <v>5306</v>
      </c>
      <c r="B2247" t="s">
        <v>2719</v>
      </c>
      <c r="C2247" t="s">
        <v>2720</v>
      </c>
      <c r="D2247" t="s">
        <v>3368</v>
      </c>
      <c r="E2247" s="10" t="s">
        <v>5307</v>
      </c>
      <c r="F2247" s="10"/>
      <c r="G2247" s="10"/>
      <c r="H2247" s="10" t="s">
        <v>5307</v>
      </c>
      <c r="I2247" s="14">
        <v>838540.59115144284</v>
      </c>
      <c r="J2247" s="19">
        <v>0.86969079998326049</v>
      </c>
      <c r="K2247" s="19">
        <v>0.11888067562630182</v>
      </c>
      <c r="L2247" s="19">
        <v>1.1428524390437695E-2</v>
      </c>
      <c r="M2247" s="20">
        <v>3</v>
      </c>
      <c r="N2247" s="19">
        <v>8.0303287201754905E-2</v>
      </c>
      <c r="O2247" s="19">
        <v>0</v>
      </c>
      <c r="P2247" s="19">
        <v>3.8577388424546909E-2</v>
      </c>
      <c r="Q2247" s="19">
        <v>3.2516858548603321E-3</v>
      </c>
      <c r="R2247" s="19">
        <v>7.1890633087782875E-3</v>
      </c>
      <c r="S2247" s="19">
        <v>9.8777522679907516E-4</v>
      </c>
      <c r="T2247" s="20">
        <v>30</v>
      </c>
      <c r="U2247" s="17">
        <v>2</v>
      </c>
      <c r="V2247" s="17">
        <v>34</v>
      </c>
    </row>
    <row r="2248" spans="1:22" x14ac:dyDescent="0.2">
      <c r="A2248" t="s">
        <v>5308</v>
      </c>
      <c r="B2248" t="s">
        <v>2719</v>
      </c>
      <c r="C2248" t="s">
        <v>2720</v>
      </c>
      <c r="D2248" t="s">
        <v>3368</v>
      </c>
      <c r="E2248" s="10" t="s">
        <v>3532</v>
      </c>
      <c r="F2248" s="10"/>
      <c r="G2248" s="10"/>
      <c r="H2248" s="10" t="s">
        <v>3532</v>
      </c>
      <c r="I2248" s="14">
        <v>32984.658265695907</v>
      </c>
      <c r="J2248" s="19">
        <v>8.1278969994710345E-3</v>
      </c>
      <c r="K2248" s="19">
        <v>0.97619513555083837</v>
      </c>
      <c r="L2248" s="19">
        <v>1.5676967449690677E-2</v>
      </c>
      <c r="M2248" s="20">
        <v>2</v>
      </c>
      <c r="N2248" s="19">
        <v>0.71111596160237156</v>
      </c>
      <c r="O2248" s="19">
        <v>0</v>
      </c>
      <c r="P2248" s="19">
        <v>0.26507917394846675</v>
      </c>
      <c r="Q2248" s="19">
        <v>0</v>
      </c>
      <c r="R2248" s="19">
        <v>1.5325912558511312E-2</v>
      </c>
      <c r="S2248" s="19">
        <v>3.510548911793669E-4</v>
      </c>
      <c r="T2248" s="20">
        <v>23</v>
      </c>
      <c r="U2248" s="17">
        <v>2</v>
      </c>
      <c r="V2248" s="17">
        <v>34</v>
      </c>
    </row>
    <row r="2249" spans="1:22" x14ac:dyDescent="0.2">
      <c r="A2249" t="s">
        <v>5309</v>
      </c>
      <c r="B2249" t="s">
        <v>2719</v>
      </c>
      <c r="C2249" t="s">
        <v>2720</v>
      </c>
      <c r="D2249" t="s">
        <v>3368</v>
      </c>
      <c r="E2249" s="10" t="s">
        <v>5310</v>
      </c>
      <c r="F2249" s="10"/>
      <c r="G2249" s="10"/>
      <c r="H2249" s="10" t="s">
        <v>5310</v>
      </c>
      <c r="I2249" s="14">
        <v>288786.28851331491</v>
      </c>
      <c r="J2249" s="19">
        <v>0.80507619062568203</v>
      </c>
      <c r="K2249" s="19">
        <v>0.19441739414091674</v>
      </c>
      <c r="L2249" s="19">
        <v>5.0641523340123516E-4</v>
      </c>
      <c r="M2249" s="20">
        <v>3</v>
      </c>
      <c r="N2249" s="19">
        <v>0.17929900473175109</v>
      </c>
      <c r="O2249" s="19">
        <v>0</v>
      </c>
      <c r="P2249" s="19">
        <v>1.5118389409165637E-2</v>
      </c>
      <c r="Q2249" s="19">
        <v>0</v>
      </c>
      <c r="R2249" s="19">
        <v>4.1987469615526217E-4</v>
      </c>
      <c r="S2249" s="19">
        <v>8.6540537245972991E-5</v>
      </c>
      <c r="T2249" s="20">
        <v>30</v>
      </c>
      <c r="U2249" s="17">
        <v>2</v>
      </c>
      <c r="V2249" s="17">
        <v>34</v>
      </c>
    </row>
    <row r="2250" spans="1:22" x14ac:dyDescent="0.2">
      <c r="A2250" t="s">
        <v>5311</v>
      </c>
      <c r="B2250" t="s">
        <v>2719</v>
      </c>
      <c r="C2250" t="s">
        <v>2720</v>
      </c>
      <c r="D2250" t="s">
        <v>3368</v>
      </c>
      <c r="E2250" s="10" t="s">
        <v>5312</v>
      </c>
      <c r="F2250" s="10"/>
      <c r="G2250" s="10"/>
      <c r="H2250" s="10" t="s">
        <v>5312</v>
      </c>
      <c r="I2250" s="14">
        <v>381485.44218501449</v>
      </c>
      <c r="J2250" s="19">
        <v>1</v>
      </c>
      <c r="K2250" s="19">
        <v>0</v>
      </c>
      <c r="L2250" s="19">
        <v>0</v>
      </c>
      <c r="M2250" s="20">
        <v>3</v>
      </c>
      <c r="N2250" s="19">
        <v>0</v>
      </c>
      <c r="O2250" s="19">
        <v>0</v>
      </c>
      <c r="P2250" s="19">
        <v>0</v>
      </c>
      <c r="Q2250" s="19">
        <v>0</v>
      </c>
      <c r="R2250" s="19">
        <v>0</v>
      </c>
      <c r="S2250" s="19">
        <v>0</v>
      </c>
      <c r="T2250" s="20">
        <v>30</v>
      </c>
      <c r="U2250" s="17">
        <v>2</v>
      </c>
      <c r="V2250" s="17">
        <v>34</v>
      </c>
    </row>
    <row r="2251" spans="1:22" x14ac:dyDescent="0.2">
      <c r="A2251" t="s">
        <v>5313</v>
      </c>
      <c r="B2251" t="s">
        <v>2719</v>
      </c>
      <c r="C2251" t="s">
        <v>2720</v>
      </c>
      <c r="D2251" t="s">
        <v>3368</v>
      </c>
      <c r="E2251" s="10" t="s">
        <v>5314</v>
      </c>
      <c r="F2251" s="10"/>
      <c r="G2251" s="10"/>
      <c r="H2251" s="10" t="s">
        <v>5314</v>
      </c>
      <c r="I2251" s="14">
        <v>57719.163193252869</v>
      </c>
      <c r="J2251" s="19">
        <v>0.69621557510963983</v>
      </c>
      <c r="K2251" s="19">
        <v>0.29471635898481841</v>
      </c>
      <c r="L2251" s="19">
        <v>9.0680659055418032E-3</v>
      </c>
      <c r="M2251" s="20">
        <v>3</v>
      </c>
      <c r="N2251" s="19">
        <v>0.15266756014985008</v>
      </c>
      <c r="O2251" s="19">
        <v>0</v>
      </c>
      <c r="P2251" s="19">
        <v>0.14204879883496832</v>
      </c>
      <c r="Q2251" s="19">
        <v>0</v>
      </c>
      <c r="R2251" s="19">
        <v>9.0314408413089305E-3</v>
      </c>
      <c r="S2251" s="19">
        <v>3.6625064232873349E-5</v>
      </c>
      <c r="T2251" s="20">
        <v>30</v>
      </c>
      <c r="U2251" s="17">
        <v>2</v>
      </c>
      <c r="V2251" s="17">
        <v>34</v>
      </c>
    </row>
    <row r="2252" spans="1:22" x14ac:dyDescent="0.2">
      <c r="A2252" t="s">
        <v>5315</v>
      </c>
      <c r="B2252" t="s">
        <v>2719</v>
      </c>
      <c r="C2252" t="s">
        <v>2720</v>
      </c>
      <c r="D2252" t="s">
        <v>3368</v>
      </c>
      <c r="E2252" s="10" t="s">
        <v>5316</v>
      </c>
      <c r="F2252" s="10"/>
      <c r="G2252" s="10"/>
      <c r="H2252" s="10" t="s">
        <v>5316</v>
      </c>
      <c r="I2252" s="14">
        <v>36567.851394286379</v>
      </c>
      <c r="J2252" s="19">
        <v>0</v>
      </c>
      <c r="K2252" s="19">
        <v>0.97403887246751875</v>
      </c>
      <c r="L2252" s="19">
        <v>2.5961127532481202E-2</v>
      </c>
      <c r="M2252" s="20">
        <v>2</v>
      </c>
      <c r="N2252" s="19">
        <v>0.38898791502215302</v>
      </c>
      <c r="O2252" s="19">
        <v>0</v>
      </c>
      <c r="P2252" s="19">
        <v>0.58505095744536573</v>
      </c>
      <c r="Q2252" s="19">
        <v>0</v>
      </c>
      <c r="R2252" s="19">
        <v>2.5363536638280264E-2</v>
      </c>
      <c r="S2252" s="19">
        <v>5.9759089420093774E-4</v>
      </c>
      <c r="T2252" s="20">
        <v>21</v>
      </c>
      <c r="U2252" s="17">
        <v>2</v>
      </c>
      <c r="V2252" s="17">
        <v>34</v>
      </c>
    </row>
    <row r="2253" spans="1:22" x14ac:dyDescent="0.2">
      <c r="A2253" t="s">
        <v>5317</v>
      </c>
      <c r="B2253" t="s">
        <v>2719</v>
      </c>
      <c r="C2253" t="s">
        <v>2720</v>
      </c>
      <c r="D2253" t="s">
        <v>3368</v>
      </c>
      <c r="E2253" s="10" t="s">
        <v>3010</v>
      </c>
      <c r="F2253" s="10"/>
      <c r="G2253" s="10"/>
      <c r="H2253" s="10" t="s">
        <v>3010</v>
      </c>
      <c r="I2253" s="14">
        <v>63754.568607177578</v>
      </c>
      <c r="J2253" s="19">
        <v>0.14503553680252318</v>
      </c>
      <c r="K2253" s="19">
        <v>0.8328823982905903</v>
      </c>
      <c r="L2253" s="19">
        <v>2.2082064906886596E-2</v>
      </c>
      <c r="M2253" s="20">
        <v>2</v>
      </c>
      <c r="N2253" s="19">
        <v>0.68518180336007073</v>
      </c>
      <c r="O2253" s="19">
        <v>0</v>
      </c>
      <c r="P2253" s="19">
        <v>0.1477005949305196</v>
      </c>
      <c r="Q2253" s="19">
        <v>0</v>
      </c>
      <c r="R2253" s="19">
        <v>2.180090886642513E-2</v>
      </c>
      <c r="S2253" s="19">
        <v>2.8115604046146476E-4</v>
      </c>
      <c r="T2253" s="20">
        <v>23</v>
      </c>
      <c r="U2253" s="17">
        <v>2</v>
      </c>
      <c r="V2253" s="17">
        <v>34</v>
      </c>
    </row>
    <row r="2254" spans="1:22" x14ac:dyDescent="0.2">
      <c r="A2254" t="s">
        <v>5318</v>
      </c>
      <c r="B2254" t="s">
        <v>2719</v>
      </c>
      <c r="C2254" t="s">
        <v>2720</v>
      </c>
      <c r="D2254" t="s">
        <v>3368</v>
      </c>
      <c r="E2254" s="10" t="s">
        <v>5319</v>
      </c>
      <c r="F2254" s="10"/>
      <c r="G2254" s="10"/>
      <c r="H2254" s="10" t="s">
        <v>5319</v>
      </c>
      <c r="I2254" s="14">
        <v>71763.566658772528</v>
      </c>
      <c r="J2254" s="19">
        <v>0.40940117528010733</v>
      </c>
      <c r="K2254" s="19">
        <v>0.54570978851436558</v>
      </c>
      <c r="L2254" s="19">
        <v>4.4889036205527033E-2</v>
      </c>
      <c r="M2254" s="20">
        <v>2</v>
      </c>
      <c r="N2254" s="19">
        <v>0.33955697972212662</v>
      </c>
      <c r="O2254" s="19">
        <v>0</v>
      </c>
      <c r="P2254" s="19">
        <v>0.20615280879223902</v>
      </c>
      <c r="Q2254" s="19">
        <v>2.119981580131295E-2</v>
      </c>
      <c r="R2254" s="19">
        <v>2.1289431663178992E-2</v>
      </c>
      <c r="S2254" s="19">
        <v>2.3997887410350908E-3</v>
      </c>
      <c r="T2254" s="20">
        <v>23</v>
      </c>
      <c r="U2254" s="17">
        <v>2</v>
      </c>
      <c r="V2254" s="17">
        <v>34</v>
      </c>
    </row>
    <row r="2255" spans="1:22" x14ac:dyDescent="0.2">
      <c r="A2255" t="s">
        <v>5320</v>
      </c>
      <c r="B2255" t="s">
        <v>2719</v>
      </c>
      <c r="C2255" t="s">
        <v>2720</v>
      </c>
      <c r="D2255" t="s">
        <v>3368</v>
      </c>
      <c r="E2255" s="10" t="s">
        <v>5321</v>
      </c>
      <c r="F2255" s="10"/>
      <c r="G2255" s="10"/>
      <c r="H2255" s="10" t="s">
        <v>5321</v>
      </c>
      <c r="I2255" s="14">
        <v>428646.42156249331</v>
      </c>
      <c r="J2255" s="19">
        <v>0.84322869975427539</v>
      </c>
      <c r="K2255" s="19">
        <v>0.14967281263923132</v>
      </c>
      <c r="L2255" s="19">
        <v>7.0984876064933092E-3</v>
      </c>
      <c r="M2255" s="20">
        <v>3</v>
      </c>
      <c r="N2255" s="19">
        <v>0.11515478836118918</v>
      </c>
      <c r="O2255" s="19">
        <v>0</v>
      </c>
      <c r="P2255" s="19">
        <v>3.4518024278042139E-2</v>
      </c>
      <c r="Q2255" s="19">
        <v>1.1391879949254105E-4</v>
      </c>
      <c r="R2255" s="19">
        <v>6.4462841799024862E-3</v>
      </c>
      <c r="S2255" s="19">
        <v>5.3828462709828236E-4</v>
      </c>
      <c r="T2255" s="20">
        <v>30</v>
      </c>
      <c r="U2255" s="17">
        <v>2</v>
      </c>
      <c r="V2255" s="17">
        <v>34</v>
      </c>
    </row>
    <row r="2256" spans="1:22" x14ac:dyDescent="0.2">
      <c r="A2256" t="s">
        <v>5322</v>
      </c>
      <c r="B2256" t="s">
        <v>2719</v>
      </c>
      <c r="C2256" t="s">
        <v>2720</v>
      </c>
      <c r="D2256" t="s">
        <v>3368</v>
      </c>
      <c r="E2256" s="10" t="s">
        <v>4129</v>
      </c>
      <c r="F2256" s="10"/>
      <c r="G2256" s="10"/>
      <c r="H2256" s="10" t="s">
        <v>4129</v>
      </c>
      <c r="I2256" s="14">
        <v>275597.05031144014</v>
      </c>
      <c r="J2256" s="19">
        <v>0.95969039932769773</v>
      </c>
      <c r="K2256" s="19">
        <v>2.2539023172896248E-2</v>
      </c>
      <c r="L2256" s="19">
        <v>1.7770577499406033E-2</v>
      </c>
      <c r="M2256" s="20">
        <v>3</v>
      </c>
      <c r="N2256" s="19">
        <v>0</v>
      </c>
      <c r="O2256" s="19">
        <v>0</v>
      </c>
      <c r="P2256" s="19">
        <v>2.2539023172896248E-2</v>
      </c>
      <c r="Q2256" s="19">
        <v>9.2850285582357708E-3</v>
      </c>
      <c r="R2256" s="19">
        <v>8.1138413059282984E-3</v>
      </c>
      <c r="S2256" s="19">
        <v>3.7170763524196372E-4</v>
      </c>
      <c r="T2256" s="20">
        <v>30</v>
      </c>
      <c r="U2256" s="17">
        <v>2</v>
      </c>
      <c r="V2256" s="17">
        <v>34</v>
      </c>
    </row>
    <row r="2257" spans="1:22" x14ac:dyDescent="0.2">
      <c r="A2257" t="s">
        <v>5323</v>
      </c>
      <c r="B2257" t="s">
        <v>2719</v>
      </c>
      <c r="C2257" t="s">
        <v>2720</v>
      </c>
      <c r="D2257" t="s">
        <v>3368</v>
      </c>
      <c r="E2257" s="10" t="s">
        <v>5324</v>
      </c>
      <c r="F2257" s="10"/>
      <c r="G2257" s="10"/>
      <c r="H2257" s="10" t="s">
        <v>5324</v>
      </c>
      <c r="I2257" s="14">
        <v>123611.91240004357</v>
      </c>
      <c r="J2257" s="19">
        <v>0.45826402345586731</v>
      </c>
      <c r="K2257" s="19">
        <v>0.33228711671566102</v>
      </c>
      <c r="L2257" s="19">
        <v>0.20944885982847178</v>
      </c>
      <c r="M2257" s="20">
        <v>2</v>
      </c>
      <c r="N2257" s="19">
        <v>0.19967485518141878</v>
      </c>
      <c r="O2257" s="19">
        <v>4.5186189573096655E-2</v>
      </c>
      <c r="P2257" s="19">
        <v>8.7426071961145588E-2</v>
      </c>
      <c r="Q2257" s="19">
        <v>0.13530541500863641</v>
      </c>
      <c r="R2257" s="19">
        <v>6.6404675439983893E-2</v>
      </c>
      <c r="S2257" s="19">
        <v>7.7387693798514545E-3</v>
      </c>
      <c r="T2257" s="20">
        <v>23</v>
      </c>
      <c r="U2257" s="17">
        <v>2</v>
      </c>
      <c r="V2257" s="17">
        <v>34</v>
      </c>
    </row>
    <row r="2258" spans="1:22" x14ac:dyDescent="0.2">
      <c r="A2258" t="s">
        <v>5325</v>
      </c>
      <c r="B2258" t="s">
        <v>2719</v>
      </c>
      <c r="C2258" t="s">
        <v>2720</v>
      </c>
      <c r="D2258" t="s">
        <v>3368</v>
      </c>
      <c r="E2258" s="10" t="s">
        <v>5089</v>
      </c>
      <c r="F2258" s="10"/>
      <c r="G2258" s="10"/>
      <c r="H2258" s="10" t="s">
        <v>5089</v>
      </c>
      <c r="I2258" s="14">
        <v>382468.66169491224</v>
      </c>
      <c r="J2258" s="19">
        <v>1</v>
      </c>
      <c r="K2258" s="19">
        <v>0</v>
      </c>
      <c r="L2258" s="19">
        <v>0</v>
      </c>
      <c r="M2258" s="20">
        <v>3</v>
      </c>
      <c r="N2258" s="19">
        <v>0</v>
      </c>
      <c r="O2258" s="19">
        <v>0</v>
      </c>
      <c r="P2258" s="19">
        <v>0</v>
      </c>
      <c r="Q2258" s="19">
        <v>0</v>
      </c>
      <c r="R2258" s="19">
        <v>0</v>
      </c>
      <c r="S2258" s="19">
        <v>0</v>
      </c>
      <c r="T2258" s="20">
        <v>30</v>
      </c>
      <c r="U2258" s="17">
        <v>2</v>
      </c>
      <c r="V2258" s="17">
        <v>34</v>
      </c>
    </row>
    <row r="2259" spans="1:22" x14ac:dyDescent="0.2">
      <c r="A2259" t="s">
        <v>5326</v>
      </c>
      <c r="B2259" t="s">
        <v>2719</v>
      </c>
      <c r="C2259" t="s">
        <v>2720</v>
      </c>
      <c r="D2259" t="s">
        <v>3368</v>
      </c>
      <c r="E2259" s="10" t="s">
        <v>5327</v>
      </c>
      <c r="F2259" s="10"/>
      <c r="G2259" s="10"/>
      <c r="H2259" s="10" t="s">
        <v>5327</v>
      </c>
      <c r="I2259" s="14">
        <v>59656.95182576403</v>
      </c>
      <c r="J2259" s="19">
        <v>0.89542565938316321</v>
      </c>
      <c r="K2259" s="19">
        <v>9.4579324928845021E-2</v>
      </c>
      <c r="L2259" s="19">
        <v>9.9950156879917776E-3</v>
      </c>
      <c r="M2259" s="20">
        <v>3</v>
      </c>
      <c r="N2259" s="19">
        <v>1.4885038645517899E-2</v>
      </c>
      <c r="O2259" s="19">
        <v>0</v>
      </c>
      <c r="P2259" s="19">
        <v>7.9694286283327115E-2</v>
      </c>
      <c r="Q2259" s="19">
        <v>0</v>
      </c>
      <c r="R2259" s="19">
        <v>9.9950156879917776E-3</v>
      </c>
      <c r="S2259" s="19">
        <v>0</v>
      </c>
      <c r="T2259" s="20">
        <v>30</v>
      </c>
      <c r="U2259" s="17">
        <v>2</v>
      </c>
      <c r="V2259" s="17">
        <v>34</v>
      </c>
    </row>
    <row r="2260" spans="1:22" x14ac:dyDescent="0.2">
      <c r="A2260" t="s">
        <v>5328</v>
      </c>
      <c r="B2260" t="s">
        <v>2719</v>
      </c>
      <c r="C2260" t="s">
        <v>2720</v>
      </c>
      <c r="D2260" t="s">
        <v>5329</v>
      </c>
      <c r="E2260" s="10" t="s">
        <v>3594</v>
      </c>
      <c r="F2260" s="10"/>
      <c r="G2260" s="10"/>
      <c r="H2260" s="10" t="s">
        <v>3594</v>
      </c>
      <c r="I2260" s="14">
        <v>16632.577749047428</v>
      </c>
      <c r="J2260" s="19">
        <v>0</v>
      </c>
      <c r="K2260" s="19">
        <v>0.86988749508393626</v>
      </c>
      <c r="L2260" s="19">
        <v>0.13011250491606369</v>
      </c>
      <c r="M2260" s="20">
        <v>2</v>
      </c>
      <c r="N2260" s="19">
        <v>0</v>
      </c>
      <c r="O2260" s="19">
        <v>0.86988749508393626</v>
      </c>
      <c r="P2260" s="19">
        <v>0</v>
      </c>
      <c r="Q2260" s="19">
        <v>4.2057308060266842E-2</v>
      </c>
      <c r="R2260" s="19">
        <v>8.1013702508432109E-2</v>
      </c>
      <c r="S2260" s="19">
        <v>7.0414943473647434E-3</v>
      </c>
      <c r="T2260" s="20">
        <v>22</v>
      </c>
      <c r="U2260" s="17">
        <v>2</v>
      </c>
      <c r="V2260" s="17">
        <v>34</v>
      </c>
    </row>
    <row r="2261" spans="1:22" x14ac:dyDescent="0.2">
      <c r="A2261" t="s">
        <v>5330</v>
      </c>
      <c r="B2261" t="s">
        <v>2719</v>
      </c>
      <c r="C2261" t="s">
        <v>2720</v>
      </c>
      <c r="D2261" t="s">
        <v>5329</v>
      </c>
      <c r="E2261" s="10" t="s">
        <v>5331</v>
      </c>
      <c r="F2261" s="10"/>
      <c r="G2261" s="10"/>
      <c r="H2261" s="10" t="s">
        <v>5331</v>
      </c>
      <c r="I2261" s="14">
        <v>5529.9405582891777</v>
      </c>
      <c r="J2261" s="19">
        <v>0</v>
      </c>
      <c r="K2261" s="19">
        <v>0</v>
      </c>
      <c r="L2261" s="19">
        <v>1</v>
      </c>
      <c r="M2261" s="20">
        <v>1</v>
      </c>
      <c r="N2261" s="19">
        <v>0</v>
      </c>
      <c r="O2261" s="19">
        <v>0</v>
      </c>
      <c r="P2261" s="19">
        <v>0</v>
      </c>
      <c r="Q2261" s="19">
        <v>0.47271219878384996</v>
      </c>
      <c r="R2261" s="19">
        <v>0.49411159376246178</v>
      </c>
      <c r="S2261" s="19">
        <v>3.317620745368826E-2</v>
      </c>
      <c r="T2261" s="20">
        <v>12</v>
      </c>
      <c r="U2261" s="17">
        <v>2</v>
      </c>
      <c r="V2261" s="17">
        <v>34</v>
      </c>
    </row>
    <row r="2262" spans="1:22" x14ac:dyDescent="0.2">
      <c r="A2262" t="s">
        <v>5332</v>
      </c>
      <c r="B2262" t="s">
        <v>2719</v>
      </c>
      <c r="C2262" t="s">
        <v>2720</v>
      </c>
      <c r="D2262" t="s">
        <v>5329</v>
      </c>
      <c r="E2262" s="10" t="s">
        <v>5333</v>
      </c>
      <c r="F2262" s="10"/>
      <c r="G2262" s="10"/>
      <c r="H2262" s="10" t="s">
        <v>5333</v>
      </c>
      <c r="I2262" s="14">
        <v>22477.107569251209</v>
      </c>
      <c r="J2262" s="19">
        <v>0</v>
      </c>
      <c r="K2262" s="19">
        <v>0.50126121397582379</v>
      </c>
      <c r="L2262" s="19">
        <v>0.49873878602417621</v>
      </c>
      <c r="M2262" s="20">
        <v>2</v>
      </c>
      <c r="N2262" s="19">
        <v>0</v>
      </c>
      <c r="O2262" s="19">
        <v>0.50126121397582379</v>
      </c>
      <c r="P2262" s="19">
        <v>0</v>
      </c>
      <c r="Q2262" s="19">
        <v>0.37514295829109856</v>
      </c>
      <c r="R2262" s="19">
        <v>0.11063396815006317</v>
      </c>
      <c r="S2262" s="19">
        <v>1.2961859583014523E-2</v>
      </c>
      <c r="T2262" s="20">
        <v>22</v>
      </c>
      <c r="U2262" s="17">
        <v>2</v>
      </c>
      <c r="V2262" s="17">
        <v>34</v>
      </c>
    </row>
    <row r="2263" spans="1:22" x14ac:dyDescent="0.2">
      <c r="A2263" t="s">
        <v>5334</v>
      </c>
      <c r="B2263" t="s">
        <v>2719</v>
      </c>
      <c r="C2263" t="s">
        <v>2720</v>
      </c>
      <c r="D2263" t="s">
        <v>5329</v>
      </c>
      <c r="E2263" s="10" t="s">
        <v>4733</v>
      </c>
      <c r="F2263" s="10"/>
      <c r="G2263" s="10"/>
      <c r="H2263" s="10" t="s">
        <v>4733</v>
      </c>
      <c r="I2263" s="14">
        <v>10412.363296743482</v>
      </c>
      <c r="J2263" s="19">
        <v>0</v>
      </c>
      <c r="K2263" s="19">
        <v>0.63010505290723062</v>
      </c>
      <c r="L2263" s="19">
        <v>0.36989494709276938</v>
      </c>
      <c r="M2263" s="20">
        <v>2</v>
      </c>
      <c r="N2263" s="19">
        <v>0</v>
      </c>
      <c r="O2263" s="19">
        <v>0.63010505290723062</v>
      </c>
      <c r="P2263" s="19">
        <v>0</v>
      </c>
      <c r="Q2263" s="19">
        <v>0.25644115724195904</v>
      </c>
      <c r="R2263" s="19">
        <v>0.10209447792994025</v>
      </c>
      <c r="S2263" s="19">
        <v>1.1359311920870113E-2</v>
      </c>
      <c r="T2263" s="20">
        <v>22</v>
      </c>
      <c r="U2263" s="17">
        <v>2</v>
      </c>
      <c r="V2263" s="17">
        <v>34</v>
      </c>
    </row>
    <row r="2264" spans="1:22" x14ac:dyDescent="0.2">
      <c r="A2264" t="s">
        <v>5335</v>
      </c>
      <c r="B2264" t="s">
        <v>2719</v>
      </c>
      <c r="C2264" t="s">
        <v>2720</v>
      </c>
      <c r="D2264" t="s">
        <v>5329</v>
      </c>
      <c r="E2264" s="10" t="s">
        <v>4015</v>
      </c>
      <c r="F2264" s="10"/>
      <c r="G2264" s="10"/>
      <c r="H2264" s="10" t="s">
        <v>4015</v>
      </c>
      <c r="I2264" s="14">
        <v>5098.5419986061752</v>
      </c>
      <c r="J2264" s="19">
        <v>0</v>
      </c>
      <c r="K2264" s="19">
        <v>0</v>
      </c>
      <c r="L2264" s="19">
        <v>1</v>
      </c>
      <c r="M2264" s="20">
        <v>1</v>
      </c>
      <c r="N2264" s="19">
        <v>0</v>
      </c>
      <c r="O2264" s="19">
        <v>0</v>
      </c>
      <c r="P2264" s="19">
        <v>0</v>
      </c>
      <c r="Q2264" s="19">
        <v>0.74440995528062037</v>
      </c>
      <c r="R2264" s="19">
        <v>0.21727222188385015</v>
      </c>
      <c r="S2264" s="19">
        <v>3.8317822835529439E-2</v>
      </c>
      <c r="T2264" s="20">
        <v>13</v>
      </c>
      <c r="U2264" s="17">
        <v>2</v>
      </c>
      <c r="V2264" s="17">
        <v>34</v>
      </c>
    </row>
    <row r="2265" spans="1:22" x14ac:dyDescent="0.2">
      <c r="A2265" t="s">
        <v>5336</v>
      </c>
      <c r="B2265" t="s">
        <v>2719</v>
      </c>
      <c r="C2265" t="s">
        <v>2720</v>
      </c>
      <c r="D2265" t="s">
        <v>5329</v>
      </c>
      <c r="E2265" s="10" t="s">
        <v>5337</v>
      </c>
      <c r="F2265" s="10"/>
      <c r="G2265" s="10"/>
      <c r="H2265" s="10" t="s">
        <v>5337</v>
      </c>
      <c r="I2265" s="14">
        <v>9463.5696189552546</v>
      </c>
      <c r="J2265" s="19">
        <v>0</v>
      </c>
      <c r="K2265" s="19">
        <v>0.86211307360161826</v>
      </c>
      <c r="L2265" s="19">
        <v>0.13788692639838179</v>
      </c>
      <c r="M2265" s="20">
        <v>2</v>
      </c>
      <c r="N2265" s="19">
        <v>0</v>
      </c>
      <c r="O2265" s="19">
        <v>0.86211307360161826</v>
      </c>
      <c r="P2265" s="19">
        <v>0</v>
      </c>
      <c r="Q2265" s="19">
        <v>0</v>
      </c>
      <c r="R2265" s="19">
        <v>0.13211914479128137</v>
      </c>
      <c r="S2265" s="19">
        <v>5.7677816071004155E-3</v>
      </c>
      <c r="T2265" s="20">
        <v>22</v>
      </c>
      <c r="U2265" s="17">
        <v>2</v>
      </c>
      <c r="V2265" s="17">
        <v>34</v>
      </c>
    </row>
    <row r="2266" spans="1:22" x14ac:dyDescent="0.2">
      <c r="A2266" t="s">
        <v>5338</v>
      </c>
      <c r="B2266" t="s">
        <v>2719</v>
      </c>
      <c r="C2266" t="s">
        <v>2720</v>
      </c>
      <c r="D2266" t="s">
        <v>5329</v>
      </c>
      <c r="E2266" s="10" t="s">
        <v>5339</v>
      </c>
      <c r="F2266" s="10"/>
      <c r="G2266" s="10"/>
      <c r="H2266" s="10" t="s">
        <v>5339</v>
      </c>
      <c r="I2266" s="14">
        <v>7704.2242700485504</v>
      </c>
      <c r="J2266" s="19">
        <v>0</v>
      </c>
      <c r="K2266" s="19">
        <v>0</v>
      </c>
      <c r="L2266" s="19">
        <v>1</v>
      </c>
      <c r="M2266" s="20">
        <v>1</v>
      </c>
      <c r="N2266" s="19">
        <v>0</v>
      </c>
      <c r="O2266" s="19">
        <v>0</v>
      </c>
      <c r="P2266" s="19">
        <v>0</v>
      </c>
      <c r="Q2266" s="19">
        <v>0.79130612216343854</v>
      </c>
      <c r="R2266" s="19">
        <v>0.19458340618949335</v>
      </c>
      <c r="S2266" s="19">
        <v>1.4110471647068261E-2</v>
      </c>
      <c r="T2266" s="20">
        <v>13</v>
      </c>
      <c r="U2266" s="17">
        <v>2</v>
      </c>
      <c r="V2266" s="17">
        <v>34</v>
      </c>
    </row>
    <row r="2267" spans="1:22" x14ac:dyDescent="0.2">
      <c r="A2267" t="s">
        <v>5340</v>
      </c>
      <c r="B2267" t="s">
        <v>2719</v>
      </c>
      <c r="C2267" t="s">
        <v>2720</v>
      </c>
      <c r="D2267" t="s">
        <v>5329</v>
      </c>
      <c r="E2267" s="10" t="s">
        <v>5004</v>
      </c>
      <c r="F2267" s="10"/>
      <c r="G2267" s="10"/>
      <c r="H2267" s="10" t="s">
        <v>5004</v>
      </c>
      <c r="I2267" s="14">
        <v>24575.564525974914</v>
      </c>
      <c r="J2267" s="19">
        <v>0</v>
      </c>
      <c r="K2267" s="19">
        <v>0.71626280795620623</v>
      </c>
      <c r="L2267" s="19">
        <v>0.28373719204379383</v>
      </c>
      <c r="M2267" s="20">
        <v>2</v>
      </c>
      <c r="N2267" s="19">
        <v>0</v>
      </c>
      <c r="O2267" s="19">
        <v>0.71626280795620623</v>
      </c>
      <c r="P2267" s="19">
        <v>0</v>
      </c>
      <c r="Q2267" s="19">
        <v>0.14165113270420721</v>
      </c>
      <c r="R2267" s="19">
        <v>0.12968388977737552</v>
      </c>
      <c r="S2267" s="19">
        <v>1.2402169562211079E-2</v>
      </c>
      <c r="T2267" s="20">
        <v>22</v>
      </c>
      <c r="U2267" s="17">
        <v>2</v>
      </c>
      <c r="V2267" s="17">
        <v>34</v>
      </c>
    </row>
    <row r="2268" spans="1:22" x14ac:dyDescent="0.2">
      <c r="A2268" t="s">
        <v>5341</v>
      </c>
      <c r="B2268" t="s">
        <v>2719</v>
      </c>
      <c r="C2268" t="s">
        <v>2720</v>
      </c>
      <c r="D2268" t="s">
        <v>5329</v>
      </c>
      <c r="E2268" s="10" t="s">
        <v>5342</v>
      </c>
      <c r="F2268" s="10"/>
      <c r="G2268" s="10"/>
      <c r="H2268" s="10" t="s">
        <v>5342</v>
      </c>
      <c r="I2268" s="14">
        <v>15149.130639206618</v>
      </c>
      <c r="J2268" s="19">
        <v>0</v>
      </c>
      <c r="K2268" s="19">
        <v>0.91249539922344802</v>
      </c>
      <c r="L2268" s="19">
        <v>8.7504600776552005E-2</v>
      </c>
      <c r="M2268" s="20">
        <v>2</v>
      </c>
      <c r="N2268" s="19">
        <v>0.34466101586947712</v>
      </c>
      <c r="O2268" s="19">
        <v>0</v>
      </c>
      <c r="P2268" s="19">
        <v>0.56783438335397085</v>
      </c>
      <c r="Q2268" s="19">
        <v>2.0183150585967174E-2</v>
      </c>
      <c r="R2268" s="19">
        <v>5.9146236931557503E-2</v>
      </c>
      <c r="S2268" s="19">
        <v>8.1752132590273297E-3</v>
      </c>
      <c r="T2268" s="20">
        <v>21</v>
      </c>
      <c r="U2268" s="17">
        <v>2</v>
      </c>
      <c r="V2268" s="17">
        <v>34</v>
      </c>
    </row>
    <row r="2269" spans="1:22" x14ac:dyDescent="0.2">
      <c r="A2269" t="s">
        <v>5343</v>
      </c>
      <c r="B2269" t="s">
        <v>2719</v>
      </c>
      <c r="C2269" t="s">
        <v>2720</v>
      </c>
      <c r="D2269" t="s">
        <v>5329</v>
      </c>
      <c r="E2269" s="10" t="s">
        <v>5344</v>
      </c>
      <c r="F2269" s="10"/>
      <c r="G2269" s="10"/>
      <c r="H2269" s="10" t="s">
        <v>5344</v>
      </c>
      <c r="I2269" s="14">
        <v>48795.079796917737</v>
      </c>
      <c r="J2269" s="19">
        <v>0</v>
      </c>
      <c r="K2269" s="19">
        <v>0.81846325830856292</v>
      </c>
      <c r="L2269" s="19">
        <v>0.18153674169143705</v>
      </c>
      <c r="M2269" s="20">
        <v>2</v>
      </c>
      <c r="N2269" s="19">
        <v>0.25657987482166017</v>
      </c>
      <c r="O2269" s="19">
        <v>0</v>
      </c>
      <c r="P2269" s="19">
        <v>0.5618833834869027</v>
      </c>
      <c r="Q2269" s="19">
        <v>5.0907019561667877E-2</v>
      </c>
      <c r="R2269" s="19">
        <v>0.11747853275262893</v>
      </c>
      <c r="S2269" s="19">
        <v>1.3151189377140242E-2</v>
      </c>
      <c r="T2269" s="20">
        <v>21</v>
      </c>
      <c r="U2269" s="17">
        <v>2</v>
      </c>
      <c r="V2269" s="17">
        <v>34</v>
      </c>
    </row>
    <row r="2270" spans="1:22" x14ac:dyDescent="0.2">
      <c r="A2270" t="s">
        <v>5345</v>
      </c>
      <c r="B2270" t="s">
        <v>2719</v>
      </c>
      <c r="C2270" t="s">
        <v>2720</v>
      </c>
      <c r="D2270" t="s">
        <v>5329</v>
      </c>
      <c r="E2270" s="10" t="s">
        <v>5329</v>
      </c>
      <c r="F2270" s="10"/>
      <c r="G2270" s="10"/>
      <c r="H2270" s="10" t="s">
        <v>5329</v>
      </c>
      <c r="I2270" s="14">
        <v>40282.859929732978</v>
      </c>
      <c r="J2270" s="19">
        <v>0</v>
      </c>
      <c r="K2270" s="19">
        <v>0.61865346053044767</v>
      </c>
      <c r="L2270" s="19">
        <v>0.38134653946955238</v>
      </c>
      <c r="M2270" s="20">
        <v>2</v>
      </c>
      <c r="N2270" s="19">
        <v>0.25750944270035725</v>
      </c>
      <c r="O2270" s="19">
        <v>0</v>
      </c>
      <c r="P2270" s="19">
        <v>0.36114401783009042</v>
      </c>
      <c r="Q2270" s="19">
        <v>0.27543666517870996</v>
      </c>
      <c r="R2270" s="19">
        <v>9.8719688940628283E-2</v>
      </c>
      <c r="S2270" s="19">
        <v>7.1901853502141181E-3</v>
      </c>
      <c r="T2270" s="20">
        <v>23</v>
      </c>
      <c r="U2270" s="17">
        <v>2</v>
      </c>
      <c r="V2270" s="17">
        <v>34</v>
      </c>
    </row>
    <row r="2271" spans="1:22" x14ac:dyDescent="0.2">
      <c r="A2271" t="s">
        <v>5346</v>
      </c>
      <c r="B2271" t="s">
        <v>2719</v>
      </c>
      <c r="C2271" t="s">
        <v>2720</v>
      </c>
      <c r="D2271" t="s">
        <v>5329</v>
      </c>
      <c r="E2271" s="10" t="s">
        <v>4120</v>
      </c>
      <c r="F2271" s="10"/>
      <c r="G2271" s="10"/>
      <c r="H2271" s="10" t="s">
        <v>4120</v>
      </c>
      <c r="I2271" s="14">
        <v>23212.682472348213</v>
      </c>
      <c r="J2271" s="19">
        <v>0</v>
      </c>
      <c r="K2271" s="19">
        <v>0.72896356339035262</v>
      </c>
      <c r="L2271" s="19">
        <v>0.27103643660964738</v>
      </c>
      <c r="M2271" s="20">
        <v>2</v>
      </c>
      <c r="N2271" s="19">
        <v>0</v>
      </c>
      <c r="O2271" s="19">
        <v>0.72896356339035262</v>
      </c>
      <c r="P2271" s="19">
        <v>0</v>
      </c>
      <c r="Q2271" s="19">
        <v>0.18530086289174327</v>
      </c>
      <c r="R2271" s="19">
        <v>7.3216649972201148E-2</v>
      </c>
      <c r="S2271" s="19">
        <v>1.2518923745702943E-2</v>
      </c>
      <c r="T2271" s="20">
        <v>22</v>
      </c>
      <c r="U2271" s="17">
        <v>2</v>
      </c>
      <c r="V2271" s="17">
        <v>34</v>
      </c>
    </row>
    <row r="2272" spans="1:22" x14ac:dyDescent="0.2">
      <c r="A2272" t="s">
        <v>5347</v>
      </c>
      <c r="B2272" t="s">
        <v>2719</v>
      </c>
      <c r="C2272" t="s">
        <v>2720</v>
      </c>
      <c r="D2272" t="s">
        <v>5329</v>
      </c>
      <c r="E2272" s="10" t="s">
        <v>3542</v>
      </c>
      <c r="F2272" s="10"/>
      <c r="G2272" s="10"/>
      <c r="H2272" s="10" t="s">
        <v>3542</v>
      </c>
      <c r="I2272" s="14">
        <v>17138.512688670307</v>
      </c>
      <c r="J2272" s="19">
        <v>0</v>
      </c>
      <c r="K2272" s="19">
        <v>0.55433250247694887</v>
      </c>
      <c r="L2272" s="19">
        <v>0.44566749752305124</v>
      </c>
      <c r="M2272" s="20">
        <v>2</v>
      </c>
      <c r="N2272" s="19">
        <v>0</v>
      </c>
      <c r="O2272" s="19">
        <v>0</v>
      </c>
      <c r="P2272" s="19">
        <v>0.55433250247694887</v>
      </c>
      <c r="Q2272" s="19">
        <v>0.28757500904095051</v>
      </c>
      <c r="R2272" s="19">
        <v>0.14686199633159042</v>
      </c>
      <c r="S2272" s="19">
        <v>1.1230492150510231E-2</v>
      </c>
      <c r="T2272" s="20">
        <v>21</v>
      </c>
      <c r="U2272" s="17">
        <v>2</v>
      </c>
      <c r="V2272" s="17">
        <v>34</v>
      </c>
    </row>
    <row r="2273" spans="1:22" x14ac:dyDescent="0.2">
      <c r="A2273" t="s">
        <v>5348</v>
      </c>
      <c r="B2273" t="s">
        <v>2719</v>
      </c>
      <c r="C2273" t="s">
        <v>2720</v>
      </c>
      <c r="D2273" t="s">
        <v>5329</v>
      </c>
      <c r="E2273" s="10" t="s">
        <v>3272</v>
      </c>
      <c r="F2273" s="10"/>
      <c r="G2273" s="10"/>
      <c r="H2273" s="10" t="s">
        <v>3272</v>
      </c>
      <c r="I2273" s="14">
        <v>23813.180895168334</v>
      </c>
      <c r="J2273" s="19">
        <v>0</v>
      </c>
      <c r="K2273" s="19">
        <v>0.46101900260577788</v>
      </c>
      <c r="L2273" s="19">
        <v>0.53898099739422212</v>
      </c>
      <c r="M2273" s="20">
        <v>1</v>
      </c>
      <c r="N2273" s="19">
        <v>0</v>
      </c>
      <c r="O2273" s="19">
        <v>0.46064660096063714</v>
      </c>
      <c r="P2273" s="19">
        <v>3.7240164514071127E-4</v>
      </c>
      <c r="Q2273" s="19">
        <v>0.39544200299986165</v>
      </c>
      <c r="R2273" s="19">
        <v>0.13925446892688739</v>
      </c>
      <c r="S2273" s="19">
        <v>4.2845254674730533E-3</v>
      </c>
      <c r="T2273" s="20">
        <v>13</v>
      </c>
      <c r="U2273" s="17">
        <v>2</v>
      </c>
      <c r="V2273" s="17">
        <v>34</v>
      </c>
    </row>
    <row r="2274" spans="1:22" x14ac:dyDescent="0.2">
      <c r="A2274" t="s">
        <v>5349</v>
      </c>
      <c r="B2274" t="s">
        <v>2719</v>
      </c>
      <c r="C2274" t="s">
        <v>2720</v>
      </c>
      <c r="D2274" t="s">
        <v>5329</v>
      </c>
      <c r="E2274" s="10" t="s">
        <v>2927</v>
      </c>
      <c r="F2274" s="10"/>
      <c r="G2274" s="10"/>
      <c r="H2274" s="10" t="s">
        <v>2927</v>
      </c>
      <c r="I2274" s="14">
        <v>11953.439294034615</v>
      </c>
      <c r="J2274" s="19">
        <v>0</v>
      </c>
      <c r="K2274" s="19">
        <v>0</v>
      </c>
      <c r="L2274" s="19">
        <v>1</v>
      </c>
      <c r="M2274" s="20">
        <v>1</v>
      </c>
      <c r="N2274" s="19">
        <v>0</v>
      </c>
      <c r="O2274" s="19">
        <v>0</v>
      </c>
      <c r="P2274" s="19">
        <v>0</v>
      </c>
      <c r="Q2274" s="19">
        <v>0.80450470018276987</v>
      </c>
      <c r="R2274" s="19">
        <v>0.19265164466560675</v>
      </c>
      <c r="S2274" s="19">
        <v>2.8436551516233398E-3</v>
      </c>
      <c r="T2274" s="20">
        <v>13</v>
      </c>
      <c r="U2274" s="17">
        <v>2</v>
      </c>
      <c r="V2274" s="17">
        <v>34</v>
      </c>
    </row>
    <row r="2275" spans="1:22" x14ac:dyDescent="0.2">
      <c r="A2275" t="s">
        <v>5350</v>
      </c>
      <c r="B2275" t="s">
        <v>2719</v>
      </c>
      <c r="C2275" t="s">
        <v>2720</v>
      </c>
      <c r="D2275" t="s">
        <v>5329</v>
      </c>
      <c r="E2275" s="10" t="s">
        <v>3676</v>
      </c>
      <c r="F2275" s="10"/>
      <c r="G2275" s="10"/>
      <c r="H2275" s="10" t="s">
        <v>3676</v>
      </c>
      <c r="I2275" s="14">
        <v>15849.128473121673</v>
      </c>
      <c r="J2275" s="19">
        <v>0</v>
      </c>
      <c r="K2275" s="19">
        <v>0.75131102513084624</v>
      </c>
      <c r="L2275" s="19">
        <v>0.24868897486915378</v>
      </c>
      <c r="M2275" s="20">
        <v>2</v>
      </c>
      <c r="N2275" s="19">
        <v>0</v>
      </c>
      <c r="O2275" s="19">
        <v>0.75131102513084624</v>
      </c>
      <c r="P2275" s="19">
        <v>0</v>
      </c>
      <c r="Q2275" s="19">
        <v>5.0004776701249608E-2</v>
      </c>
      <c r="R2275" s="19">
        <v>0.16540658691714938</v>
      </c>
      <c r="S2275" s="19">
        <v>3.3277611250754784E-2</v>
      </c>
      <c r="T2275" s="20">
        <v>22</v>
      </c>
      <c r="U2275" s="17">
        <v>2</v>
      </c>
      <c r="V2275" s="17">
        <v>34</v>
      </c>
    </row>
    <row r="2276" spans="1:22" x14ac:dyDescent="0.2">
      <c r="A2276" t="s">
        <v>5351</v>
      </c>
      <c r="B2276" t="s">
        <v>2719</v>
      </c>
      <c r="C2276" t="s">
        <v>2720</v>
      </c>
      <c r="D2276" t="s">
        <v>5329</v>
      </c>
      <c r="E2276" s="10" t="s">
        <v>3325</v>
      </c>
      <c r="F2276" s="10"/>
      <c r="G2276" s="10"/>
      <c r="H2276" s="10" t="s">
        <v>3325</v>
      </c>
      <c r="I2276" s="14">
        <v>8352.5982949845493</v>
      </c>
      <c r="J2276" s="19">
        <v>0</v>
      </c>
      <c r="K2276" s="19">
        <v>0.87144430913168602</v>
      </c>
      <c r="L2276" s="19">
        <v>0.12855569086831398</v>
      </c>
      <c r="M2276" s="20">
        <v>2</v>
      </c>
      <c r="N2276" s="19">
        <v>0</v>
      </c>
      <c r="O2276" s="19">
        <v>0.87144430913168602</v>
      </c>
      <c r="P2276" s="19">
        <v>0</v>
      </c>
      <c r="Q2276" s="19">
        <v>0</v>
      </c>
      <c r="R2276" s="19">
        <v>0.11375092659857632</v>
      </c>
      <c r="S2276" s="19">
        <v>1.4804764269737673E-2</v>
      </c>
      <c r="T2276" s="20">
        <v>22</v>
      </c>
      <c r="U2276" s="17">
        <v>2</v>
      </c>
      <c r="V2276" s="17">
        <v>34</v>
      </c>
    </row>
    <row r="2277" spans="1:22" x14ac:dyDescent="0.2">
      <c r="A2277" t="s">
        <v>5352</v>
      </c>
      <c r="B2277" t="s">
        <v>2719</v>
      </c>
      <c r="C2277" t="s">
        <v>2720</v>
      </c>
      <c r="D2277" t="s">
        <v>5353</v>
      </c>
      <c r="E2277" s="10" t="s">
        <v>5354</v>
      </c>
      <c r="F2277" s="10"/>
      <c r="G2277" s="10"/>
      <c r="H2277" s="10" t="s">
        <v>5354</v>
      </c>
      <c r="I2277" s="14">
        <v>15127.772761508822</v>
      </c>
      <c r="J2277" s="19">
        <v>0</v>
      </c>
      <c r="K2277" s="19">
        <v>0.63345320679020467</v>
      </c>
      <c r="L2277" s="19">
        <v>0.36654679320979539</v>
      </c>
      <c r="M2277" s="20">
        <v>2</v>
      </c>
      <c r="N2277" s="19">
        <v>0</v>
      </c>
      <c r="O2277" s="19">
        <v>0.63345320679020467</v>
      </c>
      <c r="P2277" s="19">
        <v>0</v>
      </c>
      <c r="Q2277" s="19">
        <v>0.35162569828948953</v>
      </c>
      <c r="R2277" s="19">
        <v>1.3215310775808739E-2</v>
      </c>
      <c r="S2277" s="19">
        <v>1.7057841444970826E-3</v>
      </c>
      <c r="T2277" s="20">
        <v>22</v>
      </c>
      <c r="U2277" s="17">
        <v>2</v>
      </c>
      <c r="V2277" s="17">
        <v>34</v>
      </c>
    </row>
    <row r="2278" spans="1:22" x14ac:dyDescent="0.2">
      <c r="A2278" t="s">
        <v>5355</v>
      </c>
      <c r="B2278" t="s">
        <v>2719</v>
      </c>
      <c r="C2278" t="s">
        <v>2720</v>
      </c>
      <c r="D2278" t="s">
        <v>5353</v>
      </c>
      <c r="E2278" s="10" t="s">
        <v>5356</v>
      </c>
      <c r="F2278" s="10"/>
      <c r="G2278" s="10"/>
      <c r="H2278" s="10" t="s">
        <v>5356</v>
      </c>
      <c r="I2278" s="14">
        <v>61476.877092864364</v>
      </c>
      <c r="J2278" s="19">
        <v>0</v>
      </c>
      <c r="K2278" s="19">
        <v>0.56032387632499503</v>
      </c>
      <c r="L2278" s="19">
        <v>0.43967612367500503</v>
      </c>
      <c r="M2278" s="20">
        <v>2</v>
      </c>
      <c r="N2278" s="19">
        <v>0.14677028445996795</v>
      </c>
      <c r="O2278" s="19">
        <v>0.19386861755193444</v>
      </c>
      <c r="P2278" s="19">
        <v>0.21968497431309261</v>
      </c>
      <c r="Q2278" s="19">
        <v>0.29841301696776201</v>
      </c>
      <c r="R2278" s="19">
        <v>0.13451735076851207</v>
      </c>
      <c r="S2278" s="19">
        <v>6.7457559387309515E-3</v>
      </c>
      <c r="T2278" s="20">
        <v>22</v>
      </c>
      <c r="U2278" s="17">
        <v>2</v>
      </c>
      <c r="V2278" s="17">
        <v>34</v>
      </c>
    </row>
    <row r="2279" spans="1:22" x14ac:dyDescent="0.2">
      <c r="A2279" t="s">
        <v>5357</v>
      </c>
      <c r="B2279" t="s">
        <v>2719</v>
      </c>
      <c r="C2279" t="s">
        <v>2720</v>
      </c>
      <c r="D2279" t="s">
        <v>5353</v>
      </c>
      <c r="E2279" s="10" t="s">
        <v>5358</v>
      </c>
      <c r="F2279" s="10"/>
      <c r="G2279" s="10"/>
      <c r="H2279" s="10" t="s">
        <v>5358</v>
      </c>
      <c r="I2279" s="14">
        <v>209809.70423679982</v>
      </c>
      <c r="J2279" s="19">
        <v>0.33534297263197155</v>
      </c>
      <c r="K2279" s="19">
        <v>0.39904174273497728</v>
      </c>
      <c r="L2279" s="19">
        <v>0.26561528463305134</v>
      </c>
      <c r="M2279" s="20">
        <v>2</v>
      </c>
      <c r="N2279" s="19">
        <v>6.3391827333201242E-2</v>
      </c>
      <c r="O2279" s="19">
        <v>3.9873175425213146E-2</v>
      </c>
      <c r="P2279" s="19">
        <v>0.2957767399765629</v>
      </c>
      <c r="Q2279" s="19">
        <v>0.15511135825523914</v>
      </c>
      <c r="R2279" s="19">
        <v>9.7457060006965524E-2</v>
      </c>
      <c r="S2279" s="19">
        <v>1.3046866370846658E-2</v>
      </c>
      <c r="T2279" s="20">
        <v>23</v>
      </c>
      <c r="U2279" s="17">
        <v>2</v>
      </c>
      <c r="V2279" s="17">
        <v>34</v>
      </c>
    </row>
    <row r="2280" spans="1:22" x14ac:dyDescent="0.2">
      <c r="A2280" t="s">
        <v>5359</v>
      </c>
      <c r="B2280" t="s">
        <v>2719</v>
      </c>
      <c r="C2280" t="s">
        <v>2720</v>
      </c>
      <c r="D2280" t="s">
        <v>5353</v>
      </c>
      <c r="E2280" s="10" t="s">
        <v>5360</v>
      </c>
      <c r="F2280" s="10"/>
      <c r="G2280" s="10"/>
      <c r="H2280" s="10" t="s">
        <v>5360</v>
      </c>
      <c r="I2280" s="14">
        <v>26725.879144954495</v>
      </c>
      <c r="J2280" s="19">
        <v>0</v>
      </c>
      <c r="K2280" s="19">
        <v>0.72019617300538474</v>
      </c>
      <c r="L2280" s="19">
        <v>0.27980382699461537</v>
      </c>
      <c r="M2280" s="20">
        <v>2</v>
      </c>
      <c r="N2280" s="19">
        <v>0</v>
      </c>
      <c r="O2280" s="19">
        <v>2.1279633144602794E-2</v>
      </c>
      <c r="P2280" s="19">
        <v>0.69891653986078195</v>
      </c>
      <c r="Q2280" s="19">
        <v>4.1290860412781405E-2</v>
      </c>
      <c r="R2280" s="19">
        <v>0.20492020748964002</v>
      </c>
      <c r="S2280" s="19">
        <v>3.3592759092193891E-2</v>
      </c>
      <c r="T2280" s="20">
        <v>21</v>
      </c>
      <c r="U2280" s="17">
        <v>2</v>
      </c>
      <c r="V2280" s="17">
        <v>34</v>
      </c>
    </row>
    <row r="2281" spans="1:22" x14ac:dyDescent="0.2">
      <c r="A2281" t="s">
        <v>5361</v>
      </c>
      <c r="B2281" t="s">
        <v>2719</v>
      </c>
      <c r="C2281" t="s">
        <v>2720</v>
      </c>
      <c r="D2281" t="s">
        <v>5353</v>
      </c>
      <c r="E2281" s="10" t="s">
        <v>5362</v>
      </c>
      <c r="F2281" s="10"/>
      <c r="G2281" s="10"/>
      <c r="H2281" s="10" t="s">
        <v>5362</v>
      </c>
      <c r="I2281" s="14">
        <v>110256.52728397184</v>
      </c>
      <c r="J2281" s="19">
        <v>0.51632191555120088</v>
      </c>
      <c r="K2281" s="19">
        <v>0.38187740967578165</v>
      </c>
      <c r="L2281" s="19">
        <v>0.10180067477301752</v>
      </c>
      <c r="M2281" s="20">
        <v>3</v>
      </c>
      <c r="N2281" s="19">
        <v>7.5258003041422439E-2</v>
      </c>
      <c r="O2281" s="19">
        <v>3.2708214737526111E-3</v>
      </c>
      <c r="P2281" s="19">
        <v>0.30334858516060659</v>
      </c>
      <c r="Q2281" s="19">
        <v>5.2298228269282959E-2</v>
      </c>
      <c r="R2281" s="19">
        <v>4.438285948242459E-2</v>
      </c>
      <c r="S2281" s="19">
        <v>5.1195870213099556E-3</v>
      </c>
      <c r="T2281" s="20">
        <v>30</v>
      </c>
      <c r="U2281" s="17">
        <v>2</v>
      </c>
      <c r="V2281" s="17">
        <v>34</v>
      </c>
    </row>
    <row r="2282" spans="1:22" x14ac:dyDescent="0.2">
      <c r="A2282" t="s">
        <v>5363</v>
      </c>
      <c r="B2282" t="s">
        <v>2719</v>
      </c>
      <c r="C2282" t="s">
        <v>2720</v>
      </c>
      <c r="D2282" t="s">
        <v>5353</v>
      </c>
      <c r="E2282" s="10" t="s">
        <v>5364</v>
      </c>
      <c r="F2282" s="10"/>
      <c r="G2282" s="10"/>
      <c r="H2282" s="10" t="s">
        <v>5364</v>
      </c>
      <c r="I2282" s="14">
        <v>49824.34053635598</v>
      </c>
      <c r="J2282" s="19">
        <v>0</v>
      </c>
      <c r="K2282" s="19">
        <v>0.76411518477634954</v>
      </c>
      <c r="L2282" s="19">
        <v>0.23588481522365037</v>
      </c>
      <c r="M2282" s="20">
        <v>2</v>
      </c>
      <c r="N2282" s="19">
        <v>0</v>
      </c>
      <c r="O2282" s="19">
        <v>0.76411518477634954</v>
      </c>
      <c r="P2282" s="19">
        <v>0</v>
      </c>
      <c r="Q2282" s="19">
        <v>0.17183543494290357</v>
      </c>
      <c r="R2282" s="19">
        <v>6.1427248211360162E-2</v>
      </c>
      <c r="S2282" s="19">
        <v>2.622132069386635E-3</v>
      </c>
      <c r="T2282" s="20">
        <v>22</v>
      </c>
      <c r="U2282" s="17">
        <v>2</v>
      </c>
      <c r="V2282" s="17">
        <v>34</v>
      </c>
    </row>
    <row r="2283" spans="1:22" x14ac:dyDescent="0.2">
      <c r="A2283" t="s">
        <v>5365</v>
      </c>
      <c r="B2283" t="s">
        <v>2719</v>
      </c>
      <c r="C2283" t="s">
        <v>2720</v>
      </c>
      <c r="D2283" t="s">
        <v>5353</v>
      </c>
      <c r="E2283" s="10" t="s">
        <v>5366</v>
      </c>
      <c r="F2283" s="10"/>
      <c r="G2283" s="10"/>
      <c r="H2283" s="10" t="s">
        <v>5366</v>
      </c>
      <c r="I2283" s="14">
        <v>37545.079245507717</v>
      </c>
      <c r="J2283" s="19">
        <v>0</v>
      </c>
      <c r="K2283" s="19">
        <v>0.50036634118355905</v>
      </c>
      <c r="L2283" s="19">
        <v>0.49963365881644095</v>
      </c>
      <c r="M2283" s="20">
        <v>2</v>
      </c>
      <c r="N2283" s="19">
        <v>0</v>
      </c>
      <c r="O2283" s="19">
        <v>0.50036634118355905</v>
      </c>
      <c r="P2283" s="19">
        <v>0</v>
      </c>
      <c r="Q2283" s="19">
        <v>0.27284678241350357</v>
      </c>
      <c r="R2283" s="19">
        <v>0.20404279055139396</v>
      </c>
      <c r="S2283" s="19">
        <v>2.2744085851543423E-2</v>
      </c>
      <c r="T2283" s="20">
        <v>22</v>
      </c>
      <c r="U2283" s="17">
        <v>2</v>
      </c>
      <c r="V2283" s="17">
        <v>34</v>
      </c>
    </row>
    <row r="2284" spans="1:22" x14ac:dyDescent="0.2">
      <c r="A2284" t="s">
        <v>5367</v>
      </c>
      <c r="B2284" t="s">
        <v>2719</v>
      </c>
      <c r="C2284" t="s">
        <v>2720</v>
      </c>
      <c r="D2284" t="s">
        <v>5353</v>
      </c>
      <c r="E2284" s="10" t="s">
        <v>5368</v>
      </c>
      <c r="F2284" s="10"/>
      <c r="G2284" s="10"/>
      <c r="H2284" s="10" t="s">
        <v>5368</v>
      </c>
      <c r="I2284" s="14">
        <v>15422.579631466419</v>
      </c>
      <c r="J2284" s="19">
        <v>0</v>
      </c>
      <c r="K2284" s="19">
        <v>0.49322368074821032</v>
      </c>
      <c r="L2284" s="19">
        <v>0.50677631925178968</v>
      </c>
      <c r="M2284" s="20">
        <v>1</v>
      </c>
      <c r="N2284" s="19">
        <v>0</v>
      </c>
      <c r="O2284" s="19">
        <v>0.49322368074821032</v>
      </c>
      <c r="P2284" s="19">
        <v>0</v>
      </c>
      <c r="Q2284" s="19">
        <v>0.27300922411298312</v>
      </c>
      <c r="R2284" s="19">
        <v>0.22169169003053213</v>
      </c>
      <c r="S2284" s="19">
        <v>1.2075405108274389E-2</v>
      </c>
      <c r="T2284" s="20">
        <v>13</v>
      </c>
      <c r="U2284" s="17">
        <v>2</v>
      </c>
      <c r="V2284" s="17">
        <v>34</v>
      </c>
    </row>
    <row r="2285" spans="1:22" x14ac:dyDescent="0.2">
      <c r="A2285" t="s">
        <v>5369</v>
      </c>
      <c r="B2285" t="s">
        <v>2719</v>
      </c>
      <c r="C2285" t="s">
        <v>2720</v>
      </c>
      <c r="D2285" t="s">
        <v>5353</v>
      </c>
      <c r="E2285" s="10" t="s">
        <v>5370</v>
      </c>
      <c r="F2285" s="10"/>
      <c r="G2285" s="10"/>
      <c r="H2285" s="10" t="s">
        <v>5370</v>
      </c>
      <c r="I2285" s="14">
        <v>21390.058522007894</v>
      </c>
      <c r="J2285" s="19">
        <v>0</v>
      </c>
      <c r="K2285" s="19">
        <v>0.43278023411127259</v>
      </c>
      <c r="L2285" s="19">
        <v>0.56721976588872736</v>
      </c>
      <c r="M2285" s="20">
        <v>1</v>
      </c>
      <c r="N2285" s="19">
        <v>0</v>
      </c>
      <c r="O2285" s="19">
        <v>0</v>
      </c>
      <c r="P2285" s="19">
        <v>0.43278023411127259</v>
      </c>
      <c r="Q2285" s="19">
        <v>0.23934430893927716</v>
      </c>
      <c r="R2285" s="19">
        <v>0.30542244898837007</v>
      </c>
      <c r="S2285" s="19">
        <v>2.2453007961080199E-2</v>
      </c>
      <c r="T2285" s="20">
        <v>12</v>
      </c>
      <c r="U2285" s="17">
        <v>2</v>
      </c>
      <c r="V2285" s="17">
        <v>34</v>
      </c>
    </row>
    <row r="2286" spans="1:22" x14ac:dyDescent="0.2">
      <c r="A2286" t="s">
        <v>5371</v>
      </c>
      <c r="B2286" t="s">
        <v>2719</v>
      </c>
      <c r="C2286" t="s">
        <v>2720</v>
      </c>
      <c r="D2286" t="s">
        <v>5353</v>
      </c>
      <c r="E2286" s="10" t="s">
        <v>5372</v>
      </c>
      <c r="F2286" s="10"/>
      <c r="G2286" s="10"/>
      <c r="H2286" s="10" t="s">
        <v>5372</v>
      </c>
      <c r="I2286" s="14">
        <v>18988.233955342323</v>
      </c>
      <c r="J2286" s="19">
        <v>0</v>
      </c>
      <c r="K2286" s="19">
        <v>0.19549965514877521</v>
      </c>
      <c r="L2286" s="19">
        <v>0.80450034485122468</v>
      </c>
      <c r="M2286" s="20">
        <v>1</v>
      </c>
      <c r="N2286" s="19">
        <v>0</v>
      </c>
      <c r="O2286" s="19">
        <v>0.19549965514877521</v>
      </c>
      <c r="P2286" s="19">
        <v>0</v>
      </c>
      <c r="Q2286" s="19">
        <v>0.61602746962471977</v>
      </c>
      <c r="R2286" s="19">
        <v>0.16892604857726923</v>
      </c>
      <c r="S2286" s="19">
        <v>1.9546826649235818E-2</v>
      </c>
      <c r="T2286" s="20">
        <v>13</v>
      </c>
      <c r="U2286" s="17">
        <v>2</v>
      </c>
      <c r="V2286" s="17">
        <v>34</v>
      </c>
    </row>
    <row r="2287" spans="1:22" x14ac:dyDescent="0.2">
      <c r="A2287" t="s">
        <v>5373</v>
      </c>
      <c r="B2287" t="s">
        <v>2719</v>
      </c>
      <c r="C2287" t="s">
        <v>2720</v>
      </c>
      <c r="D2287" t="s">
        <v>5353</v>
      </c>
      <c r="E2287" s="10" t="s">
        <v>5374</v>
      </c>
      <c r="F2287" s="10"/>
      <c r="G2287" s="10"/>
      <c r="H2287" s="10" t="s">
        <v>5374</v>
      </c>
      <c r="I2287" s="14">
        <v>8068.7599375583222</v>
      </c>
      <c r="J2287" s="19">
        <v>0</v>
      </c>
      <c r="K2287" s="19">
        <v>0</v>
      </c>
      <c r="L2287" s="19">
        <v>1</v>
      </c>
      <c r="M2287" s="20">
        <v>1</v>
      </c>
      <c r="N2287" s="19">
        <v>0</v>
      </c>
      <c r="O2287" s="19">
        <v>0</v>
      </c>
      <c r="P2287" s="19">
        <v>0</v>
      </c>
      <c r="Q2287" s="19">
        <v>0.6300740415633036</v>
      </c>
      <c r="R2287" s="19">
        <v>0.21564871512532194</v>
      </c>
      <c r="S2287" s="19">
        <v>0.15427724331137457</v>
      </c>
      <c r="T2287" s="20">
        <v>13</v>
      </c>
      <c r="U2287" s="17">
        <v>2</v>
      </c>
      <c r="V2287" s="17">
        <v>34</v>
      </c>
    </row>
    <row r="2288" spans="1:22" x14ac:dyDescent="0.2">
      <c r="A2288" t="s">
        <v>5375</v>
      </c>
      <c r="B2288" t="s">
        <v>2719</v>
      </c>
      <c r="C2288" t="s">
        <v>2720</v>
      </c>
      <c r="D2288" t="s">
        <v>5353</v>
      </c>
      <c r="E2288" s="10" t="s">
        <v>5376</v>
      </c>
      <c r="F2288" s="10"/>
      <c r="G2288" s="10"/>
      <c r="H2288" s="10" t="s">
        <v>5376</v>
      </c>
      <c r="I2288" s="14">
        <v>18894.509291572962</v>
      </c>
      <c r="J2288" s="19">
        <v>0</v>
      </c>
      <c r="K2288" s="19">
        <v>0.23477081912040507</v>
      </c>
      <c r="L2288" s="19">
        <v>0.76522918087959502</v>
      </c>
      <c r="M2288" s="20">
        <v>1</v>
      </c>
      <c r="N2288" s="19">
        <v>0</v>
      </c>
      <c r="O2288" s="19">
        <v>0</v>
      </c>
      <c r="P2288" s="19">
        <v>0.23477081912040507</v>
      </c>
      <c r="Q2288" s="19">
        <v>0.4551836353168906</v>
      </c>
      <c r="R2288" s="19">
        <v>0.27434092170873131</v>
      </c>
      <c r="S2288" s="19">
        <v>3.5704623853972974E-2</v>
      </c>
      <c r="T2288" s="20">
        <v>13</v>
      </c>
      <c r="U2288" s="17">
        <v>2</v>
      </c>
      <c r="V2288" s="17">
        <v>34</v>
      </c>
    </row>
    <row r="2289" spans="1:22" x14ac:dyDescent="0.2">
      <c r="A2289" t="s">
        <v>5377</v>
      </c>
      <c r="B2289" t="s">
        <v>2719</v>
      </c>
      <c r="C2289" t="s">
        <v>2720</v>
      </c>
      <c r="D2289" t="s">
        <v>5353</v>
      </c>
      <c r="E2289" s="10" t="s">
        <v>5378</v>
      </c>
      <c r="F2289" s="10"/>
      <c r="G2289" s="10"/>
      <c r="H2289" s="10" t="s">
        <v>5378</v>
      </c>
      <c r="I2289" s="14">
        <v>9084.7081340327859</v>
      </c>
      <c r="J2289" s="19">
        <v>0</v>
      </c>
      <c r="K2289" s="19">
        <v>0.74793291243064064</v>
      </c>
      <c r="L2289" s="19">
        <v>0.25206708756935942</v>
      </c>
      <c r="M2289" s="20">
        <v>2</v>
      </c>
      <c r="N2289" s="19">
        <v>0</v>
      </c>
      <c r="O2289" s="19">
        <v>0.74793291243064064</v>
      </c>
      <c r="P2289" s="19">
        <v>0</v>
      </c>
      <c r="Q2289" s="19">
        <v>0.15597556693680653</v>
      </c>
      <c r="R2289" s="19">
        <v>7.9896813052690238E-2</v>
      </c>
      <c r="S2289" s="19">
        <v>1.6194707579862633E-2</v>
      </c>
      <c r="T2289" s="20">
        <v>22</v>
      </c>
      <c r="U2289" s="17">
        <v>2</v>
      </c>
      <c r="V2289" s="17">
        <v>34</v>
      </c>
    </row>
    <row r="2290" spans="1:22" x14ac:dyDescent="0.2">
      <c r="A2290" t="s">
        <v>5379</v>
      </c>
      <c r="B2290" t="s">
        <v>2719</v>
      </c>
      <c r="C2290" t="s">
        <v>2720</v>
      </c>
      <c r="D2290" t="s">
        <v>5353</v>
      </c>
      <c r="E2290" s="10" t="s">
        <v>5380</v>
      </c>
      <c r="F2290" s="10"/>
      <c r="G2290" s="10"/>
      <c r="H2290" s="10" t="s">
        <v>5380</v>
      </c>
      <c r="I2290" s="14">
        <v>36195.862132915761</v>
      </c>
      <c r="J2290" s="19">
        <v>0</v>
      </c>
      <c r="K2290" s="19">
        <v>0.4387720695993349</v>
      </c>
      <c r="L2290" s="19">
        <v>0.5612279304006651</v>
      </c>
      <c r="M2290" s="20">
        <v>1</v>
      </c>
      <c r="N2290" s="19">
        <v>0</v>
      </c>
      <c r="O2290" s="19">
        <v>0.10907192538415598</v>
      </c>
      <c r="P2290" s="19">
        <v>0.32970014421517896</v>
      </c>
      <c r="Q2290" s="19">
        <v>0.27619824048967895</v>
      </c>
      <c r="R2290" s="19">
        <v>0.25570822400229487</v>
      </c>
      <c r="S2290" s="19">
        <v>2.9321465908691287E-2</v>
      </c>
      <c r="T2290" s="20">
        <v>13</v>
      </c>
      <c r="U2290" s="17">
        <v>2</v>
      </c>
      <c r="V2290" s="17">
        <v>34</v>
      </c>
    </row>
    <row r="2291" spans="1:22" x14ac:dyDescent="0.2">
      <c r="A2291" t="s">
        <v>5381</v>
      </c>
      <c r="B2291" t="s">
        <v>2719</v>
      </c>
      <c r="C2291" t="s">
        <v>2720</v>
      </c>
      <c r="D2291" t="s">
        <v>5353</v>
      </c>
      <c r="E2291" s="10" t="s">
        <v>5382</v>
      </c>
      <c r="F2291" s="10"/>
      <c r="G2291" s="10"/>
      <c r="H2291" s="10" t="s">
        <v>5382</v>
      </c>
      <c r="I2291" s="14">
        <v>21031.185327744111</v>
      </c>
      <c r="J2291" s="19">
        <v>0</v>
      </c>
      <c r="K2291" s="19">
        <v>0.613505140863424</v>
      </c>
      <c r="L2291" s="19">
        <v>0.38649485913657594</v>
      </c>
      <c r="M2291" s="20">
        <v>2</v>
      </c>
      <c r="N2291" s="19">
        <v>0</v>
      </c>
      <c r="O2291" s="19">
        <v>0</v>
      </c>
      <c r="P2291" s="19">
        <v>0.613505140863424</v>
      </c>
      <c r="Q2291" s="19">
        <v>0.17221927455644834</v>
      </c>
      <c r="R2291" s="19">
        <v>0.20629660220740811</v>
      </c>
      <c r="S2291" s="19">
        <v>7.9789823727195244E-3</v>
      </c>
      <c r="T2291" s="20">
        <v>21</v>
      </c>
      <c r="U2291" s="17">
        <v>2</v>
      </c>
      <c r="V2291" s="17">
        <v>34</v>
      </c>
    </row>
    <row r="2292" spans="1:22" x14ac:dyDescent="0.2">
      <c r="A2292" t="s">
        <v>5383</v>
      </c>
      <c r="B2292" t="s">
        <v>2719</v>
      </c>
      <c r="C2292" t="s">
        <v>2720</v>
      </c>
      <c r="D2292" t="s">
        <v>5353</v>
      </c>
      <c r="E2292" s="10" t="s">
        <v>5384</v>
      </c>
      <c r="F2292" s="10"/>
      <c r="G2292" s="10"/>
      <c r="H2292" s="10" t="s">
        <v>5384</v>
      </c>
      <c r="I2292" s="14">
        <v>22322.735737983137</v>
      </c>
      <c r="J2292" s="19">
        <v>0</v>
      </c>
      <c r="K2292" s="19">
        <v>0.46233853180124834</v>
      </c>
      <c r="L2292" s="19">
        <v>0.53766146819875171</v>
      </c>
      <c r="M2292" s="20">
        <v>1</v>
      </c>
      <c r="N2292" s="19">
        <v>0</v>
      </c>
      <c r="O2292" s="19">
        <v>0.46233853180124834</v>
      </c>
      <c r="P2292" s="19">
        <v>0</v>
      </c>
      <c r="Q2292" s="19">
        <v>0.16232032639591623</v>
      </c>
      <c r="R2292" s="19">
        <v>0.33114758964393765</v>
      </c>
      <c r="S2292" s="19">
        <v>4.4193552158897871E-2</v>
      </c>
      <c r="T2292" s="20">
        <v>12</v>
      </c>
      <c r="U2292" s="17">
        <v>2</v>
      </c>
      <c r="V2292" s="17">
        <v>34</v>
      </c>
    </row>
    <row r="2293" spans="1:22" x14ac:dyDescent="0.2">
      <c r="A2293" t="s">
        <v>5385</v>
      </c>
      <c r="B2293" t="s">
        <v>2719</v>
      </c>
      <c r="C2293" t="s">
        <v>2720</v>
      </c>
      <c r="D2293" t="s">
        <v>5353</v>
      </c>
      <c r="E2293" s="10" t="s">
        <v>5386</v>
      </c>
      <c r="F2293" s="10"/>
      <c r="G2293" s="10"/>
      <c r="H2293" s="10" t="s">
        <v>5386</v>
      </c>
      <c r="I2293" s="14">
        <v>7517.5409322306523</v>
      </c>
      <c r="J2293" s="19">
        <v>0</v>
      </c>
      <c r="K2293" s="19">
        <v>0</v>
      </c>
      <c r="L2293" s="19">
        <v>1</v>
      </c>
      <c r="M2293" s="20">
        <v>1</v>
      </c>
      <c r="N2293" s="19">
        <v>0</v>
      </c>
      <c r="O2293" s="19">
        <v>0</v>
      </c>
      <c r="P2293" s="19">
        <v>0</v>
      </c>
      <c r="Q2293" s="19">
        <v>0.41091364375023964</v>
      </c>
      <c r="R2293" s="19">
        <v>0.51016866277786632</v>
      </c>
      <c r="S2293" s="19">
        <v>7.8917693471893854E-2</v>
      </c>
      <c r="T2293" s="20">
        <v>12</v>
      </c>
      <c r="U2293" s="17">
        <v>2</v>
      </c>
      <c r="V2293" s="17">
        <v>34</v>
      </c>
    </row>
    <row r="2294" spans="1:22" x14ac:dyDescent="0.2">
      <c r="A2294" t="s">
        <v>5387</v>
      </c>
      <c r="B2294" t="s">
        <v>2719</v>
      </c>
      <c r="C2294" t="s">
        <v>2720</v>
      </c>
      <c r="D2294" t="s">
        <v>5353</v>
      </c>
      <c r="E2294" s="10" t="s">
        <v>5388</v>
      </c>
      <c r="F2294" s="10"/>
      <c r="G2294" s="10"/>
      <c r="H2294" s="10" t="s">
        <v>5388</v>
      </c>
      <c r="I2294" s="14">
        <v>9325.3423305656761</v>
      </c>
      <c r="J2294" s="19">
        <v>0</v>
      </c>
      <c r="K2294" s="19">
        <v>0.50945726921034018</v>
      </c>
      <c r="L2294" s="19">
        <v>0.49054273078965976</v>
      </c>
      <c r="M2294" s="20">
        <v>2</v>
      </c>
      <c r="N2294" s="19">
        <v>0</v>
      </c>
      <c r="O2294" s="19">
        <v>0.50945726921034018</v>
      </c>
      <c r="P2294" s="19">
        <v>0</v>
      </c>
      <c r="Q2294" s="19">
        <v>0.46481530182782421</v>
      </c>
      <c r="R2294" s="19">
        <v>1.9086811482988825E-2</v>
      </c>
      <c r="S2294" s="19">
        <v>6.6406174788467233E-3</v>
      </c>
      <c r="T2294" s="20">
        <v>22</v>
      </c>
      <c r="U2294" s="17">
        <v>2</v>
      </c>
      <c r="V2294" s="17">
        <v>34</v>
      </c>
    </row>
    <row r="2295" spans="1:22" x14ac:dyDescent="0.2">
      <c r="A2295" t="s">
        <v>5389</v>
      </c>
      <c r="B2295" t="s">
        <v>2719</v>
      </c>
      <c r="C2295" t="s">
        <v>2720</v>
      </c>
      <c r="D2295" t="s">
        <v>5353</v>
      </c>
      <c r="E2295" s="10" t="s">
        <v>5390</v>
      </c>
      <c r="F2295" s="10"/>
      <c r="G2295" s="10"/>
      <c r="H2295" s="10" t="s">
        <v>5390</v>
      </c>
      <c r="I2295" s="14">
        <v>29606.01627287082</v>
      </c>
      <c r="J2295" s="19">
        <v>0</v>
      </c>
      <c r="K2295" s="19">
        <v>0.77416518301471682</v>
      </c>
      <c r="L2295" s="19">
        <v>0.22583481698528332</v>
      </c>
      <c r="M2295" s="20">
        <v>2</v>
      </c>
      <c r="N2295" s="19">
        <v>0.27350963201590822</v>
      </c>
      <c r="O2295" s="19">
        <v>0</v>
      </c>
      <c r="P2295" s="19">
        <v>0.50065555099880865</v>
      </c>
      <c r="Q2295" s="19">
        <v>4.887688437863881E-2</v>
      </c>
      <c r="R2295" s="19">
        <v>0.15621443834643123</v>
      </c>
      <c r="S2295" s="19">
        <v>2.0743494260213241E-2</v>
      </c>
      <c r="T2295" s="20">
        <v>21</v>
      </c>
      <c r="U2295" s="17">
        <v>2</v>
      </c>
      <c r="V2295" s="17">
        <v>34</v>
      </c>
    </row>
    <row r="2296" spans="1:22" x14ac:dyDescent="0.2">
      <c r="A2296" t="s">
        <v>5391</v>
      </c>
      <c r="B2296" t="s">
        <v>2719</v>
      </c>
      <c r="C2296" t="s">
        <v>2720</v>
      </c>
      <c r="D2296" t="s">
        <v>5353</v>
      </c>
      <c r="E2296" s="10" t="s">
        <v>5127</v>
      </c>
      <c r="F2296" s="10"/>
      <c r="G2296" s="10"/>
      <c r="H2296" s="10" t="s">
        <v>5127</v>
      </c>
      <c r="I2296" s="14">
        <v>47436.825657059904</v>
      </c>
      <c r="J2296" s="19">
        <v>0</v>
      </c>
      <c r="K2296" s="19">
        <v>0.59591090732797913</v>
      </c>
      <c r="L2296" s="19">
        <v>0.40408909267202087</v>
      </c>
      <c r="M2296" s="20">
        <v>2</v>
      </c>
      <c r="N2296" s="19">
        <v>0</v>
      </c>
      <c r="O2296" s="19">
        <v>0.52078988527477188</v>
      </c>
      <c r="P2296" s="19">
        <v>7.5121022053207268E-2</v>
      </c>
      <c r="Q2296" s="19">
        <v>0.29797970748677849</v>
      </c>
      <c r="R2296" s="19">
        <v>9.579455509115184E-2</v>
      </c>
      <c r="S2296" s="19">
        <v>1.0314830094090564E-2</v>
      </c>
      <c r="T2296" s="20">
        <v>22</v>
      </c>
      <c r="U2296" s="17">
        <v>2</v>
      </c>
      <c r="V2296" s="17">
        <v>34</v>
      </c>
    </row>
    <row r="2297" spans="1:22" x14ac:dyDescent="0.2">
      <c r="A2297" t="s">
        <v>5392</v>
      </c>
      <c r="B2297" t="s">
        <v>2719</v>
      </c>
      <c r="C2297" t="s">
        <v>2720</v>
      </c>
      <c r="D2297" t="s">
        <v>5353</v>
      </c>
      <c r="E2297" s="10" t="s">
        <v>5393</v>
      </c>
      <c r="F2297" s="10"/>
      <c r="G2297" s="10"/>
      <c r="H2297" s="10" t="s">
        <v>5393</v>
      </c>
      <c r="I2297" s="14">
        <v>14759.247387088833</v>
      </c>
      <c r="J2297" s="19">
        <v>0</v>
      </c>
      <c r="K2297" s="19">
        <v>0.69032143482123975</v>
      </c>
      <c r="L2297" s="19">
        <v>0.30967856517876041</v>
      </c>
      <c r="M2297" s="20">
        <v>2</v>
      </c>
      <c r="N2297" s="19">
        <v>0</v>
      </c>
      <c r="O2297" s="19">
        <v>0.69032143482123975</v>
      </c>
      <c r="P2297" s="19">
        <v>0</v>
      </c>
      <c r="Q2297" s="19">
        <v>0.29160693671162968</v>
      </c>
      <c r="R2297" s="19">
        <v>1.4764020313674957E-2</v>
      </c>
      <c r="S2297" s="19">
        <v>3.3076081534557248E-3</v>
      </c>
      <c r="T2297" s="20">
        <v>22</v>
      </c>
      <c r="U2297" s="17">
        <v>2</v>
      </c>
      <c r="V2297" s="17">
        <v>34</v>
      </c>
    </row>
    <row r="2298" spans="1:22" x14ac:dyDescent="0.2">
      <c r="A2298" t="s">
        <v>5394</v>
      </c>
      <c r="B2298" t="s">
        <v>2719</v>
      </c>
      <c r="C2298" t="s">
        <v>2720</v>
      </c>
      <c r="D2298" t="s">
        <v>5353</v>
      </c>
      <c r="E2298" s="10" t="s">
        <v>5395</v>
      </c>
      <c r="F2298" s="10"/>
      <c r="G2298" s="10"/>
      <c r="H2298" s="10" t="s">
        <v>5395</v>
      </c>
      <c r="I2298" s="14">
        <v>8477.0523165240884</v>
      </c>
      <c r="J2298" s="19">
        <v>0</v>
      </c>
      <c r="K2298" s="19">
        <v>0</v>
      </c>
      <c r="L2298" s="19">
        <v>1</v>
      </c>
      <c r="M2298" s="20">
        <v>1</v>
      </c>
      <c r="N2298" s="19">
        <v>0</v>
      </c>
      <c r="O2298" s="19">
        <v>0</v>
      </c>
      <c r="P2298" s="19">
        <v>0</v>
      </c>
      <c r="Q2298" s="19">
        <v>0.90084971118464285</v>
      </c>
      <c r="R2298" s="19">
        <v>9.4515584360015059E-2</v>
      </c>
      <c r="S2298" s="19">
        <v>4.6347044553422534E-3</v>
      </c>
      <c r="T2298" s="20">
        <v>13</v>
      </c>
      <c r="U2298" s="17">
        <v>2</v>
      </c>
      <c r="V2298" s="17">
        <v>34</v>
      </c>
    </row>
    <row r="2299" spans="1:22" x14ac:dyDescent="0.2">
      <c r="A2299" t="s">
        <v>5396</v>
      </c>
      <c r="B2299" t="s">
        <v>2719</v>
      </c>
      <c r="C2299" t="s">
        <v>2720</v>
      </c>
      <c r="D2299" t="s">
        <v>5353</v>
      </c>
      <c r="E2299" s="10" t="s">
        <v>5397</v>
      </c>
      <c r="F2299" s="10"/>
      <c r="G2299" s="10"/>
      <c r="H2299" s="10" t="s">
        <v>5397</v>
      </c>
      <c r="I2299" s="14">
        <v>9201.2030183933675</v>
      </c>
      <c r="J2299" s="19">
        <v>0</v>
      </c>
      <c r="K2299" s="19">
        <v>0.51967027493457574</v>
      </c>
      <c r="L2299" s="19">
        <v>0.48032972506542421</v>
      </c>
      <c r="M2299" s="20">
        <v>2</v>
      </c>
      <c r="N2299" s="19">
        <v>0</v>
      </c>
      <c r="O2299" s="19">
        <v>0.51967027493457574</v>
      </c>
      <c r="P2299" s="19">
        <v>0</v>
      </c>
      <c r="Q2299" s="19">
        <v>0.46421474169164012</v>
      </c>
      <c r="R2299" s="19">
        <v>8.5212052773024714E-3</v>
      </c>
      <c r="S2299" s="19">
        <v>7.5937780964816185E-3</v>
      </c>
      <c r="T2299" s="20">
        <v>22</v>
      </c>
      <c r="U2299" s="17">
        <v>2</v>
      </c>
      <c r="V2299" s="17">
        <v>34</v>
      </c>
    </row>
    <row r="2300" spans="1:22" x14ac:dyDescent="0.2">
      <c r="A2300" t="s">
        <v>5398</v>
      </c>
      <c r="B2300" t="s">
        <v>2719</v>
      </c>
      <c r="C2300" t="s">
        <v>2720</v>
      </c>
      <c r="D2300" t="s">
        <v>5353</v>
      </c>
      <c r="E2300" s="10" t="s">
        <v>5399</v>
      </c>
      <c r="F2300" s="10"/>
      <c r="G2300" s="10"/>
      <c r="H2300" s="10" t="s">
        <v>5399</v>
      </c>
      <c r="I2300" s="14">
        <v>28180.294663359411</v>
      </c>
      <c r="J2300" s="19">
        <v>0</v>
      </c>
      <c r="K2300" s="19">
        <v>0.58773539741718273</v>
      </c>
      <c r="L2300" s="19">
        <v>0.41226460258281727</v>
      </c>
      <c r="M2300" s="20">
        <v>2</v>
      </c>
      <c r="N2300" s="19">
        <v>0.19323457912188188</v>
      </c>
      <c r="O2300" s="19">
        <v>0.35406945058653988</v>
      </c>
      <c r="P2300" s="19">
        <v>4.0431367708760962E-2</v>
      </c>
      <c r="Q2300" s="19">
        <v>0.30201763388687319</v>
      </c>
      <c r="R2300" s="19">
        <v>9.8732782839309779E-2</v>
      </c>
      <c r="S2300" s="19">
        <v>1.1514185856634277E-2</v>
      </c>
      <c r="T2300" s="20">
        <v>22</v>
      </c>
      <c r="U2300" s="17">
        <v>2</v>
      </c>
      <c r="V2300" s="17">
        <v>34</v>
      </c>
    </row>
    <row r="2301" spans="1:22" x14ac:dyDescent="0.2">
      <c r="A2301" t="s">
        <v>5400</v>
      </c>
      <c r="B2301" t="s">
        <v>2719</v>
      </c>
      <c r="C2301" t="s">
        <v>2720</v>
      </c>
      <c r="D2301" t="s">
        <v>5353</v>
      </c>
      <c r="E2301" s="10" t="s">
        <v>5401</v>
      </c>
      <c r="F2301" s="10"/>
      <c r="G2301" s="10"/>
      <c r="H2301" s="10" t="s">
        <v>5401</v>
      </c>
      <c r="I2301" s="14">
        <v>31474.165142672136</v>
      </c>
      <c r="J2301" s="19">
        <v>0</v>
      </c>
      <c r="K2301" s="19">
        <v>0.83829077669828855</v>
      </c>
      <c r="L2301" s="19">
        <v>0.16170922330171153</v>
      </c>
      <c r="M2301" s="20">
        <v>2</v>
      </c>
      <c r="N2301" s="19">
        <v>0.19779402416002453</v>
      </c>
      <c r="O2301" s="19">
        <v>0</v>
      </c>
      <c r="P2301" s="19">
        <v>0.64049675253826399</v>
      </c>
      <c r="Q2301" s="19">
        <v>5.8459592297177079E-2</v>
      </c>
      <c r="R2301" s="19">
        <v>9.5033139601240116E-2</v>
      </c>
      <c r="S2301" s="19">
        <v>8.2164914032942949E-3</v>
      </c>
      <c r="T2301" s="20">
        <v>21</v>
      </c>
      <c r="U2301" s="17">
        <v>2</v>
      </c>
      <c r="V2301" s="17">
        <v>34</v>
      </c>
    </row>
    <row r="2302" spans="1:22" x14ac:dyDescent="0.2">
      <c r="A2302" t="s">
        <v>5402</v>
      </c>
      <c r="B2302" t="s">
        <v>2719</v>
      </c>
      <c r="C2302" t="s">
        <v>2720</v>
      </c>
      <c r="D2302" t="s">
        <v>5353</v>
      </c>
      <c r="E2302" s="10" t="s">
        <v>5403</v>
      </c>
      <c r="F2302" s="10"/>
      <c r="G2302" s="10"/>
      <c r="H2302" s="10" t="s">
        <v>5403</v>
      </c>
      <c r="I2302" s="14">
        <v>19312.290200934687</v>
      </c>
      <c r="J2302" s="19">
        <v>0</v>
      </c>
      <c r="K2302" s="19">
        <v>0.69865011290533818</v>
      </c>
      <c r="L2302" s="19">
        <v>0.30134988709466182</v>
      </c>
      <c r="M2302" s="20">
        <v>2</v>
      </c>
      <c r="N2302" s="19">
        <v>0</v>
      </c>
      <c r="O2302" s="19">
        <v>0.69865011290533818</v>
      </c>
      <c r="P2302" s="19">
        <v>0</v>
      </c>
      <c r="Q2302" s="19">
        <v>0.25054022321236968</v>
      </c>
      <c r="R2302" s="19">
        <v>4.1061569429573355E-2</v>
      </c>
      <c r="S2302" s="19">
        <v>9.7480944527187814E-3</v>
      </c>
      <c r="T2302" s="20">
        <v>22</v>
      </c>
      <c r="U2302" s="17">
        <v>2</v>
      </c>
      <c r="V2302" s="17">
        <v>34</v>
      </c>
    </row>
    <row r="2303" spans="1:22" x14ac:dyDescent="0.2">
      <c r="A2303" t="s">
        <v>5404</v>
      </c>
      <c r="B2303" t="s">
        <v>2719</v>
      </c>
      <c r="C2303" t="s">
        <v>2720</v>
      </c>
      <c r="D2303" t="s">
        <v>3763</v>
      </c>
      <c r="E2303" s="10" t="s">
        <v>5405</v>
      </c>
      <c r="F2303" s="10"/>
      <c r="G2303" s="10"/>
      <c r="H2303" s="10" t="s">
        <v>5405</v>
      </c>
      <c r="I2303" s="14">
        <v>91836.000843221322</v>
      </c>
      <c r="J2303" s="19">
        <v>0</v>
      </c>
      <c r="K2303" s="19">
        <v>0.67142510773823372</v>
      </c>
      <c r="L2303" s="19">
        <v>0.32857489226176634</v>
      </c>
      <c r="M2303" s="20">
        <v>2</v>
      </c>
      <c r="N2303" s="19">
        <v>0.27169005845218852</v>
      </c>
      <c r="O2303" s="19">
        <v>1.0211133396886725E-3</v>
      </c>
      <c r="P2303" s="19">
        <v>0.39871393594635646</v>
      </c>
      <c r="Q2303" s="19">
        <v>0.13559296402251833</v>
      </c>
      <c r="R2303" s="19">
        <v>0.17251748200469999</v>
      </c>
      <c r="S2303" s="19">
        <v>2.0464446234548007E-2</v>
      </c>
      <c r="T2303" s="20">
        <v>23</v>
      </c>
      <c r="U2303" s="17">
        <v>2</v>
      </c>
      <c r="V2303" s="17">
        <v>34</v>
      </c>
    </row>
    <row r="2304" spans="1:22" x14ac:dyDescent="0.2">
      <c r="A2304" t="s">
        <v>5406</v>
      </c>
      <c r="B2304" t="s">
        <v>2719</v>
      </c>
      <c r="C2304" t="s">
        <v>2720</v>
      </c>
      <c r="D2304" t="s">
        <v>3763</v>
      </c>
      <c r="E2304" s="10" t="s">
        <v>5407</v>
      </c>
      <c r="F2304" s="10"/>
      <c r="G2304" s="10"/>
      <c r="H2304" s="10" t="s">
        <v>5407</v>
      </c>
      <c r="I2304" s="14">
        <v>127502.38025225606</v>
      </c>
      <c r="J2304" s="19">
        <v>0</v>
      </c>
      <c r="K2304" s="19">
        <v>0.63145817168633911</v>
      </c>
      <c r="L2304" s="19">
        <v>0.36854182831366089</v>
      </c>
      <c r="M2304" s="20">
        <v>2</v>
      </c>
      <c r="N2304" s="19">
        <v>0.3134621329872086</v>
      </c>
      <c r="O2304" s="19">
        <v>0.1328063065592569</v>
      </c>
      <c r="P2304" s="19">
        <v>0.18518973213987358</v>
      </c>
      <c r="Q2304" s="19">
        <v>0.19337636649315257</v>
      </c>
      <c r="R2304" s="19">
        <v>0.15024958503836217</v>
      </c>
      <c r="S2304" s="19">
        <v>2.4915876782146153E-2</v>
      </c>
      <c r="T2304" s="20">
        <v>23</v>
      </c>
      <c r="U2304" s="17">
        <v>2</v>
      </c>
      <c r="V2304" s="17">
        <v>34</v>
      </c>
    </row>
    <row r="2305" spans="1:22" x14ac:dyDescent="0.2">
      <c r="A2305" t="s">
        <v>5408</v>
      </c>
      <c r="B2305" t="s">
        <v>2719</v>
      </c>
      <c r="C2305" t="s">
        <v>2720</v>
      </c>
      <c r="D2305" t="s">
        <v>3763</v>
      </c>
      <c r="E2305" s="10" t="s">
        <v>5409</v>
      </c>
      <c r="F2305" s="10"/>
      <c r="G2305" s="10"/>
      <c r="H2305" s="10" t="s">
        <v>5409</v>
      </c>
      <c r="I2305" s="14">
        <v>65245.121625916101</v>
      </c>
      <c r="J2305" s="19">
        <v>0</v>
      </c>
      <c r="K2305" s="19">
        <v>0.76693715685485475</v>
      </c>
      <c r="L2305" s="19">
        <v>0.2330628431451453</v>
      </c>
      <c r="M2305" s="20">
        <v>2</v>
      </c>
      <c r="N2305" s="19">
        <v>0.28084590277182464</v>
      </c>
      <c r="O2305" s="19">
        <v>0.1238519147959415</v>
      </c>
      <c r="P2305" s="19">
        <v>0.36223933928708857</v>
      </c>
      <c r="Q2305" s="19">
        <v>0.13388065610080208</v>
      </c>
      <c r="R2305" s="19">
        <v>9.2048837953674426E-2</v>
      </c>
      <c r="S2305" s="19">
        <v>7.1333490906688047E-3</v>
      </c>
      <c r="T2305" s="20">
        <v>23</v>
      </c>
      <c r="U2305" s="17">
        <v>2</v>
      </c>
      <c r="V2305" s="17">
        <v>34</v>
      </c>
    </row>
    <row r="2306" spans="1:22" x14ac:dyDescent="0.2">
      <c r="A2306" t="s">
        <v>5410</v>
      </c>
      <c r="B2306" t="s">
        <v>2719</v>
      </c>
      <c r="C2306" t="s">
        <v>2720</v>
      </c>
      <c r="D2306" t="s">
        <v>3763</v>
      </c>
      <c r="E2306" s="10" t="s">
        <v>5411</v>
      </c>
      <c r="F2306" s="10"/>
      <c r="G2306" s="10"/>
      <c r="H2306" s="10" t="s">
        <v>5411</v>
      </c>
      <c r="I2306" s="14">
        <v>64732.357841036515</v>
      </c>
      <c r="J2306" s="19">
        <v>0</v>
      </c>
      <c r="K2306" s="19">
        <v>0.80787638229489989</v>
      </c>
      <c r="L2306" s="19">
        <v>0.19212361770510014</v>
      </c>
      <c r="M2306" s="20">
        <v>2</v>
      </c>
      <c r="N2306" s="19">
        <v>0.42015178289808558</v>
      </c>
      <c r="O2306" s="19">
        <v>0</v>
      </c>
      <c r="P2306" s="19">
        <v>0.38772459939681431</v>
      </c>
      <c r="Q2306" s="19">
        <v>5.3347453233742681E-2</v>
      </c>
      <c r="R2306" s="19">
        <v>0.11278180225116917</v>
      </c>
      <c r="S2306" s="19">
        <v>2.5994362220188277E-2</v>
      </c>
      <c r="T2306" s="20">
        <v>23</v>
      </c>
      <c r="U2306" s="17">
        <v>2</v>
      </c>
      <c r="V2306" s="17">
        <v>34</v>
      </c>
    </row>
    <row r="2307" spans="1:22" x14ac:dyDescent="0.2">
      <c r="A2307" t="s">
        <v>5412</v>
      </c>
      <c r="B2307" t="s">
        <v>2719</v>
      </c>
      <c r="C2307" t="s">
        <v>2720</v>
      </c>
      <c r="D2307" t="s">
        <v>3763</v>
      </c>
      <c r="E2307" s="10" t="s">
        <v>5413</v>
      </c>
      <c r="F2307" s="10"/>
      <c r="G2307" s="10"/>
      <c r="H2307" s="10" t="s">
        <v>5413</v>
      </c>
      <c r="I2307" s="14">
        <v>55161.769264588133</v>
      </c>
      <c r="J2307" s="19">
        <v>0</v>
      </c>
      <c r="K2307" s="19">
        <v>0.61706645359427215</v>
      </c>
      <c r="L2307" s="19">
        <v>0.38293354640572785</v>
      </c>
      <c r="M2307" s="20">
        <v>2</v>
      </c>
      <c r="N2307" s="19">
        <v>0.13203962378449738</v>
      </c>
      <c r="O2307" s="19">
        <v>0.12118428561225218</v>
      </c>
      <c r="P2307" s="19">
        <v>0.3638425441975226</v>
      </c>
      <c r="Q2307" s="19">
        <v>0.29318962562464174</v>
      </c>
      <c r="R2307" s="19">
        <v>7.8831215442159056E-2</v>
      </c>
      <c r="S2307" s="19">
        <v>1.0912705338927037E-2</v>
      </c>
      <c r="T2307" s="20">
        <v>23</v>
      </c>
      <c r="U2307" s="17">
        <v>2</v>
      </c>
      <c r="V2307" s="17">
        <v>34</v>
      </c>
    </row>
    <row r="2308" spans="1:22" x14ac:dyDescent="0.2">
      <c r="A2308" t="s">
        <v>5414</v>
      </c>
      <c r="B2308" t="s">
        <v>2719</v>
      </c>
      <c r="C2308" t="s">
        <v>2720</v>
      </c>
      <c r="D2308" t="s">
        <v>3763</v>
      </c>
      <c r="E2308" s="10" t="s">
        <v>5415</v>
      </c>
      <c r="F2308" s="10"/>
      <c r="G2308" s="10"/>
      <c r="H2308" s="10" t="s">
        <v>5415</v>
      </c>
      <c r="I2308" s="14">
        <v>89264.742870423943</v>
      </c>
      <c r="J2308" s="19">
        <v>0</v>
      </c>
      <c r="K2308" s="19">
        <v>0.5980641597533376</v>
      </c>
      <c r="L2308" s="19">
        <v>0.40193584024666235</v>
      </c>
      <c r="M2308" s="20">
        <v>2</v>
      </c>
      <c r="N2308" s="19">
        <v>0.43740529148284318</v>
      </c>
      <c r="O2308" s="19">
        <v>0</v>
      </c>
      <c r="P2308" s="19">
        <v>0.16065886827049444</v>
      </c>
      <c r="Q2308" s="19">
        <v>0.23521108844544339</v>
      </c>
      <c r="R2308" s="19">
        <v>0.14796657734979868</v>
      </c>
      <c r="S2308" s="19">
        <v>1.8758174451420327E-2</v>
      </c>
      <c r="T2308" s="20">
        <v>23</v>
      </c>
      <c r="U2308" s="17">
        <v>2</v>
      </c>
      <c r="V2308" s="17">
        <v>34</v>
      </c>
    </row>
    <row r="2309" spans="1:22" x14ac:dyDescent="0.2">
      <c r="A2309" t="s">
        <v>5416</v>
      </c>
      <c r="B2309" t="s">
        <v>2719</v>
      </c>
      <c r="C2309" t="s">
        <v>2720</v>
      </c>
      <c r="D2309" t="s">
        <v>3763</v>
      </c>
      <c r="E2309" s="10" t="s">
        <v>5417</v>
      </c>
      <c r="F2309" s="10"/>
      <c r="G2309" s="10"/>
      <c r="H2309" s="10" t="s">
        <v>5417</v>
      </c>
      <c r="I2309" s="14">
        <v>108256.49925193191</v>
      </c>
      <c r="J2309" s="19">
        <v>0</v>
      </c>
      <c r="K2309" s="19">
        <v>0.66519650971967181</v>
      </c>
      <c r="L2309" s="19">
        <v>0.33480349028032813</v>
      </c>
      <c r="M2309" s="20">
        <v>2</v>
      </c>
      <c r="N2309" s="19">
        <v>0.12909604287949777</v>
      </c>
      <c r="O2309" s="19">
        <v>0.17215371157753384</v>
      </c>
      <c r="P2309" s="19">
        <v>0.36394675526264025</v>
      </c>
      <c r="Q2309" s="19">
        <v>0.18835207730490963</v>
      </c>
      <c r="R2309" s="19">
        <v>0.13223917716935399</v>
      </c>
      <c r="S2309" s="19">
        <v>1.4212235806064528E-2</v>
      </c>
      <c r="T2309" s="20">
        <v>22</v>
      </c>
      <c r="U2309" s="17">
        <v>2</v>
      </c>
      <c r="V2309" s="17">
        <v>34</v>
      </c>
    </row>
    <row r="2310" spans="1:22" x14ac:dyDescent="0.2">
      <c r="A2310" t="s">
        <v>5418</v>
      </c>
      <c r="B2310" t="s">
        <v>2719</v>
      </c>
      <c r="C2310" t="s">
        <v>2720</v>
      </c>
      <c r="D2310" t="s">
        <v>5419</v>
      </c>
      <c r="E2310" s="10" t="s">
        <v>5420</v>
      </c>
      <c r="F2310" s="10"/>
      <c r="G2310" s="10"/>
      <c r="H2310" s="10" t="s">
        <v>5420</v>
      </c>
      <c r="I2310" s="14">
        <v>6733.2218267340213</v>
      </c>
      <c r="J2310" s="19">
        <v>0</v>
      </c>
      <c r="K2310" s="19">
        <v>0.70414030044014153</v>
      </c>
      <c r="L2310" s="19">
        <v>0.29585969955985852</v>
      </c>
      <c r="M2310" s="20">
        <v>2</v>
      </c>
      <c r="N2310" s="19">
        <v>0</v>
      </c>
      <c r="O2310" s="19">
        <v>0</v>
      </c>
      <c r="P2310" s="19">
        <v>0.70414030044014153</v>
      </c>
      <c r="Q2310" s="19">
        <v>0</v>
      </c>
      <c r="R2310" s="19">
        <v>0.26583947477033032</v>
      </c>
      <c r="S2310" s="19">
        <v>3.0020224789528177E-2</v>
      </c>
      <c r="T2310" s="20">
        <v>21</v>
      </c>
      <c r="U2310" s="17">
        <v>2</v>
      </c>
      <c r="V2310" s="17">
        <v>34</v>
      </c>
    </row>
    <row r="2311" spans="1:22" x14ac:dyDescent="0.2">
      <c r="A2311" t="s">
        <v>5421</v>
      </c>
      <c r="B2311" t="s">
        <v>2719</v>
      </c>
      <c r="C2311" t="s">
        <v>2720</v>
      </c>
      <c r="D2311" t="s">
        <v>5419</v>
      </c>
      <c r="E2311" s="10" t="s">
        <v>5422</v>
      </c>
      <c r="F2311" s="10"/>
      <c r="G2311" s="10"/>
      <c r="H2311" s="10" t="s">
        <v>5422</v>
      </c>
      <c r="I2311" s="14">
        <v>14947.834558738628</v>
      </c>
      <c r="J2311" s="19">
        <v>0</v>
      </c>
      <c r="K2311" s="19">
        <v>0.81990845495669173</v>
      </c>
      <c r="L2311" s="19">
        <v>0.18009154504330824</v>
      </c>
      <c r="M2311" s="20">
        <v>2</v>
      </c>
      <c r="N2311" s="19">
        <v>0</v>
      </c>
      <c r="O2311" s="19">
        <v>0</v>
      </c>
      <c r="P2311" s="19">
        <v>0.81990845495669173</v>
      </c>
      <c r="Q2311" s="19">
        <v>0</v>
      </c>
      <c r="R2311" s="19">
        <v>0.16546510575078477</v>
      </c>
      <c r="S2311" s="19">
        <v>1.4626439292523474E-2</v>
      </c>
      <c r="T2311" s="20">
        <v>21</v>
      </c>
      <c r="U2311" s="17">
        <v>2</v>
      </c>
      <c r="V2311" s="17">
        <v>34</v>
      </c>
    </row>
    <row r="2312" spans="1:22" x14ac:dyDescent="0.2">
      <c r="A2312" t="s">
        <v>5423</v>
      </c>
      <c r="B2312" t="s">
        <v>2719</v>
      </c>
      <c r="C2312" t="s">
        <v>2720</v>
      </c>
      <c r="D2312" t="s">
        <v>5419</v>
      </c>
      <c r="E2312" s="10" t="s">
        <v>5424</v>
      </c>
      <c r="F2312" s="10"/>
      <c r="G2312" s="10"/>
      <c r="H2312" s="10" t="s">
        <v>5424</v>
      </c>
      <c r="I2312" s="14">
        <v>23363.79251975473</v>
      </c>
      <c r="J2312" s="19">
        <v>0</v>
      </c>
      <c r="K2312" s="19">
        <v>0.81638977126631496</v>
      </c>
      <c r="L2312" s="19">
        <v>0.18361022873368502</v>
      </c>
      <c r="M2312" s="20">
        <v>2</v>
      </c>
      <c r="N2312" s="19">
        <v>0</v>
      </c>
      <c r="O2312" s="19">
        <v>0</v>
      </c>
      <c r="P2312" s="19">
        <v>0.81638977126631496</v>
      </c>
      <c r="Q2312" s="19">
        <v>0</v>
      </c>
      <c r="R2312" s="19">
        <v>0.17673536541866702</v>
      </c>
      <c r="S2312" s="19">
        <v>6.8748633150179823E-3</v>
      </c>
      <c r="T2312" s="20">
        <v>21</v>
      </c>
      <c r="U2312" s="17">
        <v>2</v>
      </c>
      <c r="V2312" s="17">
        <v>34</v>
      </c>
    </row>
    <row r="2313" spans="1:22" x14ac:dyDescent="0.2">
      <c r="A2313" t="s">
        <v>5425</v>
      </c>
      <c r="B2313" t="s">
        <v>2719</v>
      </c>
      <c r="C2313" t="s">
        <v>2720</v>
      </c>
      <c r="D2313" t="s">
        <v>5419</v>
      </c>
      <c r="E2313" s="10" t="s">
        <v>5426</v>
      </c>
      <c r="F2313" s="10"/>
      <c r="G2313" s="10"/>
      <c r="H2313" s="10" t="s">
        <v>5426</v>
      </c>
      <c r="I2313" s="14">
        <v>15364.877637052909</v>
      </c>
      <c r="J2313" s="19">
        <v>0</v>
      </c>
      <c r="K2313" s="19">
        <v>0.70339595512536923</v>
      </c>
      <c r="L2313" s="19">
        <v>0.29660404487463082</v>
      </c>
      <c r="M2313" s="20">
        <v>2</v>
      </c>
      <c r="N2313" s="19">
        <v>0</v>
      </c>
      <c r="O2313" s="19">
        <v>0</v>
      </c>
      <c r="P2313" s="19">
        <v>0.70339595512536923</v>
      </c>
      <c r="Q2313" s="19">
        <v>0</v>
      </c>
      <c r="R2313" s="19">
        <v>0.28534046377105571</v>
      </c>
      <c r="S2313" s="19">
        <v>1.1263581103575091E-2</v>
      </c>
      <c r="T2313" s="20">
        <v>21</v>
      </c>
      <c r="U2313" s="17">
        <v>2</v>
      </c>
      <c r="V2313" s="17">
        <v>34</v>
      </c>
    </row>
    <row r="2314" spans="1:22" x14ac:dyDescent="0.2">
      <c r="A2314" t="s">
        <v>5427</v>
      </c>
      <c r="B2314" t="s">
        <v>2719</v>
      </c>
      <c r="C2314" t="s">
        <v>2720</v>
      </c>
      <c r="D2314" t="s">
        <v>5419</v>
      </c>
      <c r="E2314" s="10" t="s">
        <v>2764</v>
      </c>
      <c r="F2314" s="10"/>
      <c r="G2314" s="10"/>
      <c r="H2314" s="10" t="s">
        <v>2764</v>
      </c>
      <c r="I2314" s="14">
        <v>15627.695567738265</v>
      </c>
      <c r="J2314" s="19">
        <v>0</v>
      </c>
      <c r="K2314" s="19">
        <v>0.82941822028815226</v>
      </c>
      <c r="L2314" s="19">
        <v>0.17058177971184768</v>
      </c>
      <c r="M2314" s="20">
        <v>2</v>
      </c>
      <c r="N2314" s="19">
        <v>0</v>
      </c>
      <c r="O2314" s="19">
        <v>0</v>
      </c>
      <c r="P2314" s="19">
        <v>0.82941822028815226</v>
      </c>
      <c r="Q2314" s="19">
        <v>0</v>
      </c>
      <c r="R2314" s="19">
        <v>0.16512226713064826</v>
      </c>
      <c r="S2314" s="19">
        <v>5.4595125811994312E-3</v>
      </c>
      <c r="T2314" s="20">
        <v>21</v>
      </c>
      <c r="U2314" s="17">
        <v>2</v>
      </c>
      <c r="V2314" s="17">
        <v>34</v>
      </c>
    </row>
    <row r="2315" spans="1:22" x14ac:dyDescent="0.2">
      <c r="A2315" t="s">
        <v>5428</v>
      </c>
      <c r="B2315" t="s">
        <v>2719</v>
      </c>
      <c r="C2315" t="s">
        <v>2720</v>
      </c>
      <c r="D2315" t="s">
        <v>5419</v>
      </c>
      <c r="E2315" s="10" t="s">
        <v>5419</v>
      </c>
      <c r="F2315" s="10"/>
      <c r="G2315" s="10"/>
      <c r="H2315" s="10" t="s">
        <v>5419</v>
      </c>
      <c r="I2315" s="14">
        <v>30349.299372447655</v>
      </c>
      <c r="J2315" s="19">
        <v>0</v>
      </c>
      <c r="K2315" s="19">
        <v>0.82610903363112742</v>
      </c>
      <c r="L2315" s="19">
        <v>0.17389096636887275</v>
      </c>
      <c r="M2315" s="20">
        <v>2</v>
      </c>
      <c r="N2315" s="19">
        <v>0.17881397586301442</v>
      </c>
      <c r="O2315" s="19">
        <v>0</v>
      </c>
      <c r="P2315" s="19">
        <v>0.6472950577681128</v>
      </c>
      <c r="Q2315" s="19">
        <v>2.5598709053405753E-2</v>
      </c>
      <c r="R2315" s="19">
        <v>0.13094134007703109</v>
      </c>
      <c r="S2315" s="19">
        <v>1.7350917238435903E-2</v>
      </c>
      <c r="T2315" s="20">
        <v>21</v>
      </c>
      <c r="U2315" s="17">
        <v>2</v>
      </c>
      <c r="V2315" s="17">
        <v>34</v>
      </c>
    </row>
    <row r="2316" spans="1:22" x14ac:dyDescent="0.2">
      <c r="A2316" t="s">
        <v>5429</v>
      </c>
      <c r="B2316" t="s">
        <v>2719</v>
      </c>
      <c r="C2316" t="s">
        <v>2720</v>
      </c>
      <c r="D2316" t="s">
        <v>5430</v>
      </c>
      <c r="E2316" s="10" t="s">
        <v>5431</v>
      </c>
      <c r="F2316" s="10"/>
      <c r="G2316" s="10"/>
      <c r="H2316" s="10" t="s">
        <v>5431</v>
      </c>
      <c r="I2316" s="14">
        <v>23709.671206269413</v>
      </c>
      <c r="J2316" s="19">
        <v>0</v>
      </c>
      <c r="K2316" s="19">
        <v>0.68541198400348313</v>
      </c>
      <c r="L2316" s="19">
        <v>0.31458801599651676</v>
      </c>
      <c r="M2316" s="20">
        <v>2</v>
      </c>
      <c r="N2316" s="19">
        <v>0</v>
      </c>
      <c r="O2316" s="19">
        <v>0</v>
      </c>
      <c r="P2316" s="19">
        <v>0.68541198400348313</v>
      </c>
      <c r="Q2316" s="19">
        <v>0.20040111472636821</v>
      </c>
      <c r="R2316" s="19">
        <v>0.10233284855737809</v>
      </c>
      <c r="S2316" s="19">
        <v>1.1854052712770477E-2</v>
      </c>
      <c r="T2316" s="20">
        <v>21</v>
      </c>
      <c r="U2316" s="17">
        <v>2</v>
      </c>
      <c r="V2316" s="17">
        <v>34</v>
      </c>
    </row>
    <row r="2317" spans="1:22" x14ac:dyDescent="0.2">
      <c r="A2317" t="s">
        <v>5432</v>
      </c>
      <c r="B2317" t="s">
        <v>2719</v>
      </c>
      <c r="C2317" t="s">
        <v>2720</v>
      </c>
      <c r="D2317" t="s">
        <v>5430</v>
      </c>
      <c r="E2317" s="10" t="s">
        <v>5433</v>
      </c>
      <c r="F2317" s="10"/>
      <c r="G2317" s="10"/>
      <c r="H2317" s="10" t="s">
        <v>5433</v>
      </c>
      <c r="I2317" s="14">
        <v>108089.12202011886</v>
      </c>
      <c r="J2317" s="19">
        <v>0</v>
      </c>
      <c r="K2317" s="19">
        <v>0.84745546820510254</v>
      </c>
      <c r="L2317" s="19">
        <v>0.1525445317948976</v>
      </c>
      <c r="M2317" s="20">
        <v>2</v>
      </c>
      <c r="N2317" s="19">
        <v>0.35823719735876042</v>
      </c>
      <c r="O2317" s="19">
        <v>5.7613903395163625E-2</v>
      </c>
      <c r="P2317" s="19">
        <v>0.43160436745117853</v>
      </c>
      <c r="Q2317" s="19">
        <v>9.3718931036443492E-2</v>
      </c>
      <c r="R2317" s="19">
        <v>5.5135769924106987E-2</v>
      </c>
      <c r="S2317" s="19">
        <v>3.6898308343471129E-3</v>
      </c>
      <c r="T2317" s="20">
        <v>23</v>
      </c>
      <c r="U2317" s="17">
        <v>2</v>
      </c>
      <c r="V2317" s="17">
        <v>34</v>
      </c>
    </row>
    <row r="2318" spans="1:22" x14ac:dyDescent="0.2">
      <c r="A2318" t="s">
        <v>5434</v>
      </c>
      <c r="B2318" t="s">
        <v>2719</v>
      </c>
      <c r="C2318" t="s">
        <v>2720</v>
      </c>
      <c r="D2318" t="s">
        <v>5430</v>
      </c>
      <c r="E2318" s="10" t="s">
        <v>5435</v>
      </c>
      <c r="F2318" s="10"/>
      <c r="G2318" s="10"/>
      <c r="H2318" s="10" t="s">
        <v>5435</v>
      </c>
      <c r="I2318" s="14">
        <v>25554.18106100522</v>
      </c>
      <c r="J2318" s="19">
        <v>0</v>
      </c>
      <c r="K2318" s="19">
        <v>0.71380213211836008</v>
      </c>
      <c r="L2318" s="19">
        <v>0.28619786788163992</v>
      </c>
      <c r="M2318" s="20">
        <v>2</v>
      </c>
      <c r="N2318" s="19">
        <v>0.2335071903759269</v>
      </c>
      <c r="O2318" s="19">
        <v>0</v>
      </c>
      <c r="P2318" s="19">
        <v>0.48029494174243315</v>
      </c>
      <c r="Q2318" s="19">
        <v>0.1655055537747474</v>
      </c>
      <c r="R2318" s="19">
        <v>0.10655702803546446</v>
      </c>
      <c r="S2318" s="19">
        <v>1.4135286071428055E-2</v>
      </c>
      <c r="T2318" s="20">
        <v>23</v>
      </c>
      <c r="U2318" s="17">
        <v>2</v>
      </c>
      <c r="V2318" s="17">
        <v>34</v>
      </c>
    </row>
    <row r="2319" spans="1:22" x14ac:dyDescent="0.2">
      <c r="A2319" t="s">
        <v>5436</v>
      </c>
      <c r="B2319" t="s">
        <v>2719</v>
      </c>
      <c r="C2319" t="s">
        <v>2720</v>
      </c>
      <c r="D2319" t="s">
        <v>5430</v>
      </c>
      <c r="E2319" s="10" t="s">
        <v>2959</v>
      </c>
      <c r="F2319" s="10"/>
      <c r="G2319" s="10"/>
      <c r="H2319" s="10" t="s">
        <v>2959</v>
      </c>
      <c r="I2319" s="14">
        <v>36262.081960701384</v>
      </c>
      <c r="J2319" s="19">
        <v>0</v>
      </c>
      <c r="K2319" s="19">
        <v>0.8924074654233205</v>
      </c>
      <c r="L2319" s="19">
        <v>0.1075925345766796</v>
      </c>
      <c r="M2319" s="20">
        <v>2</v>
      </c>
      <c r="N2319" s="19">
        <v>0.28632626227977814</v>
      </c>
      <c r="O2319" s="19">
        <v>0</v>
      </c>
      <c r="P2319" s="19">
        <v>0.6060812031435423</v>
      </c>
      <c r="Q2319" s="19">
        <v>0</v>
      </c>
      <c r="R2319" s="19">
        <v>9.7225065238238567E-2</v>
      </c>
      <c r="S2319" s="19">
        <v>1.0367469338441026E-2</v>
      </c>
      <c r="T2319" s="20">
        <v>21</v>
      </c>
      <c r="U2319" s="17">
        <v>2</v>
      </c>
      <c r="V2319" s="17">
        <v>34</v>
      </c>
    </row>
    <row r="2320" spans="1:22" x14ac:dyDescent="0.2">
      <c r="A2320" t="s">
        <v>5437</v>
      </c>
      <c r="B2320" t="s">
        <v>2719</v>
      </c>
      <c r="C2320" t="s">
        <v>2720</v>
      </c>
      <c r="D2320" t="s">
        <v>5430</v>
      </c>
      <c r="E2320" s="10" t="s">
        <v>5438</v>
      </c>
      <c r="F2320" s="10"/>
      <c r="G2320" s="10"/>
      <c r="H2320" s="10" t="s">
        <v>5438</v>
      </c>
      <c r="I2320" s="14">
        <v>64404.316826304428</v>
      </c>
      <c r="J2320" s="19">
        <v>0</v>
      </c>
      <c r="K2320" s="19">
        <v>0.71636147520350857</v>
      </c>
      <c r="L2320" s="19">
        <v>0.28363852479649121</v>
      </c>
      <c r="M2320" s="20">
        <v>2</v>
      </c>
      <c r="N2320" s="19">
        <v>0.11447189599558596</v>
      </c>
      <c r="O2320" s="19">
        <v>0.23083282796123986</v>
      </c>
      <c r="P2320" s="19">
        <v>0.37105675124668286</v>
      </c>
      <c r="Q2320" s="19">
        <v>0.10775001410547122</v>
      </c>
      <c r="R2320" s="19">
        <v>0.16012873952979939</v>
      </c>
      <c r="S2320" s="19">
        <v>1.5759771161220605E-2</v>
      </c>
      <c r="T2320" s="20">
        <v>22</v>
      </c>
      <c r="U2320" s="17">
        <v>2</v>
      </c>
      <c r="V2320" s="17">
        <v>34</v>
      </c>
    </row>
    <row r="2321" spans="1:22" x14ac:dyDescent="0.2">
      <c r="A2321" t="s">
        <v>5439</v>
      </c>
      <c r="B2321" t="s">
        <v>2719</v>
      </c>
      <c r="C2321" t="s">
        <v>2720</v>
      </c>
      <c r="D2321" t="s">
        <v>5430</v>
      </c>
      <c r="E2321" s="10" t="s">
        <v>5440</v>
      </c>
      <c r="F2321" s="10"/>
      <c r="G2321" s="10"/>
      <c r="H2321" s="10" t="s">
        <v>5440</v>
      </c>
      <c r="I2321" s="14">
        <v>58285.683970112354</v>
      </c>
      <c r="J2321" s="19">
        <v>0</v>
      </c>
      <c r="K2321" s="19">
        <v>0.82485779352061384</v>
      </c>
      <c r="L2321" s="19">
        <v>0.17514220647938614</v>
      </c>
      <c r="M2321" s="20">
        <v>2</v>
      </c>
      <c r="N2321" s="19">
        <v>0.35040592768307982</v>
      </c>
      <c r="O2321" s="19">
        <v>0</v>
      </c>
      <c r="P2321" s="19">
        <v>0.47445186583753401</v>
      </c>
      <c r="Q2321" s="19">
        <v>2.1890810783903054E-2</v>
      </c>
      <c r="R2321" s="19">
        <v>0.14129541284520925</v>
      </c>
      <c r="S2321" s="19">
        <v>1.1955982850273871E-2</v>
      </c>
      <c r="T2321" s="20">
        <v>23</v>
      </c>
      <c r="U2321" s="17">
        <v>2</v>
      </c>
      <c r="V2321" s="17">
        <v>34</v>
      </c>
    </row>
    <row r="2322" spans="1:22" x14ac:dyDescent="0.2">
      <c r="A2322" t="s">
        <v>5441</v>
      </c>
      <c r="B2322" t="s">
        <v>2719</v>
      </c>
      <c r="C2322" t="s">
        <v>2720</v>
      </c>
      <c r="D2322" t="s">
        <v>5430</v>
      </c>
      <c r="E2322" s="10" t="s">
        <v>5442</v>
      </c>
      <c r="F2322" s="10"/>
      <c r="G2322" s="10"/>
      <c r="H2322" s="10" t="s">
        <v>5442</v>
      </c>
      <c r="I2322" s="14">
        <v>67391.824013371021</v>
      </c>
      <c r="J2322" s="19">
        <v>0</v>
      </c>
      <c r="K2322" s="19">
        <v>0.92215183316973082</v>
      </c>
      <c r="L2322" s="19">
        <v>7.7848166830269211E-2</v>
      </c>
      <c r="M2322" s="20">
        <v>2</v>
      </c>
      <c r="N2322" s="19">
        <v>0.33391506765852247</v>
      </c>
      <c r="O2322" s="19">
        <v>0</v>
      </c>
      <c r="P2322" s="19">
        <v>0.58823676551120829</v>
      </c>
      <c r="Q2322" s="19">
        <v>8.988127414901818E-3</v>
      </c>
      <c r="R2322" s="19">
        <v>6.3264342983555197E-2</v>
      </c>
      <c r="S2322" s="19">
        <v>5.59569643181221E-3</v>
      </c>
      <c r="T2322" s="20">
        <v>21</v>
      </c>
      <c r="U2322" s="17">
        <v>2</v>
      </c>
      <c r="V2322" s="17">
        <v>34</v>
      </c>
    </row>
    <row r="2323" spans="1:22" x14ac:dyDescent="0.2">
      <c r="A2323" t="s">
        <v>5443</v>
      </c>
      <c r="B2323" t="s">
        <v>2719</v>
      </c>
      <c r="C2323" t="s">
        <v>2720</v>
      </c>
      <c r="D2323" t="s">
        <v>5430</v>
      </c>
      <c r="E2323" s="10" t="s">
        <v>5444</v>
      </c>
      <c r="F2323" s="10"/>
      <c r="G2323" s="10"/>
      <c r="H2323" s="10" t="s">
        <v>5444</v>
      </c>
      <c r="I2323" s="14">
        <v>61409.111797546968</v>
      </c>
      <c r="J2323" s="19">
        <v>0</v>
      </c>
      <c r="K2323" s="19">
        <v>0.9400201668397733</v>
      </c>
      <c r="L2323" s="19">
        <v>5.9979833160226655E-2</v>
      </c>
      <c r="M2323" s="20">
        <v>2</v>
      </c>
      <c r="N2323" s="19">
        <v>0.34869954607375664</v>
      </c>
      <c r="O2323" s="19">
        <v>0</v>
      </c>
      <c r="P2323" s="19">
        <v>0.59132062076601666</v>
      </c>
      <c r="Q2323" s="19">
        <v>1.1865738747951302E-2</v>
      </c>
      <c r="R2323" s="19">
        <v>4.5503257212717182E-2</v>
      </c>
      <c r="S2323" s="19">
        <v>2.6108371995581725E-3</v>
      </c>
      <c r="T2323" s="20">
        <v>21</v>
      </c>
      <c r="U2323" s="17">
        <v>2</v>
      </c>
      <c r="V2323" s="17">
        <v>34</v>
      </c>
    </row>
    <row r="2324" spans="1:22" x14ac:dyDescent="0.2">
      <c r="A2324" t="s">
        <v>5445</v>
      </c>
      <c r="B2324" t="s">
        <v>2719</v>
      </c>
      <c r="C2324" t="s">
        <v>2720</v>
      </c>
      <c r="D2324" t="s">
        <v>5430</v>
      </c>
      <c r="E2324" s="10" t="s">
        <v>5446</v>
      </c>
      <c r="F2324" s="10"/>
      <c r="G2324" s="10"/>
      <c r="H2324" s="10" t="s">
        <v>5446</v>
      </c>
      <c r="I2324" s="14">
        <v>36267.255576968193</v>
      </c>
      <c r="J2324" s="19">
        <v>0</v>
      </c>
      <c r="K2324" s="19">
        <v>0.68075710684272528</v>
      </c>
      <c r="L2324" s="19">
        <v>0.31924289315727467</v>
      </c>
      <c r="M2324" s="20">
        <v>2</v>
      </c>
      <c r="N2324" s="19">
        <v>0.16797688988481699</v>
      </c>
      <c r="O2324" s="19">
        <v>0</v>
      </c>
      <c r="P2324" s="19">
        <v>0.51278021695790832</v>
      </c>
      <c r="Q2324" s="19">
        <v>0.19013127326240112</v>
      </c>
      <c r="R2324" s="19">
        <v>0.11842573023495631</v>
      </c>
      <c r="S2324" s="19">
        <v>1.0685889659917276E-2</v>
      </c>
      <c r="T2324" s="20">
        <v>21</v>
      </c>
      <c r="U2324" s="17">
        <v>2</v>
      </c>
      <c r="V2324" s="17">
        <v>34</v>
      </c>
    </row>
    <row r="2325" spans="1:22" x14ac:dyDescent="0.2">
      <c r="A2325" t="s">
        <v>5447</v>
      </c>
      <c r="B2325" t="s">
        <v>2719</v>
      </c>
      <c r="C2325" t="s">
        <v>2720</v>
      </c>
      <c r="D2325" t="s">
        <v>5430</v>
      </c>
      <c r="E2325" s="10" t="s">
        <v>2791</v>
      </c>
      <c r="F2325" s="10"/>
      <c r="G2325" s="10"/>
      <c r="H2325" s="10" t="s">
        <v>2791</v>
      </c>
      <c r="I2325" s="14">
        <v>40472.345831611194</v>
      </c>
      <c r="J2325" s="19">
        <v>0</v>
      </c>
      <c r="K2325" s="19">
        <v>0.65923460942296563</v>
      </c>
      <c r="L2325" s="19">
        <v>0.34076539057703437</v>
      </c>
      <c r="M2325" s="20">
        <v>2</v>
      </c>
      <c r="N2325" s="19">
        <v>0.33478095468476393</v>
      </c>
      <c r="O2325" s="19">
        <v>0</v>
      </c>
      <c r="P2325" s="19">
        <v>0.32445365473820176</v>
      </c>
      <c r="Q2325" s="19">
        <v>0.25369900044235727</v>
      </c>
      <c r="R2325" s="19">
        <v>7.2296655112966554E-2</v>
      </c>
      <c r="S2325" s="19">
        <v>1.4769735021710561E-2</v>
      </c>
      <c r="T2325" s="20">
        <v>23</v>
      </c>
      <c r="U2325" s="17">
        <v>2</v>
      </c>
      <c r="V2325" s="17">
        <v>34</v>
      </c>
    </row>
    <row r="2326" spans="1:22" x14ac:dyDescent="0.2">
      <c r="A2326" t="s">
        <v>5448</v>
      </c>
      <c r="B2326" t="s">
        <v>2719</v>
      </c>
      <c r="C2326" t="s">
        <v>2720</v>
      </c>
      <c r="D2326" t="s">
        <v>5430</v>
      </c>
      <c r="E2326" s="10" t="s">
        <v>5449</v>
      </c>
      <c r="F2326" s="10"/>
      <c r="G2326" s="10"/>
      <c r="H2326" s="10" t="s">
        <v>5449</v>
      </c>
      <c r="I2326" s="14">
        <v>45923.446058402769</v>
      </c>
      <c r="J2326" s="19">
        <v>0</v>
      </c>
      <c r="K2326" s="19">
        <v>0.82214478120463219</v>
      </c>
      <c r="L2326" s="19">
        <v>0.17785521879536784</v>
      </c>
      <c r="M2326" s="20">
        <v>2</v>
      </c>
      <c r="N2326" s="19">
        <v>0.25274718354596842</v>
      </c>
      <c r="O2326" s="19">
        <v>0.21672190815878106</v>
      </c>
      <c r="P2326" s="19">
        <v>0.35267568949988259</v>
      </c>
      <c r="Q2326" s="19">
        <v>9.317514908263802E-2</v>
      </c>
      <c r="R2326" s="19">
        <v>7.4707197757040114E-2</v>
      </c>
      <c r="S2326" s="19">
        <v>9.9728719556897352E-3</v>
      </c>
      <c r="T2326" s="20">
        <v>23</v>
      </c>
      <c r="U2326" s="17">
        <v>2</v>
      </c>
      <c r="V2326" s="17">
        <v>34</v>
      </c>
    </row>
    <row r="2327" spans="1:22" x14ac:dyDescent="0.2">
      <c r="A2327" t="s">
        <v>5450</v>
      </c>
      <c r="B2327" t="s">
        <v>2719</v>
      </c>
      <c r="C2327" t="s">
        <v>2720</v>
      </c>
      <c r="D2327" t="s">
        <v>5430</v>
      </c>
      <c r="E2327" s="10" t="s">
        <v>2758</v>
      </c>
      <c r="F2327" s="10"/>
      <c r="G2327" s="10"/>
      <c r="H2327" s="10" t="s">
        <v>2758</v>
      </c>
      <c r="I2327" s="14">
        <v>81670.978741670493</v>
      </c>
      <c r="J2327" s="19">
        <v>0</v>
      </c>
      <c r="K2327" s="19">
        <v>0.68698104434448604</v>
      </c>
      <c r="L2327" s="19">
        <v>0.31301895565551396</v>
      </c>
      <c r="M2327" s="20">
        <v>2</v>
      </c>
      <c r="N2327" s="19">
        <v>0.18026139201757524</v>
      </c>
      <c r="O2327" s="19">
        <v>6.4852276035393674E-2</v>
      </c>
      <c r="P2327" s="19">
        <v>0.44186737629151712</v>
      </c>
      <c r="Q2327" s="19">
        <v>0.15999481670054613</v>
      </c>
      <c r="R2327" s="19">
        <v>0.14540712121468144</v>
      </c>
      <c r="S2327" s="19">
        <v>7.6170177402863732E-3</v>
      </c>
      <c r="T2327" s="20">
        <v>23</v>
      </c>
      <c r="U2327" s="17">
        <v>2</v>
      </c>
      <c r="V2327" s="17">
        <v>34</v>
      </c>
    </row>
    <row r="2328" spans="1:22" x14ac:dyDescent="0.2">
      <c r="A2328" t="s">
        <v>5451</v>
      </c>
      <c r="B2328" t="s">
        <v>2719</v>
      </c>
      <c r="C2328" t="s">
        <v>2720</v>
      </c>
      <c r="D2328" t="s">
        <v>5430</v>
      </c>
      <c r="E2328" s="10" t="s">
        <v>5452</v>
      </c>
      <c r="F2328" s="10"/>
      <c r="G2328" s="10"/>
      <c r="H2328" s="10" t="s">
        <v>5452</v>
      </c>
      <c r="I2328" s="14">
        <v>23805.620650295168</v>
      </c>
      <c r="J2328" s="19">
        <v>0</v>
      </c>
      <c r="K2328" s="19">
        <v>0.85308351750768552</v>
      </c>
      <c r="L2328" s="19">
        <v>0.14691648249231443</v>
      </c>
      <c r="M2328" s="20">
        <v>2</v>
      </c>
      <c r="N2328" s="19">
        <v>0.56964816680996244</v>
      </c>
      <c r="O2328" s="19">
        <v>0</v>
      </c>
      <c r="P2328" s="19">
        <v>0.28343535069772313</v>
      </c>
      <c r="Q2328" s="19">
        <v>8.8368023259329687E-2</v>
      </c>
      <c r="R2328" s="19">
        <v>5.6680158161867701E-2</v>
      </c>
      <c r="S2328" s="19">
        <v>1.8683010711170718E-3</v>
      </c>
      <c r="T2328" s="20">
        <v>23</v>
      </c>
      <c r="U2328" s="17">
        <v>2</v>
      </c>
      <c r="V2328" s="17">
        <v>34</v>
      </c>
    </row>
    <row r="2329" spans="1:22" x14ac:dyDescent="0.2">
      <c r="A2329" t="s">
        <v>5453</v>
      </c>
      <c r="B2329" t="s">
        <v>2719</v>
      </c>
      <c r="C2329" t="s">
        <v>2720</v>
      </c>
      <c r="D2329" t="s">
        <v>5430</v>
      </c>
      <c r="E2329" s="10" t="s">
        <v>5454</v>
      </c>
      <c r="F2329" s="10"/>
      <c r="G2329" s="10"/>
      <c r="H2329" s="10" t="s">
        <v>5454</v>
      </c>
      <c r="I2329" s="14">
        <v>19897.701410832349</v>
      </c>
      <c r="J2329" s="19">
        <v>0</v>
      </c>
      <c r="K2329" s="19">
        <v>0.93463789498571992</v>
      </c>
      <c r="L2329" s="19">
        <v>6.5362105014280109E-2</v>
      </c>
      <c r="M2329" s="20">
        <v>2</v>
      </c>
      <c r="N2329" s="19">
        <v>0.40385916339843825</v>
      </c>
      <c r="O2329" s="19">
        <v>0</v>
      </c>
      <c r="P2329" s="19">
        <v>0.53077873158728162</v>
      </c>
      <c r="Q2329" s="19">
        <v>0</v>
      </c>
      <c r="R2329" s="19">
        <v>6.2574057343735626E-2</v>
      </c>
      <c r="S2329" s="19">
        <v>2.7880476705444837E-3</v>
      </c>
      <c r="T2329" s="20">
        <v>21</v>
      </c>
      <c r="U2329" s="17">
        <v>2</v>
      </c>
      <c r="V2329" s="17">
        <v>34</v>
      </c>
    </row>
    <row r="2330" spans="1:22" x14ac:dyDescent="0.2">
      <c r="A2330" t="s">
        <v>5455</v>
      </c>
      <c r="B2330" t="s">
        <v>2719</v>
      </c>
      <c r="C2330" t="s">
        <v>2720</v>
      </c>
      <c r="D2330" t="s">
        <v>5430</v>
      </c>
      <c r="E2330" s="10" t="s">
        <v>5456</v>
      </c>
      <c r="F2330" s="10"/>
      <c r="G2330" s="10"/>
      <c r="H2330" s="10" t="s">
        <v>5456</v>
      </c>
      <c r="I2330" s="14">
        <v>180849.68852690235</v>
      </c>
      <c r="J2330" s="19">
        <v>0.51626598050874006</v>
      </c>
      <c r="K2330" s="19">
        <v>0.39922525933633535</v>
      </c>
      <c r="L2330" s="19">
        <v>8.4508760154924645E-2</v>
      </c>
      <c r="M2330" s="20">
        <v>3</v>
      </c>
      <c r="N2330" s="19">
        <v>0.11498578715512887</v>
      </c>
      <c r="O2330" s="19">
        <v>6.55439775878897E-3</v>
      </c>
      <c r="P2330" s="19">
        <v>0.27768507442241747</v>
      </c>
      <c r="Q2330" s="19">
        <v>4.5493841128528362E-2</v>
      </c>
      <c r="R2330" s="19">
        <v>3.583184835468825E-2</v>
      </c>
      <c r="S2330" s="19">
        <v>3.1830706717080365E-3</v>
      </c>
      <c r="T2330" s="20">
        <v>30</v>
      </c>
      <c r="U2330" s="17">
        <v>2</v>
      </c>
      <c r="V2330" s="17">
        <v>34</v>
      </c>
    </row>
    <row r="2331" spans="1:22" x14ac:dyDescent="0.2">
      <c r="A2331" t="s">
        <v>5457</v>
      </c>
      <c r="B2331" t="s">
        <v>2719</v>
      </c>
      <c r="C2331" t="s">
        <v>2720</v>
      </c>
      <c r="D2331" t="s">
        <v>5458</v>
      </c>
      <c r="E2331" s="10" t="s">
        <v>2836</v>
      </c>
      <c r="F2331" s="10"/>
      <c r="G2331" s="10"/>
      <c r="H2331" s="10" t="s">
        <v>2836</v>
      </c>
      <c r="I2331" s="14">
        <v>97522.140338061145</v>
      </c>
      <c r="J2331" s="19">
        <v>0</v>
      </c>
      <c r="K2331" s="19">
        <v>0.80756795033514406</v>
      </c>
      <c r="L2331" s="19">
        <v>0.19243204966485591</v>
      </c>
      <c r="M2331" s="20">
        <v>2</v>
      </c>
      <c r="N2331" s="19">
        <v>0.18826142731348663</v>
      </c>
      <c r="O2331" s="19">
        <v>5.6187059715596017E-2</v>
      </c>
      <c r="P2331" s="19">
        <v>0.56311946330606144</v>
      </c>
      <c r="Q2331" s="19">
        <v>6.6648603547527566E-2</v>
      </c>
      <c r="R2331" s="19">
        <v>0.12026405535751089</v>
      </c>
      <c r="S2331" s="19">
        <v>5.5193907598174536E-3</v>
      </c>
      <c r="T2331" s="20">
        <v>21</v>
      </c>
      <c r="U2331" s="17">
        <v>2</v>
      </c>
      <c r="V2331" s="17">
        <v>34</v>
      </c>
    </row>
    <row r="2332" spans="1:22" x14ac:dyDescent="0.2">
      <c r="A2332" t="s">
        <v>5459</v>
      </c>
      <c r="B2332" t="s">
        <v>2719</v>
      </c>
      <c r="C2332" t="s">
        <v>2720</v>
      </c>
      <c r="D2332" t="s">
        <v>5458</v>
      </c>
      <c r="E2332" s="10" t="s">
        <v>5460</v>
      </c>
      <c r="F2332" s="10"/>
      <c r="G2332" s="10"/>
      <c r="H2332" s="10" t="s">
        <v>5460</v>
      </c>
      <c r="I2332" s="14">
        <v>565089.34069081279</v>
      </c>
      <c r="J2332" s="19">
        <v>0.82755714550914883</v>
      </c>
      <c r="K2332" s="19">
        <v>0.12550262195669667</v>
      </c>
      <c r="L2332" s="19">
        <v>4.6940232534154545E-2</v>
      </c>
      <c r="M2332" s="20">
        <v>3</v>
      </c>
      <c r="N2332" s="19">
        <v>3.9311864669883102E-2</v>
      </c>
      <c r="O2332" s="19">
        <v>0</v>
      </c>
      <c r="P2332" s="19">
        <v>8.6190757286813566E-2</v>
      </c>
      <c r="Q2332" s="19">
        <v>1.266979580100348E-2</v>
      </c>
      <c r="R2332" s="19">
        <v>3.1441361246948359E-2</v>
      </c>
      <c r="S2332" s="19">
        <v>2.8290754862027052E-3</v>
      </c>
      <c r="T2332" s="20">
        <v>30</v>
      </c>
      <c r="U2332" s="17">
        <v>2</v>
      </c>
      <c r="V2332" s="17">
        <v>34</v>
      </c>
    </row>
    <row r="2333" spans="1:22" x14ac:dyDescent="0.2">
      <c r="A2333" t="s">
        <v>5461</v>
      </c>
      <c r="B2333" t="s">
        <v>2719</v>
      </c>
      <c r="C2333" t="s">
        <v>2720</v>
      </c>
      <c r="D2333" t="s">
        <v>5458</v>
      </c>
      <c r="E2333" s="10" t="s">
        <v>5462</v>
      </c>
      <c r="F2333" s="10"/>
      <c r="G2333" s="10"/>
      <c r="H2333" s="10" t="s">
        <v>5462</v>
      </c>
      <c r="I2333" s="14">
        <v>205662.80608828343</v>
      </c>
      <c r="J2333" s="19">
        <v>0.53614132987456653</v>
      </c>
      <c r="K2333" s="19">
        <v>0.41394881577961218</v>
      </c>
      <c r="L2333" s="19">
        <v>4.9909854345821375E-2</v>
      </c>
      <c r="M2333" s="20">
        <v>3</v>
      </c>
      <c r="N2333" s="19">
        <v>9.335233649497416E-3</v>
      </c>
      <c r="O2333" s="19">
        <v>0</v>
      </c>
      <c r="P2333" s="19">
        <v>0.40461358213011467</v>
      </c>
      <c r="Q2333" s="19">
        <v>4.4200031304853739E-5</v>
      </c>
      <c r="R2333" s="19">
        <v>4.6897439106128848E-2</v>
      </c>
      <c r="S2333" s="19">
        <v>2.9682152083876749E-3</v>
      </c>
      <c r="T2333" s="20">
        <v>30</v>
      </c>
      <c r="U2333" s="17">
        <v>2</v>
      </c>
      <c r="V2333" s="17">
        <v>34</v>
      </c>
    </row>
    <row r="2334" spans="1:22" x14ac:dyDescent="0.2">
      <c r="A2334" t="s">
        <v>5463</v>
      </c>
      <c r="B2334" t="s">
        <v>2719</v>
      </c>
      <c r="C2334" t="s">
        <v>2720</v>
      </c>
      <c r="D2334" t="s">
        <v>5458</v>
      </c>
      <c r="E2334" s="10" t="s">
        <v>5464</v>
      </c>
      <c r="F2334" s="10"/>
      <c r="G2334" s="10"/>
      <c r="H2334" s="10" t="s">
        <v>5464</v>
      </c>
      <c r="I2334" s="14">
        <v>119582.18333351286</v>
      </c>
      <c r="J2334" s="19">
        <v>0</v>
      </c>
      <c r="K2334" s="19">
        <v>0.59686867086239714</v>
      </c>
      <c r="L2334" s="19">
        <v>0.4031313291376028</v>
      </c>
      <c r="M2334" s="20">
        <v>2</v>
      </c>
      <c r="N2334" s="19">
        <v>0.14969815860950184</v>
      </c>
      <c r="O2334" s="19">
        <v>5.2051181694364373E-2</v>
      </c>
      <c r="P2334" s="19">
        <v>0.39511933055853099</v>
      </c>
      <c r="Q2334" s="19">
        <v>0.17259434990533412</v>
      </c>
      <c r="R2334" s="19">
        <v>0.20948365118898948</v>
      </c>
      <c r="S2334" s="19">
        <v>2.105332804327921E-2</v>
      </c>
      <c r="T2334" s="20">
        <v>23</v>
      </c>
      <c r="U2334" s="17">
        <v>2</v>
      </c>
      <c r="V2334" s="17">
        <v>34</v>
      </c>
    </row>
    <row r="2335" spans="1:22" x14ac:dyDescent="0.2">
      <c r="A2335" t="s">
        <v>5465</v>
      </c>
      <c r="B2335" t="s">
        <v>2719</v>
      </c>
      <c r="C2335" t="s">
        <v>2720</v>
      </c>
      <c r="D2335" t="s">
        <v>5458</v>
      </c>
      <c r="E2335" s="10" t="s">
        <v>5466</v>
      </c>
      <c r="F2335" s="10"/>
      <c r="G2335" s="10"/>
      <c r="H2335" s="10" t="s">
        <v>5466</v>
      </c>
      <c r="I2335" s="14">
        <v>55457.846069459803</v>
      </c>
      <c r="J2335" s="19">
        <v>0</v>
      </c>
      <c r="K2335" s="19">
        <v>0.79282677080049779</v>
      </c>
      <c r="L2335" s="19">
        <v>0.20717322919950221</v>
      </c>
      <c r="M2335" s="20">
        <v>2</v>
      </c>
      <c r="N2335" s="19">
        <v>0.29407600719766291</v>
      </c>
      <c r="O2335" s="19">
        <v>0</v>
      </c>
      <c r="P2335" s="19">
        <v>0.49875076360283493</v>
      </c>
      <c r="Q2335" s="19">
        <v>2.4506050022340845E-4</v>
      </c>
      <c r="R2335" s="19">
        <v>0.19896870033910588</v>
      </c>
      <c r="S2335" s="19">
        <v>7.9594683601729097E-3</v>
      </c>
      <c r="T2335" s="20">
        <v>23</v>
      </c>
      <c r="U2335" s="17">
        <v>2</v>
      </c>
      <c r="V2335" s="17">
        <v>34</v>
      </c>
    </row>
    <row r="2336" spans="1:22" x14ac:dyDescent="0.2">
      <c r="A2336" t="s">
        <v>5467</v>
      </c>
      <c r="B2336" t="s">
        <v>2719</v>
      </c>
      <c r="C2336" t="s">
        <v>2720</v>
      </c>
      <c r="D2336" t="s">
        <v>5458</v>
      </c>
      <c r="E2336" s="10" t="s">
        <v>5468</v>
      </c>
      <c r="F2336" s="10"/>
      <c r="G2336" s="10"/>
      <c r="H2336" s="10" t="s">
        <v>5468</v>
      </c>
      <c r="I2336" s="14">
        <v>178477.33873138041</v>
      </c>
      <c r="J2336" s="19">
        <v>0.51787986776455652</v>
      </c>
      <c r="K2336" s="19">
        <v>0.33404461830354298</v>
      </c>
      <c r="L2336" s="19">
        <v>0.14807551393190058</v>
      </c>
      <c r="M2336" s="20">
        <v>3</v>
      </c>
      <c r="N2336" s="19">
        <v>2.9733172716159054E-2</v>
      </c>
      <c r="O2336" s="19">
        <v>1.2086342377071224E-4</v>
      </c>
      <c r="P2336" s="19">
        <v>0.30419058216361317</v>
      </c>
      <c r="Q2336" s="19">
        <v>5.694758274865018E-2</v>
      </c>
      <c r="R2336" s="19">
        <v>8.3501817798708217E-2</v>
      </c>
      <c r="S2336" s="19">
        <v>7.6261133845421537E-3</v>
      </c>
      <c r="T2336" s="20">
        <v>30</v>
      </c>
      <c r="U2336" s="17">
        <v>2</v>
      </c>
      <c r="V2336" s="17">
        <v>34</v>
      </c>
    </row>
    <row r="2337" spans="1:22" x14ac:dyDescent="0.2">
      <c r="A2337" t="s">
        <v>5469</v>
      </c>
      <c r="B2337" t="s">
        <v>2719</v>
      </c>
      <c r="C2337" t="s">
        <v>2720</v>
      </c>
      <c r="D2337" t="s">
        <v>5458</v>
      </c>
      <c r="E2337" s="10" t="s">
        <v>5393</v>
      </c>
      <c r="F2337" s="10"/>
      <c r="G2337" s="10"/>
      <c r="H2337" s="10" t="s">
        <v>5393</v>
      </c>
      <c r="I2337" s="14">
        <v>50194.832820891635</v>
      </c>
      <c r="J2337" s="19">
        <v>0</v>
      </c>
      <c r="K2337" s="19">
        <v>0.91512706953147671</v>
      </c>
      <c r="L2337" s="19">
        <v>8.4872930468523233E-2</v>
      </c>
      <c r="M2337" s="20">
        <v>2</v>
      </c>
      <c r="N2337" s="19">
        <v>0.40978698351357312</v>
      </c>
      <c r="O2337" s="19">
        <v>0</v>
      </c>
      <c r="P2337" s="19">
        <v>0.50534008601790359</v>
      </c>
      <c r="Q2337" s="19">
        <v>0</v>
      </c>
      <c r="R2337" s="19">
        <v>7.9806045221404928E-2</v>
      </c>
      <c r="S2337" s="19">
        <v>5.0668852471183155E-3</v>
      </c>
      <c r="T2337" s="20">
        <v>21</v>
      </c>
      <c r="U2337" s="17">
        <v>2</v>
      </c>
      <c r="V2337" s="17">
        <v>34</v>
      </c>
    </row>
    <row r="2338" spans="1:22" x14ac:dyDescent="0.2">
      <c r="A2338" t="s">
        <v>5470</v>
      </c>
      <c r="B2338" t="s">
        <v>2719</v>
      </c>
      <c r="C2338" t="s">
        <v>2720</v>
      </c>
      <c r="D2338" t="s">
        <v>5458</v>
      </c>
      <c r="E2338" s="10" t="s">
        <v>5471</v>
      </c>
      <c r="F2338" s="10"/>
      <c r="G2338" s="10"/>
      <c r="H2338" s="10" t="s">
        <v>5471</v>
      </c>
      <c r="I2338" s="14">
        <v>99433.792937053367</v>
      </c>
      <c r="J2338" s="19">
        <v>0</v>
      </c>
      <c r="K2338" s="19">
        <v>0.75752862243966435</v>
      </c>
      <c r="L2338" s="19">
        <v>0.24247137756033571</v>
      </c>
      <c r="M2338" s="20">
        <v>2</v>
      </c>
      <c r="N2338" s="19">
        <v>0.25892451779900971</v>
      </c>
      <c r="O2338" s="19">
        <v>8.4834092482634446E-2</v>
      </c>
      <c r="P2338" s="19">
        <v>0.41377001215802012</v>
      </c>
      <c r="Q2338" s="19">
        <v>4.7759913805588902E-2</v>
      </c>
      <c r="R2338" s="19">
        <v>0.17864367705877071</v>
      </c>
      <c r="S2338" s="19">
        <v>1.6067786695976086E-2</v>
      </c>
      <c r="T2338" s="20">
        <v>23</v>
      </c>
      <c r="U2338" s="17">
        <v>2</v>
      </c>
      <c r="V2338" s="17">
        <v>34</v>
      </c>
    </row>
    <row r="2339" spans="1:22" x14ac:dyDescent="0.2">
      <c r="A2339" t="s">
        <v>5472</v>
      </c>
      <c r="B2339" t="s">
        <v>2719</v>
      </c>
      <c r="C2339" t="s">
        <v>2720</v>
      </c>
      <c r="D2339" t="s">
        <v>5458</v>
      </c>
      <c r="E2339" s="10" t="s">
        <v>5473</v>
      </c>
      <c r="F2339" s="10"/>
      <c r="G2339" s="10"/>
      <c r="H2339" s="10" t="s">
        <v>5473</v>
      </c>
      <c r="I2339" s="14">
        <v>109469.01902217792</v>
      </c>
      <c r="J2339" s="19">
        <v>0</v>
      </c>
      <c r="K2339" s="19">
        <v>0.48560028883885253</v>
      </c>
      <c r="L2339" s="19">
        <v>0.51439971116114735</v>
      </c>
      <c r="M2339" s="20">
        <v>1</v>
      </c>
      <c r="N2339" s="19">
        <v>0.13039434976752556</v>
      </c>
      <c r="O2339" s="19">
        <v>0</v>
      </c>
      <c r="P2339" s="19">
        <v>0.35520593907132697</v>
      </c>
      <c r="Q2339" s="19">
        <v>0.27285307413951893</v>
      </c>
      <c r="R2339" s="19">
        <v>0.21536938880606402</v>
      </c>
      <c r="S2339" s="19">
        <v>2.6177248215564341E-2</v>
      </c>
      <c r="T2339" s="20">
        <v>13</v>
      </c>
      <c r="U2339" s="17">
        <v>2</v>
      </c>
      <c r="V2339" s="17">
        <v>34</v>
      </c>
    </row>
    <row r="2340" spans="1:22" x14ac:dyDescent="0.2">
      <c r="A2340" t="s">
        <v>5474</v>
      </c>
      <c r="B2340" t="s">
        <v>2719</v>
      </c>
      <c r="C2340" t="s">
        <v>2720</v>
      </c>
      <c r="D2340" t="s">
        <v>5458</v>
      </c>
      <c r="E2340" s="10" t="s">
        <v>5475</v>
      </c>
      <c r="F2340" s="10"/>
      <c r="G2340" s="10"/>
      <c r="H2340" s="10" t="s">
        <v>5475</v>
      </c>
      <c r="I2340" s="14">
        <v>47284.516376820859</v>
      </c>
      <c r="J2340" s="19">
        <v>0</v>
      </c>
      <c r="K2340" s="19">
        <v>0.75566155943362279</v>
      </c>
      <c r="L2340" s="19">
        <v>0.24433844056637724</v>
      </c>
      <c r="M2340" s="20">
        <v>2</v>
      </c>
      <c r="N2340" s="19">
        <v>0.10949568899955474</v>
      </c>
      <c r="O2340" s="19">
        <v>1.8839659552867885E-2</v>
      </c>
      <c r="P2340" s="19">
        <v>0.62732621088120011</v>
      </c>
      <c r="Q2340" s="19">
        <v>3.9308561610369816E-2</v>
      </c>
      <c r="R2340" s="19">
        <v>0.17588373427027196</v>
      </c>
      <c r="S2340" s="19">
        <v>2.9146144685735446E-2</v>
      </c>
      <c r="T2340" s="20">
        <v>21</v>
      </c>
      <c r="U2340" s="17">
        <v>2</v>
      </c>
      <c r="V2340" s="17">
        <v>34</v>
      </c>
    </row>
    <row r="2341" spans="1:22" x14ac:dyDescent="0.2">
      <c r="A2341" t="s">
        <v>5476</v>
      </c>
      <c r="B2341" t="s">
        <v>2719</v>
      </c>
      <c r="C2341" t="s">
        <v>2720</v>
      </c>
      <c r="D2341" t="s">
        <v>5458</v>
      </c>
      <c r="E2341" s="10" t="s">
        <v>5477</v>
      </c>
      <c r="F2341" s="10"/>
      <c r="G2341" s="10"/>
      <c r="H2341" s="10" t="s">
        <v>5477</v>
      </c>
      <c r="I2341" s="14">
        <v>56395.972923025489</v>
      </c>
      <c r="J2341" s="19">
        <v>6.4673142800452985E-2</v>
      </c>
      <c r="K2341" s="19">
        <v>0.62664926081022831</v>
      </c>
      <c r="L2341" s="19">
        <v>0.30867759638931869</v>
      </c>
      <c r="M2341" s="20">
        <v>2</v>
      </c>
      <c r="N2341" s="19">
        <v>9.1520475755658845E-2</v>
      </c>
      <c r="O2341" s="19">
        <v>8.7058229149810349E-6</v>
      </c>
      <c r="P2341" s="19">
        <v>0.5351200792316545</v>
      </c>
      <c r="Q2341" s="19">
        <v>0.11572428707093194</v>
      </c>
      <c r="R2341" s="19">
        <v>0.17755227860269823</v>
      </c>
      <c r="S2341" s="19">
        <v>1.5401030715688496E-2</v>
      </c>
      <c r="T2341" s="20">
        <v>21</v>
      </c>
      <c r="U2341" s="17">
        <v>2</v>
      </c>
      <c r="V2341" s="17">
        <v>34</v>
      </c>
    </row>
    <row r="2342" spans="1:22" x14ac:dyDescent="0.2">
      <c r="A2342" t="s">
        <v>5478</v>
      </c>
      <c r="B2342" t="s">
        <v>2719</v>
      </c>
      <c r="C2342" t="s">
        <v>2720</v>
      </c>
      <c r="D2342" t="s">
        <v>5458</v>
      </c>
      <c r="E2342" s="10" t="s">
        <v>5479</v>
      </c>
      <c r="F2342" s="10"/>
      <c r="G2342" s="10"/>
      <c r="H2342" s="10" t="s">
        <v>5479</v>
      </c>
      <c r="I2342" s="14">
        <v>81245.985912506469</v>
      </c>
      <c r="J2342" s="19">
        <v>0</v>
      </c>
      <c r="K2342" s="19">
        <v>0.80607885628196274</v>
      </c>
      <c r="L2342" s="19">
        <v>0.1939211437180372</v>
      </c>
      <c r="M2342" s="20">
        <v>2</v>
      </c>
      <c r="N2342" s="19">
        <v>0.21749996916274567</v>
      </c>
      <c r="O2342" s="19">
        <v>9.6640992518548338E-2</v>
      </c>
      <c r="P2342" s="19">
        <v>0.49193789460066878</v>
      </c>
      <c r="Q2342" s="19">
        <v>5.6384562168534706E-2</v>
      </c>
      <c r="R2342" s="19">
        <v>0.12733845079746675</v>
      </c>
      <c r="S2342" s="19">
        <v>1.0198130752035763E-2</v>
      </c>
      <c r="T2342" s="20">
        <v>23</v>
      </c>
      <c r="U2342" s="17">
        <v>2</v>
      </c>
      <c r="V2342" s="17">
        <v>34</v>
      </c>
    </row>
    <row r="2343" spans="1:22" x14ac:dyDescent="0.2">
      <c r="A2343" t="s">
        <v>5480</v>
      </c>
      <c r="B2343" t="s">
        <v>2719</v>
      </c>
      <c r="C2343" t="s">
        <v>2720</v>
      </c>
      <c r="D2343" t="s">
        <v>5481</v>
      </c>
      <c r="E2343" s="10" t="s">
        <v>5482</v>
      </c>
      <c r="F2343" s="10"/>
      <c r="G2343" s="10"/>
      <c r="H2343" s="10" t="s">
        <v>5482</v>
      </c>
      <c r="I2343" s="14">
        <v>8242.6967245456763</v>
      </c>
      <c r="J2343" s="19">
        <v>0</v>
      </c>
      <c r="K2343" s="19">
        <v>0.87141285608031327</v>
      </c>
      <c r="L2343" s="19">
        <v>0.12858714391968676</v>
      </c>
      <c r="M2343" s="20">
        <v>2</v>
      </c>
      <c r="N2343" s="19">
        <v>0.65320163816636767</v>
      </c>
      <c r="O2343" s="19">
        <v>0</v>
      </c>
      <c r="P2343" s="19">
        <v>0.21821121791394557</v>
      </c>
      <c r="Q2343" s="19">
        <v>7.0094708894327768E-3</v>
      </c>
      <c r="R2343" s="19">
        <v>9.1653232161186912E-2</v>
      </c>
      <c r="S2343" s="19">
        <v>2.9924440869067082E-2</v>
      </c>
      <c r="T2343" s="20">
        <v>23</v>
      </c>
      <c r="U2343" s="17">
        <v>2</v>
      </c>
      <c r="V2343" s="17">
        <v>34</v>
      </c>
    </row>
    <row r="2344" spans="1:22" x14ac:dyDescent="0.2">
      <c r="A2344" t="s">
        <v>5483</v>
      </c>
      <c r="B2344" t="s">
        <v>2719</v>
      </c>
      <c r="C2344" t="s">
        <v>2720</v>
      </c>
      <c r="D2344" t="s">
        <v>5481</v>
      </c>
      <c r="E2344" s="10" t="s">
        <v>4710</v>
      </c>
      <c r="F2344" s="10"/>
      <c r="G2344" s="10"/>
      <c r="H2344" s="10" t="s">
        <v>4710</v>
      </c>
      <c r="I2344" s="14">
        <v>29331.804814840663</v>
      </c>
      <c r="J2344" s="19">
        <v>0</v>
      </c>
      <c r="K2344" s="19">
        <v>0.6100732757203905</v>
      </c>
      <c r="L2344" s="19">
        <v>0.38992672427960962</v>
      </c>
      <c r="M2344" s="20">
        <v>2</v>
      </c>
      <c r="N2344" s="19">
        <v>6.7812788758207912E-2</v>
      </c>
      <c r="O2344" s="19">
        <v>0</v>
      </c>
      <c r="P2344" s="19">
        <v>0.54226048696218265</v>
      </c>
      <c r="Q2344" s="19">
        <v>0.19163996923687929</v>
      </c>
      <c r="R2344" s="19">
        <v>0.18610802134757989</v>
      </c>
      <c r="S2344" s="19">
        <v>1.2178733695150417E-2</v>
      </c>
      <c r="T2344" s="20">
        <v>21</v>
      </c>
      <c r="U2344" s="17">
        <v>2</v>
      </c>
      <c r="V2344" s="17">
        <v>34</v>
      </c>
    </row>
    <row r="2345" spans="1:22" x14ac:dyDescent="0.2">
      <c r="A2345" t="s">
        <v>5484</v>
      </c>
      <c r="B2345" t="s">
        <v>2719</v>
      </c>
      <c r="C2345" t="s">
        <v>2720</v>
      </c>
      <c r="D2345" t="s">
        <v>5481</v>
      </c>
      <c r="E2345" s="10" t="s">
        <v>5241</v>
      </c>
      <c r="F2345" s="10"/>
      <c r="G2345" s="10"/>
      <c r="H2345" s="10" t="s">
        <v>5241</v>
      </c>
      <c r="I2345" s="14">
        <v>30496.091971325684</v>
      </c>
      <c r="J2345" s="19">
        <v>0</v>
      </c>
      <c r="K2345" s="19">
        <v>0.77639258555070767</v>
      </c>
      <c r="L2345" s="19">
        <v>0.22360741444929239</v>
      </c>
      <c r="M2345" s="20">
        <v>2</v>
      </c>
      <c r="N2345" s="19">
        <v>0</v>
      </c>
      <c r="O2345" s="19">
        <v>0</v>
      </c>
      <c r="P2345" s="19">
        <v>0.77639258555070767</v>
      </c>
      <c r="Q2345" s="19">
        <v>4.0120816950647807E-2</v>
      </c>
      <c r="R2345" s="19">
        <v>0.15133333138703708</v>
      </c>
      <c r="S2345" s="19">
        <v>3.2153266111607508E-2</v>
      </c>
      <c r="T2345" s="20">
        <v>21</v>
      </c>
      <c r="U2345" s="17">
        <v>2</v>
      </c>
      <c r="V2345" s="17">
        <v>34</v>
      </c>
    </row>
    <row r="2346" spans="1:22" x14ac:dyDescent="0.2">
      <c r="A2346" t="s">
        <v>5485</v>
      </c>
      <c r="B2346" t="s">
        <v>2719</v>
      </c>
      <c r="C2346" t="s">
        <v>2720</v>
      </c>
      <c r="D2346" t="s">
        <v>5481</v>
      </c>
      <c r="E2346" s="10" t="s">
        <v>5486</v>
      </c>
      <c r="F2346" s="10"/>
      <c r="G2346" s="10"/>
      <c r="H2346" s="10" t="s">
        <v>5486</v>
      </c>
      <c r="I2346" s="14">
        <v>13051.996887560934</v>
      </c>
      <c r="J2346" s="19">
        <v>0</v>
      </c>
      <c r="K2346" s="19">
        <v>0.77467961379295647</v>
      </c>
      <c r="L2346" s="19">
        <v>0.22532038620704353</v>
      </c>
      <c r="M2346" s="20">
        <v>2</v>
      </c>
      <c r="N2346" s="19">
        <v>0</v>
      </c>
      <c r="O2346" s="19">
        <v>0</v>
      </c>
      <c r="P2346" s="19">
        <v>0.77467961379295647</v>
      </c>
      <c r="Q2346" s="19">
        <v>5.0209885431667357E-2</v>
      </c>
      <c r="R2346" s="19">
        <v>0.16353031249959976</v>
      </c>
      <c r="S2346" s="19">
        <v>1.1580188275776369E-2</v>
      </c>
      <c r="T2346" s="20">
        <v>21</v>
      </c>
      <c r="U2346" s="17">
        <v>2</v>
      </c>
      <c r="V2346" s="17">
        <v>34</v>
      </c>
    </row>
    <row r="2347" spans="1:22" x14ac:dyDescent="0.2">
      <c r="A2347" t="s">
        <v>5487</v>
      </c>
      <c r="B2347" t="s">
        <v>2719</v>
      </c>
      <c r="C2347" t="s">
        <v>2720</v>
      </c>
      <c r="D2347" t="s">
        <v>5481</v>
      </c>
      <c r="E2347" s="10" t="s">
        <v>5488</v>
      </c>
      <c r="F2347" s="10"/>
      <c r="G2347" s="10"/>
      <c r="H2347" s="10" t="s">
        <v>5488</v>
      </c>
      <c r="I2347" s="14">
        <v>15475.783765267583</v>
      </c>
      <c r="J2347" s="19">
        <v>0</v>
      </c>
      <c r="K2347" s="19">
        <v>0.98884710101702211</v>
      </c>
      <c r="L2347" s="19">
        <v>1.1152898982977732E-2</v>
      </c>
      <c r="M2347" s="20">
        <v>2</v>
      </c>
      <c r="N2347" s="19">
        <v>0</v>
      </c>
      <c r="O2347" s="19">
        <v>0.63856565932989895</v>
      </c>
      <c r="P2347" s="19">
        <v>0.35028144168712316</v>
      </c>
      <c r="Q2347" s="19">
        <v>0</v>
      </c>
      <c r="R2347" s="19">
        <v>3.3015795252834372E-3</v>
      </c>
      <c r="S2347" s="19">
        <v>7.8513194576942946E-3</v>
      </c>
      <c r="T2347" s="20">
        <v>22</v>
      </c>
      <c r="U2347" s="17">
        <v>2</v>
      </c>
      <c r="V2347" s="17">
        <v>34</v>
      </c>
    </row>
    <row r="2348" spans="1:22" x14ac:dyDescent="0.2">
      <c r="A2348" t="s">
        <v>5489</v>
      </c>
      <c r="B2348" t="s">
        <v>2719</v>
      </c>
      <c r="C2348" t="s">
        <v>2720</v>
      </c>
      <c r="D2348" t="s">
        <v>5481</v>
      </c>
      <c r="E2348" s="10" t="s">
        <v>3647</v>
      </c>
      <c r="F2348" s="10"/>
      <c r="G2348" s="10"/>
      <c r="H2348" s="10" t="s">
        <v>3647</v>
      </c>
      <c r="I2348" s="14">
        <v>24817.214485829692</v>
      </c>
      <c r="J2348" s="19">
        <v>0</v>
      </c>
      <c r="K2348" s="19">
        <v>0.59497529717055719</v>
      </c>
      <c r="L2348" s="19">
        <v>0.40502470282944292</v>
      </c>
      <c r="M2348" s="20">
        <v>2</v>
      </c>
      <c r="N2348" s="19">
        <v>0.29748645640016141</v>
      </c>
      <c r="O2348" s="19">
        <v>0.11764514358295261</v>
      </c>
      <c r="P2348" s="19">
        <v>0.17984369718744322</v>
      </c>
      <c r="Q2348" s="19">
        <v>0.31218008494231247</v>
      </c>
      <c r="R2348" s="19">
        <v>8.2699463666769682E-2</v>
      </c>
      <c r="S2348" s="19">
        <v>1.0145154220360723E-2</v>
      </c>
      <c r="T2348" s="20">
        <v>23</v>
      </c>
      <c r="U2348" s="17">
        <v>2</v>
      </c>
      <c r="V2348" s="17">
        <v>34</v>
      </c>
    </row>
    <row r="2349" spans="1:22" x14ac:dyDescent="0.2">
      <c r="A2349" t="s">
        <v>5490</v>
      </c>
      <c r="B2349" t="s">
        <v>2719</v>
      </c>
      <c r="C2349" t="s">
        <v>2720</v>
      </c>
      <c r="D2349" t="s">
        <v>5481</v>
      </c>
      <c r="E2349" s="10" t="s">
        <v>5491</v>
      </c>
      <c r="F2349" s="10"/>
      <c r="G2349" s="10"/>
      <c r="H2349" s="10" t="s">
        <v>5491</v>
      </c>
      <c r="I2349" s="14">
        <v>5820.8832146860659</v>
      </c>
      <c r="J2349" s="19">
        <v>0</v>
      </c>
      <c r="K2349" s="19">
        <v>0.78045353294428055</v>
      </c>
      <c r="L2349" s="19">
        <v>0.21954646705571942</v>
      </c>
      <c r="M2349" s="20">
        <v>2</v>
      </c>
      <c r="N2349" s="19">
        <v>0</v>
      </c>
      <c r="O2349" s="19">
        <v>0.78045353294428055</v>
      </c>
      <c r="P2349" s="19">
        <v>0</v>
      </c>
      <c r="Q2349" s="19">
        <v>9.5251456945129154E-2</v>
      </c>
      <c r="R2349" s="19">
        <v>0.12330345717265805</v>
      </c>
      <c r="S2349" s="19">
        <v>9.9155293793223224E-4</v>
      </c>
      <c r="T2349" s="20">
        <v>22</v>
      </c>
      <c r="U2349" s="17">
        <v>2</v>
      </c>
      <c r="V2349" s="17">
        <v>34</v>
      </c>
    </row>
    <row r="2350" spans="1:22" x14ac:dyDescent="0.2">
      <c r="A2350" t="s">
        <v>5492</v>
      </c>
      <c r="B2350" t="s">
        <v>2719</v>
      </c>
      <c r="C2350" t="s">
        <v>2720</v>
      </c>
      <c r="D2350" t="s">
        <v>5481</v>
      </c>
      <c r="E2350" s="10" t="s">
        <v>5493</v>
      </c>
      <c r="F2350" s="10"/>
      <c r="G2350" s="10"/>
      <c r="H2350" s="10" t="s">
        <v>5493</v>
      </c>
      <c r="I2350" s="14">
        <v>89676.537621341646</v>
      </c>
      <c r="J2350" s="19">
        <v>0</v>
      </c>
      <c r="K2350" s="19">
        <v>0.79235129833664963</v>
      </c>
      <c r="L2350" s="19">
        <v>0.20764870166335034</v>
      </c>
      <c r="M2350" s="20">
        <v>2</v>
      </c>
      <c r="N2350" s="19">
        <v>0.40688911813687884</v>
      </c>
      <c r="O2350" s="19">
        <v>0.16738610930513254</v>
      </c>
      <c r="P2350" s="19">
        <v>0.21807607089463832</v>
      </c>
      <c r="Q2350" s="19">
        <v>5.9268141978553096E-2</v>
      </c>
      <c r="R2350" s="19">
        <v>0.14062959241074563</v>
      </c>
      <c r="S2350" s="19">
        <v>7.7509672740516036E-3</v>
      </c>
      <c r="T2350" s="20">
        <v>23</v>
      </c>
      <c r="U2350" s="17">
        <v>2</v>
      </c>
      <c r="V2350" s="17">
        <v>34</v>
      </c>
    </row>
    <row r="2351" spans="1:22" x14ac:dyDescent="0.2">
      <c r="A2351" t="s">
        <v>5494</v>
      </c>
      <c r="B2351" t="s">
        <v>2719</v>
      </c>
      <c r="C2351" t="s">
        <v>2720</v>
      </c>
      <c r="D2351" t="s">
        <v>5481</v>
      </c>
      <c r="E2351" s="10" t="s">
        <v>5495</v>
      </c>
      <c r="F2351" s="10"/>
      <c r="G2351" s="10"/>
      <c r="H2351" s="10" t="s">
        <v>5495</v>
      </c>
      <c r="I2351" s="14">
        <v>28295.330985803623</v>
      </c>
      <c r="J2351" s="19">
        <v>0</v>
      </c>
      <c r="K2351" s="19">
        <v>0.89070306960018797</v>
      </c>
      <c r="L2351" s="19">
        <v>0.10929693039981209</v>
      </c>
      <c r="M2351" s="20">
        <v>2</v>
      </c>
      <c r="N2351" s="19">
        <v>0</v>
      </c>
      <c r="O2351" s="19">
        <v>0</v>
      </c>
      <c r="P2351" s="19">
        <v>0.89070306960018797</v>
      </c>
      <c r="Q2351" s="19">
        <v>0</v>
      </c>
      <c r="R2351" s="19">
        <v>0.10609628913057569</v>
      </c>
      <c r="S2351" s="19">
        <v>3.2006412692363951E-3</v>
      </c>
      <c r="T2351" s="20">
        <v>21</v>
      </c>
      <c r="U2351" s="17">
        <v>2</v>
      </c>
      <c r="V2351" s="17">
        <v>34</v>
      </c>
    </row>
    <row r="2352" spans="1:22" x14ac:dyDescent="0.2">
      <c r="A2352" t="s">
        <v>5496</v>
      </c>
      <c r="B2352" t="s">
        <v>2719</v>
      </c>
      <c r="C2352" t="s">
        <v>2720</v>
      </c>
      <c r="D2352" t="s">
        <v>5481</v>
      </c>
      <c r="E2352" s="10" t="s">
        <v>3262</v>
      </c>
      <c r="F2352" s="10"/>
      <c r="G2352" s="10"/>
      <c r="H2352" s="10" t="s">
        <v>3262</v>
      </c>
      <c r="I2352" s="14">
        <v>24399.229127103463</v>
      </c>
      <c r="J2352" s="19">
        <v>0</v>
      </c>
      <c r="K2352" s="19">
        <v>0.72853554392224928</v>
      </c>
      <c r="L2352" s="19">
        <v>0.27146445607775077</v>
      </c>
      <c r="M2352" s="20">
        <v>2</v>
      </c>
      <c r="N2352" s="19">
        <v>0.23098148988778963</v>
      </c>
      <c r="O2352" s="19">
        <v>2.7360567717982801E-4</v>
      </c>
      <c r="P2352" s="19">
        <v>0.4972804483572798</v>
      </c>
      <c r="Q2352" s="19">
        <v>8.2583293471932717E-2</v>
      </c>
      <c r="R2352" s="19">
        <v>0.1816972139095239</v>
      </c>
      <c r="S2352" s="19">
        <v>7.1839486962941377E-3</v>
      </c>
      <c r="T2352" s="20">
        <v>23</v>
      </c>
      <c r="U2352" s="17">
        <v>2</v>
      </c>
      <c r="V2352" s="17">
        <v>34</v>
      </c>
    </row>
    <row r="2353" spans="1:22" x14ac:dyDescent="0.2">
      <c r="A2353" t="s">
        <v>5497</v>
      </c>
      <c r="B2353" t="s">
        <v>2719</v>
      </c>
      <c r="C2353" t="s">
        <v>2720</v>
      </c>
      <c r="D2353" t="s">
        <v>5481</v>
      </c>
      <c r="E2353" s="10" t="s">
        <v>5258</v>
      </c>
      <c r="F2353" s="10"/>
      <c r="G2353" s="10"/>
      <c r="H2353" s="10" t="s">
        <v>5258</v>
      </c>
      <c r="I2353" s="14">
        <v>11309.407942211255</v>
      </c>
      <c r="J2353" s="19">
        <v>0</v>
      </c>
      <c r="K2353" s="19">
        <v>0.8253598839707188</v>
      </c>
      <c r="L2353" s="19">
        <v>0.17464011602928117</v>
      </c>
      <c r="M2353" s="20">
        <v>2</v>
      </c>
      <c r="N2353" s="19">
        <v>0</v>
      </c>
      <c r="O2353" s="19">
        <v>0</v>
      </c>
      <c r="P2353" s="19">
        <v>0.8253598839707188</v>
      </c>
      <c r="Q2353" s="19">
        <v>4.6214917908411375E-2</v>
      </c>
      <c r="R2353" s="19">
        <v>0.12163299852780154</v>
      </c>
      <c r="S2353" s="19">
        <v>6.7921995930682521E-3</v>
      </c>
      <c r="T2353" s="20">
        <v>21</v>
      </c>
      <c r="U2353" s="17">
        <v>2</v>
      </c>
      <c r="V2353" s="17">
        <v>34</v>
      </c>
    </row>
    <row r="2354" spans="1:22" x14ac:dyDescent="0.2">
      <c r="A2354" t="s">
        <v>5498</v>
      </c>
      <c r="B2354" t="s">
        <v>2719</v>
      </c>
      <c r="C2354" t="s">
        <v>2720</v>
      </c>
      <c r="D2354" t="s">
        <v>5481</v>
      </c>
      <c r="E2354" s="10" t="s">
        <v>5499</v>
      </c>
      <c r="F2354" s="10"/>
      <c r="G2354" s="10"/>
      <c r="H2354" s="10" t="s">
        <v>5499</v>
      </c>
      <c r="I2354" s="14">
        <v>8899.8871378339827</v>
      </c>
      <c r="J2354" s="19">
        <v>0</v>
      </c>
      <c r="K2354" s="19">
        <v>0.79002772642552166</v>
      </c>
      <c r="L2354" s="19">
        <v>0.20997227357447837</v>
      </c>
      <c r="M2354" s="20">
        <v>2</v>
      </c>
      <c r="N2354" s="19">
        <v>0</v>
      </c>
      <c r="O2354" s="19">
        <v>0.79002772642552166</v>
      </c>
      <c r="P2354" s="19">
        <v>0</v>
      </c>
      <c r="Q2354" s="19">
        <v>0</v>
      </c>
      <c r="R2354" s="19">
        <v>0.20192055198953751</v>
      </c>
      <c r="S2354" s="19">
        <v>8.0517215849408297E-3</v>
      </c>
      <c r="T2354" s="20">
        <v>22</v>
      </c>
      <c r="U2354" s="17">
        <v>2</v>
      </c>
      <c r="V2354" s="17">
        <v>34</v>
      </c>
    </row>
    <row r="2355" spans="1:22" x14ac:dyDescent="0.2">
      <c r="A2355" t="s">
        <v>5500</v>
      </c>
      <c r="B2355" t="s">
        <v>2719</v>
      </c>
      <c r="C2355" t="s">
        <v>2720</v>
      </c>
      <c r="D2355" t="s">
        <v>5481</v>
      </c>
      <c r="E2355" s="10" t="s">
        <v>5501</v>
      </c>
      <c r="F2355" s="10"/>
      <c r="G2355" s="10"/>
      <c r="H2355" s="10" t="s">
        <v>5501</v>
      </c>
      <c r="I2355" s="14">
        <v>27054.893685388408</v>
      </c>
      <c r="J2355" s="19">
        <v>0</v>
      </c>
      <c r="K2355" s="19">
        <v>0.82022814590763915</v>
      </c>
      <c r="L2355" s="19">
        <v>0.17977185409236085</v>
      </c>
      <c r="M2355" s="20">
        <v>2</v>
      </c>
      <c r="N2355" s="19">
        <v>0.24482840731222785</v>
      </c>
      <c r="O2355" s="19">
        <v>0.18956934344726337</v>
      </c>
      <c r="P2355" s="19">
        <v>0.38583039514814793</v>
      </c>
      <c r="Q2355" s="19">
        <v>8.4787379654942097E-2</v>
      </c>
      <c r="R2355" s="19">
        <v>8.2799699748792019E-2</v>
      </c>
      <c r="S2355" s="19">
        <v>1.2184774688626714E-2</v>
      </c>
      <c r="T2355" s="20">
        <v>23</v>
      </c>
      <c r="U2355" s="17">
        <v>2</v>
      </c>
      <c r="V2355" s="17">
        <v>34</v>
      </c>
    </row>
    <row r="2356" spans="1:22" x14ac:dyDescent="0.2">
      <c r="A2356" t="s">
        <v>5502</v>
      </c>
      <c r="B2356" t="s">
        <v>2719</v>
      </c>
      <c r="C2356" t="s">
        <v>2720</v>
      </c>
      <c r="D2356" t="s">
        <v>5481</v>
      </c>
      <c r="E2356" s="10" t="s">
        <v>2817</v>
      </c>
      <c r="F2356" s="10"/>
      <c r="G2356" s="10"/>
      <c r="H2356" s="10" t="s">
        <v>2817</v>
      </c>
      <c r="I2356" s="14">
        <v>14067.207790257875</v>
      </c>
      <c r="J2356" s="19">
        <v>0</v>
      </c>
      <c r="K2356" s="19">
        <v>0.39563208642184827</v>
      </c>
      <c r="L2356" s="19">
        <v>0.60436791357815178</v>
      </c>
      <c r="M2356" s="20">
        <v>1</v>
      </c>
      <c r="N2356" s="19">
        <v>0</v>
      </c>
      <c r="O2356" s="19">
        <v>0.39391862334644873</v>
      </c>
      <c r="P2356" s="19">
        <v>1.7134630753995364E-3</v>
      </c>
      <c r="Q2356" s="19">
        <v>0.3738828339404256</v>
      </c>
      <c r="R2356" s="19">
        <v>0.22002109911291742</v>
      </c>
      <c r="S2356" s="19">
        <v>1.0463980524808741E-2</v>
      </c>
      <c r="T2356" s="20">
        <v>13</v>
      </c>
      <c r="U2356" s="17">
        <v>2</v>
      </c>
      <c r="V2356" s="17">
        <v>34</v>
      </c>
    </row>
    <row r="2357" spans="1:22" x14ac:dyDescent="0.2">
      <c r="A2357" t="s">
        <v>5503</v>
      </c>
      <c r="B2357" t="s">
        <v>2719</v>
      </c>
      <c r="C2357" t="s">
        <v>2720</v>
      </c>
      <c r="D2357" t="s">
        <v>5481</v>
      </c>
      <c r="E2357" s="10" t="s">
        <v>2764</v>
      </c>
      <c r="F2357" s="10"/>
      <c r="G2357" s="10"/>
      <c r="H2357" s="10" t="s">
        <v>2764</v>
      </c>
      <c r="I2357" s="14">
        <v>14786.658991899343</v>
      </c>
      <c r="J2357" s="19">
        <v>0</v>
      </c>
      <c r="K2357" s="19">
        <v>0.93508752528627737</v>
      </c>
      <c r="L2357" s="19">
        <v>6.4912474713722537E-2</v>
      </c>
      <c r="M2357" s="20">
        <v>2</v>
      </c>
      <c r="N2357" s="19">
        <v>0.63218836085130325</v>
      </c>
      <c r="O2357" s="19">
        <v>0</v>
      </c>
      <c r="P2357" s="19">
        <v>0.30289916443497406</v>
      </c>
      <c r="Q2357" s="19">
        <v>0</v>
      </c>
      <c r="R2357" s="19">
        <v>6.0399195500106445E-2</v>
      </c>
      <c r="S2357" s="19">
        <v>4.5132792136160947E-3</v>
      </c>
      <c r="T2357" s="20">
        <v>23</v>
      </c>
      <c r="U2357" s="17">
        <v>2</v>
      </c>
      <c r="V2357" s="17">
        <v>34</v>
      </c>
    </row>
    <row r="2358" spans="1:22" x14ac:dyDescent="0.2">
      <c r="A2358" t="s">
        <v>5504</v>
      </c>
      <c r="B2358" t="s">
        <v>2719</v>
      </c>
      <c r="C2358" t="s">
        <v>2720</v>
      </c>
      <c r="D2358" t="s">
        <v>5481</v>
      </c>
      <c r="E2358" s="10" t="s">
        <v>5505</v>
      </c>
      <c r="F2358" s="10"/>
      <c r="G2358" s="10"/>
      <c r="H2358" s="10" t="s">
        <v>5505</v>
      </c>
      <c r="I2358" s="14">
        <v>11490.932695547119</v>
      </c>
      <c r="J2358" s="19">
        <v>0</v>
      </c>
      <c r="K2358" s="19">
        <v>0.40279944274190876</v>
      </c>
      <c r="L2358" s="19">
        <v>0.59720055725809118</v>
      </c>
      <c r="M2358" s="20">
        <v>1</v>
      </c>
      <c r="N2358" s="19">
        <v>0</v>
      </c>
      <c r="O2358" s="19">
        <v>0.40279944274190876</v>
      </c>
      <c r="P2358" s="19">
        <v>0</v>
      </c>
      <c r="Q2358" s="19">
        <v>0.49979223354974445</v>
      </c>
      <c r="R2358" s="19">
        <v>9.4389803976773365E-2</v>
      </c>
      <c r="S2358" s="19">
        <v>3.0185197315734285E-3</v>
      </c>
      <c r="T2358" s="20">
        <v>13</v>
      </c>
      <c r="U2358" s="17">
        <v>2</v>
      </c>
      <c r="V2358" s="17">
        <v>34</v>
      </c>
    </row>
    <row r="2359" spans="1:22" x14ac:dyDescent="0.2">
      <c r="A2359" t="s">
        <v>5506</v>
      </c>
      <c r="B2359" t="s">
        <v>2719</v>
      </c>
      <c r="C2359" t="s">
        <v>2720</v>
      </c>
      <c r="D2359" t="s">
        <v>5481</v>
      </c>
      <c r="E2359" s="10" t="s">
        <v>5507</v>
      </c>
      <c r="F2359" s="10"/>
      <c r="G2359" s="10"/>
      <c r="H2359" s="10" t="s">
        <v>5507</v>
      </c>
      <c r="I2359" s="14">
        <v>14625.468008229509</v>
      </c>
      <c r="J2359" s="19">
        <v>0</v>
      </c>
      <c r="K2359" s="19">
        <v>0.62928086736538713</v>
      </c>
      <c r="L2359" s="19">
        <v>0.37071913263461281</v>
      </c>
      <c r="M2359" s="20">
        <v>2</v>
      </c>
      <c r="N2359" s="19">
        <v>0</v>
      </c>
      <c r="O2359" s="19">
        <v>0.5808182786645032</v>
      </c>
      <c r="P2359" s="19">
        <v>4.8462588700884005E-2</v>
      </c>
      <c r="Q2359" s="19">
        <v>0.21564761392128365</v>
      </c>
      <c r="R2359" s="19">
        <v>0.13124697612794314</v>
      </c>
      <c r="S2359" s="19">
        <v>2.3824542585386028E-2</v>
      </c>
      <c r="T2359" s="20">
        <v>22</v>
      </c>
      <c r="U2359" s="17">
        <v>2</v>
      </c>
      <c r="V2359" s="17">
        <v>34</v>
      </c>
    </row>
    <row r="2360" spans="1:22" x14ac:dyDescent="0.2">
      <c r="A2360" t="s">
        <v>5508</v>
      </c>
      <c r="B2360" t="s">
        <v>2719</v>
      </c>
      <c r="C2360" t="s">
        <v>2720</v>
      </c>
      <c r="D2360" t="s">
        <v>5481</v>
      </c>
      <c r="E2360" s="10" t="s">
        <v>3682</v>
      </c>
      <c r="F2360" s="10"/>
      <c r="G2360" s="10"/>
      <c r="H2360" s="10" t="s">
        <v>3682</v>
      </c>
      <c r="I2360" s="14">
        <v>46898.411134948481</v>
      </c>
      <c r="J2360" s="19">
        <v>0</v>
      </c>
      <c r="K2360" s="19">
        <v>0.82837511681956977</v>
      </c>
      <c r="L2360" s="19">
        <v>0.17162488318043043</v>
      </c>
      <c r="M2360" s="20">
        <v>2</v>
      </c>
      <c r="N2360" s="19">
        <v>0.44315559219130907</v>
      </c>
      <c r="O2360" s="19">
        <v>0</v>
      </c>
      <c r="P2360" s="19">
        <v>0.38521952462826065</v>
      </c>
      <c r="Q2360" s="19">
        <v>7.3835601877726156E-2</v>
      </c>
      <c r="R2360" s="19">
        <v>8.3865796573049586E-2</v>
      </c>
      <c r="S2360" s="19">
        <v>1.3923484729654698E-2</v>
      </c>
      <c r="T2360" s="20">
        <v>23</v>
      </c>
      <c r="U2360" s="17">
        <v>2</v>
      </c>
      <c r="V2360" s="17">
        <v>34</v>
      </c>
    </row>
    <row r="2361" spans="1:22" x14ac:dyDescent="0.2">
      <c r="A2361" t="s">
        <v>5509</v>
      </c>
      <c r="B2361" t="s">
        <v>2719</v>
      </c>
      <c r="C2361" t="s">
        <v>2720</v>
      </c>
      <c r="D2361" t="s">
        <v>5481</v>
      </c>
      <c r="E2361" s="10" t="s">
        <v>5510</v>
      </c>
      <c r="F2361" s="10"/>
      <c r="G2361" s="10"/>
      <c r="H2361" s="10" t="s">
        <v>5510</v>
      </c>
      <c r="I2361" s="14">
        <v>16400.518593529239</v>
      </c>
      <c r="J2361" s="19">
        <v>0</v>
      </c>
      <c r="K2361" s="19">
        <v>0.49404727696712986</v>
      </c>
      <c r="L2361" s="19">
        <v>0.50595272303287009</v>
      </c>
      <c r="M2361" s="20">
        <v>1</v>
      </c>
      <c r="N2361" s="19">
        <v>0</v>
      </c>
      <c r="O2361" s="19">
        <v>6.3022366930758555E-3</v>
      </c>
      <c r="P2361" s="19">
        <v>0.48774504027405402</v>
      </c>
      <c r="Q2361" s="19">
        <v>0.10221069494820201</v>
      </c>
      <c r="R2361" s="19">
        <v>0.39567366098778456</v>
      </c>
      <c r="S2361" s="19">
        <v>8.0683670968835618E-3</v>
      </c>
      <c r="T2361" s="20">
        <v>12</v>
      </c>
      <c r="U2361" s="17">
        <v>2</v>
      </c>
      <c r="V2361" s="17">
        <v>34</v>
      </c>
    </row>
    <row r="2362" spans="1:22" x14ac:dyDescent="0.2">
      <c r="A2362" t="s">
        <v>5511</v>
      </c>
      <c r="B2362" t="s">
        <v>2719</v>
      </c>
      <c r="C2362" t="s">
        <v>2720</v>
      </c>
      <c r="D2362" t="s">
        <v>4528</v>
      </c>
      <c r="E2362" s="10" t="s">
        <v>5512</v>
      </c>
      <c r="F2362" s="10"/>
      <c r="G2362" s="10"/>
      <c r="H2362" s="10" t="s">
        <v>5512</v>
      </c>
      <c r="I2362" s="14">
        <v>92009.321038625669</v>
      </c>
      <c r="J2362" s="19">
        <v>0</v>
      </c>
      <c r="K2362" s="19">
        <v>0.51559659614762399</v>
      </c>
      <c r="L2362" s="19">
        <v>0.48440340385237607</v>
      </c>
      <c r="M2362" s="20">
        <v>2</v>
      </c>
      <c r="N2362" s="19">
        <v>0</v>
      </c>
      <c r="O2362" s="19">
        <v>0</v>
      </c>
      <c r="P2362" s="19">
        <v>0.51559659614762399</v>
      </c>
      <c r="Q2362" s="19">
        <v>0.15816708430124352</v>
      </c>
      <c r="R2362" s="19">
        <v>0.28886764993001818</v>
      </c>
      <c r="S2362" s="19">
        <v>3.7368669621114341E-2</v>
      </c>
      <c r="T2362" s="20">
        <v>21</v>
      </c>
      <c r="U2362" s="17">
        <v>2</v>
      </c>
      <c r="V2362" s="17">
        <v>34</v>
      </c>
    </row>
    <row r="2363" spans="1:22" x14ac:dyDescent="0.2">
      <c r="A2363" t="s">
        <v>5513</v>
      </c>
      <c r="B2363" t="s">
        <v>2719</v>
      </c>
      <c r="C2363" t="s">
        <v>2720</v>
      </c>
      <c r="D2363" t="s">
        <v>4528</v>
      </c>
      <c r="E2363" s="10" t="s">
        <v>4478</v>
      </c>
      <c r="F2363" s="10"/>
      <c r="G2363" s="10"/>
      <c r="H2363" s="10" t="s">
        <v>4478</v>
      </c>
      <c r="I2363" s="14">
        <v>173.12248518038541</v>
      </c>
      <c r="J2363" s="19">
        <v>0</v>
      </c>
      <c r="K2363" s="19">
        <v>0.3963480054979277</v>
      </c>
      <c r="L2363" s="19">
        <v>0.6036519945020723</v>
      </c>
      <c r="M2363" s="20">
        <v>1</v>
      </c>
      <c r="N2363" s="19">
        <v>0</v>
      </c>
      <c r="O2363" s="19">
        <v>1.9167786030455623E-3</v>
      </c>
      <c r="P2363" s="19">
        <v>0.39443122689488214</v>
      </c>
      <c r="Q2363" s="19">
        <v>0</v>
      </c>
      <c r="R2363" s="19">
        <v>0.60015610815134768</v>
      </c>
      <c r="S2363" s="19">
        <v>3.4958863507246101E-3</v>
      </c>
      <c r="T2363" s="20">
        <v>12</v>
      </c>
      <c r="U2363" s="17">
        <v>2</v>
      </c>
      <c r="V2363" s="17">
        <v>34</v>
      </c>
    </row>
    <row r="2364" spans="1:22" x14ac:dyDescent="0.2">
      <c r="A2364" t="s">
        <v>5514</v>
      </c>
      <c r="B2364" t="s">
        <v>2719</v>
      </c>
      <c r="C2364" t="s">
        <v>2720</v>
      </c>
      <c r="D2364" t="s">
        <v>4528</v>
      </c>
      <c r="E2364" s="10" t="s">
        <v>5515</v>
      </c>
      <c r="F2364" s="10"/>
      <c r="G2364" s="10"/>
      <c r="H2364" s="10" t="s">
        <v>5515</v>
      </c>
      <c r="I2364" s="14">
        <v>41262.419982898282</v>
      </c>
      <c r="J2364" s="19">
        <v>0</v>
      </c>
      <c r="K2364" s="19">
        <v>0.61416364077885621</v>
      </c>
      <c r="L2364" s="19">
        <v>0.38583635922114373</v>
      </c>
      <c r="M2364" s="20">
        <v>2</v>
      </c>
      <c r="N2364" s="19">
        <v>0.15104822811245247</v>
      </c>
      <c r="O2364" s="19">
        <v>0.23816770246820171</v>
      </c>
      <c r="P2364" s="19">
        <v>0.22494771019820214</v>
      </c>
      <c r="Q2364" s="19">
        <v>0.11053451581842214</v>
      </c>
      <c r="R2364" s="19">
        <v>0.22657094585709076</v>
      </c>
      <c r="S2364" s="19">
        <v>4.8730897545630841E-2</v>
      </c>
      <c r="T2364" s="20">
        <v>22</v>
      </c>
      <c r="U2364" s="17">
        <v>2</v>
      </c>
      <c r="V2364" s="17">
        <v>34</v>
      </c>
    </row>
    <row r="2365" spans="1:22" x14ac:dyDescent="0.2">
      <c r="A2365" t="s">
        <v>5516</v>
      </c>
      <c r="B2365" t="s">
        <v>2719</v>
      </c>
      <c r="C2365" t="s">
        <v>2720</v>
      </c>
      <c r="D2365" t="s">
        <v>4528</v>
      </c>
      <c r="E2365" s="10" t="s">
        <v>2808</v>
      </c>
      <c r="F2365" s="10"/>
      <c r="G2365" s="10"/>
      <c r="H2365" s="10" t="s">
        <v>2808</v>
      </c>
      <c r="I2365" s="14">
        <v>98664.125737870112</v>
      </c>
      <c r="J2365" s="19">
        <v>0</v>
      </c>
      <c r="K2365" s="19">
        <v>0.79778363692673426</v>
      </c>
      <c r="L2365" s="19">
        <v>0.20221636307326571</v>
      </c>
      <c r="M2365" s="20">
        <v>2</v>
      </c>
      <c r="N2365" s="19">
        <v>0.36116195566916542</v>
      </c>
      <c r="O2365" s="19">
        <v>0</v>
      </c>
      <c r="P2365" s="19">
        <v>0.43662168125756889</v>
      </c>
      <c r="Q2365" s="19">
        <v>8.813906634166721E-2</v>
      </c>
      <c r="R2365" s="19">
        <v>0.10550794343859755</v>
      </c>
      <c r="S2365" s="19">
        <v>8.5693532930009378E-3</v>
      </c>
      <c r="T2365" s="20">
        <v>23</v>
      </c>
      <c r="U2365" s="17">
        <v>2</v>
      </c>
      <c r="V2365" s="17">
        <v>34</v>
      </c>
    </row>
    <row r="2366" spans="1:22" x14ac:dyDescent="0.2">
      <c r="A2366" t="s">
        <v>5517</v>
      </c>
      <c r="B2366" t="s">
        <v>2719</v>
      </c>
      <c r="C2366" t="s">
        <v>2720</v>
      </c>
      <c r="D2366" t="s">
        <v>4528</v>
      </c>
      <c r="E2366" s="10" t="s">
        <v>5518</v>
      </c>
      <c r="F2366" s="10"/>
      <c r="G2366" s="10"/>
      <c r="H2366" s="10" t="s">
        <v>5518</v>
      </c>
      <c r="I2366" s="14">
        <v>122032.4356436557</v>
      </c>
      <c r="J2366" s="19">
        <v>0.43908533082911033</v>
      </c>
      <c r="K2366" s="19">
        <v>0.43082631322315351</v>
      </c>
      <c r="L2366" s="19">
        <v>0.13008835594773629</v>
      </c>
      <c r="M2366" s="20">
        <v>2</v>
      </c>
      <c r="N2366" s="19">
        <v>0.15537470009248694</v>
      </c>
      <c r="O2366" s="19">
        <v>0</v>
      </c>
      <c r="P2366" s="19">
        <v>0.27545161313066657</v>
      </c>
      <c r="Q2366" s="19">
        <v>2.3704774474257652E-2</v>
      </c>
      <c r="R2366" s="19">
        <v>0.10041271351722776</v>
      </c>
      <c r="S2366" s="19">
        <v>5.9708679562508905E-3</v>
      </c>
      <c r="T2366" s="20">
        <v>23</v>
      </c>
      <c r="U2366" s="17">
        <v>2</v>
      </c>
      <c r="V2366" s="17">
        <v>34</v>
      </c>
    </row>
    <row r="2367" spans="1:22" x14ac:dyDescent="0.2">
      <c r="A2367" t="s">
        <v>5519</v>
      </c>
      <c r="B2367" t="s">
        <v>2719</v>
      </c>
      <c r="C2367" t="s">
        <v>2720</v>
      </c>
      <c r="D2367" t="s">
        <v>4528</v>
      </c>
      <c r="E2367" s="10" t="s">
        <v>5520</v>
      </c>
      <c r="F2367" s="10"/>
      <c r="G2367" s="10"/>
      <c r="H2367" s="10" t="s">
        <v>5520</v>
      </c>
      <c r="I2367" s="14">
        <v>60719.396520014852</v>
      </c>
      <c r="J2367" s="19">
        <v>0</v>
      </c>
      <c r="K2367" s="19">
        <v>0.57974939440577922</v>
      </c>
      <c r="L2367" s="19">
        <v>0.42025060559422078</v>
      </c>
      <c r="M2367" s="20">
        <v>2</v>
      </c>
      <c r="N2367" s="19">
        <v>0.27687368277418078</v>
      </c>
      <c r="O2367" s="19">
        <v>0</v>
      </c>
      <c r="P2367" s="19">
        <v>0.30287571163159843</v>
      </c>
      <c r="Q2367" s="19">
        <v>0.28265408133997333</v>
      </c>
      <c r="R2367" s="19">
        <v>0.10641534091896039</v>
      </c>
      <c r="S2367" s="19">
        <v>3.1181183335287042E-2</v>
      </c>
      <c r="T2367" s="20">
        <v>23</v>
      </c>
      <c r="U2367" s="17">
        <v>2</v>
      </c>
      <c r="V2367" s="17">
        <v>34</v>
      </c>
    </row>
    <row r="2368" spans="1:22" x14ac:dyDescent="0.2">
      <c r="A2368" t="s">
        <v>5521</v>
      </c>
      <c r="B2368" t="s">
        <v>2719</v>
      </c>
      <c r="C2368" t="s">
        <v>2720</v>
      </c>
      <c r="D2368" t="s">
        <v>4528</v>
      </c>
      <c r="E2368" s="10" t="s">
        <v>5522</v>
      </c>
      <c r="F2368" s="10"/>
      <c r="G2368" s="10"/>
      <c r="H2368" s="10" t="s">
        <v>5522</v>
      </c>
      <c r="I2368" s="14">
        <v>91859.423923996292</v>
      </c>
      <c r="J2368" s="19">
        <v>0</v>
      </c>
      <c r="K2368" s="19">
        <v>0.84281634751838641</v>
      </c>
      <c r="L2368" s="19">
        <v>0.1571836524816134</v>
      </c>
      <c r="M2368" s="20">
        <v>2</v>
      </c>
      <c r="N2368" s="19">
        <v>0.14786632388531673</v>
      </c>
      <c r="O2368" s="19">
        <v>3.5675673443971816E-2</v>
      </c>
      <c r="P2368" s="19">
        <v>0.65927435018909786</v>
      </c>
      <c r="Q2368" s="19">
        <v>5.8566219337037775E-2</v>
      </c>
      <c r="R2368" s="19">
        <v>9.2639554605127836E-2</v>
      </c>
      <c r="S2368" s="19">
        <v>5.9778785394477884E-3</v>
      </c>
      <c r="T2368" s="20">
        <v>21</v>
      </c>
      <c r="U2368" s="17">
        <v>2</v>
      </c>
      <c r="V2368" s="17">
        <v>34</v>
      </c>
    </row>
    <row r="2369" spans="1:22" x14ac:dyDescent="0.2">
      <c r="A2369" t="s">
        <v>5523</v>
      </c>
      <c r="B2369" t="s">
        <v>2719</v>
      </c>
      <c r="C2369" t="s">
        <v>2720</v>
      </c>
      <c r="D2369" t="s">
        <v>4528</v>
      </c>
      <c r="E2369" s="10" t="s">
        <v>941</v>
      </c>
      <c r="F2369" s="10"/>
      <c r="G2369" s="10"/>
      <c r="H2369" s="10" t="s">
        <v>941</v>
      </c>
      <c r="I2369" s="14">
        <v>115969.25133014562</v>
      </c>
      <c r="J2369" s="19">
        <v>0</v>
      </c>
      <c r="K2369" s="19">
        <v>0.63395452419434672</v>
      </c>
      <c r="L2369" s="19">
        <v>0.36604547580565339</v>
      </c>
      <c r="M2369" s="20">
        <v>2</v>
      </c>
      <c r="N2369" s="19">
        <v>0.26706362669347861</v>
      </c>
      <c r="O2369" s="19">
        <v>9.7589189344186922E-2</v>
      </c>
      <c r="P2369" s="19">
        <v>0.2693017081566812</v>
      </c>
      <c r="Q2369" s="19">
        <v>0.14490298297048163</v>
      </c>
      <c r="R2369" s="19">
        <v>0.19306132631789763</v>
      </c>
      <c r="S2369" s="19">
        <v>2.8081166517274152E-2</v>
      </c>
      <c r="T2369" s="20">
        <v>23</v>
      </c>
      <c r="U2369" s="17">
        <v>2</v>
      </c>
      <c r="V2369" s="17">
        <v>34</v>
      </c>
    </row>
    <row r="2370" spans="1:22" x14ac:dyDescent="0.2">
      <c r="A2370" t="s">
        <v>5524</v>
      </c>
      <c r="B2370" t="s">
        <v>2719</v>
      </c>
      <c r="C2370" t="s">
        <v>2720</v>
      </c>
      <c r="D2370" t="s">
        <v>4528</v>
      </c>
      <c r="E2370" s="10" t="s">
        <v>5525</v>
      </c>
      <c r="F2370" s="10"/>
      <c r="G2370" s="10"/>
      <c r="H2370" s="10" t="s">
        <v>5525</v>
      </c>
      <c r="I2370" s="14">
        <v>78968.78316529654</v>
      </c>
      <c r="J2370" s="19">
        <v>0</v>
      </c>
      <c r="K2370" s="19">
        <v>0.8975237655136028</v>
      </c>
      <c r="L2370" s="19">
        <v>0.10247623448639716</v>
      </c>
      <c r="M2370" s="20">
        <v>2</v>
      </c>
      <c r="N2370" s="19">
        <v>0.29943947670908583</v>
      </c>
      <c r="O2370" s="19">
        <v>0</v>
      </c>
      <c r="P2370" s="19">
        <v>0.59808428880451703</v>
      </c>
      <c r="Q2370" s="19">
        <v>0</v>
      </c>
      <c r="R2370" s="19">
        <v>9.8432233251800366E-2</v>
      </c>
      <c r="S2370" s="19">
        <v>4.044001234596804E-3</v>
      </c>
      <c r="T2370" s="20">
        <v>21</v>
      </c>
      <c r="U2370" s="17">
        <v>2</v>
      </c>
      <c r="V2370" s="17">
        <v>34</v>
      </c>
    </row>
    <row r="2371" spans="1:22" x14ac:dyDescent="0.2">
      <c r="A2371" t="s">
        <v>5526</v>
      </c>
      <c r="B2371" t="s">
        <v>2719</v>
      </c>
      <c r="C2371" t="s">
        <v>2720</v>
      </c>
      <c r="D2371" t="s">
        <v>4528</v>
      </c>
      <c r="E2371" s="10" t="s">
        <v>5527</v>
      </c>
      <c r="F2371" s="10"/>
      <c r="G2371" s="10"/>
      <c r="H2371" s="10" t="s">
        <v>5527</v>
      </c>
      <c r="I2371" s="14">
        <v>112146.24854503199</v>
      </c>
      <c r="J2371" s="19">
        <v>0</v>
      </c>
      <c r="K2371" s="19">
        <v>0.78850777769358416</v>
      </c>
      <c r="L2371" s="19">
        <v>0.2114922223064159</v>
      </c>
      <c r="M2371" s="20">
        <v>2</v>
      </c>
      <c r="N2371" s="19">
        <v>0.24784999236527558</v>
      </c>
      <c r="O2371" s="19">
        <v>0</v>
      </c>
      <c r="P2371" s="19">
        <v>0.54065778532830866</v>
      </c>
      <c r="Q2371" s="19">
        <v>0.11528554273650934</v>
      </c>
      <c r="R2371" s="19">
        <v>8.3621740317526075E-2</v>
      </c>
      <c r="S2371" s="19">
        <v>1.2584939252380484E-2</v>
      </c>
      <c r="T2371" s="20">
        <v>21</v>
      </c>
      <c r="U2371" s="17">
        <v>2</v>
      </c>
      <c r="V2371" s="17">
        <v>34</v>
      </c>
    </row>
    <row r="2372" spans="1:22" x14ac:dyDescent="0.2">
      <c r="A2372" t="s">
        <v>5528</v>
      </c>
      <c r="B2372" t="s">
        <v>2719</v>
      </c>
      <c r="C2372" t="s">
        <v>2720</v>
      </c>
      <c r="D2372" t="s">
        <v>4528</v>
      </c>
      <c r="E2372" s="10" t="s">
        <v>5529</v>
      </c>
      <c r="F2372" s="10"/>
      <c r="G2372" s="10"/>
      <c r="H2372" s="10" t="s">
        <v>5529</v>
      </c>
      <c r="I2372" s="14">
        <v>53117.230925970711</v>
      </c>
      <c r="J2372" s="19">
        <v>0</v>
      </c>
      <c r="K2372" s="19">
        <v>0.90762271900822955</v>
      </c>
      <c r="L2372" s="19">
        <v>9.2377280991770408E-2</v>
      </c>
      <c r="M2372" s="20">
        <v>2</v>
      </c>
      <c r="N2372" s="19">
        <v>0.18707221233678745</v>
      </c>
      <c r="O2372" s="19">
        <v>9.7371668709123421E-2</v>
      </c>
      <c r="P2372" s="19">
        <v>0.62317883796231877</v>
      </c>
      <c r="Q2372" s="19">
        <v>2.8676509326682632E-2</v>
      </c>
      <c r="R2372" s="19">
        <v>5.8724125102751802E-2</v>
      </c>
      <c r="S2372" s="19">
        <v>4.9766465623359759E-3</v>
      </c>
      <c r="T2372" s="20">
        <v>21</v>
      </c>
      <c r="U2372" s="17">
        <v>2</v>
      </c>
      <c r="V2372" s="17">
        <v>34</v>
      </c>
    </row>
    <row r="2373" spans="1:22" x14ac:dyDescent="0.2">
      <c r="A2373" t="s">
        <v>5530</v>
      </c>
      <c r="B2373" t="s">
        <v>2719</v>
      </c>
      <c r="C2373" t="s">
        <v>2720</v>
      </c>
      <c r="D2373" t="s">
        <v>4528</v>
      </c>
      <c r="E2373" s="10" t="s">
        <v>5531</v>
      </c>
      <c r="F2373" s="10"/>
      <c r="G2373" s="10"/>
      <c r="H2373" s="10" t="s">
        <v>5531</v>
      </c>
      <c r="I2373" s="14">
        <v>70288.141524706036</v>
      </c>
      <c r="J2373" s="19">
        <v>0</v>
      </c>
      <c r="K2373" s="19">
        <v>0.56004973280581916</v>
      </c>
      <c r="L2373" s="19">
        <v>0.43995026719418079</v>
      </c>
      <c r="M2373" s="20">
        <v>2</v>
      </c>
      <c r="N2373" s="19">
        <v>9.8184276382099672E-2</v>
      </c>
      <c r="O2373" s="19">
        <v>8.186203293272655E-2</v>
      </c>
      <c r="P2373" s="19">
        <v>0.38000342349099303</v>
      </c>
      <c r="Q2373" s="19">
        <v>0.20769838571554661</v>
      </c>
      <c r="R2373" s="19">
        <v>0.20750470778284871</v>
      </c>
      <c r="S2373" s="19">
        <v>2.4747173695785461E-2</v>
      </c>
      <c r="T2373" s="20">
        <v>23</v>
      </c>
      <c r="U2373" s="17">
        <v>2</v>
      </c>
      <c r="V2373" s="17">
        <v>34</v>
      </c>
    </row>
    <row r="2374" spans="1:22" x14ac:dyDescent="0.2">
      <c r="A2374" t="s">
        <v>5532</v>
      </c>
      <c r="B2374" t="s">
        <v>2719</v>
      </c>
      <c r="C2374" t="s">
        <v>2720</v>
      </c>
      <c r="D2374" t="s">
        <v>4528</v>
      </c>
      <c r="E2374" s="10" t="s">
        <v>5533</v>
      </c>
      <c r="F2374" s="10"/>
      <c r="G2374" s="10"/>
      <c r="H2374" s="10" t="s">
        <v>5533</v>
      </c>
      <c r="I2374" s="14">
        <v>124472.79826836288</v>
      </c>
      <c r="J2374" s="19">
        <v>0.45680084046096014</v>
      </c>
      <c r="K2374" s="19">
        <v>0.44754984557205846</v>
      </c>
      <c r="L2374" s="19">
        <v>9.5649313966981453E-2</v>
      </c>
      <c r="M2374" s="20">
        <v>2</v>
      </c>
      <c r="N2374" s="19">
        <v>3.8904370443584656E-2</v>
      </c>
      <c r="O2374" s="19">
        <v>0</v>
      </c>
      <c r="P2374" s="19">
        <v>0.40864547512847382</v>
      </c>
      <c r="Q2374" s="19">
        <v>2.5475878521730413E-2</v>
      </c>
      <c r="R2374" s="19">
        <v>6.6344100698421574E-2</v>
      </c>
      <c r="S2374" s="19">
        <v>3.8293347468294652E-3</v>
      </c>
      <c r="T2374" s="20">
        <v>23</v>
      </c>
      <c r="U2374" s="17">
        <v>2</v>
      </c>
      <c r="V2374" s="17">
        <v>34</v>
      </c>
    </row>
    <row r="2375" spans="1:22" x14ac:dyDescent="0.2">
      <c r="A2375" t="s">
        <v>5534</v>
      </c>
      <c r="B2375" t="s">
        <v>2719</v>
      </c>
      <c r="C2375" t="s">
        <v>2720</v>
      </c>
      <c r="D2375" t="s">
        <v>5535</v>
      </c>
      <c r="E2375" s="10" t="s">
        <v>5536</v>
      </c>
      <c r="F2375" s="10"/>
      <c r="G2375" s="10"/>
      <c r="H2375" s="10" t="s">
        <v>5536</v>
      </c>
      <c r="I2375" s="14">
        <v>1985.8726849928496</v>
      </c>
      <c r="J2375" s="19">
        <v>0</v>
      </c>
      <c r="K2375" s="19">
        <v>0</v>
      </c>
      <c r="L2375" s="19">
        <v>1</v>
      </c>
      <c r="M2375" s="20">
        <v>1</v>
      </c>
      <c r="N2375" s="19">
        <v>0</v>
      </c>
      <c r="O2375" s="19">
        <v>0</v>
      </c>
      <c r="P2375" s="19">
        <v>0</v>
      </c>
      <c r="Q2375" s="19">
        <v>0.52719811718903387</v>
      </c>
      <c r="R2375" s="19">
        <v>0.47269602739341282</v>
      </c>
      <c r="S2375" s="19">
        <v>1.0585541755347848E-4</v>
      </c>
      <c r="T2375" s="20">
        <v>13</v>
      </c>
      <c r="U2375" s="17">
        <v>2</v>
      </c>
      <c r="V2375" s="17">
        <v>34</v>
      </c>
    </row>
    <row r="2376" spans="1:22" x14ac:dyDescent="0.2">
      <c r="A2376" t="s">
        <v>5537</v>
      </c>
      <c r="B2376" t="s">
        <v>2719</v>
      </c>
      <c r="C2376" t="s">
        <v>2720</v>
      </c>
      <c r="D2376" t="s">
        <v>5535</v>
      </c>
      <c r="E2376" s="10" t="s">
        <v>5538</v>
      </c>
      <c r="F2376" s="10"/>
      <c r="G2376" s="10"/>
      <c r="H2376" s="10" t="s">
        <v>5538</v>
      </c>
      <c r="I2376" s="14">
        <v>36388.783797716605</v>
      </c>
      <c r="J2376" s="19">
        <v>0.10743161498441764</v>
      </c>
      <c r="K2376" s="19">
        <v>0.660993968993144</v>
      </c>
      <c r="L2376" s="19">
        <v>0.23157441602243836</v>
      </c>
      <c r="M2376" s="20">
        <v>2</v>
      </c>
      <c r="N2376" s="19">
        <v>0</v>
      </c>
      <c r="O2376" s="19">
        <v>0</v>
      </c>
      <c r="P2376" s="19">
        <v>0.660993968993144</v>
      </c>
      <c r="Q2376" s="19">
        <v>5.186491382399943E-2</v>
      </c>
      <c r="R2376" s="19">
        <v>0.17378010665903815</v>
      </c>
      <c r="S2376" s="19">
        <v>5.9293955394008084E-3</v>
      </c>
      <c r="T2376" s="20">
        <v>21</v>
      </c>
      <c r="U2376" s="17">
        <v>2</v>
      </c>
      <c r="V2376" s="17">
        <v>34</v>
      </c>
    </row>
    <row r="2377" spans="1:22" x14ac:dyDescent="0.2">
      <c r="A2377" t="s">
        <v>5539</v>
      </c>
      <c r="B2377" t="s">
        <v>2719</v>
      </c>
      <c r="C2377" t="s">
        <v>2720</v>
      </c>
      <c r="D2377" t="s">
        <v>5535</v>
      </c>
      <c r="E2377" s="10" t="s">
        <v>5540</v>
      </c>
      <c r="F2377" s="10"/>
      <c r="G2377" s="10"/>
      <c r="H2377" s="10" t="s">
        <v>5540</v>
      </c>
      <c r="I2377" s="14">
        <v>68360.777599136811</v>
      </c>
      <c r="J2377" s="19">
        <v>0.99382379306337432</v>
      </c>
      <c r="K2377" s="19">
        <v>6.1762069366257232E-3</v>
      </c>
      <c r="L2377" s="19">
        <v>0</v>
      </c>
      <c r="M2377" s="20">
        <v>3</v>
      </c>
      <c r="N2377" s="19">
        <v>0</v>
      </c>
      <c r="O2377" s="19">
        <v>0</v>
      </c>
      <c r="P2377" s="19">
        <v>6.1762069366257232E-3</v>
      </c>
      <c r="Q2377" s="19">
        <v>0</v>
      </c>
      <c r="R2377" s="19">
        <v>0</v>
      </c>
      <c r="S2377" s="19">
        <v>0</v>
      </c>
      <c r="T2377" s="20">
        <v>30</v>
      </c>
      <c r="U2377" s="17">
        <v>2</v>
      </c>
      <c r="V2377" s="17">
        <v>34</v>
      </c>
    </row>
    <row r="2378" spans="1:22" x14ac:dyDescent="0.2">
      <c r="A2378" t="s">
        <v>5541</v>
      </c>
      <c r="B2378" t="s">
        <v>2719</v>
      </c>
      <c r="C2378" t="s">
        <v>2720</v>
      </c>
      <c r="D2378" t="s">
        <v>5535</v>
      </c>
      <c r="E2378" s="10" t="s">
        <v>5542</v>
      </c>
      <c r="F2378" s="10"/>
      <c r="G2378" s="10"/>
      <c r="H2378" s="10" t="s">
        <v>5542</v>
      </c>
      <c r="I2378" s="14">
        <v>16625.2714482788</v>
      </c>
      <c r="J2378" s="19">
        <v>0</v>
      </c>
      <c r="K2378" s="19">
        <v>0.59492838326548325</v>
      </c>
      <c r="L2378" s="19">
        <v>0.40507161673451686</v>
      </c>
      <c r="M2378" s="20">
        <v>2</v>
      </c>
      <c r="N2378" s="19">
        <v>0</v>
      </c>
      <c r="O2378" s="19">
        <v>0.59492838326548325</v>
      </c>
      <c r="P2378" s="19">
        <v>0</v>
      </c>
      <c r="Q2378" s="19">
        <v>3.9453959390920362E-2</v>
      </c>
      <c r="R2378" s="19">
        <v>0.35175656938425998</v>
      </c>
      <c r="S2378" s="19">
        <v>1.3861087959336457E-2</v>
      </c>
      <c r="T2378" s="20">
        <v>22</v>
      </c>
      <c r="U2378" s="17">
        <v>2</v>
      </c>
      <c r="V2378" s="17">
        <v>34</v>
      </c>
    </row>
    <row r="2379" spans="1:22" x14ac:dyDescent="0.2">
      <c r="A2379" t="s">
        <v>5543</v>
      </c>
      <c r="B2379" t="s">
        <v>2719</v>
      </c>
      <c r="C2379" t="s">
        <v>2720</v>
      </c>
      <c r="D2379" t="s">
        <v>5535</v>
      </c>
      <c r="E2379" s="10" t="s">
        <v>5544</v>
      </c>
      <c r="F2379" s="10"/>
      <c r="G2379" s="10"/>
      <c r="H2379" s="10" t="s">
        <v>5544</v>
      </c>
      <c r="I2379" s="14">
        <v>7545.03021030128</v>
      </c>
      <c r="J2379" s="19">
        <v>0</v>
      </c>
      <c r="K2379" s="19">
        <v>0.65572781442766259</v>
      </c>
      <c r="L2379" s="19">
        <v>0.34427218557233735</v>
      </c>
      <c r="M2379" s="20">
        <v>2</v>
      </c>
      <c r="N2379" s="19">
        <v>0</v>
      </c>
      <c r="O2379" s="19">
        <v>0.65572781442766259</v>
      </c>
      <c r="P2379" s="19">
        <v>0</v>
      </c>
      <c r="Q2379" s="19">
        <v>0.23894070460480604</v>
      </c>
      <c r="R2379" s="19">
        <v>9.2946936875111824E-2</v>
      </c>
      <c r="S2379" s="19">
        <v>1.2384544092419493E-2</v>
      </c>
      <c r="T2379" s="20">
        <v>22</v>
      </c>
      <c r="U2379" s="17">
        <v>2</v>
      </c>
      <c r="V2379" s="17">
        <v>34</v>
      </c>
    </row>
    <row r="2380" spans="1:22" x14ac:dyDescent="0.2">
      <c r="A2380" t="s">
        <v>5545</v>
      </c>
      <c r="B2380" t="s">
        <v>2719</v>
      </c>
      <c r="C2380" t="s">
        <v>2720</v>
      </c>
      <c r="D2380" t="s">
        <v>5535</v>
      </c>
      <c r="E2380" s="10" t="s">
        <v>5546</v>
      </c>
      <c r="F2380" s="10"/>
      <c r="G2380" s="10"/>
      <c r="H2380" s="10" t="s">
        <v>5546</v>
      </c>
      <c r="I2380" s="14">
        <v>27890.407819956541</v>
      </c>
      <c r="J2380" s="19">
        <v>0</v>
      </c>
      <c r="K2380" s="19">
        <v>0.34399597553877398</v>
      </c>
      <c r="L2380" s="19">
        <v>0.65600402446122597</v>
      </c>
      <c r="M2380" s="20">
        <v>1</v>
      </c>
      <c r="N2380" s="19">
        <v>0</v>
      </c>
      <c r="O2380" s="19">
        <v>0.34399597553877398</v>
      </c>
      <c r="P2380" s="19">
        <v>0</v>
      </c>
      <c r="Q2380" s="19">
        <v>0.30431767215901184</v>
      </c>
      <c r="R2380" s="19">
        <v>0.31208916036876078</v>
      </c>
      <c r="S2380" s="19">
        <v>3.9597191933453374E-2</v>
      </c>
      <c r="T2380" s="20">
        <v>12</v>
      </c>
      <c r="U2380" s="17">
        <v>2</v>
      </c>
      <c r="V2380" s="17">
        <v>34</v>
      </c>
    </row>
    <row r="2381" spans="1:22" x14ac:dyDescent="0.2">
      <c r="A2381" t="s">
        <v>5547</v>
      </c>
      <c r="B2381" t="s">
        <v>2719</v>
      </c>
      <c r="C2381" t="s">
        <v>2720</v>
      </c>
      <c r="D2381" t="s">
        <v>5535</v>
      </c>
      <c r="E2381" s="10" t="s">
        <v>5548</v>
      </c>
      <c r="F2381" s="10"/>
      <c r="G2381" s="10"/>
      <c r="H2381" s="10" t="s">
        <v>5548</v>
      </c>
      <c r="I2381" s="14">
        <v>14257.274207057664</v>
      </c>
      <c r="J2381" s="19">
        <v>0</v>
      </c>
      <c r="K2381" s="19">
        <v>0.81007829524647657</v>
      </c>
      <c r="L2381" s="19">
        <v>0.18992170475352349</v>
      </c>
      <c r="M2381" s="20">
        <v>2</v>
      </c>
      <c r="N2381" s="19">
        <v>0.29441051443533522</v>
      </c>
      <c r="O2381" s="19">
        <v>0</v>
      </c>
      <c r="P2381" s="19">
        <v>0.5156677808111414</v>
      </c>
      <c r="Q2381" s="19">
        <v>2.1780749809337314E-2</v>
      </c>
      <c r="R2381" s="19">
        <v>0.16090121673250574</v>
      </c>
      <c r="S2381" s="19">
        <v>7.2397382116804266E-3</v>
      </c>
      <c r="T2381" s="20">
        <v>21</v>
      </c>
      <c r="U2381" s="17">
        <v>2</v>
      </c>
      <c r="V2381" s="17">
        <v>34</v>
      </c>
    </row>
    <row r="2382" spans="1:22" x14ac:dyDescent="0.2">
      <c r="A2382" t="s">
        <v>5549</v>
      </c>
      <c r="B2382" t="s">
        <v>2719</v>
      </c>
      <c r="C2382" t="s">
        <v>2720</v>
      </c>
      <c r="D2382" t="s">
        <v>5535</v>
      </c>
      <c r="E2382" s="10" t="s">
        <v>5550</v>
      </c>
      <c r="F2382" s="10"/>
      <c r="G2382" s="10"/>
      <c r="H2382" s="10" t="s">
        <v>5550</v>
      </c>
      <c r="I2382" s="14">
        <v>20042.805326761911</v>
      </c>
      <c r="J2382" s="19">
        <v>0</v>
      </c>
      <c r="K2382" s="19">
        <v>0.49751068600412607</v>
      </c>
      <c r="L2382" s="19">
        <v>0.50248931399587393</v>
      </c>
      <c r="M2382" s="20">
        <v>1</v>
      </c>
      <c r="N2382" s="19">
        <v>0</v>
      </c>
      <c r="O2382" s="19">
        <v>0.49751068600412607</v>
      </c>
      <c r="P2382" s="19">
        <v>0</v>
      </c>
      <c r="Q2382" s="19">
        <v>0.22465507198268822</v>
      </c>
      <c r="R2382" s="19">
        <v>0.26791361954791232</v>
      </c>
      <c r="S2382" s="19">
        <v>9.920622465273388E-3</v>
      </c>
      <c r="T2382" s="20">
        <v>12</v>
      </c>
      <c r="U2382" s="17">
        <v>2</v>
      </c>
      <c r="V2382" s="17">
        <v>34</v>
      </c>
    </row>
    <row r="2383" spans="1:22" x14ac:dyDescent="0.2">
      <c r="A2383" t="s">
        <v>5551</v>
      </c>
      <c r="B2383" t="s">
        <v>2719</v>
      </c>
      <c r="C2383" t="s">
        <v>2720</v>
      </c>
      <c r="D2383" t="s">
        <v>5535</v>
      </c>
      <c r="E2383" s="10" t="s">
        <v>5552</v>
      </c>
      <c r="F2383" s="10"/>
      <c r="G2383" s="10"/>
      <c r="H2383" s="10" t="s">
        <v>5552</v>
      </c>
      <c r="I2383" s="14">
        <v>9367.2390306591988</v>
      </c>
      <c r="J2383" s="19">
        <v>0</v>
      </c>
      <c r="K2383" s="19">
        <v>0.69674265337569219</v>
      </c>
      <c r="L2383" s="19">
        <v>0.30325734662430787</v>
      </c>
      <c r="M2383" s="20">
        <v>2</v>
      </c>
      <c r="N2383" s="19">
        <v>9.2058819101500489E-2</v>
      </c>
      <c r="O2383" s="19">
        <v>0</v>
      </c>
      <c r="P2383" s="19">
        <v>0.6046838342741917</v>
      </c>
      <c r="Q2383" s="19">
        <v>0.10010567828576444</v>
      </c>
      <c r="R2383" s="19">
        <v>0.17641053340543461</v>
      </c>
      <c r="S2383" s="19">
        <v>2.6741134933108753E-2</v>
      </c>
      <c r="T2383" s="20">
        <v>21</v>
      </c>
      <c r="U2383" s="17">
        <v>2</v>
      </c>
      <c r="V2383" s="17">
        <v>34</v>
      </c>
    </row>
    <row r="2384" spans="1:22" x14ac:dyDescent="0.2">
      <c r="A2384" t="s">
        <v>5553</v>
      </c>
      <c r="B2384" t="s">
        <v>2719</v>
      </c>
      <c r="C2384" t="s">
        <v>2720</v>
      </c>
      <c r="D2384" t="s">
        <v>5535</v>
      </c>
      <c r="E2384" s="10" t="s">
        <v>5554</v>
      </c>
      <c r="F2384" s="10"/>
      <c r="G2384" s="10"/>
      <c r="H2384" s="10" t="s">
        <v>5554</v>
      </c>
      <c r="I2384" s="14">
        <v>15023.748970472254</v>
      </c>
      <c r="J2384" s="19">
        <v>0</v>
      </c>
      <c r="K2384" s="19">
        <v>0.84785102306168436</v>
      </c>
      <c r="L2384" s="19">
        <v>0.15214897693831567</v>
      </c>
      <c r="M2384" s="20">
        <v>2</v>
      </c>
      <c r="N2384" s="19">
        <v>0</v>
      </c>
      <c r="O2384" s="19">
        <v>0.84785102306168436</v>
      </c>
      <c r="P2384" s="19">
        <v>0</v>
      </c>
      <c r="Q2384" s="19">
        <v>5.9281180856298812E-2</v>
      </c>
      <c r="R2384" s="19">
        <v>9.2420647019031271E-2</v>
      </c>
      <c r="S2384" s="19">
        <v>4.4714906298558234E-4</v>
      </c>
      <c r="T2384" s="20">
        <v>22</v>
      </c>
      <c r="U2384" s="17">
        <v>2</v>
      </c>
      <c r="V2384" s="17">
        <v>34</v>
      </c>
    </row>
    <row r="2385" spans="1:22" x14ac:dyDescent="0.2">
      <c r="A2385" t="s">
        <v>5555</v>
      </c>
      <c r="B2385" t="s">
        <v>2719</v>
      </c>
      <c r="C2385" t="s">
        <v>2720</v>
      </c>
      <c r="D2385" t="s">
        <v>5535</v>
      </c>
      <c r="E2385" s="10" t="s">
        <v>5556</v>
      </c>
      <c r="F2385" s="10"/>
      <c r="G2385" s="10"/>
      <c r="H2385" s="10" t="s">
        <v>5556</v>
      </c>
      <c r="I2385" s="14">
        <v>18987.267839774955</v>
      </c>
      <c r="J2385" s="19">
        <v>0</v>
      </c>
      <c r="K2385" s="19">
        <v>0</v>
      </c>
      <c r="L2385" s="19">
        <v>1</v>
      </c>
      <c r="M2385" s="20">
        <v>1</v>
      </c>
      <c r="N2385" s="19">
        <v>0</v>
      </c>
      <c r="O2385" s="19">
        <v>0</v>
      </c>
      <c r="P2385" s="19">
        <v>0</v>
      </c>
      <c r="Q2385" s="19">
        <v>0.56339652839106058</v>
      </c>
      <c r="R2385" s="19">
        <v>0.40408783787341357</v>
      </c>
      <c r="S2385" s="19">
        <v>3.2515633735525858E-2</v>
      </c>
      <c r="T2385" s="20">
        <v>13</v>
      </c>
      <c r="U2385" s="17">
        <v>2</v>
      </c>
      <c r="V2385" s="17">
        <v>34</v>
      </c>
    </row>
    <row r="2386" spans="1:22" x14ac:dyDescent="0.2">
      <c r="A2386" t="s">
        <v>5557</v>
      </c>
      <c r="B2386" t="s">
        <v>2719</v>
      </c>
      <c r="C2386" t="s">
        <v>2720</v>
      </c>
      <c r="D2386" t="s">
        <v>5535</v>
      </c>
      <c r="E2386" s="10" t="s">
        <v>4520</v>
      </c>
      <c r="F2386" s="10"/>
      <c r="G2386" s="10"/>
      <c r="H2386" s="10" t="s">
        <v>4520</v>
      </c>
      <c r="I2386" s="14">
        <v>36912.149686847813</v>
      </c>
      <c r="J2386" s="19">
        <v>0</v>
      </c>
      <c r="K2386" s="19">
        <v>0.88106172569365526</v>
      </c>
      <c r="L2386" s="19">
        <v>0.11893827430634478</v>
      </c>
      <c r="M2386" s="20">
        <v>2</v>
      </c>
      <c r="N2386" s="19">
        <v>2.4015296841696527E-2</v>
      </c>
      <c r="O2386" s="19">
        <v>0</v>
      </c>
      <c r="P2386" s="19">
        <v>0.8570464288519587</v>
      </c>
      <c r="Q2386" s="19">
        <v>0</v>
      </c>
      <c r="R2386" s="19">
        <v>0.11662480166394493</v>
      </c>
      <c r="S2386" s="19">
        <v>2.3134726423998495E-3</v>
      </c>
      <c r="T2386" s="20">
        <v>21</v>
      </c>
      <c r="U2386" s="17">
        <v>2</v>
      </c>
      <c r="V2386" s="17">
        <v>34</v>
      </c>
    </row>
    <row r="2387" spans="1:22" x14ac:dyDescent="0.2">
      <c r="A2387" t="s">
        <v>5558</v>
      </c>
      <c r="B2387" t="s">
        <v>2719</v>
      </c>
      <c r="C2387" t="s">
        <v>2720</v>
      </c>
      <c r="D2387" t="s">
        <v>5535</v>
      </c>
      <c r="E2387" s="10" t="s">
        <v>5559</v>
      </c>
      <c r="F2387" s="10"/>
      <c r="G2387" s="10"/>
      <c r="H2387" s="10" t="s">
        <v>5559</v>
      </c>
      <c r="I2387" s="14">
        <v>6472.5527087654918</v>
      </c>
      <c r="J2387" s="19">
        <v>0</v>
      </c>
      <c r="K2387" s="19">
        <v>0</v>
      </c>
      <c r="L2387" s="19">
        <v>1</v>
      </c>
      <c r="M2387" s="20">
        <v>1</v>
      </c>
      <c r="N2387" s="19">
        <v>0</v>
      </c>
      <c r="O2387" s="19">
        <v>0</v>
      </c>
      <c r="P2387" s="19">
        <v>0</v>
      </c>
      <c r="Q2387" s="19">
        <v>0.67452782967514791</v>
      </c>
      <c r="R2387" s="19">
        <v>0.30916979371886499</v>
      </c>
      <c r="S2387" s="19">
        <v>1.6302376605987125E-2</v>
      </c>
      <c r="T2387" s="20">
        <v>13</v>
      </c>
      <c r="U2387" s="17">
        <v>2</v>
      </c>
      <c r="V2387" s="17">
        <v>34</v>
      </c>
    </row>
    <row r="2388" spans="1:22" x14ac:dyDescent="0.2">
      <c r="A2388" t="s">
        <v>5560</v>
      </c>
      <c r="B2388" t="s">
        <v>2719</v>
      </c>
      <c r="C2388" t="s">
        <v>2720</v>
      </c>
      <c r="D2388" t="s">
        <v>5535</v>
      </c>
      <c r="E2388" s="10" t="s">
        <v>5561</v>
      </c>
      <c r="F2388" s="10"/>
      <c r="G2388" s="10"/>
      <c r="H2388" s="10" t="s">
        <v>5561</v>
      </c>
      <c r="I2388" s="14">
        <v>22312.92302056239</v>
      </c>
      <c r="J2388" s="19">
        <v>0.32711626937176291</v>
      </c>
      <c r="K2388" s="19">
        <v>0.2092333241393638</v>
      </c>
      <c r="L2388" s="19">
        <v>0.46365040648887329</v>
      </c>
      <c r="M2388" s="20">
        <v>2</v>
      </c>
      <c r="N2388" s="19">
        <v>0</v>
      </c>
      <c r="O2388" s="19">
        <v>0</v>
      </c>
      <c r="P2388" s="19">
        <v>0.2092333241393638</v>
      </c>
      <c r="Q2388" s="19">
        <v>0.20703222261176676</v>
      </c>
      <c r="R2388" s="19">
        <v>0.22142432986773733</v>
      </c>
      <c r="S2388" s="19">
        <v>3.5193854009369155E-2</v>
      </c>
      <c r="T2388" s="20">
        <v>23</v>
      </c>
      <c r="U2388" s="17">
        <v>2</v>
      </c>
      <c r="V2388" s="17">
        <v>34</v>
      </c>
    </row>
    <row r="2389" spans="1:22" x14ac:dyDescent="0.2">
      <c r="A2389" t="s">
        <v>5562</v>
      </c>
      <c r="B2389" t="s">
        <v>2719</v>
      </c>
      <c r="C2389" t="s">
        <v>2720</v>
      </c>
      <c r="D2389" t="s">
        <v>5535</v>
      </c>
      <c r="E2389" s="10" t="s">
        <v>5563</v>
      </c>
      <c r="F2389" s="10"/>
      <c r="G2389" s="10"/>
      <c r="H2389" s="10" t="s">
        <v>5563</v>
      </c>
      <c r="I2389" s="14">
        <v>35956.164274888113</v>
      </c>
      <c r="J2389" s="19">
        <v>0</v>
      </c>
      <c r="K2389" s="19">
        <v>0.87247373852573495</v>
      </c>
      <c r="L2389" s="19">
        <v>0.12752626147426507</v>
      </c>
      <c r="M2389" s="20">
        <v>2</v>
      </c>
      <c r="N2389" s="19">
        <v>0.16321415424134977</v>
      </c>
      <c r="O2389" s="19">
        <v>0</v>
      </c>
      <c r="P2389" s="19">
        <v>0.70925958428438518</v>
      </c>
      <c r="Q2389" s="19">
        <v>3.41521984365451E-2</v>
      </c>
      <c r="R2389" s="19">
        <v>8.6853484993359029E-2</v>
      </c>
      <c r="S2389" s="19">
        <v>6.5205780443609463E-3</v>
      </c>
      <c r="T2389" s="20">
        <v>21</v>
      </c>
      <c r="U2389" s="17">
        <v>2</v>
      </c>
      <c r="V2389" s="17">
        <v>34</v>
      </c>
    </row>
    <row r="2390" spans="1:22" x14ac:dyDescent="0.2">
      <c r="A2390" t="s">
        <v>5564</v>
      </c>
      <c r="B2390" t="s">
        <v>2719</v>
      </c>
      <c r="C2390" t="s">
        <v>2720</v>
      </c>
      <c r="D2390" t="s">
        <v>5535</v>
      </c>
      <c r="E2390" s="10" t="s">
        <v>5565</v>
      </c>
      <c r="F2390" s="10"/>
      <c r="G2390" s="10"/>
      <c r="H2390" s="10" t="s">
        <v>5565</v>
      </c>
      <c r="I2390" s="14">
        <v>47164.995585329365</v>
      </c>
      <c r="J2390" s="19">
        <v>0</v>
      </c>
      <c r="K2390" s="19">
        <v>0.47526268227659535</v>
      </c>
      <c r="L2390" s="19">
        <v>0.52473731772340471</v>
      </c>
      <c r="M2390" s="20">
        <v>1</v>
      </c>
      <c r="N2390" s="19">
        <v>0</v>
      </c>
      <c r="O2390" s="19">
        <v>0.25677288062572429</v>
      </c>
      <c r="P2390" s="19">
        <v>0.21848980165087106</v>
      </c>
      <c r="Q2390" s="19">
        <v>0.25395154514955126</v>
      </c>
      <c r="R2390" s="19">
        <v>0.2549054681768072</v>
      </c>
      <c r="S2390" s="19">
        <v>1.588030439704622E-2</v>
      </c>
      <c r="T2390" s="20">
        <v>12</v>
      </c>
      <c r="U2390" s="17">
        <v>2</v>
      </c>
      <c r="V2390" s="17">
        <v>34</v>
      </c>
    </row>
    <row r="2391" spans="1:22" x14ac:dyDescent="0.2">
      <c r="A2391" t="s">
        <v>5566</v>
      </c>
      <c r="B2391" t="s">
        <v>2719</v>
      </c>
      <c r="C2391" t="s">
        <v>2720</v>
      </c>
      <c r="D2391" t="s">
        <v>5535</v>
      </c>
      <c r="E2391" s="10" t="s">
        <v>5567</v>
      </c>
      <c r="F2391" s="10"/>
      <c r="G2391" s="10"/>
      <c r="H2391" s="10" t="s">
        <v>5567</v>
      </c>
      <c r="I2391" s="14">
        <v>5767.7581403497607</v>
      </c>
      <c r="J2391" s="19">
        <v>0</v>
      </c>
      <c r="K2391" s="19">
        <v>0.24489052122142316</v>
      </c>
      <c r="L2391" s="19">
        <v>0.75510947877857693</v>
      </c>
      <c r="M2391" s="20">
        <v>1</v>
      </c>
      <c r="N2391" s="19">
        <v>0</v>
      </c>
      <c r="O2391" s="19">
        <v>0.24489052122142316</v>
      </c>
      <c r="P2391" s="19">
        <v>0</v>
      </c>
      <c r="Q2391" s="19">
        <v>0.43214403698943632</v>
      </c>
      <c r="R2391" s="19">
        <v>0.29969785729548853</v>
      </c>
      <c r="S2391" s="19">
        <v>2.326758449365203E-2</v>
      </c>
      <c r="T2391" s="20">
        <v>13</v>
      </c>
      <c r="U2391" s="17">
        <v>2</v>
      </c>
      <c r="V2391" s="17">
        <v>34</v>
      </c>
    </row>
    <row r="2392" spans="1:22" x14ac:dyDescent="0.2">
      <c r="A2392" t="s">
        <v>5568</v>
      </c>
      <c r="B2392" t="s">
        <v>2719</v>
      </c>
      <c r="C2392" t="s">
        <v>2720</v>
      </c>
      <c r="D2392" t="s">
        <v>5535</v>
      </c>
      <c r="E2392" s="10" t="s">
        <v>5569</v>
      </c>
      <c r="F2392" s="10"/>
      <c r="G2392" s="10"/>
      <c r="H2392" s="10" t="s">
        <v>5569</v>
      </c>
      <c r="I2392" s="14">
        <v>9317.7381365422625</v>
      </c>
      <c r="J2392" s="19">
        <v>0</v>
      </c>
      <c r="K2392" s="19">
        <v>0</v>
      </c>
      <c r="L2392" s="19">
        <v>1</v>
      </c>
      <c r="M2392" s="20">
        <v>1</v>
      </c>
      <c r="N2392" s="19">
        <v>0</v>
      </c>
      <c r="O2392" s="19">
        <v>0</v>
      </c>
      <c r="P2392" s="19">
        <v>0</v>
      </c>
      <c r="Q2392" s="19">
        <v>0.48443764361163705</v>
      </c>
      <c r="R2392" s="19">
        <v>0.47000094999150882</v>
      </c>
      <c r="S2392" s="19">
        <v>4.5561406396854111E-2</v>
      </c>
      <c r="T2392" s="20">
        <v>13</v>
      </c>
      <c r="U2392" s="17">
        <v>2</v>
      </c>
      <c r="V2392" s="17">
        <v>34</v>
      </c>
    </row>
    <row r="2393" spans="1:22" x14ac:dyDescent="0.2">
      <c r="A2393" t="s">
        <v>5570</v>
      </c>
      <c r="B2393" t="s">
        <v>2719</v>
      </c>
      <c r="C2393" t="s">
        <v>2720</v>
      </c>
      <c r="D2393" t="s">
        <v>5571</v>
      </c>
      <c r="E2393" s="10" t="s">
        <v>3598</v>
      </c>
      <c r="F2393" s="10"/>
      <c r="G2393" s="10"/>
      <c r="H2393" s="10" t="s">
        <v>3598</v>
      </c>
      <c r="I2393" s="14">
        <v>19900.07023993507</v>
      </c>
      <c r="J2393" s="19">
        <v>0</v>
      </c>
      <c r="K2393" s="19">
        <v>0.84585875464220883</v>
      </c>
      <c r="L2393" s="19">
        <v>0.15414124535779117</v>
      </c>
      <c r="M2393" s="20">
        <v>2</v>
      </c>
      <c r="N2393" s="19">
        <v>0.44944475126103678</v>
      </c>
      <c r="O2393" s="19">
        <v>0</v>
      </c>
      <c r="P2393" s="19">
        <v>0.39641400338117205</v>
      </c>
      <c r="Q2393" s="19">
        <v>4.8078352136529411E-2</v>
      </c>
      <c r="R2393" s="19">
        <v>7.4392810370271012E-2</v>
      </c>
      <c r="S2393" s="19">
        <v>3.1670082850990738E-2</v>
      </c>
      <c r="T2393" s="20">
        <v>23</v>
      </c>
      <c r="U2393" s="17">
        <v>2</v>
      </c>
      <c r="V2393" s="17">
        <v>34</v>
      </c>
    </row>
    <row r="2394" spans="1:22" x14ac:dyDescent="0.2">
      <c r="A2394" t="s">
        <v>5572</v>
      </c>
      <c r="B2394" t="s">
        <v>2719</v>
      </c>
      <c r="C2394" t="s">
        <v>2720</v>
      </c>
      <c r="D2394" t="s">
        <v>5571</v>
      </c>
      <c r="E2394" s="10" t="s">
        <v>5573</v>
      </c>
      <c r="F2394" s="10"/>
      <c r="G2394" s="10"/>
      <c r="H2394" s="10" t="s">
        <v>5573</v>
      </c>
      <c r="I2394" s="14">
        <v>16348.630635279231</v>
      </c>
      <c r="J2394" s="19">
        <v>0</v>
      </c>
      <c r="K2394" s="19">
        <v>0.58576946518175166</v>
      </c>
      <c r="L2394" s="19">
        <v>0.4142305348182484</v>
      </c>
      <c r="M2394" s="20">
        <v>2</v>
      </c>
      <c r="N2394" s="19">
        <v>0.55320134695362955</v>
      </c>
      <c r="O2394" s="19">
        <v>0</v>
      </c>
      <c r="P2394" s="19">
        <v>3.2568118228122084E-2</v>
      </c>
      <c r="Q2394" s="19">
        <v>0.19782653784608273</v>
      </c>
      <c r="R2394" s="19">
        <v>0.18428739551586673</v>
      </c>
      <c r="S2394" s="19">
        <v>3.211660145629891E-2</v>
      </c>
      <c r="T2394" s="20">
        <v>23</v>
      </c>
      <c r="U2394" s="17">
        <v>2</v>
      </c>
      <c r="V2394" s="17">
        <v>34</v>
      </c>
    </row>
    <row r="2395" spans="1:22" x14ac:dyDescent="0.2">
      <c r="A2395" t="s">
        <v>5574</v>
      </c>
      <c r="B2395" t="s">
        <v>2719</v>
      </c>
      <c r="C2395" t="s">
        <v>2720</v>
      </c>
      <c r="D2395" t="s">
        <v>5571</v>
      </c>
      <c r="E2395" s="10" t="s">
        <v>3893</v>
      </c>
      <c r="F2395" s="10"/>
      <c r="G2395" s="10"/>
      <c r="H2395" s="10" t="s">
        <v>3893</v>
      </c>
      <c r="I2395" s="14">
        <v>5243.3436573445797</v>
      </c>
      <c r="J2395" s="19">
        <v>0</v>
      </c>
      <c r="K2395" s="19">
        <v>0.56557218904217887</v>
      </c>
      <c r="L2395" s="19">
        <v>0.43442781095782107</v>
      </c>
      <c r="M2395" s="20">
        <v>2</v>
      </c>
      <c r="N2395" s="19">
        <v>0</v>
      </c>
      <c r="O2395" s="19">
        <v>0.56557218904217887</v>
      </c>
      <c r="P2395" s="19">
        <v>0</v>
      </c>
      <c r="Q2395" s="19">
        <v>0.24052652314229778</v>
      </c>
      <c r="R2395" s="19">
        <v>0.18696435748844648</v>
      </c>
      <c r="S2395" s="19">
        <v>6.9369303270768881E-3</v>
      </c>
      <c r="T2395" s="20">
        <v>22</v>
      </c>
      <c r="U2395" s="17">
        <v>2</v>
      </c>
      <c r="V2395" s="17">
        <v>34</v>
      </c>
    </row>
    <row r="2396" spans="1:22" x14ac:dyDescent="0.2">
      <c r="A2396" t="s">
        <v>5575</v>
      </c>
      <c r="B2396" t="s">
        <v>2719</v>
      </c>
      <c r="C2396" t="s">
        <v>2720</v>
      </c>
      <c r="D2396" t="s">
        <v>5571</v>
      </c>
      <c r="E2396" s="10" t="s">
        <v>5576</v>
      </c>
      <c r="F2396" s="10"/>
      <c r="G2396" s="10"/>
      <c r="H2396" s="10" t="s">
        <v>5576</v>
      </c>
      <c r="I2396" s="14">
        <v>37826.108151978347</v>
      </c>
      <c r="J2396" s="19">
        <v>0</v>
      </c>
      <c r="K2396" s="19">
        <v>0.78276649809500098</v>
      </c>
      <c r="L2396" s="19">
        <v>0.21723350190499904</v>
      </c>
      <c r="M2396" s="20">
        <v>2</v>
      </c>
      <c r="N2396" s="19">
        <v>0.32092679794868545</v>
      </c>
      <c r="O2396" s="19">
        <v>0.26879566913118447</v>
      </c>
      <c r="P2396" s="19">
        <v>0.19304403101513107</v>
      </c>
      <c r="Q2396" s="19">
        <v>0.10809714753162249</v>
      </c>
      <c r="R2396" s="19">
        <v>9.7802419743340002E-2</v>
      </c>
      <c r="S2396" s="19">
        <v>1.1333934630036541E-2</v>
      </c>
      <c r="T2396" s="20">
        <v>23</v>
      </c>
      <c r="U2396" s="17">
        <v>2</v>
      </c>
      <c r="V2396" s="17">
        <v>34</v>
      </c>
    </row>
    <row r="2397" spans="1:22" x14ac:dyDescent="0.2">
      <c r="A2397" t="s">
        <v>5577</v>
      </c>
      <c r="B2397" t="s">
        <v>2719</v>
      </c>
      <c r="C2397" t="s">
        <v>2720</v>
      </c>
      <c r="D2397" t="s">
        <v>5571</v>
      </c>
      <c r="E2397" s="10" t="s">
        <v>5578</v>
      </c>
      <c r="F2397" s="10"/>
      <c r="G2397" s="10"/>
      <c r="H2397" s="10" t="s">
        <v>5578</v>
      </c>
      <c r="I2397" s="14">
        <v>29214.939202170823</v>
      </c>
      <c r="J2397" s="19">
        <v>0</v>
      </c>
      <c r="K2397" s="19">
        <v>0.57653229242174275</v>
      </c>
      <c r="L2397" s="19">
        <v>0.42346770757825708</v>
      </c>
      <c r="M2397" s="20">
        <v>2</v>
      </c>
      <c r="N2397" s="19">
        <v>0</v>
      </c>
      <c r="O2397" s="19">
        <v>0.4762113829340256</v>
      </c>
      <c r="P2397" s="19">
        <v>0.1003209094877172</v>
      </c>
      <c r="Q2397" s="19">
        <v>0.29026699472219414</v>
      </c>
      <c r="R2397" s="19">
        <v>0.1232555383823056</v>
      </c>
      <c r="S2397" s="19">
        <v>9.9451744737573573E-3</v>
      </c>
      <c r="T2397" s="20">
        <v>22</v>
      </c>
      <c r="U2397" s="17">
        <v>2</v>
      </c>
      <c r="V2397" s="17">
        <v>34</v>
      </c>
    </row>
    <row r="2398" spans="1:22" x14ac:dyDescent="0.2">
      <c r="A2398" t="s">
        <v>5579</v>
      </c>
      <c r="B2398" t="s">
        <v>2719</v>
      </c>
      <c r="C2398" t="s">
        <v>2720</v>
      </c>
      <c r="D2398" t="s">
        <v>5571</v>
      </c>
      <c r="E2398" s="10" t="s">
        <v>5580</v>
      </c>
      <c r="F2398" s="10"/>
      <c r="G2398" s="10"/>
      <c r="H2398" s="10" t="s">
        <v>5580</v>
      </c>
      <c r="I2398" s="14">
        <v>24124.269922467181</v>
      </c>
      <c r="J2398" s="19">
        <v>0</v>
      </c>
      <c r="K2398" s="19">
        <v>0.28124663794407617</v>
      </c>
      <c r="L2398" s="19">
        <v>0.71875336205592377</v>
      </c>
      <c r="M2398" s="20">
        <v>1</v>
      </c>
      <c r="N2398" s="19">
        <v>0.28124663794407617</v>
      </c>
      <c r="O2398" s="19">
        <v>0</v>
      </c>
      <c r="P2398" s="19">
        <v>0</v>
      </c>
      <c r="Q2398" s="19">
        <v>0.57124706231714606</v>
      </c>
      <c r="R2398" s="19">
        <v>0.13979570475851413</v>
      </c>
      <c r="S2398" s="19">
        <v>7.7105949802635373E-3</v>
      </c>
      <c r="T2398" s="20">
        <v>13</v>
      </c>
      <c r="U2398" s="17">
        <v>2</v>
      </c>
      <c r="V2398" s="17">
        <v>34</v>
      </c>
    </row>
    <row r="2399" spans="1:22" x14ac:dyDescent="0.2">
      <c r="A2399" t="s">
        <v>5581</v>
      </c>
      <c r="B2399" t="s">
        <v>2719</v>
      </c>
      <c r="C2399" t="s">
        <v>2720</v>
      </c>
      <c r="D2399" t="s">
        <v>5571</v>
      </c>
      <c r="E2399" s="10" t="s">
        <v>5233</v>
      </c>
      <c r="F2399" s="10"/>
      <c r="G2399" s="10"/>
      <c r="H2399" s="10" t="s">
        <v>5233</v>
      </c>
      <c r="I2399" s="14">
        <v>20614.564584939973</v>
      </c>
      <c r="J2399" s="19">
        <v>0</v>
      </c>
      <c r="K2399" s="19">
        <v>0.70710039904390343</v>
      </c>
      <c r="L2399" s="19">
        <v>0.29289960095609663</v>
      </c>
      <c r="M2399" s="20">
        <v>2</v>
      </c>
      <c r="N2399" s="19">
        <v>0.2671577850560794</v>
      </c>
      <c r="O2399" s="19">
        <v>0</v>
      </c>
      <c r="P2399" s="19">
        <v>0.43994261398782397</v>
      </c>
      <c r="Q2399" s="19">
        <v>0.20909548964746433</v>
      </c>
      <c r="R2399" s="19">
        <v>8.2300656604177722E-2</v>
      </c>
      <c r="S2399" s="19">
        <v>1.5034547044545767E-3</v>
      </c>
      <c r="T2399" s="20">
        <v>23</v>
      </c>
      <c r="U2399" s="17">
        <v>2</v>
      </c>
      <c r="V2399" s="17">
        <v>34</v>
      </c>
    </row>
    <row r="2400" spans="1:22" x14ac:dyDescent="0.2">
      <c r="A2400" t="s">
        <v>5582</v>
      </c>
      <c r="B2400" t="s">
        <v>2719</v>
      </c>
      <c r="C2400" t="s">
        <v>2720</v>
      </c>
      <c r="D2400" t="s">
        <v>5571</v>
      </c>
      <c r="E2400" s="10" t="s">
        <v>5583</v>
      </c>
      <c r="F2400" s="10"/>
      <c r="G2400" s="10"/>
      <c r="H2400" s="10" t="s">
        <v>5583</v>
      </c>
      <c r="I2400" s="14">
        <v>22980.304067299701</v>
      </c>
      <c r="J2400" s="19">
        <v>0</v>
      </c>
      <c r="K2400" s="19">
        <v>0.83320716594053246</v>
      </c>
      <c r="L2400" s="19">
        <v>0.16679283405946752</v>
      </c>
      <c r="M2400" s="20">
        <v>2</v>
      </c>
      <c r="N2400" s="19">
        <v>0</v>
      </c>
      <c r="O2400" s="19">
        <v>0</v>
      </c>
      <c r="P2400" s="19">
        <v>0.83320716594053246</v>
      </c>
      <c r="Q2400" s="19">
        <v>9.8903680653054327E-2</v>
      </c>
      <c r="R2400" s="19">
        <v>5.8111557474802386E-2</v>
      </c>
      <c r="S2400" s="19">
        <v>9.7775959316108024E-3</v>
      </c>
      <c r="T2400" s="20">
        <v>21</v>
      </c>
      <c r="U2400" s="17">
        <v>2</v>
      </c>
      <c r="V2400" s="17">
        <v>34</v>
      </c>
    </row>
    <row r="2401" spans="1:22" x14ac:dyDescent="0.2">
      <c r="A2401" t="s">
        <v>5584</v>
      </c>
      <c r="B2401" t="s">
        <v>2719</v>
      </c>
      <c r="C2401" t="s">
        <v>2720</v>
      </c>
      <c r="D2401" t="s">
        <v>5571</v>
      </c>
      <c r="E2401" s="10" t="s">
        <v>5585</v>
      </c>
      <c r="F2401" s="10"/>
      <c r="G2401" s="10"/>
      <c r="H2401" s="10" t="s">
        <v>5585</v>
      </c>
      <c r="I2401" s="14">
        <v>33525.301608588547</v>
      </c>
      <c r="J2401" s="19">
        <v>0</v>
      </c>
      <c r="K2401" s="19">
        <v>0.83936778028492587</v>
      </c>
      <c r="L2401" s="19">
        <v>0.16063221971507416</v>
      </c>
      <c r="M2401" s="20">
        <v>2</v>
      </c>
      <c r="N2401" s="19">
        <v>0.2910944863224243</v>
      </c>
      <c r="O2401" s="19">
        <v>0</v>
      </c>
      <c r="P2401" s="19">
        <v>0.54827329396250157</v>
      </c>
      <c r="Q2401" s="19">
        <v>1.5925335236712385E-2</v>
      </c>
      <c r="R2401" s="19">
        <v>0.13715524746063615</v>
      </c>
      <c r="S2401" s="19">
        <v>7.5516370177256317E-3</v>
      </c>
      <c r="T2401" s="20">
        <v>21</v>
      </c>
      <c r="U2401" s="17">
        <v>2</v>
      </c>
      <c r="V2401" s="17">
        <v>34</v>
      </c>
    </row>
    <row r="2402" spans="1:22" x14ac:dyDescent="0.2">
      <c r="A2402" t="s">
        <v>5586</v>
      </c>
      <c r="B2402" t="s">
        <v>2719</v>
      </c>
      <c r="C2402" t="s">
        <v>2720</v>
      </c>
      <c r="D2402" t="s">
        <v>5571</v>
      </c>
      <c r="E2402" s="10" t="s">
        <v>2793</v>
      </c>
      <c r="F2402" s="10"/>
      <c r="G2402" s="10"/>
      <c r="H2402" s="10" t="s">
        <v>2793</v>
      </c>
      <c r="I2402" s="14">
        <v>0.83952876925468445</v>
      </c>
      <c r="J2402" s="19">
        <v>0</v>
      </c>
      <c r="K2402" s="19">
        <v>1</v>
      </c>
      <c r="L2402" s="19">
        <v>0</v>
      </c>
      <c r="M2402" s="20">
        <v>2</v>
      </c>
      <c r="N2402" s="19">
        <v>1</v>
      </c>
      <c r="O2402" s="19">
        <v>0</v>
      </c>
      <c r="P2402" s="19">
        <v>0</v>
      </c>
      <c r="Q2402" s="19">
        <v>0</v>
      </c>
      <c r="R2402" s="19">
        <v>0</v>
      </c>
      <c r="S2402" s="19">
        <v>0</v>
      </c>
      <c r="T2402" s="20">
        <v>23</v>
      </c>
      <c r="U2402" s="17">
        <v>2</v>
      </c>
      <c r="V2402" s="17">
        <v>34</v>
      </c>
    </row>
    <row r="2403" spans="1:22" x14ac:dyDescent="0.2">
      <c r="A2403" t="s">
        <v>5587</v>
      </c>
      <c r="B2403" t="s">
        <v>2719</v>
      </c>
      <c r="C2403" t="s">
        <v>2720</v>
      </c>
      <c r="D2403" t="s">
        <v>5571</v>
      </c>
      <c r="E2403" s="10" t="s">
        <v>5588</v>
      </c>
      <c r="F2403" s="10"/>
      <c r="G2403" s="10"/>
      <c r="H2403" s="10" t="s">
        <v>5588</v>
      </c>
      <c r="I2403" s="14">
        <v>23984.028271123767</v>
      </c>
      <c r="J2403" s="19">
        <v>0</v>
      </c>
      <c r="K2403" s="19">
        <v>0.38869056534745638</v>
      </c>
      <c r="L2403" s="19">
        <v>0.6113094346525435</v>
      </c>
      <c r="M2403" s="20">
        <v>1</v>
      </c>
      <c r="N2403" s="19">
        <v>0</v>
      </c>
      <c r="O2403" s="19">
        <v>0.37093152352820818</v>
      </c>
      <c r="P2403" s="19">
        <v>1.7759041819248169E-2</v>
      </c>
      <c r="Q2403" s="19">
        <v>0.50688228075475239</v>
      </c>
      <c r="R2403" s="19">
        <v>9.5387542612629786E-2</v>
      </c>
      <c r="S2403" s="19">
        <v>9.0396112851614425E-3</v>
      </c>
      <c r="T2403" s="20">
        <v>13</v>
      </c>
      <c r="U2403" s="17">
        <v>2</v>
      </c>
      <c r="V2403" s="17">
        <v>34</v>
      </c>
    </row>
    <row r="2404" spans="1:22" x14ac:dyDescent="0.2">
      <c r="A2404" t="s">
        <v>5589</v>
      </c>
      <c r="B2404" t="s">
        <v>2719</v>
      </c>
      <c r="C2404" t="s">
        <v>2720</v>
      </c>
      <c r="D2404" t="s">
        <v>5571</v>
      </c>
      <c r="E2404" s="10" t="s">
        <v>2758</v>
      </c>
      <c r="F2404" s="10"/>
      <c r="G2404" s="10"/>
      <c r="H2404" s="10" t="s">
        <v>2758</v>
      </c>
      <c r="I2404" s="14">
        <v>13693.024351354106</v>
      </c>
      <c r="J2404" s="19">
        <v>0</v>
      </c>
      <c r="K2404" s="19">
        <v>0.48379434013061345</v>
      </c>
      <c r="L2404" s="19">
        <v>0.51620565986938649</v>
      </c>
      <c r="M2404" s="20">
        <v>1</v>
      </c>
      <c r="N2404" s="19">
        <v>0</v>
      </c>
      <c r="O2404" s="19">
        <v>0.46557860301568377</v>
      </c>
      <c r="P2404" s="19">
        <v>1.8215737114929735E-2</v>
      </c>
      <c r="Q2404" s="19">
        <v>0.39244053428357439</v>
      </c>
      <c r="R2404" s="19">
        <v>0.11696631915821808</v>
      </c>
      <c r="S2404" s="19">
        <v>6.7988064275940566E-3</v>
      </c>
      <c r="T2404" s="20">
        <v>13</v>
      </c>
      <c r="U2404" s="17">
        <v>2</v>
      </c>
      <c r="V2404" s="17">
        <v>34</v>
      </c>
    </row>
    <row r="2405" spans="1:22" x14ac:dyDescent="0.2">
      <c r="A2405" t="s">
        <v>5590</v>
      </c>
      <c r="B2405" t="s">
        <v>2719</v>
      </c>
      <c r="C2405" t="s">
        <v>2720</v>
      </c>
      <c r="D2405" t="s">
        <v>5571</v>
      </c>
      <c r="E2405" s="10" t="s">
        <v>4581</v>
      </c>
      <c r="F2405" s="10"/>
      <c r="G2405" s="10"/>
      <c r="H2405" s="10" t="s">
        <v>4581</v>
      </c>
      <c r="I2405" s="14">
        <v>32155.973393637687</v>
      </c>
      <c r="J2405" s="19">
        <v>0</v>
      </c>
      <c r="K2405" s="19">
        <v>0.7609572552791164</v>
      </c>
      <c r="L2405" s="19">
        <v>0.2390427447208836</v>
      </c>
      <c r="M2405" s="20">
        <v>2</v>
      </c>
      <c r="N2405" s="19">
        <v>0.27802642089600776</v>
      </c>
      <c r="O2405" s="19">
        <v>0</v>
      </c>
      <c r="P2405" s="19">
        <v>0.48293083438310863</v>
      </c>
      <c r="Q2405" s="19">
        <v>0.13455305822100319</v>
      </c>
      <c r="R2405" s="19">
        <v>9.8954974328156212E-2</v>
      </c>
      <c r="S2405" s="19">
        <v>5.5347121717242154E-3</v>
      </c>
      <c r="T2405" s="20">
        <v>23</v>
      </c>
      <c r="U2405" s="17">
        <v>2</v>
      </c>
      <c r="V2405" s="17">
        <v>34</v>
      </c>
    </row>
    <row r="2406" spans="1:22" x14ac:dyDescent="0.2">
      <c r="A2406" t="s">
        <v>5591</v>
      </c>
      <c r="B2406" t="s">
        <v>2719</v>
      </c>
      <c r="C2406" t="s">
        <v>2720</v>
      </c>
      <c r="D2406" t="s">
        <v>5571</v>
      </c>
      <c r="E2406" s="10" t="s">
        <v>5592</v>
      </c>
      <c r="F2406" s="10"/>
      <c r="G2406" s="10"/>
      <c r="H2406" s="10" t="s">
        <v>5592</v>
      </c>
      <c r="I2406" s="14">
        <v>6486.419690541923</v>
      </c>
      <c r="J2406" s="19">
        <v>0</v>
      </c>
      <c r="K2406" s="19">
        <v>0.60194207182287551</v>
      </c>
      <c r="L2406" s="19">
        <v>0.39805792817712449</v>
      </c>
      <c r="M2406" s="20">
        <v>2</v>
      </c>
      <c r="N2406" s="19">
        <v>0</v>
      </c>
      <c r="O2406" s="19">
        <v>0.60194207182287551</v>
      </c>
      <c r="P2406" s="19">
        <v>0</v>
      </c>
      <c r="Q2406" s="19">
        <v>0.30672660588279554</v>
      </c>
      <c r="R2406" s="19">
        <v>8.1187306820574887E-2</v>
      </c>
      <c r="S2406" s="19">
        <v>1.0144015473754084E-2</v>
      </c>
      <c r="T2406" s="20">
        <v>22</v>
      </c>
      <c r="U2406" s="17">
        <v>2</v>
      </c>
      <c r="V2406" s="17">
        <v>34</v>
      </c>
    </row>
    <row r="2407" spans="1:22" x14ac:dyDescent="0.2">
      <c r="A2407" t="s">
        <v>5593</v>
      </c>
      <c r="B2407" t="s">
        <v>2719</v>
      </c>
      <c r="C2407" t="s">
        <v>2720</v>
      </c>
      <c r="D2407" t="s">
        <v>5571</v>
      </c>
      <c r="E2407" s="10" t="s">
        <v>2817</v>
      </c>
      <c r="F2407" s="10"/>
      <c r="G2407" s="10"/>
      <c r="H2407" s="10" t="s">
        <v>2817</v>
      </c>
      <c r="I2407" s="14">
        <v>17277.509963797405</v>
      </c>
      <c r="J2407" s="19">
        <v>0</v>
      </c>
      <c r="K2407" s="19">
        <v>0.83222382562700559</v>
      </c>
      <c r="L2407" s="19">
        <v>0.16777617437299436</v>
      </c>
      <c r="M2407" s="20">
        <v>2</v>
      </c>
      <c r="N2407" s="19">
        <v>0</v>
      </c>
      <c r="O2407" s="19">
        <v>0</v>
      </c>
      <c r="P2407" s="19">
        <v>0.83222382562700559</v>
      </c>
      <c r="Q2407" s="19">
        <v>0.10109805971816127</v>
      </c>
      <c r="R2407" s="19">
        <v>6.270890831008645E-2</v>
      </c>
      <c r="S2407" s="19">
        <v>3.9692063447466586E-3</v>
      </c>
      <c r="T2407" s="20">
        <v>21</v>
      </c>
      <c r="U2407" s="17">
        <v>2</v>
      </c>
      <c r="V2407" s="17">
        <v>34</v>
      </c>
    </row>
    <row r="2408" spans="1:22" x14ac:dyDescent="0.2">
      <c r="A2408" t="s">
        <v>5594</v>
      </c>
      <c r="B2408" t="s">
        <v>2719</v>
      </c>
      <c r="C2408" t="s">
        <v>2720</v>
      </c>
      <c r="D2408" t="s">
        <v>5571</v>
      </c>
      <c r="E2408" s="10" t="s">
        <v>2762</v>
      </c>
      <c r="F2408" s="10"/>
      <c r="G2408" s="10"/>
      <c r="H2408" s="10" t="s">
        <v>2762</v>
      </c>
      <c r="I2408" s="14">
        <v>9730.5225949054584</v>
      </c>
      <c r="J2408" s="19">
        <v>0</v>
      </c>
      <c r="K2408" s="19">
        <v>0</v>
      </c>
      <c r="L2408" s="19">
        <v>1</v>
      </c>
      <c r="M2408" s="20">
        <v>1</v>
      </c>
      <c r="N2408" s="19">
        <v>0</v>
      </c>
      <c r="O2408" s="19">
        <v>0</v>
      </c>
      <c r="P2408" s="19">
        <v>0</v>
      </c>
      <c r="Q2408" s="19">
        <v>0.71042747595865174</v>
      </c>
      <c r="R2408" s="19">
        <v>0.26948459048286327</v>
      </c>
      <c r="S2408" s="19">
        <v>2.008793355848501E-2</v>
      </c>
      <c r="T2408" s="20">
        <v>13</v>
      </c>
      <c r="U2408" s="17">
        <v>2</v>
      </c>
      <c r="V2408" s="17">
        <v>34</v>
      </c>
    </row>
    <row r="2409" spans="1:22" x14ac:dyDescent="0.2">
      <c r="A2409" t="s">
        <v>5595</v>
      </c>
      <c r="B2409" t="s">
        <v>2719</v>
      </c>
      <c r="C2409" t="s">
        <v>2720</v>
      </c>
      <c r="D2409" t="s">
        <v>5571</v>
      </c>
      <c r="E2409" s="10" t="s">
        <v>5596</v>
      </c>
      <c r="F2409" s="10"/>
      <c r="G2409" s="10"/>
      <c r="H2409" s="10" t="s">
        <v>5596</v>
      </c>
      <c r="I2409" s="14">
        <v>11386.069875819609</v>
      </c>
      <c r="J2409" s="19">
        <v>0</v>
      </c>
      <c r="K2409" s="19">
        <v>0.64712087436408183</v>
      </c>
      <c r="L2409" s="19">
        <v>0.35287912563591806</v>
      </c>
      <c r="M2409" s="20">
        <v>2</v>
      </c>
      <c r="N2409" s="19">
        <v>0</v>
      </c>
      <c r="O2409" s="19">
        <v>0.64712087436408183</v>
      </c>
      <c r="P2409" s="19">
        <v>0</v>
      </c>
      <c r="Q2409" s="19">
        <v>0.28183892462818744</v>
      </c>
      <c r="R2409" s="19">
        <v>6.5473667642779454E-2</v>
      </c>
      <c r="S2409" s="19">
        <v>5.5665333649512344E-3</v>
      </c>
      <c r="T2409" s="20">
        <v>22</v>
      </c>
      <c r="U2409" s="17">
        <v>2</v>
      </c>
      <c r="V2409" s="17">
        <v>34</v>
      </c>
    </row>
    <row r="2410" spans="1:22" x14ac:dyDescent="0.2">
      <c r="A2410" t="s">
        <v>5597</v>
      </c>
      <c r="B2410" t="s">
        <v>2719</v>
      </c>
      <c r="C2410" t="s">
        <v>2720</v>
      </c>
      <c r="D2410" t="s">
        <v>5571</v>
      </c>
      <c r="E2410" s="10" t="s">
        <v>5203</v>
      </c>
      <c r="F2410" s="10"/>
      <c r="G2410" s="10"/>
      <c r="H2410" s="10" t="s">
        <v>5203</v>
      </c>
      <c r="I2410" s="14">
        <v>14102.205606816337</v>
      </c>
      <c r="J2410" s="19">
        <v>0</v>
      </c>
      <c r="K2410" s="19">
        <v>0.6739674330535762</v>
      </c>
      <c r="L2410" s="19">
        <v>0.32603256694642385</v>
      </c>
      <c r="M2410" s="20">
        <v>2</v>
      </c>
      <c r="N2410" s="19">
        <v>0</v>
      </c>
      <c r="O2410" s="19">
        <v>0</v>
      </c>
      <c r="P2410" s="19">
        <v>0.6739674330535762</v>
      </c>
      <c r="Q2410" s="19">
        <v>0</v>
      </c>
      <c r="R2410" s="19">
        <v>0.30577491219711561</v>
      </c>
      <c r="S2410" s="19">
        <v>2.0257654749308213E-2</v>
      </c>
      <c r="T2410" s="20">
        <v>21</v>
      </c>
      <c r="U2410" s="17">
        <v>2</v>
      </c>
      <c r="V2410" s="17">
        <v>34</v>
      </c>
    </row>
    <row r="2411" spans="1:22" x14ac:dyDescent="0.2">
      <c r="A2411" t="s">
        <v>5598</v>
      </c>
      <c r="B2411" t="s">
        <v>2719</v>
      </c>
      <c r="C2411" t="s">
        <v>2720</v>
      </c>
      <c r="D2411" t="s">
        <v>5571</v>
      </c>
      <c r="E2411" s="10" t="s">
        <v>5046</v>
      </c>
      <c r="F2411" s="10"/>
      <c r="G2411" s="10"/>
      <c r="H2411" s="10" t="s">
        <v>5046</v>
      </c>
      <c r="I2411" s="14">
        <v>25829.575287425105</v>
      </c>
      <c r="J2411" s="19">
        <v>0</v>
      </c>
      <c r="K2411" s="19">
        <v>0.64809335002046486</v>
      </c>
      <c r="L2411" s="19">
        <v>0.35190664997953514</v>
      </c>
      <c r="M2411" s="20">
        <v>2</v>
      </c>
      <c r="N2411" s="19">
        <v>0.48103118864357852</v>
      </c>
      <c r="O2411" s="19">
        <v>0</v>
      </c>
      <c r="P2411" s="19">
        <v>0.16706216137688637</v>
      </c>
      <c r="Q2411" s="19">
        <v>0.17483001419872324</v>
      </c>
      <c r="R2411" s="19">
        <v>0.16279630502074893</v>
      </c>
      <c r="S2411" s="19">
        <v>1.4280330760062954E-2</v>
      </c>
      <c r="T2411" s="20">
        <v>23</v>
      </c>
      <c r="U2411" s="17">
        <v>2</v>
      </c>
      <c r="V2411" s="17">
        <v>34</v>
      </c>
    </row>
    <row r="2412" spans="1:22" x14ac:dyDescent="0.2">
      <c r="A2412" t="s">
        <v>5599</v>
      </c>
      <c r="B2412" t="s">
        <v>2719</v>
      </c>
      <c r="C2412" t="s">
        <v>2720</v>
      </c>
      <c r="D2412" t="s">
        <v>5571</v>
      </c>
      <c r="E2412" s="10" t="s">
        <v>5600</v>
      </c>
      <c r="F2412" s="10"/>
      <c r="G2412" s="10"/>
      <c r="H2412" s="10" t="s">
        <v>5600</v>
      </c>
      <c r="I2412" s="14">
        <v>181058.92828760017</v>
      </c>
      <c r="J2412" s="19">
        <v>0.59592637472899979</v>
      </c>
      <c r="K2412" s="19">
        <v>0.32024029742365839</v>
      </c>
      <c r="L2412" s="19">
        <v>8.3833327847341821E-2</v>
      </c>
      <c r="M2412" s="20">
        <v>3</v>
      </c>
      <c r="N2412" s="19">
        <v>3.004178967240238E-2</v>
      </c>
      <c r="O2412" s="19">
        <v>0.10188510575755834</v>
      </c>
      <c r="P2412" s="19">
        <v>0.18831340199369764</v>
      </c>
      <c r="Q2412" s="19">
        <v>4.9343917080294612E-2</v>
      </c>
      <c r="R2412" s="19">
        <v>3.2053906906944207E-2</v>
      </c>
      <c r="S2412" s="19">
        <v>2.4355038601030208E-3</v>
      </c>
      <c r="T2412" s="20">
        <v>30</v>
      </c>
      <c r="U2412" s="17">
        <v>2</v>
      </c>
      <c r="V2412" s="17">
        <v>34</v>
      </c>
    </row>
    <row r="2413" spans="1:22" x14ac:dyDescent="0.2">
      <c r="A2413" t="s">
        <v>5601</v>
      </c>
      <c r="B2413" t="s">
        <v>2719</v>
      </c>
      <c r="C2413" t="s">
        <v>2720</v>
      </c>
      <c r="D2413" t="s">
        <v>5571</v>
      </c>
      <c r="E2413" s="10" t="s">
        <v>5602</v>
      </c>
      <c r="F2413" s="10"/>
      <c r="G2413" s="10"/>
      <c r="H2413" s="10" t="s">
        <v>5602</v>
      </c>
      <c r="I2413" s="14">
        <v>19241.136001501232</v>
      </c>
      <c r="J2413" s="19">
        <v>0</v>
      </c>
      <c r="K2413" s="19">
        <v>0.55905995374557871</v>
      </c>
      <c r="L2413" s="19">
        <v>0.44094004625442129</v>
      </c>
      <c r="M2413" s="20">
        <v>2</v>
      </c>
      <c r="N2413" s="19">
        <v>0</v>
      </c>
      <c r="O2413" s="19">
        <v>0.46438121328851828</v>
      </c>
      <c r="P2413" s="19">
        <v>9.4678740457060429E-2</v>
      </c>
      <c r="Q2413" s="19">
        <v>0.3520794667105418</v>
      </c>
      <c r="R2413" s="19">
        <v>7.8339236331098711E-2</v>
      </c>
      <c r="S2413" s="19">
        <v>1.0521343212780818E-2</v>
      </c>
      <c r="T2413" s="20">
        <v>22</v>
      </c>
      <c r="U2413" s="17">
        <v>2</v>
      </c>
      <c r="V2413" s="17">
        <v>34</v>
      </c>
    </row>
    <row r="2414" spans="1:22" x14ac:dyDescent="0.2">
      <c r="A2414" t="s">
        <v>5603</v>
      </c>
      <c r="B2414" t="s">
        <v>2719</v>
      </c>
      <c r="C2414" t="s">
        <v>2720</v>
      </c>
      <c r="D2414" t="s">
        <v>5571</v>
      </c>
      <c r="E2414" s="10" t="s">
        <v>4302</v>
      </c>
      <c r="F2414" s="10"/>
      <c r="G2414" s="10"/>
      <c r="H2414" s="10" t="s">
        <v>4302</v>
      </c>
      <c r="I2414" s="14">
        <v>16696.232497550547</v>
      </c>
      <c r="J2414" s="19">
        <v>0</v>
      </c>
      <c r="K2414" s="19">
        <v>0.89819541607545195</v>
      </c>
      <c r="L2414" s="19">
        <v>0.10180458392454801</v>
      </c>
      <c r="M2414" s="20">
        <v>2</v>
      </c>
      <c r="N2414" s="19">
        <v>0.38088025872658909</v>
      </c>
      <c r="O2414" s="19">
        <v>0</v>
      </c>
      <c r="P2414" s="19">
        <v>0.51731515734886291</v>
      </c>
      <c r="Q2414" s="19">
        <v>0</v>
      </c>
      <c r="R2414" s="19">
        <v>0.10006863365946143</v>
      </c>
      <c r="S2414" s="19">
        <v>1.7359502650865842E-3</v>
      </c>
      <c r="T2414" s="20">
        <v>21</v>
      </c>
      <c r="U2414" s="17">
        <v>2</v>
      </c>
      <c r="V2414" s="17">
        <v>34</v>
      </c>
    </row>
    <row r="2415" spans="1:22" x14ac:dyDescent="0.2">
      <c r="A2415" t="s">
        <v>5604</v>
      </c>
      <c r="B2415" t="s">
        <v>2719</v>
      </c>
      <c r="C2415" t="s">
        <v>2720</v>
      </c>
      <c r="D2415" t="s">
        <v>5605</v>
      </c>
      <c r="E2415" s="10" t="s">
        <v>5606</v>
      </c>
      <c r="F2415" s="10"/>
      <c r="G2415" s="10"/>
      <c r="H2415" s="10" t="s">
        <v>5606</v>
      </c>
      <c r="I2415" s="14">
        <v>51018.011178899556</v>
      </c>
      <c r="J2415" s="19">
        <v>0</v>
      </c>
      <c r="K2415" s="19">
        <v>0.7230410754932215</v>
      </c>
      <c r="L2415" s="19">
        <v>0.27695892450677856</v>
      </c>
      <c r="M2415" s="20">
        <v>2</v>
      </c>
      <c r="N2415" s="19">
        <v>0.25048391988347668</v>
      </c>
      <c r="O2415" s="19">
        <v>0</v>
      </c>
      <c r="P2415" s="19">
        <v>0.47255715560974482</v>
      </c>
      <c r="Q2415" s="19">
        <v>0.18051894391911799</v>
      </c>
      <c r="R2415" s="19">
        <v>8.739800613947353E-2</v>
      </c>
      <c r="S2415" s="19">
        <v>9.0419744481870217E-3</v>
      </c>
      <c r="T2415" s="20">
        <v>23</v>
      </c>
      <c r="U2415" s="17">
        <v>2</v>
      </c>
      <c r="V2415" s="17">
        <v>34</v>
      </c>
    </row>
    <row r="2416" spans="1:22" x14ac:dyDescent="0.2">
      <c r="A2416" t="s">
        <v>5607</v>
      </c>
      <c r="B2416" t="s">
        <v>2719</v>
      </c>
      <c r="C2416" t="s">
        <v>2720</v>
      </c>
      <c r="D2416" t="s">
        <v>5605</v>
      </c>
      <c r="E2416" s="10" t="s">
        <v>5608</v>
      </c>
      <c r="F2416" s="10"/>
      <c r="G2416" s="10"/>
      <c r="H2416" s="10" t="s">
        <v>5608</v>
      </c>
      <c r="I2416" s="14">
        <v>9112.045097835362</v>
      </c>
      <c r="J2416" s="19">
        <v>0</v>
      </c>
      <c r="K2416" s="19">
        <v>0.12140934862169696</v>
      </c>
      <c r="L2416" s="19">
        <v>0.87859065137830294</v>
      </c>
      <c r="M2416" s="20">
        <v>1</v>
      </c>
      <c r="N2416" s="19">
        <v>7.3723684440166973E-3</v>
      </c>
      <c r="O2416" s="19">
        <v>0.11403698017768027</v>
      </c>
      <c r="P2416" s="19">
        <v>0</v>
      </c>
      <c r="Q2416" s="19">
        <v>0.74112853835056203</v>
      </c>
      <c r="R2416" s="19">
        <v>0.11369933804603376</v>
      </c>
      <c r="S2416" s="19">
        <v>2.3762774981707296E-2</v>
      </c>
      <c r="T2416" s="20">
        <v>13</v>
      </c>
      <c r="U2416" s="17">
        <v>2</v>
      </c>
      <c r="V2416" s="17">
        <v>34</v>
      </c>
    </row>
    <row r="2417" spans="1:22" x14ac:dyDescent="0.2">
      <c r="A2417" t="s">
        <v>5609</v>
      </c>
      <c r="B2417" t="s">
        <v>2719</v>
      </c>
      <c r="C2417" t="s">
        <v>2720</v>
      </c>
      <c r="D2417" t="s">
        <v>5605</v>
      </c>
      <c r="E2417" s="10" t="s">
        <v>5610</v>
      </c>
      <c r="F2417" s="10"/>
      <c r="G2417" s="10"/>
      <c r="H2417" s="10" t="s">
        <v>5610</v>
      </c>
      <c r="I2417" s="14">
        <v>99788.870515502989</v>
      </c>
      <c r="J2417" s="19">
        <v>0</v>
      </c>
      <c r="K2417" s="19">
        <v>0.77017340254284494</v>
      </c>
      <c r="L2417" s="19">
        <v>0.22982659745715503</v>
      </c>
      <c r="M2417" s="20">
        <v>2</v>
      </c>
      <c r="N2417" s="19">
        <v>0.63428278662173421</v>
      </c>
      <c r="O2417" s="19">
        <v>0</v>
      </c>
      <c r="P2417" s="19">
        <v>0.13589061592111082</v>
      </c>
      <c r="Q2417" s="19">
        <v>0.12623986404161044</v>
      </c>
      <c r="R2417" s="19">
        <v>9.2139992561432585E-2</v>
      </c>
      <c r="S2417" s="19">
        <v>1.1446740854112007E-2</v>
      </c>
      <c r="T2417" s="20">
        <v>23</v>
      </c>
      <c r="U2417" s="17">
        <v>2</v>
      </c>
      <c r="V2417" s="17">
        <v>34</v>
      </c>
    </row>
    <row r="2418" spans="1:22" x14ac:dyDescent="0.2">
      <c r="A2418" t="s">
        <v>5611</v>
      </c>
      <c r="B2418" t="s">
        <v>2719</v>
      </c>
      <c r="C2418" t="s">
        <v>2720</v>
      </c>
      <c r="D2418" t="s">
        <v>5605</v>
      </c>
      <c r="E2418" s="10" t="s">
        <v>5612</v>
      </c>
      <c r="F2418" s="10"/>
      <c r="G2418" s="10"/>
      <c r="H2418" s="10" t="s">
        <v>5612</v>
      </c>
      <c r="I2418" s="14">
        <v>19420.926945872139</v>
      </c>
      <c r="J2418" s="19">
        <v>0</v>
      </c>
      <c r="K2418" s="19">
        <v>0.72670078051470621</v>
      </c>
      <c r="L2418" s="19">
        <v>0.27329921948529373</v>
      </c>
      <c r="M2418" s="20">
        <v>2</v>
      </c>
      <c r="N2418" s="19">
        <v>0</v>
      </c>
      <c r="O2418" s="19">
        <v>0.72670078051470621</v>
      </c>
      <c r="P2418" s="19">
        <v>0</v>
      </c>
      <c r="Q2418" s="19">
        <v>0</v>
      </c>
      <c r="R2418" s="19">
        <v>0.23052790351602845</v>
      </c>
      <c r="S2418" s="19">
        <v>4.2771315969265283E-2</v>
      </c>
      <c r="T2418" s="20">
        <v>22</v>
      </c>
      <c r="U2418" s="17">
        <v>2</v>
      </c>
      <c r="V2418" s="17">
        <v>34</v>
      </c>
    </row>
    <row r="2419" spans="1:22" x14ac:dyDescent="0.2">
      <c r="A2419" t="s">
        <v>5613</v>
      </c>
      <c r="B2419" t="s">
        <v>2719</v>
      </c>
      <c r="C2419" t="s">
        <v>2720</v>
      </c>
      <c r="D2419" t="s">
        <v>5605</v>
      </c>
      <c r="E2419" s="10" t="s">
        <v>5614</v>
      </c>
      <c r="F2419" s="10"/>
      <c r="G2419" s="10"/>
      <c r="H2419" s="10" t="s">
        <v>5614</v>
      </c>
      <c r="I2419" s="14">
        <v>34665.614722386934</v>
      </c>
      <c r="J2419" s="19">
        <v>0</v>
      </c>
      <c r="K2419" s="19">
        <v>0.7927536777090004</v>
      </c>
      <c r="L2419" s="19">
        <v>0.20724632229099954</v>
      </c>
      <c r="M2419" s="20">
        <v>2</v>
      </c>
      <c r="N2419" s="19">
        <v>0.36024573990353487</v>
      </c>
      <c r="O2419" s="19">
        <v>0.17545129487701297</v>
      </c>
      <c r="P2419" s="19">
        <v>0.25705664292845259</v>
      </c>
      <c r="Q2419" s="19">
        <v>5.6580610639126581E-2</v>
      </c>
      <c r="R2419" s="19">
        <v>0.14047177107801417</v>
      </c>
      <c r="S2419" s="19">
        <v>1.0193940573858787E-2</v>
      </c>
      <c r="T2419" s="20">
        <v>23</v>
      </c>
      <c r="U2419" s="17">
        <v>2</v>
      </c>
      <c r="V2419" s="17">
        <v>34</v>
      </c>
    </row>
    <row r="2420" spans="1:22" x14ac:dyDescent="0.2">
      <c r="A2420" t="s">
        <v>5615</v>
      </c>
      <c r="B2420" t="s">
        <v>2719</v>
      </c>
      <c r="C2420" t="s">
        <v>2720</v>
      </c>
      <c r="D2420" t="s">
        <v>5605</v>
      </c>
      <c r="E2420" s="10" t="s">
        <v>2783</v>
      </c>
      <c r="F2420" s="10"/>
      <c r="G2420" s="10"/>
      <c r="H2420" s="10" t="s">
        <v>2783</v>
      </c>
      <c r="I2420" s="14">
        <v>11706.792220453266</v>
      </c>
      <c r="J2420" s="19">
        <v>0</v>
      </c>
      <c r="K2420" s="19">
        <v>0.65129328121376762</v>
      </c>
      <c r="L2420" s="19">
        <v>0.34870671878623244</v>
      </c>
      <c r="M2420" s="20">
        <v>2</v>
      </c>
      <c r="N2420" s="19">
        <v>0</v>
      </c>
      <c r="O2420" s="19">
        <v>0.65129328121376762</v>
      </c>
      <c r="P2420" s="19">
        <v>0</v>
      </c>
      <c r="Q2420" s="19">
        <v>0.15702059933041568</v>
      </c>
      <c r="R2420" s="19">
        <v>0.1715937806140789</v>
      </c>
      <c r="S2420" s="19">
        <v>2.0092338841737868E-2</v>
      </c>
      <c r="T2420" s="20">
        <v>22</v>
      </c>
      <c r="U2420" s="17">
        <v>2</v>
      </c>
      <c r="V2420" s="17">
        <v>34</v>
      </c>
    </row>
    <row r="2421" spans="1:22" x14ac:dyDescent="0.2">
      <c r="A2421" t="s">
        <v>5616</v>
      </c>
      <c r="B2421" t="s">
        <v>2719</v>
      </c>
      <c r="C2421" t="s">
        <v>2720</v>
      </c>
      <c r="D2421" t="s">
        <v>5605</v>
      </c>
      <c r="E2421" s="10" t="s">
        <v>5617</v>
      </c>
      <c r="F2421" s="10"/>
      <c r="G2421" s="10"/>
      <c r="H2421" s="10" t="s">
        <v>5617</v>
      </c>
      <c r="I2421" s="14">
        <v>20578.508852219209</v>
      </c>
      <c r="J2421" s="19">
        <v>0</v>
      </c>
      <c r="K2421" s="19">
        <v>0.53149380781350153</v>
      </c>
      <c r="L2421" s="19">
        <v>0.46850619218649847</v>
      </c>
      <c r="M2421" s="20">
        <v>2</v>
      </c>
      <c r="N2421" s="19">
        <v>0</v>
      </c>
      <c r="O2421" s="19">
        <v>0</v>
      </c>
      <c r="P2421" s="19">
        <v>0.53149380781350153</v>
      </c>
      <c r="Q2421" s="19">
        <v>0.27805769481048931</v>
      </c>
      <c r="R2421" s="19">
        <v>0.17881616272929304</v>
      </c>
      <c r="S2421" s="19">
        <v>1.1632334646716097E-2</v>
      </c>
      <c r="T2421" s="20">
        <v>21</v>
      </c>
      <c r="U2421" s="17">
        <v>2</v>
      </c>
      <c r="V2421" s="17">
        <v>34</v>
      </c>
    </row>
    <row r="2422" spans="1:22" x14ac:dyDescent="0.2">
      <c r="A2422" t="s">
        <v>5618</v>
      </c>
      <c r="B2422" t="s">
        <v>2719</v>
      </c>
      <c r="C2422" t="s">
        <v>2720</v>
      </c>
      <c r="D2422" t="s">
        <v>5605</v>
      </c>
      <c r="E2422" s="10" t="s">
        <v>3174</v>
      </c>
      <c r="F2422" s="10"/>
      <c r="G2422" s="10"/>
      <c r="H2422" s="10" t="s">
        <v>3174</v>
      </c>
      <c r="I2422" s="14">
        <v>16463.232349726837</v>
      </c>
      <c r="J2422" s="19">
        <v>0</v>
      </c>
      <c r="K2422" s="19">
        <v>0.3763226851456184</v>
      </c>
      <c r="L2422" s="19">
        <v>0.6236773148543816</v>
      </c>
      <c r="M2422" s="20">
        <v>1</v>
      </c>
      <c r="N2422" s="19">
        <v>0</v>
      </c>
      <c r="O2422" s="19">
        <v>0.3763226851456184</v>
      </c>
      <c r="P2422" s="19">
        <v>0</v>
      </c>
      <c r="Q2422" s="19">
        <v>0.46763896279169959</v>
      </c>
      <c r="R2422" s="19">
        <v>0.14817015714445553</v>
      </c>
      <c r="S2422" s="19">
        <v>7.8681949182265055E-3</v>
      </c>
      <c r="T2422" s="20">
        <v>13</v>
      </c>
      <c r="U2422" s="17">
        <v>2</v>
      </c>
      <c r="V2422" s="17">
        <v>34</v>
      </c>
    </row>
    <row r="2423" spans="1:22" x14ac:dyDescent="0.2">
      <c r="A2423" t="s">
        <v>5619</v>
      </c>
      <c r="B2423" t="s">
        <v>2719</v>
      </c>
      <c r="C2423" t="s">
        <v>2720</v>
      </c>
      <c r="D2423" t="s">
        <v>5605</v>
      </c>
      <c r="E2423" s="10" t="s">
        <v>5620</v>
      </c>
      <c r="F2423" s="10"/>
      <c r="G2423" s="10"/>
      <c r="H2423" s="10" t="s">
        <v>5620</v>
      </c>
      <c r="I2423" s="14">
        <v>43569.217177855782</v>
      </c>
      <c r="J2423" s="19">
        <v>0</v>
      </c>
      <c r="K2423" s="19">
        <v>0.33942683706666943</v>
      </c>
      <c r="L2423" s="19">
        <v>0.66057316293333068</v>
      </c>
      <c r="M2423" s="20">
        <v>1</v>
      </c>
      <c r="N2423" s="19">
        <v>0.18923409390602322</v>
      </c>
      <c r="O2423" s="19">
        <v>0</v>
      </c>
      <c r="P2423" s="19">
        <v>0.15019274316064618</v>
      </c>
      <c r="Q2423" s="19">
        <v>0.48831017937744847</v>
      </c>
      <c r="R2423" s="19">
        <v>0.1518486027376155</v>
      </c>
      <c r="S2423" s="19">
        <v>2.0414380818266655E-2</v>
      </c>
      <c r="T2423" s="20">
        <v>13</v>
      </c>
      <c r="U2423" s="17">
        <v>2</v>
      </c>
      <c r="V2423" s="17">
        <v>34</v>
      </c>
    </row>
    <row r="2424" spans="1:22" x14ac:dyDescent="0.2">
      <c r="A2424" t="s">
        <v>5621</v>
      </c>
      <c r="B2424" t="s">
        <v>2719</v>
      </c>
      <c r="C2424" t="s">
        <v>2720</v>
      </c>
      <c r="D2424" t="s">
        <v>5605</v>
      </c>
      <c r="E2424" s="10" t="s">
        <v>5622</v>
      </c>
      <c r="F2424" s="10"/>
      <c r="G2424" s="10"/>
      <c r="H2424" s="10" t="s">
        <v>5622</v>
      </c>
      <c r="I2424" s="14">
        <v>14629.481172228232</v>
      </c>
      <c r="J2424" s="19">
        <v>0</v>
      </c>
      <c r="K2424" s="19">
        <v>0.48746546790410811</v>
      </c>
      <c r="L2424" s="19">
        <v>0.51253453209589184</v>
      </c>
      <c r="M2424" s="20">
        <v>1</v>
      </c>
      <c r="N2424" s="19">
        <v>0</v>
      </c>
      <c r="O2424" s="19">
        <v>0.48746546790410811</v>
      </c>
      <c r="P2424" s="19">
        <v>0</v>
      </c>
      <c r="Q2424" s="19">
        <v>0.25981566392716887</v>
      </c>
      <c r="R2424" s="19">
        <v>0.21633522456177773</v>
      </c>
      <c r="S2424" s="19">
        <v>3.6383643606945272E-2</v>
      </c>
      <c r="T2424" s="20">
        <v>13</v>
      </c>
      <c r="U2424" s="17">
        <v>2</v>
      </c>
      <c r="V2424" s="17">
        <v>34</v>
      </c>
    </row>
    <row r="2425" spans="1:22" x14ac:dyDescent="0.2">
      <c r="A2425" t="s">
        <v>5623</v>
      </c>
      <c r="B2425" t="s">
        <v>2719</v>
      </c>
      <c r="C2425" t="s">
        <v>2720</v>
      </c>
      <c r="D2425" t="s">
        <v>5605</v>
      </c>
      <c r="E2425" s="10" t="s">
        <v>5624</v>
      </c>
      <c r="F2425" s="10"/>
      <c r="G2425" s="10"/>
      <c r="H2425" s="10" t="s">
        <v>5624</v>
      </c>
      <c r="I2425" s="14">
        <v>33773.51088950038</v>
      </c>
      <c r="J2425" s="19">
        <v>0</v>
      </c>
      <c r="K2425" s="19">
        <v>0.82338642263558393</v>
      </c>
      <c r="L2425" s="19">
        <v>0.17661357736441605</v>
      </c>
      <c r="M2425" s="20">
        <v>2</v>
      </c>
      <c r="N2425" s="19">
        <v>0.55712473728600231</v>
      </c>
      <c r="O2425" s="19">
        <v>2.5464058561597155E-2</v>
      </c>
      <c r="P2425" s="19">
        <v>0.24079762678798447</v>
      </c>
      <c r="Q2425" s="19">
        <v>9.3915250332715805E-2</v>
      </c>
      <c r="R2425" s="19">
        <v>7.7428425348925717E-2</v>
      </c>
      <c r="S2425" s="19">
        <v>5.2699016827745023E-3</v>
      </c>
      <c r="T2425" s="20">
        <v>23</v>
      </c>
      <c r="U2425" s="17">
        <v>2</v>
      </c>
      <c r="V2425" s="17">
        <v>34</v>
      </c>
    </row>
    <row r="2426" spans="1:22" x14ac:dyDescent="0.2">
      <c r="A2426" t="s">
        <v>5625</v>
      </c>
      <c r="B2426" t="s">
        <v>2719</v>
      </c>
      <c r="C2426" t="s">
        <v>2720</v>
      </c>
      <c r="D2426" t="s">
        <v>5605</v>
      </c>
      <c r="E2426" s="10" t="s">
        <v>5626</v>
      </c>
      <c r="F2426" s="10"/>
      <c r="G2426" s="10"/>
      <c r="H2426" s="10" t="s">
        <v>5626</v>
      </c>
      <c r="I2426" s="14">
        <v>38238.320137517527</v>
      </c>
      <c r="J2426" s="19">
        <v>0</v>
      </c>
      <c r="K2426" s="19">
        <v>0.349660118023918</v>
      </c>
      <c r="L2426" s="19">
        <v>0.65033988197608206</v>
      </c>
      <c r="M2426" s="20">
        <v>1</v>
      </c>
      <c r="N2426" s="19">
        <v>0.16791755819015011</v>
      </c>
      <c r="O2426" s="19">
        <v>0</v>
      </c>
      <c r="P2426" s="19">
        <v>0.18174255983376789</v>
      </c>
      <c r="Q2426" s="19">
        <v>0.40332151575713954</v>
      </c>
      <c r="R2426" s="19">
        <v>0.2307043343900913</v>
      </c>
      <c r="S2426" s="19">
        <v>1.6314031828851196E-2</v>
      </c>
      <c r="T2426" s="20">
        <v>13</v>
      </c>
      <c r="U2426" s="17">
        <v>2</v>
      </c>
      <c r="V2426" s="17">
        <v>34</v>
      </c>
    </row>
    <row r="2427" spans="1:22" x14ac:dyDescent="0.2">
      <c r="A2427" t="s">
        <v>5627</v>
      </c>
      <c r="B2427" t="s">
        <v>2719</v>
      </c>
      <c r="C2427" t="s">
        <v>2720</v>
      </c>
      <c r="D2427" t="s">
        <v>5605</v>
      </c>
      <c r="E2427" s="10" t="s">
        <v>5628</v>
      </c>
      <c r="F2427" s="10"/>
      <c r="G2427" s="10"/>
      <c r="H2427" s="10" t="s">
        <v>5628</v>
      </c>
      <c r="I2427" s="14">
        <v>16375.665514399299</v>
      </c>
      <c r="J2427" s="19">
        <v>0</v>
      </c>
      <c r="K2427" s="19">
        <v>0.74908049585012249</v>
      </c>
      <c r="L2427" s="19">
        <v>0.25091950414987729</v>
      </c>
      <c r="M2427" s="20">
        <v>2</v>
      </c>
      <c r="N2427" s="19">
        <v>0</v>
      </c>
      <c r="O2427" s="19">
        <v>0.74908049585012249</v>
      </c>
      <c r="P2427" s="19">
        <v>0</v>
      </c>
      <c r="Q2427" s="19">
        <v>3.1011753587493082E-2</v>
      </c>
      <c r="R2427" s="19">
        <v>0.20401356579581909</v>
      </c>
      <c r="S2427" s="19">
        <v>1.5894184766565109E-2</v>
      </c>
      <c r="T2427" s="20">
        <v>22</v>
      </c>
      <c r="U2427" s="17">
        <v>2</v>
      </c>
      <c r="V2427" s="17">
        <v>34</v>
      </c>
    </row>
    <row r="2428" spans="1:22" x14ac:dyDescent="0.2">
      <c r="A2428" t="s">
        <v>5629</v>
      </c>
      <c r="B2428" t="s">
        <v>2719</v>
      </c>
      <c r="C2428" t="s">
        <v>2720</v>
      </c>
      <c r="D2428" t="s">
        <v>5605</v>
      </c>
      <c r="E2428" s="10" t="s">
        <v>5630</v>
      </c>
      <c r="F2428" s="10"/>
      <c r="G2428" s="10"/>
      <c r="H2428" s="10" t="s">
        <v>5630</v>
      </c>
      <c r="I2428" s="14">
        <v>20130.831285758875</v>
      </c>
      <c r="J2428" s="19">
        <v>0</v>
      </c>
      <c r="K2428" s="19">
        <v>0.74774659090515827</v>
      </c>
      <c r="L2428" s="19">
        <v>0.25225340909484167</v>
      </c>
      <c r="M2428" s="20">
        <v>2</v>
      </c>
      <c r="N2428" s="19">
        <v>0</v>
      </c>
      <c r="O2428" s="19">
        <v>0.69880953471269736</v>
      </c>
      <c r="P2428" s="19">
        <v>4.8937056192460915E-2</v>
      </c>
      <c r="Q2428" s="19">
        <v>4.9767287354674186E-2</v>
      </c>
      <c r="R2428" s="19">
        <v>0.17890854248259566</v>
      </c>
      <c r="S2428" s="19">
        <v>2.3577579257571844E-2</v>
      </c>
      <c r="T2428" s="20">
        <v>22</v>
      </c>
      <c r="U2428" s="17">
        <v>2</v>
      </c>
      <c r="V2428" s="17">
        <v>34</v>
      </c>
    </row>
    <row r="2429" spans="1:22" x14ac:dyDescent="0.2">
      <c r="A2429" t="s">
        <v>5631</v>
      </c>
      <c r="B2429" t="s">
        <v>2719</v>
      </c>
      <c r="C2429" t="s">
        <v>2720</v>
      </c>
      <c r="D2429" t="s">
        <v>5605</v>
      </c>
      <c r="E2429" s="10" t="s">
        <v>4120</v>
      </c>
      <c r="F2429" s="10"/>
      <c r="G2429" s="10"/>
      <c r="H2429" s="10" t="s">
        <v>4120</v>
      </c>
      <c r="I2429" s="14">
        <v>24120.10803042003</v>
      </c>
      <c r="J2429" s="19">
        <v>0</v>
      </c>
      <c r="K2429" s="19">
        <v>0.48721337596965181</v>
      </c>
      <c r="L2429" s="19">
        <v>0.51278662403034814</v>
      </c>
      <c r="M2429" s="20">
        <v>1</v>
      </c>
      <c r="N2429" s="19">
        <v>0.25813400382387186</v>
      </c>
      <c r="O2429" s="19">
        <v>0</v>
      </c>
      <c r="P2429" s="19">
        <v>0.22907937214577995</v>
      </c>
      <c r="Q2429" s="19">
        <v>0.3560058148916716</v>
      </c>
      <c r="R2429" s="19">
        <v>0.10171378505746835</v>
      </c>
      <c r="S2429" s="19">
        <v>5.5067024081208261E-2</v>
      </c>
      <c r="T2429" s="20">
        <v>13</v>
      </c>
      <c r="U2429" s="17">
        <v>2</v>
      </c>
      <c r="V2429" s="17">
        <v>34</v>
      </c>
    </row>
    <row r="2430" spans="1:22" x14ac:dyDescent="0.2">
      <c r="A2430" t="s">
        <v>5632</v>
      </c>
      <c r="B2430" t="s">
        <v>2719</v>
      </c>
      <c r="C2430" t="s">
        <v>2720</v>
      </c>
      <c r="D2430" t="s">
        <v>5605</v>
      </c>
      <c r="E2430" s="10" t="s">
        <v>3215</v>
      </c>
      <c r="F2430" s="10"/>
      <c r="G2430" s="10"/>
      <c r="H2430" s="10" t="s">
        <v>3215</v>
      </c>
      <c r="I2430" s="14">
        <v>44862.198046322919</v>
      </c>
      <c r="J2430" s="19">
        <v>0</v>
      </c>
      <c r="K2430" s="19">
        <v>0.49477083269127509</v>
      </c>
      <c r="L2430" s="19">
        <v>0.50522916730872469</v>
      </c>
      <c r="M2430" s="20">
        <v>1</v>
      </c>
      <c r="N2430" s="19">
        <v>0</v>
      </c>
      <c r="O2430" s="19">
        <v>0.49477083269127509</v>
      </c>
      <c r="P2430" s="19">
        <v>0</v>
      </c>
      <c r="Q2430" s="19">
        <v>0.35727685337558157</v>
      </c>
      <c r="R2430" s="19">
        <v>0.13264899949423756</v>
      </c>
      <c r="S2430" s="19">
        <v>1.5303314438905594E-2</v>
      </c>
      <c r="T2430" s="20">
        <v>13</v>
      </c>
      <c r="U2430" s="17">
        <v>2</v>
      </c>
      <c r="V2430" s="17">
        <v>34</v>
      </c>
    </row>
    <row r="2431" spans="1:22" x14ac:dyDescent="0.2">
      <c r="A2431" t="s">
        <v>5633</v>
      </c>
      <c r="B2431" t="s">
        <v>2719</v>
      </c>
      <c r="C2431" t="s">
        <v>2720</v>
      </c>
      <c r="D2431" t="s">
        <v>5605</v>
      </c>
      <c r="E2431" s="10" t="s">
        <v>5634</v>
      </c>
      <c r="F2431" s="10"/>
      <c r="G2431" s="10"/>
      <c r="H2431" s="10" t="s">
        <v>5634</v>
      </c>
      <c r="I2431" s="14">
        <v>36442.565609212965</v>
      </c>
      <c r="J2431" s="19">
        <v>0</v>
      </c>
      <c r="K2431" s="19">
        <v>0.15754628013752031</v>
      </c>
      <c r="L2431" s="19">
        <v>0.84245371986247974</v>
      </c>
      <c r="M2431" s="20">
        <v>1</v>
      </c>
      <c r="N2431" s="19">
        <v>0</v>
      </c>
      <c r="O2431" s="19">
        <v>0.15754628013752031</v>
      </c>
      <c r="P2431" s="19">
        <v>0</v>
      </c>
      <c r="Q2431" s="19">
        <v>0.5477525049358436</v>
      </c>
      <c r="R2431" s="19">
        <v>0.26432686650728116</v>
      </c>
      <c r="S2431" s="19">
        <v>3.0374348419354939E-2</v>
      </c>
      <c r="T2431" s="20">
        <v>13</v>
      </c>
      <c r="U2431" s="17">
        <v>2</v>
      </c>
      <c r="V2431" s="17">
        <v>34</v>
      </c>
    </row>
    <row r="2432" spans="1:22" x14ac:dyDescent="0.2">
      <c r="A2432" t="s">
        <v>5635</v>
      </c>
      <c r="B2432" t="s">
        <v>2719</v>
      </c>
      <c r="C2432" t="s">
        <v>2720</v>
      </c>
      <c r="D2432" t="s">
        <v>5605</v>
      </c>
      <c r="E2432" s="10" t="s">
        <v>5636</v>
      </c>
      <c r="F2432" s="10"/>
      <c r="G2432" s="10"/>
      <c r="H2432" s="10" t="s">
        <v>5636</v>
      </c>
      <c r="I2432" s="14">
        <v>41009.234163658693</v>
      </c>
      <c r="J2432" s="19">
        <v>0</v>
      </c>
      <c r="K2432" s="19">
        <v>0.37726471947455376</v>
      </c>
      <c r="L2432" s="19">
        <v>0.62273528052544624</v>
      </c>
      <c r="M2432" s="20">
        <v>1</v>
      </c>
      <c r="N2432" s="19">
        <v>0.18252871281773111</v>
      </c>
      <c r="O2432" s="19">
        <v>0.14639279166576655</v>
      </c>
      <c r="P2432" s="19">
        <v>4.8343214991056094E-2</v>
      </c>
      <c r="Q2432" s="19">
        <v>0.3807008350399681</v>
      </c>
      <c r="R2432" s="19">
        <v>0.22171469937969829</v>
      </c>
      <c r="S2432" s="19">
        <v>2.0319746105779846E-2</v>
      </c>
      <c r="T2432" s="20">
        <v>13</v>
      </c>
      <c r="U2432" s="17">
        <v>2</v>
      </c>
      <c r="V2432" s="17">
        <v>34</v>
      </c>
    </row>
    <row r="2433" spans="1:22" x14ac:dyDescent="0.2">
      <c r="A2433" t="s">
        <v>5637</v>
      </c>
      <c r="B2433" t="s">
        <v>2719</v>
      </c>
      <c r="C2433" t="s">
        <v>2720</v>
      </c>
      <c r="D2433" t="s">
        <v>5605</v>
      </c>
      <c r="E2433" s="10" t="s">
        <v>5638</v>
      </c>
      <c r="F2433" s="10"/>
      <c r="G2433" s="10"/>
      <c r="H2433" s="10" t="s">
        <v>5638</v>
      </c>
      <c r="I2433" s="14">
        <v>57894.417947487906</v>
      </c>
      <c r="J2433" s="19">
        <v>0</v>
      </c>
      <c r="K2433" s="19">
        <v>0.92674314385586709</v>
      </c>
      <c r="L2433" s="19">
        <v>7.3256856144132868E-2</v>
      </c>
      <c r="M2433" s="20">
        <v>2</v>
      </c>
      <c r="N2433" s="19">
        <v>0.59188889253560739</v>
      </c>
      <c r="O2433" s="19">
        <v>1.4450025658563828E-2</v>
      </c>
      <c r="P2433" s="19">
        <v>0.32040422566169591</v>
      </c>
      <c r="Q2433" s="19">
        <v>1.0949610697208248E-2</v>
      </c>
      <c r="R2433" s="19">
        <v>5.3859313922139572E-2</v>
      </c>
      <c r="S2433" s="19">
        <v>8.4479315247850493E-3</v>
      </c>
      <c r="T2433" s="20">
        <v>23</v>
      </c>
      <c r="U2433" s="17">
        <v>2</v>
      </c>
      <c r="V2433" s="17">
        <v>34</v>
      </c>
    </row>
    <row r="2434" spans="1:22" x14ac:dyDescent="0.2">
      <c r="A2434" t="s">
        <v>5639</v>
      </c>
      <c r="B2434" t="s">
        <v>2719</v>
      </c>
      <c r="C2434" t="s">
        <v>2720</v>
      </c>
      <c r="D2434" t="s">
        <v>5640</v>
      </c>
      <c r="E2434" s="10" t="s">
        <v>5641</v>
      </c>
      <c r="F2434" s="10"/>
      <c r="G2434" s="10"/>
      <c r="H2434" s="10" t="s">
        <v>5641</v>
      </c>
      <c r="I2434" s="14">
        <v>12047.989559674055</v>
      </c>
      <c r="J2434" s="19">
        <v>0</v>
      </c>
      <c r="K2434" s="19">
        <v>0.92505805158016829</v>
      </c>
      <c r="L2434" s="19">
        <v>7.4941948419831525E-2</v>
      </c>
      <c r="M2434" s="20">
        <v>2</v>
      </c>
      <c r="N2434" s="19">
        <v>6.3452834337547892E-2</v>
      </c>
      <c r="O2434" s="19">
        <v>0</v>
      </c>
      <c r="P2434" s="19">
        <v>0.8616052172426204</v>
      </c>
      <c r="Q2434" s="19">
        <v>0</v>
      </c>
      <c r="R2434" s="19">
        <v>7.2161583273832361E-2</v>
      </c>
      <c r="S2434" s="19">
        <v>2.7803651459991593E-3</v>
      </c>
      <c r="T2434" s="20">
        <v>21</v>
      </c>
      <c r="U2434" s="17">
        <v>2</v>
      </c>
      <c r="V2434" s="17">
        <v>34</v>
      </c>
    </row>
    <row r="2435" spans="1:22" x14ac:dyDescent="0.2">
      <c r="A2435" t="s">
        <v>5642</v>
      </c>
      <c r="B2435" t="s">
        <v>2719</v>
      </c>
      <c r="C2435" t="s">
        <v>2720</v>
      </c>
      <c r="D2435" t="s">
        <v>5640</v>
      </c>
      <c r="E2435" s="10" t="s">
        <v>5643</v>
      </c>
      <c r="F2435" s="10"/>
      <c r="G2435" s="10"/>
      <c r="H2435" s="10" t="s">
        <v>5643</v>
      </c>
      <c r="I2435" s="14">
        <v>69547.312509180032</v>
      </c>
      <c r="J2435" s="19">
        <v>0.77372438124522225</v>
      </c>
      <c r="K2435" s="19">
        <v>0.16833168785520428</v>
      </c>
      <c r="L2435" s="19">
        <v>5.7943930899573448E-2</v>
      </c>
      <c r="M2435" s="20">
        <v>3</v>
      </c>
      <c r="N2435" s="19">
        <v>1.4645538243538232E-3</v>
      </c>
      <c r="O2435" s="19">
        <v>0</v>
      </c>
      <c r="P2435" s="19">
        <v>0.16686713403085046</v>
      </c>
      <c r="Q2435" s="19">
        <v>0</v>
      </c>
      <c r="R2435" s="19">
        <v>5.2347269544248148E-2</v>
      </c>
      <c r="S2435" s="19">
        <v>5.5966613553252971E-3</v>
      </c>
      <c r="T2435" s="20">
        <v>30</v>
      </c>
      <c r="U2435" s="17">
        <v>2</v>
      </c>
      <c r="V2435" s="17">
        <v>34</v>
      </c>
    </row>
    <row r="2436" spans="1:22" x14ac:dyDescent="0.2">
      <c r="A2436" t="s">
        <v>5644</v>
      </c>
      <c r="B2436" t="s">
        <v>2719</v>
      </c>
      <c r="C2436" t="s">
        <v>2720</v>
      </c>
      <c r="D2436" t="s">
        <v>5640</v>
      </c>
      <c r="E2436" s="10" t="s">
        <v>5645</v>
      </c>
      <c r="F2436" s="10"/>
      <c r="G2436" s="10"/>
      <c r="H2436" s="10" t="s">
        <v>5645</v>
      </c>
      <c r="I2436" s="14">
        <v>88530.149184823735</v>
      </c>
      <c r="J2436" s="19">
        <v>0</v>
      </c>
      <c r="K2436" s="19">
        <v>0.88980103503359265</v>
      </c>
      <c r="L2436" s="19">
        <v>0.11019896496640741</v>
      </c>
      <c r="M2436" s="20">
        <v>2</v>
      </c>
      <c r="N2436" s="19">
        <v>0.32573101651771763</v>
      </c>
      <c r="O2436" s="19">
        <v>0</v>
      </c>
      <c r="P2436" s="19">
        <v>0.56407001851587502</v>
      </c>
      <c r="Q2436" s="19">
        <v>2.8860067687255801E-2</v>
      </c>
      <c r="R2436" s="19">
        <v>7.8945530900069047E-2</v>
      </c>
      <c r="S2436" s="19">
        <v>2.3933663790825441E-3</v>
      </c>
      <c r="T2436" s="20">
        <v>21</v>
      </c>
      <c r="U2436" s="17">
        <v>2</v>
      </c>
      <c r="V2436" s="17">
        <v>34</v>
      </c>
    </row>
    <row r="2437" spans="1:22" x14ac:dyDescent="0.2">
      <c r="A2437" t="s">
        <v>5646</v>
      </c>
      <c r="B2437" t="s">
        <v>2719</v>
      </c>
      <c r="C2437" t="s">
        <v>2720</v>
      </c>
      <c r="D2437" t="s">
        <v>5640</v>
      </c>
      <c r="E2437" s="10" t="s">
        <v>5647</v>
      </c>
      <c r="F2437" s="10"/>
      <c r="G2437" s="10"/>
      <c r="H2437" s="10" t="s">
        <v>5647</v>
      </c>
      <c r="I2437" s="14">
        <v>142688.21133810061</v>
      </c>
      <c r="J2437" s="19">
        <v>3.0273544743469282E-2</v>
      </c>
      <c r="K2437" s="19">
        <v>0.8730733989349686</v>
      </c>
      <c r="L2437" s="19">
        <v>9.6653056321562125E-2</v>
      </c>
      <c r="M2437" s="20">
        <v>2</v>
      </c>
      <c r="N2437" s="19">
        <v>0.53988445396903273</v>
      </c>
      <c r="O2437" s="19">
        <v>0</v>
      </c>
      <c r="P2437" s="19">
        <v>0.33318894496593587</v>
      </c>
      <c r="Q2437" s="19">
        <v>4.4224717132220828E-2</v>
      </c>
      <c r="R2437" s="19">
        <v>4.0940640335250814E-2</v>
      </c>
      <c r="S2437" s="19">
        <v>1.148769885409047E-2</v>
      </c>
      <c r="T2437" s="20">
        <v>23</v>
      </c>
      <c r="U2437" s="17">
        <v>2</v>
      </c>
      <c r="V2437" s="17">
        <v>34</v>
      </c>
    </row>
    <row r="2438" spans="1:22" x14ac:dyDescent="0.2">
      <c r="A2438" t="s">
        <v>5648</v>
      </c>
      <c r="B2438" t="s">
        <v>2719</v>
      </c>
      <c r="C2438" t="s">
        <v>2720</v>
      </c>
      <c r="D2438" t="s">
        <v>5640</v>
      </c>
      <c r="E2438" s="10" t="s">
        <v>4015</v>
      </c>
      <c r="F2438" s="10"/>
      <c r="G2438" s="10"/>
      <c r="H2438" s="10" t="s">
        <v>4015</v>
      </c>
      <c r="I2438" s="14">
        <v>159093.04704373702</v>
      </c>
      <c r="J2438" s="19">
        <v>0</v>
      </c>
      <c r="K2438" s="19">
        <v>0.93671911461011492</v>
      </c>
      <c r="L2438" s="19">
        <v>6.3280885389885078E-2</v>
      </c>
      <c r="M2438" s="20">
        <v>2</v>
      </c>
      <c r="N2438" s="19">
        <v>0.34198892443167389</v>
      </c>
      <c r="O2438" s="19">
        <v>0</v>
      </c>
      <c r="P2438" s="19">
        <v>0.59473019017844109</v>
      </c>
      <c r="Q2438" s="19">
        <v>2.1899868728038365E-2</v>
      </c>
      <c r="R2438" s="19">
        <v>3.7737881984367977E-2</v>
      </c>
      <c r="S2438" s="19">
        <v>3.6431346774787334E-3</v>
      </c>
      <c r="T2438" s="20">
        <v>21</v>
      </c>
      <c r="U2438" s="17">
        <v>2</v>
      </c>
      <c r="V2438" s="17">
        <v>34</v>
      </c>
    </row>
    <row r="2439" spans="1:22" x14ac:dyDescent="0.2">
      <c r="A2439" t="s">
        <v>5649</v>
      </c>
      <c r="B2439" t="s">
        <v>2719</v>
      </c>
      <c r="C2439" t="s">
        <v>2720</v>
      </c>
      <c r="D2439" t="s">
        <v>5640</v>
      </c>
      <c r="E2439" s="10" t="s">
        <v>5650</v>
      </c>
      <c r="F2439" s="10"/>
      <c r="G2439" s="10"/>
      <c r="H2439" s="10" t="s">
        <v>5650</v>
      </c>
      <c r="I2439" s="14">
        <v>92463.906537740491</v>
      </c>
      <c r="J2439" s="19">
        <v>0</v>
      </c>
      <c r="K2439" s="19">
        <v>0.93139443483909223</v>
      </c>
      <c r="L2439" s="19">
        <v>6.8605565160907739E-2</v>
      </c>
      <c r="M2439" s="20">
        <v>2</v>
      </c>
      <c r="N2439" s="19">
        <v>0.30105003396389024</v>
      </c>
      <c r="O2439" s="19">
        <v>0</v>
      </c>
      <c r="P2439" s="19">
        <v>0.63034440087520205</v>
      </c>
      <c r="Q2439" s="19">
        <v>0</v>
      </c>
      <c r="R2439" s="19">
        <v>6.6067254170740053E-2</v>
      </c>
      <c r="S2439" s="19">
        <v>2.5383109901676824E-3</v>
      </c>
      <c r="T2439" s="20">
        <v>21</v>
      </c>
      <c r="U2439" s="17">
        <v>2</v>
      </c>
      <c r="V2439" s="17">
        <v>34</v>
      </c>
    </row>
    <row r="2440" spans="1:22" x14ac:dyDescent="0.2">
      <c r="A2440" t="s">
        <v>5651</v>
      </c>
      <c r="B2440" t="s">
        <v>2719</v>
      </c>
      <c r="C2440" t="s">
        <v>2720</v>
      </c>
      <c r="D2440" t="s">
        <v>5640</v>
      </c>
      <c r="E2440" s="10" t="s">
        <v>2736</v>
      </c>
      <c r="F2440" s="10"/>
      <c r="G2440" s="10"/>
      <c r="H2440" s="10" t="s">
        <v>2736</v>
      </c>
      <c r="I2440" s="14">
        <v>66467.456053463044</v>
      </c>
      <c r="J2440" s="19">
        <v>0</v>
      </c>
      <c r="K2440" s="19">
        <v>0.94323185851885782</v>
      </c>
      <c r="L2440" s="19">
        <v>5.6768141481142204E-2</v>
      </c>
      <c r="M2440" s="20">
        <v>2</v>
      </c>
      <c r="N2440" s="19">
        <v>0.15693560702862691</v>
      </c>
      <c r="O2440" s="19">
        <v>0</v>
      </c>
      <c r="P2440" s="19">
        <v>0.78629625149023086</v>
      </c>
      <c r="Q2440" s="19">
        <v>0</v>
      </c>
      <c r="R2440" s="19">
        <v>5.2215956736871204E-2</v>
      </c>
      <c r="S2440" s="19">
        <v>4.5521847442709998E-3</v>
      </c>
      <c r="T2440" s="20">
        <v>21</v>
      </c>
      <c r="U2440" s="17">
        <v>2</v>
      </c>
      <c r="V2440" s="17">
        <v>34</v>
      </c>
    </row>
    <row r="2441" spans="1:22" x14ac:dyDescent="0.2">
      <c r="A2441" t="s">
        <v>5652</v>
      </c>
      <c r="B2441" t="s">
        <v>2719</v>
      </c>
      <c r="C2441" t="s">
        <v>2720</v>
      </c>
      <c r="D2441" t="s">
        <v>5640</v>
      </c>
      <c r="E2441" s="10" t="s">
        <v>5653</v>
      </c>
      <c r="F2441" s="10"/>
      <c r="G2441" s="10"/>
      <c r="H2441" s="10" t="s">
        <v>5653</v>
      </c>
      <c r="I2441" s="14">
        <v>36421.790648760274</v>
      </c>
      <c r="J2441" s="19">
        <v>0</v>
      </c>
      <c r="K2441" s="19">
        <v>0.65645800816977729</v>
      </c>
      <c r="L2441" s="19">
        <v>0.34354199183022271</v>
      </c>
      <c r="M2441" s="20">
        <v>2</v>
      </c>
      <c r="N2441" s="19">
        <v>0</v>
      </c>
      <c r="O2441" s="19">
        <v>0</v>
      </c>
      <c r="P2441" s="19">
        <v>0.65645800816977729</v>
      </c>
      <c r="Q2441" s="19">
        <v>0.20951456738160132</v>
      </c>
      <c r="R2441" s="19">
        <v>0.12074587755895937</v>
      </c>
      <c r="S2441" s="19">
        <v>1.3281546889662006E-2</v>
      </c>
      <c r="T2441" s="20">
        <v>21</v>
      </c>
      <c r="U2441" s="17">
        <v>2</v>
      </c>
      <c r="V2441" s="17">
        <v>34</v>
      </c>
    </row>
    <row r="2442" spans="1:22" x14ac:dyDescent="0.2">
      <c r="A2442" t="s">
        <v>5654</v>
      </c>
      <c r="B2442" t="s">
        <v>2719</v>
      </c>
      <c r="C2442" t="s">
        <v>2720</v>
      </c>
      <c r="D2442" t="s">
        <v>5640</v>
      </c>
      <c r="E2442" s="10" t="s">
        <v>5655</v>
      </c>
      <c r="F2442" s="10"/>
      <c r="G2442" s="10"/>
      <c r="H2442" s="10" t="s">
        <v>5655</v>
      </c>
      <c r="I2442" s="14">
        <v>63610.868580051691</v>
      </c>
      <c r="J2442" s="19">
        <v>9.7402276697663005E-4</v>
      </c>
      <c r="K2442" s="19">
        <v>0.95056831204776149</v>
      </c>
      <c r="L2442" s="19">
        <v>4.8457665185261962E-2</v>
      </c>
      <c r="M2442" s="20">
        <v>2</v>
      </c>
      <c r="N2442" s="19">
        <v>0.50500699204226063</v>
      </c>
      <c r="O2442" s="19">
        <v>0</v>
      </c>
      <c r="P2442" s="19">
        <v>0.44556132000550092</v>
      </c>
      <c r="Q2442" s="19">
        <v>0</v>
      </c>
      <c r="R2442" s="19">
        <v>4.2645316310129723E-2</v>
      </c>
      <c r="S2442" s="19">
        <v>5.812348875132242E-3</v>
      </c>
      <c r="T2442" s="20">
        <v>23</v>
      </c>
      <c r="U2442" s="17">
        <v>2</v>
      </c>
      <c r="V2442" s="17">
        <v>34</v>
      </c>
    </row>
    <row r="2443" spans="1:22" x14ac:dyDescent="0.2">
      <c r="A2443" t="s">
        <v>5656</v>
      </c>
      <c r="B2443" t="s">
        <v>2719</v>
      </c>
      <c r="C2443" t="s">
        <v>2720</v>
      </c>
      <c r="D2443" t="s">
        <v>5640</v>
      </c>
      <c r="E2443" s="10" t="s">
        <v>5657</v>
      </c>
      <c r="F2443" s="10"/>
      <c r="G2443" s="10"/>
      <c r="H2443" s="10" t="s">
        <v>5657</v>
      </c>
      <c r="I2443" s="14">
        <v>102045.2195670791</v>
      </c>
      <c r="J2443" s="19">
        <v>0.51810890575897017</v>
      </c>
      <c r="K2443" s="19">
        <v>0.44021844543997446</v>
      </c>
      <c r="L2443" s="19">
        <v>4.1672648801055361E-2</v>
      </c>
      <c r="M2443" s="20">
        <v>3</v>
      </c>
      <c r="N2443" s="19">
        <v>1.3793912642328639E-3</v>
      </c>
      <c r="O2443" s="19">
        <v>0</v>
      </c>
      <c r="P2443" s="19">
        <v>0.43883905417574159</v>
      </c>
      <c r="Q2443" s="19">
        <v>0</v>
      </c>
      <c r="R2443" s="19">
        <v>4.0626434729030547E-2</v>
      </c>
      <c r="S2443" s="19">
        <v>1.046214072024822E-3</v>
      </c>
      <c r="T2443" s="20">
        <v>30</v>
      </c>
      <c r="U2443" s="17">
        <v>2</v>
      </c>
      <c r="V2443" s="17">
        <v>34</v>
      </c>
    </row>
    <row r="2444" spans="1:22" x14ac:dyDescent="0.2">
      <c r="A2444" t="s">
        <v>5658</v>
      </c>
      <c r="B2444" t="s">
        <v>2719</v>
      </c>
      <c r="C2444" t="s">
        <v>2720</v>
      </c>
      <c r="D2444" t="s">
        <v>5640</v>
      </c>
      <c r="E2444" s="10" t="s">
        <v>5659</v>
      </c>
      <c r="F2444" s="10"/>
      <c r="G2444" s="10"/>
      <c r="H2444" s="10" t="s">
        <v>5659</v>
      </c>
      <c r="I2444" s="14">
        <v>26042.999951403122</v>
      </c>
      <c r="J2444" s="19">
        <v>0</v>
      </c>
      <c r="K2444" s="19">
        <v>0.98264575219801187</v>
      </c>
      <c r="L2444" s="19">
        <v>1.735424780198817E-2</v>
      </c>
      <c r="M2444" s="20">
        <v>2</v>
      </c>
      <c r="N2444" s="19">
        <v>0</v>
      </c>
      <c r="O2444" s="19">
        <v>0</v>
      </c>
      <c r="P2444" s="19">
        <v>0.98264575219801187</v>
      </c>
      <c r="Q2444" s="19">
        <v>0</v>
      </c>
      <c r="R2444" s="19">
        <v>1.7140814561280981E-2</v>
      </c>
      <c r="S2444" s="19">
        <v>2.1343324070718816E-4</v>
      </c>
      <c r="T2444" s="20">
        <v>21</v>
      </c>
      <c r="U2444" s="17">
        <v>2</v>
      </c>
      <c r="V2444" s="17">
        <v>34</v>
      </c>
    </row>
    <row r="2445" spans="1:22" x14ac:dyDescent="0.2">
      <c r="A2445" t="s">
        <v>5660</v>
      </c>
      <c r="B2445" t="s">
        <v>2719</v>
      </c>
      <c r="C2445" t="s">
        <v>2720</v>
      </c>
      <c r="D2445" t="s">
        <v>5640</v>
      </c>
      <c r="E2445" s="10" t="s">
        <v>5661</v>
      </c>
      <c r="F2445" s="10"/>
      <c r="G2445" s="10"/>
      <c r="H2445" s="10" t="s">
        <v>5661</v>
      </c>
      <c r="I2445" s="14">
        <v>22598.545627828687</v>
      </c>
      <c r="J2445" s="19">
        <v>0</v>
      </c>
      <c r="K2445" s="19">
        <v>0.96822638927310989</v>
      </c>
      <c r="L2445" s="19">
        <v>3.1773610726890132E-2</v>
      </c>
      <c r="M2445" s="20">
        <v>2</v>
      </c>
      <c r="N2445" s="19">
        <v>0.27738239014666888</v>
      </c>
      <c r="O2445" s="19">
        <v>0</v>
      </c>
      <c r="P2445" s="19">
        <v>0.6908439991264409</v>
      </c>
      <c r="Q2445" s="19">
        <v>0</v>
      </c>
      <c r="R2445" s="19">
        <v>3.1027659404040144E-2</v>
      </c>
      <c r="S2445" s="19">
        <v>7.45951322849991E-4</v>
      </c>
      <c r="T2445" s="20">
        <v>21</v>
      </c>
      <c r="U2445" s="17">
        <v>2</v>
      </c>
      <c r="V2445" s="17">
        <v>34</v>
      </c>
    </row>
    <row r="2446" spans="1:22" x14ac:dyDescent="0.2">
      <c r="A2446" t="s">
        <v>5662</v>
      </c>
      <c r="B2446" t="s">
        <v>2719</v>
      </c>
      <c r="C2446" t="s">
        <v>2720</v>
      </c>
      <c r="D2446" t="s">
        <v>5640</v>
      </c>
      <c r="E2446" s="10" t="s">
        <v>5663</v>
      </c>
      <c r="F2446" s="10"/>
      <c r="G2446" s="10"/>
      <c r="H2446" s="10" t="s">
        <v>5663</v>
      </c>
      <c r="I2446" s="14">
        <v>13750.475872158073</v>
      </c>
      <c r="J2446" s="19">
        <v>0</v>
      </c>
      <c r="K2446" s="19">
        <v>0.82437248628665361</v>
      </c>
      <c r="L2446" s="19">
        <v>0.17562751371334623</v>
      </c>
      <c r="M2446" s="20">
        <v>2</v>
      </c>
      <c r="N2446" s="19">
        <v>2.1287744889215161E-2</v>
      </c>
      <c r="O2446" s="19">
        <v>0</v>
      </c>
      <c r="P2446" s="19">
        <v>0.80308474139743857</v>
      </c>
      <c r="Q2446" s="19">
        <v>6.4410924468985995E-3</v>
      </c>
      <c r="R2446" s="19">
        <v>0.16510217451054163</v>
      </c>
      <c r="S2446" s="19">
        <v>4.0842467559060033E-3</v>
      </c>
      <c r="T2446" s="20">
        <v>21</v>
      </c>
      <c r="U2446" s="17">
        <v>2</v>
      </c>
      <c r="V2446" s="17">
        <v>34</v>
      </c>
    </row>
    <row r="2447" spans="1:22" x14ac:dyDescent="0.2">
      <c r="A2447" t="s">
        <v>5664</v>
      </c>
      <c r="B2447" t="s">
        <v>2719</v>
      </c>
      <c r="C2447" t="s">
        <v>2720</v>
      </c>
      <c r="D2447" t="s">
        <v>5640</v>
      </c>
      <c r="E2447" s="10" t="s">
        <v>2927</v>
      </c>
      <c r="F2447" s="10"/>
      <c r="G2447" s="10"/>
      <c r="H2447" s="10" t="s">
        <v>2927</v>
      </c>
      <c r="I2447" s="14">
        <v>38748.328056388535</v>
      </c>
      <c r="J2447" s="19">
        <v>0</v>
      </c>
      <c r="K2447" s="19">
        <v>0.46647497027187113</v>
      </c>
      <c r="L2447" s="19">
        <v>0.53352502972812887</v>
      </c>
      <c r="M2447" s="20">
        <v>1</v>
      </c>
      <c r="N2447" s="19">
        <v>0</v>
      </c>
      <c r="O2447" s="19">
        <v>0.20982728928611105</v>
      </c>
      <c r="P2447" s="19">
        <v>0.25664768098576007</v>
      </c>
      <c r="Q2447" s="19">
        <v>0.1478354020990153</v>
      </c>
      <c r="R2447" s="19">
        <v>0.34574716504662178</v>
      </c>
      <c r="S2447" s="19">
        <v>3.9942462582491803E-2</v>
      </c>
      <c r="T2447" s="20">
        <v>12</v>
      </c>
      <c r="U2447" s="17">
        <v>2</v>
      </c>
      <c r="V2447" s="17">
        <v>34</v>
      </c>
    </row>
    <row r="2448" spans="1:22" x14ac:dyDescent="0.2">
      <c r="A2448" t="s">
        <v>5665</v>
      </c>
      <c r="B2448" t="s">
        <v>2719</v>
      </c>
      <c r="C2448" t="s">
        <v>2720</v>
      </c>
      <c r="D2448" t="s">
        <v>5640</v>
      </c>
      <c r="E2448" s="10" t="s">
        <v>4125</v>
      </c>
      <c r="F2448" s="10"/>
      <c r="G2448" s="10"/>
      <c r="H2448" s="10" t="s">
        <v>4125</v>
      </c>
      <c r="I2448" s="14">
        <v>27559.429982960457</v>
      </c>
      <c r="J2448" s="19">
        <v>7.8155492915055969E-2</v>
      </c>
      <c r="K2448" s="19">
        <v>0.88932233672604744</v>
      </c>
      <c r="L2448" s="19">
        <v>3.2522170358896568E-2</v>
      </c>
      <c r="M2448" s="20">
        <v>2</v>
      </c>
      <c r="N2448" s="19">
        <v>0.24813164344412214</v>
      </c>
      <c r="O2448" s="19">
        <v>0</v>
      </c>
      <c r="P2448" s="19">
        <v>0.64119069328192535</v>
      </c>
      <c r="Q2448" s="19">
        <v>0</v>
      </c>
      <c r="R2448" s="19">
        <v>3.0046828832205382E-2</v>
      </c>
      <c r="S2448" s="19">
        <v>2.4753415266911835E-3</v>
      </c>
      <c r="T2448" s="20">
        <v>21</v>
      </c>
      <c r="U2448" s="17">
        <v>2</v>
      </c>
      <c r="V2448" s="17">
        <v>34</v>
      </c>
    </row>
    <row r="2449" spans="1:22" x14ac:dyDescent="0.2">
      <c r="A2449" t="s">
        <v>5666</v>
      </c>
      <c r="B2449" t="s">
        <v>2719</v>
      </c>
      <c r="C2449" t="s">
        <v>2720</v>
      </c>
      <c r="D2449" t="s">
        <v>5640</v>
      </c>
      <c r="E2449" s="10" t="s">
        <v>5667</v>
      </c>
      <c r="F2449" s="10"/>
      <c r="G2449" s="10"/>
      <c r="H2449" s="10" t="s">
        <v>5667</v>
      </c>
      <c r="I2449" s="14">
        <v>48108.526457170257</v>
      </c>
      <c r="J2449" s="19">
        <v>0</v>
      </c>
      <c r="K2449" s="19">
        <v>0.76862387817212541</v>
      </c>
      <c r="L2449" s="19">
        <v>0.23137612182787456</v>
      </c>
      <c r="M2449" s="20">
        <v>2</v>
      </c>
      <c r="N2449" s="19">
        <v>0</v>
      </c>
      <c r="O2449" s="19">
        <v>0</v>
      </c>
      <c r="P2449" s="19">
        <v>0.76862387817212541</v>
      </c>
      <c r="Q2449" s="19">
        <v>2.3491700726320751E-2</v>
      </c>
      <c r="R2449" s="19">
        <v>0.19886450352007912</v>
      </c>
      <c r="S2449" s="19">
        <v>9.019917581474704E-3</v>
      </c>
      <c r="T2449" s="20">
        <v>21</v>
      </c>
      <c r="U2449" s="17">
        <v>2</v>
      </c>
      <c r="V2449" s="17">
        <v>34</v>
      </c>
    </row>
    <row r="2450" spans="1:22" x14ac:dyDescent="0.2">
      <c r="A2450" t="s">
        <v>5668</v>
      </c>
      <c r="B2450" t="s">
        <v>2719</v>
      </c>
      <c r="C2450" t="s">
        <v>2720</v>
      </c>
      <c r="D2450" t="s">
        <v>5640</v>
      </c>
      <c r="E2450" s="10" t="s">
        <v>5669</v>
      </c>
      <c r="F2450" s="10"/>
      <c r="G2450" s="10"/>
      <c r="H2450" s="10" t="s">
        <v>5669</v>
      </c>
      <c r="I2450" s="14">
        <v>345831.17003061587</v>
      </c>
      <c r="J2450" s="19">
        <v>0.55905535693993813</v>
      </c>
      <c r="K2450" s="19">
        <v>0.4152745831601537</v>
      </c>
      <c r="L2450" s="19">
        <v>2.5670059899908105E-2</v>
      </c>
      <c r="M2450" s="20">
        <v>3</v>
      </c>
      <c r="N2450" s="19">
        <v>0.14890297915412393</v>
      </c>
      <c r="O2450" s="19">
        <v>0</v>
      </c>
      <c r="P2450" s="19">
        <v>0.26637160400602977</v>
      </c>
      <c r="Q2450" s="19">
        <v>1.7452873170464833E-3</v>
      </c>
      <c r="R2450" s="19">
        <v>2.2449438763272062E-2</v>
      </c>
      <c r="S2450" s="19">
        <v>1.4753338195895641E-3</v>
      </c>
      <c r="T2450" s="20">
        <v>30</v>
      </c>
      <c r="U2450" s="17">
        <v>2</v>
      </c>
      <c r="V2450" s="17">
        <v>34</v>
      </c>
    </row>
    <row r="2451" spans="1:22" x14ac:dyDescent="0.2">
      <c r="A2451" t="s">
        <v>5670</v>
      </c>
      <c r="B2451" t="s">
        <v>2719</v>
      </c>
      <c r="C2451" t="s">
        <v>2720</v>
      </c>
      <c r="D2451" t="s">
        <v>5640</v>
      </c>
      <c r="E2451" s="10" t="s">
        <v>4254</v>
      </c>
      <c r="F2451" s="10"/>
      <c r="G2451" s="10"/>
      <c r="H2451" s="10" t="s">
        <v>4254</v>
      </c>
      <c r="I2451" s="14">
        <v>69155.294609016739</v>
      </c>
      <c r="J2451" s="19">
        <v>0</v>
      </c>
      <c r="K2451" s="19">
        <v>0.9254374105428198</v>
      </c>
      <c r="L2451" s="19">
        <v>7.4562589457180223E-2</v>
      </c>
      <c r="M2451" s="20">
        <v>2</v>
      </c>
      <c r="N2451" s="19">
        <v>0.3132639774587746</v>
      </c>
      <c r="O2451" s="19">
        <v>0</v>
      </c>
      <c r="P2451" s="19">
        <v>0.61217343308404515</v>
      </c>
      <c r="Q2451" s="19">
        <v>2.1220727010971715E-2</v>
      </c>
      <c r="R2451" s="19">
        <v>5.1194638413398379E-2</v>
      </c>
      <c r="S2451" s="19">
        <v>2.1472240328101314E-3</v>
      </c>
      <c r="T2451" s="20">
        <v>21</v>
      </c>
      <c r="U2451" s="17">
        <v>2</v>
      </c>
      <c r="V2451" s="17">
        <v>34</v>
      </c>
    </row>
    <row r="2452" spans="1:22" x14ac:dyDescent="0.2">
      <c r="A2452" t="s">
        <v>5671</v>
      </c>
      <c r="B2452" t="s">
        <v>2719</v>
      </c>
      <c r="C2452" t="s">
        <v>2720</v>
      </c>
      <c r="D2452" t="s">
        <v>5672</v>
      </c>
      <c r="E2452" s="10" t="s">
        <v>5673</v>
      </c>
      <c r="F2452" s="10"/>
      <c r="G2452" s="10"/>
      <c r="H2452" s="10" t="s">
        <v>5673</v>
      </c>
      <c r="I2452" s="14">
        <v>41911.898195843678</v>
      </c>
      <c r="J2452" s="19">
        <v>0</v>
      </c>
      <c r="K2452" s="19">
        <v>0.68452059399471432</v>
      </c>
      <c r="L2452" s="19">
        <v>0.31547940600528562</v>
      </c>
      <c r="M2452" s="20">
        <v>2</v>
      </c>
      <c r="N2452" s="19">
        <v>0.54844195112641092</v>
      </c>
      <c r="O2452" s="19">
        <v>0</v>
      </c>
      <c r="P2452" s="19">
        <v>0.13607864286830348</v>
      </c>
      <c r="Q2452" s="19">
        <v>0.15322771816890685</v>
      </c>
      <c r="R2452" s="19">
        <v>0.14600936609950382</v>
      </c>
      <c r="S2452" s="19">
        <v>1.6242321736874975E-2</v>
      </c>
      <c r="T2452" s="20">
        <v>23</v>
      </c>
      <c r="U2452" s="17">
        <v>2</v>
      </c>
      <c r="V2452" s="17">
        <v>34</v>
      </c>
    </row>
    <row r="2453" spans="1:22" x14ac:dyDescent="0.2">
      <c r="A2453" t="s">
        <v>5674</v>
      </c>
      <c r="B2453" t="s">
        <v>2719</v>
      </c>
      <c r="C2453" t="s">
        <v>2720</v>
      </c>
      <c r="D2453" t="s">
        <v>5672</v>
      </c>
      <c r="E2453" s="10" t="s">
        <v>5675</v>
      </c>
      <c r="F2453" s="10"/>
      <c r="G2453" s="10"/>
      <c r="H2453" s="10" t="s">
        <v>5675</v>
      </c>
      <c r="I2453" s="14">
        <v>20748.757859049365</v>
      </c>
      <c r="J2453" s="19">
        <v>0</v>
      </c>
      <c r="K2453" s="19">
        <v>0.15541511873985603</v>
      </c>
      <c r="L2453" s="19">
        <v>0.84458488126014397</v>
      </c>
      <c r="M2453" s="20">
        <v>1</v>
      </c>
      <c r="N2453" s="19">
        <v>0</v>
      </c>
      <c r="O2453" s="19">
        <v>0.15541511873985603</v>
      </c>
      <c r="P2453" s="19">
        <v>0</v>
      </c>
      <c r="Q2453" s="19">
        <v>0.71780677238103441</v>
      </c>
      <c r="R2453" s="19">
        <v>0.11228605279851413</v>
      </c>
      <c r="S2453" s="19">
        <v>1.4492056080595393E-2</v>
      </c>
      <c r="T2453" s="20">
        <v>13</v>
      </c>
      <c r="U2453" s="17">
        <v>2</v>
      </c>
      <c r="V2453" s="17">
        <v>34</v>
      </c>
    </row>
    <row r="2454" spans="1:22" x14ac:dyDescent="0.2">
      <c r="A2454" t="s">
        <v>5676</v>
      </c>
      <c r="B2454" t="s">
        <v>2719</v>
      </c>
      <c r="C2454" t="s">
        <v>2720</v>
      </c>
      <c r="D2454" t="s">
        <v>5672</v>
      </c>
      <c r="E2454" s="10" t="s">
        <v>5677</v>
      </c>
      <c r="F2454" s="10"/>
      <c r="G2454" s="10"/>
      <c r="H2454" s="10" t="s">
        <v>5677</v>
      </c>
      <c r="I2454" s="14">
        <v>12562.938821783755</v>
      </c>
      <c r="J2454" s="19">
        <v>0</v>
      </c>
      <c r="K2454" s="19">
        <v>0</v>
      </c>
      <c r="L2454" s="19">
        <v>1</v>
      </c>
      <c r="M2454" s="20">
        <v>1</v>
      </c>
      <c r="N2454" s="19">
        <v>0</v>
      </c>
      <c r="O2454" s="19">
        <v>0</v>
      </c>
      <c r="P2454" s="19">
        <v>0</v>
      </c>
      <c r="Q2454" s="19">
        <v>0.61487810213096261</v>
      </c>
      <c r="R2454" s="19">
        <v>0.34868799614148738</v>
      </c>
      <c r="S2454" s="19">
        <v>3.6433901727550129E-2</v>
      </c>
      <c r="T2454" s="20">
        <v>13</v>
      </c>
      <c r="U2454" s="17">
        <v>2</v>
      </c>
      <c r="V2454" s="17">
        <v>34</v>
      </c>
    </row>
    <row r="2455" spans="1:22" x14ac:dyDescent="0.2">
      <c r="A2455" t="s">
        <v>5678</v>
      </c>
      <c r="B2455" t="s">
        <v>2719</v>
      </c>
      <c r="C2455" t="s">
        <v>2720</v>
      </c>
      <c r="D2455" t="s">
        <v>5672</v>
      </c>
      <c r="E2455" s="10" t="s">
        <v>5679</v>
      </c>
      <c r="F2455" s="10"/>
      <c r="G2455" s="10"/>
      <c r="H2455" s="10" t="s">
        <v>5679</v>
      </c>
      <c r="I2455" s="14">
        <v>15050.901606637985</v>
      </c>
      <c r="J2455" s="19">
        <v>0</v>
      </c>
      <c r="K2455" s="19">
        <v>0</v>
      </c>
      <c r="L2455" s="19">
        <v>1</v>
      </c>
      <c r="M2455" s="20">
        <v>1</v>
      </c>
      <c r="N2455" s="19">
        <v>0</v>
      </c>
      <c r="O2455" s="19">
        <v>0</v>
      </c>
      <c r="P2455" s="19">
        <v>0</v>
      </c>
      <c r="Q2455" s="19">
        <v>0.63943602111945697</v>
      </c>
      <c r="R2455" s="19">
        <v>0.32048035201469766</v>
      </c>
      <c r="S2455" s="19">
        <v>4.0083626865845393E-2</v>
      </c>
      <c r="T2455" s="20">
        <v>13</v>
      </c>
      <c r="U2455" s="17">
        <v>2</v>
      </c>
      <c r="V2455" s="17">
        <v>34</v>
      </c>
    </row>
    <row r="2456" spans="1:22" x14ac:dyDescent="0.2">
      <c r="A2456" t="s">
        <v>5680</v>
      </c>
      <c r="B2456" t="s">
        <v>2719</v>
      </c>
      <c r="C2456" t="s">
        <v>2720</v>
      </c>
      <c r="D2456" t="s">
        <v>5672</v>
      </c>
      <c r="E2456" s="10" t="s">
        <v>5681</v>
      </c>
      <c r="F2456" s="10"/>
      <c r="G2456" s="10"/>
      <c r="H2456" s="10" t="s">
        <v>5681</v>
      </c>
      <c r="I2456" s="14">
        <v>10703.427403984941</v>
      </c>
      <c r="J2456" s="19">
        <v>0</v>
      </c>
      <c r="K2456" s="19">
        <v>6.418689408190687E-3</v>
      </c>
      <c r="L2456" s="19">
        <v>0.99358131059180932</v>
      </c>
      <c r="M2456" s="20">
        <v>1</v>
      </c>
      <c r="N2456" s="19">
        <v>0</v>
      </c>
      <c r="O2456" s="19">
        <v>0</v>
      </c>
      <c r="P2456" s="19">
        <v>6.418689408190687E-3</v>
      </c>
      <c r="Q2456" s="19">
        <v>0.7742876674500826</v>
      </c>
      <c r="R2456" s="19">
        <v>0.20558021957835684</v>
      </c>
      <c r="S2456" s="19">
        <v>1.3713423563369916E-2</v>
      </c>
      <c r="T2456" s="20">
        <v>13</v>
      </c>
      <c r="U2456" s="17">
        <v>2</v>
      </c>
      <c r="V2456" s="17">
        <v>34</v>
      </c>
    </row>
    <row r="2457" spans="1:22" x14ac:dyDescent="0.2">
      <c r="A2457" t="s">
        <v>5682</v>
      </c>
      <c r="B2457" t="s">
        <v>2719</v>
      </c>
      <c r="C2457" t="s">
        <v>2720</v>
      </c>
      <c r="D2457" t="s">
        <v>5672</v>
      </c>
      <c r="E2457" s="10" t="s">
        <v>5683</v>
      </c>
      <c r="F2457" s="10"/>
      <c r="G2457" s="10"/>
      <c r="H2457" s="10" t="s">
        <v>5683</v>
      </c>
      <c r="I2457" s="14">
        <v>13903.313213525107</v>
      </c>
      <c r="J2457" s="19">
        <v>0</v>
      </c>
      <c r="K2457" s="19">
        <v>0</v>
      </c>
      <c r="L2457" s="19">
        <v>1</v>
      </c>
      <c r="M2457" s="20">
        <v>1</v>
      </c>
      <c r="N2457" s="19">
        <v>0</v>
      </c>
      <c r="O2457" s="19">
        <v>0</v>
      </c>
      <c r="P2457" s="19">
        <v>0</v>
      </c>
      <c r="Q2457" s="19">
        <v>0.88433230581651023</v>
      </c>
      <c r="R2457" s="19">
        <v>0.11093914749891845</v>
      </c>
      <c r="S2457" s="19">
        <v>4.7285466845713624E-3</v>
      </c>
      <c r="T2457" s="20">
        <v>13</v>
      </c>
      <c r="U2457" s="17">
        <v>2</v>
      </c>
      <c r="V2457" s="17">
        <v>34</v>
      </c>
    </row>
    <row r="2458" spans="1:22" x14ac:dyDescent="0.2">
      <c r="A2458" t="s">
        <v>5684</v>
      </c>
      <c r="B2458" t="s">
        <v>2719</v>
      </c>
      <c r="C2458" t="s">
        <v>2720</v>
      </c>
      <c r="D2458" t="s">
        <v>5672</v>
      </c>
      <c r="E2458" s="10" t="s">
        <v>5685</v>
      </c>
      <c r="F2458" s="10"/>
      <c r="G2458" s="10"/>
      <c r="H2458" s="10" t="s">
        <v>5685</v>
      </c>
      <c r="I2458" s="14">
        <v>19714.072262475733</v>
      </c>
      <c r="J2458" s="19">
        <v>0</v>
      </c>
      <c r="K2458" s="19">
        <v>0.58865432507538362</v>
      </c>
      <c r="L2458" s="19">
        <v>0.41134567492461632</v>
      </c>
      <c r="M2458" s="20">
        <v>2</v>
      </c>
      <c r="N2458" s="19">
        <v>0</v>
      </c>
      <c r="O2458" s="19">
        <v>0.58865432507538362</v>
      </c>
      <c r="P2458" s="19">
        <v>0</v>
      </c>
      <c r="Q2458" s="19">
        <v>0.39025713686894015</v>
      </c>
      <c r="R2458" s="19">
        <v>2.0363902477757496E-2</v>
      </c>
      <c r="S2458" s="19">
        <v>7.2463557791876184E-4</v>
      </c>
      <c r="T2458" s="20">
        <v>22</v>
      </c>
      <c r="U2458" s="17">
        <v>2</v>
      </c>
      <c r="V2458" s="17">
        <v>34</v>
      </c>
    </row>
    <row r="2459" spans="1:22" x14ac:dyDescent="0.2">
      <c r="A2459" t="s">
        <v>5686</v>
      </c>
      <c r="B2459" t="s">
        <v>2719</v>
      </c>
      <c r="C2459" t="s">
        <v>2720</v>
      </c>
      <c r="D2459" t="s">
        <v>5672</v>
      </c>
      <c r="E2459" s="10" t="s">
        <v>5687</v>
      </c>
      <c r="F2459" s="10"/>
      <c r="G2459" s="10"/>
      <c r="H2459" s="10" t="s">
        <v>5687</v>
      </c>
      <c r="I2459" s="14">
        <v>9535.2234237393131</v>
      </c>
      <c r="J2459" s="19">
        <v>0</v>
      </c>
      <c r="K2459" s="19">
        <v>0.54533670583245197</v>
      </c>
      <c r="L2459" s="19">
        <v>0.45466329416754803</v>
      </c>
      <c r="M2459" s="20">
        <v>2</v>
      </c>
      <c r="N2459" s="19">
        <v>0</v>
      </c>
      <c r="O2459" s="19">
        <v>0.54533670583245197</v>
      </c>
      <c r="P2459" s="19">
        <v>0</v>
      </c>
      <c r="Q2459" s="19">
        <v>0.43769374845064107</v>
      </c>
      <c r="R2459" s="19">
        <v>1.5042313287733632E-2</v>
      </c>
      <c r="S2459" s="19">
        <v>1.9272324291733109E-3</v>
      </c>
      <c r="T2459" s="20">
        <v>22</v>
      </c>
      <c r="U2459" s="17">
        <v>2</v>
      </c>
      <c r="V2459" s="17">
        <v>34</v>
      </c>
    </row>
    <row r="2460" spans="1:22" x14ac:dyDescent="0.2">
      <c r="A2460" t="s">
        <v>5688</v>
      </c>
      <c r="B2460" t="s">
        <v>2719</v>
      </c>
      <c r="C2460" t="s">
        <v>2720</v>
      </c>
      <c r="D2460" t="s">
        <v>5672</v>
      </c>
      <c r="E2460" s="10" t="s">
        <v>5689</v>
      </c>
      <c r="F2460" s="10"/>
      <c r="G2460" s="10"/>
      <c r="H2460" s="10" t="s">
        <v>5689</v>
      </c>
      <c r="I2460" s="14">
        <v>10211.932877949905</v>
      </c>
      <c r="J2460" s="19">
        <v>0</v>
      </c>
      <c r="K2460" s="19">
        <v>0.86916583003655778</v>
      </c>
      <c r="L2460" s="19">
        <v>0.13083416996344227</v>
      </c>
      <c r="M2460" s="20">
        <v>2</v>
      </c>
      <c r="N2460" s="19">
        <v>0</v>
      </c>
      <c r="O2460" s="19">
        <v>0.86916583003655778</v>
      </c>
      <c r="P2460" s="19">
        <v>0</v>
      </c>
      <c r="Q2460" s="19">
        <v>7.2973661071778093E-2</v>
      </c>
      <c r="R2460" s="19">
        <v>5.6586984801732083E-2</v>
      </c>
      <c r="S2460" s="19">
        <v>1.2735240899320612E-3</v>
      </c>
      <c r="T2460" s="20">
        <v>22</v>
      </c>
      <c r="U2460" s="17">
        <v>2</v>
      </c>
      <c r="V2460" s="17">
        <v>34</v>
      </c>
    </row>
    <row r="2461" spans="1:22" x14ac:dyDescent="0.2">
      <c r="A2461" t="s">
        <v>5690</v>
      </c>
      <c r="B2461" t="s">
        <v>2719</v>
      </c>
      <c r="C2461" t="s">
        <v>2720</v>
      </c>
      <c r="D2461" t="s">
        <v>5672</v>
      </c>
      <c r="E2461" s="10" t="s">
        <v>5691</v>
      </c>
      <c r="F2461" s="10"/>
      <c r="G2461" s="10"/>
      <c r="H2461" s="10" t="s">
        <v>5691</v>
      </c>
      <c r="I2461" s="14">
        <v>8017.1273021220777</v>
      </c>
      <c r="J2461" s="19">
        <v>0</v>
      </c>
      <c r="K2461" s="19">
        <v>0.63412509785688531</v>
      </c>
      <c r="L2461" s="19">
        <v>0.36587490214311474</v>
      </c>
      <c r="M2461" s="20">
        <v>2</v>
      </c>
      <c r="N2461" s="19">
        <v>0.16795930696335731</v>
      </c>
      <c r="O2461" s="19">
        <v>4.5671364607650908E-2</v>
      </c>
      <c r="P2461" s="19">
        <v>0.42049442628587702</v>
      </c>
      <c r="Q2461" s="19">
        <v>7.2834173064432184E-2</v>
      </c>
      <c r="R2461" s="19">
        <v>0.27081594258456415</v>
      </c>
      <c r="S2461" s="19">
        <v>2.2224786494118277E-2</v>
      </c>
      <c r="T2461" s="20">
        <v>23</v>
      </c>
      <c r="U2461" s="17">
        <v>2</v>
      </c>
      <c r="V2461" s="17">
        <v>34</v>
      </c>
    </row>
    <row r="2462" spans="1:22" x14ac:dyDescent="0.2">
      <c r="A2462" t="s">
        <v>5692</v>
      </c>
      <c r="B2462" t="s">
        <v>2719</v>
      </c>
      <c r="C2462" t="s">
        <v>2720</v>
      </c>
      <c r="D2462" t="s">
        <v>5672</v>
      </c>
      <c r="E2462" s="10" t="s">
        <v>5693</v>
      </c>
      <c r="F2462" s="10"/>
      <c r="G2462" s="10"/>
      <c r="H2462" s="10" t="s">
        <v>5693</v>
      </c>
      <c r="I2462" s="14">
        <v>0</v>
      </c>
      <c r="J2462" s="19">
        <v>0</v>
      </c>
      <c r="K2462" s="19">
        <v>0</v>
      </c>
      <c r="L2462" s="19">
        <v>0</v>
      </c>
      <c r="M2462" s="20">
        <v>1</v>
      </c>
      <c r="N2462" s="19">
        <v>0</v>
      </c>
      <c r="O2462" s="19">
        <v>0</v>
      </c>
      <c r="P2462" s="19">
        <v>0</v>
      </c>
      <c r="Q2462" s="19">
        <v>0</v>
      </c>
      <c r="R2462" s="19">
        <v>0</v>
      </c>
      <c r="S2462" s="19">
        <v>0</v>
      </c>
      <c r="T2462" s="20">
        <v>11</v>
      </c>
      <c r="U2462" s="17">
        <v>2</v>
      </c>
      <c r="V2462" s="17">
        <v>34</v>
      </c>
    </row>
    <row r="2463" spans="1:22" x14ac:dyDescent="0.2">
      <c r="A2463" t="s">
        <v>5694</v>
      </c>
      <c r="B2463" t="s">
        <v>2719</v>
      </c>
      <c r="C2463" t="s">
        <v>2720</v>
      </c>
      <c r="D2463" t="s">
        <v>5695</v>
      </c>
      <c r="E2463" s="10" t="s">
        <v>5696</v>
      </c>
      <c r="F2463" s="10"/>
      <c r="G2463" s="10"/>
      <c r="H2463" s="10" t="s">
        <v>5696</v>
      </c>
      <c r="I2463" s="14">
        <v>70860.651891763322</v>
      </c>
      <c r="J2463" s="19">
        <v>0</v>
      </c>
      <c r="K2463" s="19">
        <v>0.85556270548969615</v>
      </c>
      <c r="L2463" s="19">
        <v>0.14443729451030385</v>
      </c>
      <c r="M2463" s="20">
        <v>2</v>
      </c>
      <c r="N2463" s="19">
        <v>0.35427769795759273</v>
      </c>
      <c r="O2463" s="19">
        <v>0</v>
      </c>
      <c r="P2463" s="19">
        <v>0.50128500753210337</v>
      </c>
      <c r="Q2463" s="19">
        <v>1.2042596475251608E-2</v>
      </c>
      <c r="R2463" s="19">
        <v>0.11275298799275098</v>
      </c>
      <c r="S2463" s="19">
        <v>1.9641710042301266E-2</v>
      </c>
      <c r="T2463" s="20">
        <v>21</v>
      </c>
      <c r="U2463" s="17">
        <v>2</v>
      </c>
      <c r="V2463" s="17">
        <v>34</v>
      </c>
    </row>
    <row r="2464" spans="1:22" x14ac:dyDescent="0.2">
      <c r="A2464" t="s">
        <v>5697</v>
      </c>
      <c r="B2464" t="s">
        <v>2719</v>
      </c>
      <c r="C2464" t="s">
        <v>2720</v>
      </c>
      <c r="D2464" t="s">
        <v>5695</v>
      </c>
      <c r="E2464" s="10" t="s">
        <v>5698</v>
      </c>
      <c r="F2464" s="10"/>
      <c r="G2464" s="10"/>
      <c r="H2464" s="10" t="s">
        <v>5698</v>
      </c>
      <c r="I2464" s="14">
        <v>29982.993827697821</v>
      </c>
      <c r="J2464" s="19">
        <v>0</v>
      </c>
      <c r="K2464" s="19">
        <v>0.96127490877930244</v>
      </c>
      <c r="L2464" s="19">
        <v>3.8725091220697581E-2</v>
      </c>
      <c r="M2464" s="20">
        <v>2</v>
      </c>
      <c r="N2464" s="19">
        <v>0.21799312034465554</v>
      </c>
      <c r="O2464" s="19">
        <v>0</v>
      </c>
      <c r="P2464" s="19">
        <v>0.74328178843464687</v>
      </c>
      <c r="Q2464" s="19">
        <v>0</v>
      </c>
      <c r="R2464" s="19">
        <v>2.9405208117402951E-2</v>
      </c>
      <c r="S2464" s="19">
        <v>9.3198831032946308E-3</v>
      </c>
      <c r="T2464" s="20">
        <v>21</v>
      </c>
      <c r="U2464" s="17">
        <v>2</v>
      </c>
      <c r="V2464" s="17">
        <v>34</v>
      </c>
    </row>
    <row r="2465" spans="1:22" x14ac:dyDescent="0.2">
      <c r="A2465" t="s">
        <v>5699</v>
      </c>
      <c r="B2465" t="s">
        <v>2719</v>
      </c>
      <c r="C2465" t="s">
        <v>2720</v>
      </c>
      <c r="D2465" t="s">
        <v>5695</v>
      </c>
      <c r="E2465" s="10" t="s">
        <v>5228</v>
      </c>
      <c r="F2465" s="10"/>
      <c r="G2465" s="10"/>
      <c r="H2465" s="10" t="s">
        <v>5228</v>
      </c>
      <c r="I2465" s="14">
        <v>31917.901431165639</v>
      </c>
      <c r="J2465" s="19">
        <v>0</v>
      </c>
      <c r="K2465" s="19">
        <v>0.87787511467274348</v>
      </c>
      <c r="L2465" s="19">
        <v>0.12212488532725628</v>
      </c>
      <c r="M2465" s="20">
        <v>2</v>
      </c>
      <c r="N2465" s="19">
        <v>0.17938368953068973</v>
      </c>
      <c r="O2465" s="19">
        <v>0</v>
      </c>
      <c r="P2465" s="19">
        <v>0.69849142514205387</v>
      </c>
      <c r="Q2465" s="19">
        <v>2.0009523596363703E-2</v>
      </c>
      <c r="R2465" s="19">
        <v>8.2486657145294337E-2</v>
      </c>
      <c r="S2465" s="19">
        <v>1.9628704585598251E-2</v>
      </c>
      <c r="T2465" s="20">
        <v>21</v>
      </c>
      <c r="U2465" s="17">
        <v>2</v>
      </c>
      <c r="V2465" s="17">
        <v>34</v>
      </c>
    </row>
    <row r="2466" spans="1:22" x14ac:dyDescent="0.2">
      <c r="A2466" t="s">
        <v>5700</v>
      </c>
      <c r="B2466" t="s">
        <v>2719</v>
      </c>
      <c r="C2466" t="s">
        <v>2720</v>
      </c>
      <c r="D2466" t="s">
        <v>5695</v>
      </c>
      <c r="E2466" s="10" t="s">
        <v>5701</v>
      </c>
      <c r="F2466" s="10"/>
      <c r="G2466" s="10"/>
      <c r="H2466" s="10" t="s">
        <v>5701</v>
      </c>
      <c r="I2466" s="14">
        <v>69350.194209641311</v>
      </c>
      <c r="J2466" s="19">
        <v>0</v>
      </c>
      <c r="K2466" s="19">
        <v>0.97707570125170629</v>
      </c>
      <c r="L2466" s="19">
        <v>2.2924298748293749E-2</v>
      </c>
      <c r="M2466" s="20">
        <v>2</v>
      </c>
      <c r="N2466" s="19">
        <v>0.65081812092258162</v>
      </c>
      <c r="O2466" s="19">
        <v>0</v>
      </c>
      <c r="P2466" s="19">
        <v>0.32625758032912466</v>
      </c>
      <c r="Q2466" s="19">
        <v>0</v>
      </c>
      <c r="R2466" s="19">
        <v>2.0606344657505504E-2</v>
      </c>
      <c r="S2466" s="19">
        <v>2.3179540907882447E-3</v>
      </c>
      <c r="T2466" s="20">
        <v>23</v>
      </c>
      <c r="U2466" s="17">
        <v>2</v>
      </c>
      <c r="V2466" s="17">
        <v>34</v>
      </c>
    </row>
    <row r="2467" spans="1:22" x14ac:dyDescent="0.2">
      <c r="A2467" t="s">
        <v>5702</v>
      </c>
      <c r="B2467" t="s">
        <v>2719</v>
      </c>
      <c r="C2467" t="s">
        <v>2720</v>
      </c>
      <c r="D2467" t="s">
        <v>5695</v>
      </c>
      <c r="E2467" s="10" t="s">
        <v>5703</v>
      </c>
      <c r="F2467" s="10"/>
      <c r="G2467" s="10"/>
      <c r="H2467" s="10" t="s">
        <v>5703</v>
      </c>
      <c r="I2467" s="14">
        <v>60886.17405322846</v>
      </c>
      <c r="J2467" s="19">
        <v>0</v>
      </c>
      <c r="K2467" s="19">
        <v>0.92530887019191554</v>
      </c>
      <c r="L2467" s="19">
        <v>7.4691129808084344E-2</v>
      </c>
      <c r="M2467" s="20">
        <v>2</v>
      </c>
      <c r="N2467" s="19">
        <v>0.79203269201679216</v>
      </c>
      <c r="O2467" s="19">
        <v>0</v>
      </c>
      <c r="P2467" s="19">
        <v>0.13327617817512347</v>
      </c>
      <c r="Q2467" s="19">
        <v>2.9878708121238193E-2</v>
      </c>
      <c r="R2467" s="19">
        <v>3.61882217061388E-2</v>
      </c>
      <c r="S2467" s="19">
        <v>8.6241999807073495E-3</v>
      </c>
      <c r="T2467" s="20">
        <v>23</v>
      </c>
      <c r="U2467" s="17">
        <v>2</v>
      </c>
      <c r="V2467" s="17">
        <v>34</v>
      </c>
    </row>
    <row r="2468" spans="1:22" x14ac:dyDescent="0.2">
      <c r="A2468" t="s">
        <v>5704</v>
      </c>
      <c r="B2468" t="s">
        <v>2719</v>
      </c>
      <c r="C2468" t="s">
        <v>2720</v>
      </c>
      <c r="D2468" t="s">
        <v>5695</v>
      </c>
      <c r="E2468" s="10" t="s">
        <v>5705</v>
      </c>
      <c r="F2468" s="10"/>
      <c r="G2468" s="10"/>
      <c r="H2468" s="10" t="s">
        <v>5705</v>
      </c>
      <c r="I2468" s="14">
        <v>59666.19504120294</v>
      </c>
      <c r="J2468" s="19">
        <v>0</v>
      </c>
      <c r="K2468" s="19">
        <v>0.93347845322598555</v>
      </c>
      <c r="L2468" s="19">
        <v>6.6521546774014464E-2</v>
      </c>
      <c r="M2468" s="20">
        <v>2</v>
      </c>
      <c r="N2468" s="19">
        <v>0.62504448733012508</v>
      </c>
      <c r="O2468" s="19">
        <v>0</v>
      </c>
      <c r="P2468" s="19">
        <v>0.30843396589586053</v>
      </c>
      <c r="Q2468" s="19">
        <v>2.4562571371484706E-2</v>
      </c>
      <c r="R2468" s="19">
        <v>3.4306546938612438E-2</v>
      </c>
      <c r="S2468" s="19">
        <v>7.6524284639173214E-3</v>
      </c>
      <c r="T2468" s="20">
        <v>23</v>
      </c>
      <c r="U2468" s="17">
        <v>2</v>
      </c>
      <c r="V2468" s="17">
        <v>34</v>
      </c>
    </row>
    <row r="2469" spans="1:22" x14ac:dyDescent="0.2">
      <c r="A2469" t="s">
        <v>5706</v>
      </c>
      <c r="B2469" t="s">
        <v>2719</v>
      </c>
      <c r="C2469" t="s">
        <v>2720</v>
      </c>
      <c r="D2469" t="s">
        <v>5695</v>
      </c>
      <c r="E2469" s="10" t="s">
        <v>5707</v>
      </c>
      <c r="F2469" s="10"/>
      <c r="G2469" s="10"/>
      <c r="H2469" s="10" t="s">
        <v>5707</v>
      </c>
      <c r="I2469" s="14">
        <v>212908.97194552724</v>
      </c>
      <c r="J2469" s="19">
        <v>0.92486354539502813</v>
      </c>
      <c r="K2469" s="19">
        <v>6.4014210087910042E-2</v>
      </c>
      <c r="L2469" s="19">
        <v>1.1122244517061857E-2</v>
      </c>
      <c r="M2469" s="20">
        <v>3</v>
      </c>
      <c r="N2469" s="19">
        <v>1.5715508688171648E-2</v>
      </c>
      <c r="O2469" s="19">
        <v>0</v>
      </c>
      <c r="P2469" s="19">
        <v>4.8298701399738395E-2</v>
      </c>
      <c r="Q2469" s="19">
        <v>0</v>
      </c>
      <c r="R2469" s="19">
        <v>9.2342983142886977E-3</v>
      </c>
      <c r="S2469" s="19">
        <v>1.8879462027731606E-3</v>
      </c>
      <c r="T2469" s="20">
        <v>30</v>
      </c>
      <c r="U2469" s="17">
        <v>2</v>
      </c>
      <c r="V2469" s="17">
        <v>34</v>
      </c>
    </row>
    <row r="2470" spans="1:22" x14ac:dyDescent="0.2">
      <c r="A2470" t="s">
        <v>5708</v>
      </c>
      <c r="B2470" t="s">
        <v>2719</v>
      </c>
      <c r="C2470" t="s">
        <v>2720</v>
      </c>
      <c r="D2470" t="s">
        <v>5695</v>
      </c>
      <c r="E2470" s="10" t="s">
        <v>5709</v>
      </c>
      <c r="F2470" s="10"/>
      <c r="G2470" s="10"/>
      <c r="H2470" s="10" t="s">
        <v>5709</v>
      </c>
      <c r="I2470" s="14">
        <v>44554.524908147752</v>
      </c>
      <c r="J2470" s="19">
        <v>0</v>
      </c>
      <c r="K2470" s="19">
        <v>0.86149161920653872</v>
      </c>
      <c r="L2470" s="19">
        <v>0.13850838079346128</v>
      </c>
      <c r="M2470" s="20">
        <v>2</v>
      </c>
      <c r="N2470" s="19">
        <v>0.31600530706343405</v>
      </c>
      <c r="O2470" s="19">
        <v>0</v>
      </c>
      <c r="P2470" s="19">
        <v>0.54548631214310461</v>
      </c>
      <c r="Q2470" s="19">
        <v>2.8660725093931094E-2</v>
      </c>
      <c r="R2470" s="19">
        <v>9.7715046469382907E-2</v>
      </c>
      <c r="S2470" s="19">
        <v>1.2132609230147296E-2</v>
      </c>
      <c r="T2470" s="20">
        <v>21</v>
      </c>
      <c r="U2470" s="17">
        <v>2</v>
      </c>
      <c r="V2470" s="17">
        <v>34</v>
      </c>
    </row>
    <row r="2471" spans="1:22" x14ac:dyDescent="0.2">
      <c r="A2471" t="s">
        <v>5710</v>
      </c>
      <c r="B2471" t="s">
        <v>2719</v>
      </c>
      <c r="C2471" t="s">
        <v>2720</v>
      </c>
      <c r="D2471" t="s">
        <v>5695</v>
      </c>
      <c r="E2471" s="10" t="s">
        <v>4900</v>
      </c>
      <c r="F2471" s="10"/>
      <c r="G2471" s="10"/>
      <c r="H2471" s="10" t="s">
        <v>4900</v>
      </c>
      <c r="I2471" s="14">
        <v>44295.79394962173</v>
      </c>
      <c r="J2471" s="19">
        <v>0</v>
      </c>
      <c r="K2471" s="19">
        <v>0.88944679189602172</v>
      </c>
      <c r="L2471" s="19">
        <v>0.11055320810397823</v>
      </c>
      <c r="M2471" s="20">
        <v>2</v>
      </c>
      <c r="N2471" s="19">
        <v>0.41222224716771605</v>
      </c>
      <c r="O2471" s="19">
        <v>0</v>
      </c>
      <c r="P2471" s="19">
        <v>0.47722454472830572</v>
      </c>
      <c r="Q2471" s="19">
        <v>6.4253205619656334E-2</v>
      </c>
      <c r="R2471" s="19">
        <v>4.1747155130387244E-2</v>
      </c>
      <c r="S2471" s="19">
        <v>4.5528473539346729E-3</v>
      </c>
      <c r="T2471" s="20">
        <v>23</v>
      </c>
      <c r="U2471" s="17">
        <v>2</v>
      </c>
      <c r="V2471" s="17">
        <v>34</v>
      </c>
    </row>
    <row r="2472" spans="1:22" x14ac:dyDescent="0.2">
      <c r="A2472" t="s">
        <v>5711</v>
      </c>
      <c r="B2472" t="s">
        <v>2719</v>
      </c>
      <c r="C2472" t="s">
        <v>2720</v>
      </c>
      <c r="D2472" t="s">
        <v>5695</v>
      </c>
      <c r="E2472" s="10" t="s">
        <v>5712</v>
      </c>
      <c r="F2472" s="10"/>
      <c r="G2472" s="10"/>
      <c r="H2472" s="10" t="s">
        <v>5712</v>
      </c>
      <c r="I2472" s="14">
        <v>27773.22592634242</v>
      </c>
      <c r="J2472" s="19">
        <v>0</v>
      </c>
      <c r="K2472" s="19">
        <v>0.92031630923043506</v>
      </c>
      <c r="L2472" s="19">
        <v>7.9683690769564997E-2</v>
      </c>
      <c r="M2472" s="20">
        <v>2</v>
      </c>
      <c r="N2472" s="19">
        <v>0.52871362161627689</v>
      </c>
      <c r="O2472" s="19">
        <v>0</v>
      </c>
      <c r="P2472" s="19">
        <v>0.39160268761415817</v>
      </c>
      <c r="Q2472" s="19">
        <v>4.1215637163517756E-3</v>
      </c>
      <c r="R2472" s="19">
        <v>6.7934190616081233E-2</v>
      </c>
      <c r="S2472" s="19">
        <v>7.6279364371319748E-3</v>
      </c>
      <c r="T2472" s="20">
        <v>23</v>
      </c>
      <c r="U2472" s="17">
        <v>2</v>
      </c>
      <c r="V2472" s="17">
        <v>34</v>
      </c>
    </row>
    <row r="2473" spans="1:22" x14ac:dyDescent="0.2">
      <c r="A2473" t="s">
        <v>5713</v>
      </c>
      <c r="B2473" t="s">
        <v>2719</v>
      </c>
      <c r="C2473" t="s">
        <v>2720</v>
      </c>
      <c r="D2473" t="s">
        <v>5695</v>
      </c>
      <c r="E2473" s="10" t="s">
        <v>5714</v>
      </c>
      <c r="F2473" s="10"/>
      <c r="G2473" s="10"/>
      <c r="H2473" s="10" t="s">
        <v>5714</v>
      </c>
      <c r="I2473" s="14">
        <v>43445.009697257308</v>
      </c>
      <c r="J2473" s="19">
        <v>0</v>
      </c>
      <c r="K2473" s="19">
        <v>0.62983407057623009</v>
      </c>
      <c r="L2473" s="19">
        <v>0.37016592942376986</v>
      </c>
      <c r="M2473" s="20">
        <v>2</v>
      </c>
      <c r="N2473" s="19">
        <v>0.34326507130593448</v>
      </c>
      <c r="O2473" s="19">
        <v>0</v>
      </c>
      <c r="P2473" s="19">
        <v>0.28656899927029567</v>
      </c>
      <c r="Q2473" s="19">
        <v>0.26280439619260137</v>
      </c>
      <c r="R2473" s="19">
        <v>9.0842508684444975E-2</v>
      </c>
      <c r="S2473" s="19">
        <v>1.651902454672349E-2</v>
      </c>
      <c r="T2473" s="20">
        <v>23</v>
      </c>
      <c r="U2473" s="17">
        <v>2</v>
      </c>
      <c r="V2473" s="17">
        <v>34</v>
      </c>
    </row>
    <row r="2474" spans="1:22" x14ac:dyDescent="0.2">
      <c r="A2474" t="s">
        <v>5715</v>
      </c>
      <c r="B2474" t="s">
        <v>2719</v>
      </c>
      <c r="C2474" t="s">
        <v>2720</v>
      </c>
      <c r="D2474" t="s">
        <v>5695</v>
      </c>
      <c r="E2474" s="10" t="s">
        <v>5281</v>
      </c>
      <c r="F2474" s="10"/>
      <c r="G2474" s="10"/>
      <c r="H2474" s="10" t="s">
        <v>5281</v>
      </c>
      <c r="I2474" s="14">
        <v>36004.201834600419</v>
      </c>
      <c r="J2474" s="19">
        <v>0</v>
      </c>
      <c r="K2474" s="19">
        <v>0.8962115030201222</v>
      </c>
      <c r="L2474" s="19">
        <v>0.10378849697987774</v>
      </c>
      <c r="M2474" s="20">
        <v>2</v>
      </c>
      <c r="N2474" s="19">
        <v>0.47404009863625102</v>
      </c>
      <c r="O2474" s="19">
        <v>0</v>
      </c>
      <c r="P2474" s="19">
        <v>0.42217140438387124</v>
      </c>
      <c r="Q2474" s="19">
        <v>1.7045372104712422E-2</v>
      </c>
      <c r="R2474" s="19">
        <v>8.3414375659979653E-2</v>
      </c>
      <c r="S2474" s="19">
        <v>3.3287492151856664E-3</v>
      </c>
      <c r="T2474" s="20">
        <v>23</v>
      </c>
      <c r="U2474" s="17">
        <v>2</v>
      </c>
      <c r="V2474" s="17">
        <v>34</v>
      </c>
    </row>
    <row r="2475" spans="1:22" x14ac:dyDescent="0.2">
      <c r="A2475" t="s">
        <v>5716</v>
      </c>
      <c r="B2475" t="s">
        <v>2719</v>
      </c>
      <c r="C2475" t="s">
        <v>2720</v>
      </c>
      <c r="D2475" t="s">
        <v>5695</v>
      </c>
      <c r="E2475" s="10" t="s">
        <v>3760</v>
      </c>
      <c r="F2475" s="10"/>
      <c r="G2475" s="10"/>
      <c r="H2475" s="10" t="s">
        <v>3760</v>
      </c>
      <c r="I2475" s="14">
        <v>68309.641982512549</v>
      </c>
      <c r="J2475" s="19">
        <v>0</v>
      </c>
      <c r="K2475" s="19">
        <v>0.83596262085819051</v>
      </c>
      <c r="L2475" s="19">
        <v>0.16403737914180955</v>
      </c>
      <c r="M2475" s="20">
        <v>2</v>
      </c>
      <c r="N2475" s="19">
        <v>0.38721064318001125</v>
      </c>
      <c r="O2475" s="19">
        <v>0</v>
      </c>
      <c r="P2475" s="19">
        <v>0.4487519776781792</v>
      </c>
      <c r="Q2475" s="19">
        <v>7.4779403176294224E-2</v>
      </c>
      <c r="R2475" s="19">
        <v>7.5622407723340362E-2</v>
      </c>
      <c r="S2475" s="19">
        <v>1.3635568242174953E-2</v>
      </c>
      <c r="T2475" s="20">
        <v>23</v>
      </c>
      <c r="U2475" s="17">
        <v>2</v>
      </c>
      <c r="V2475" s="17">
        <v>34</v>
      </c>
    </row>
    <row r="2476" spans="1:22" x14ac:dyDescent="0.2">
      <c r="A2476" t="s">
        <v>5717</v>
      </c>
      <c r="B2476" t="s">
        <v>2719</v>
      </c>
      <c r="C2476" t="s">
        <v>2720</v>
      </c>
      <c r="D2476" t="s">
        <v>5695</v>
      </c>
      <c r="E2476" s="10" t="s">
        <v>5718</v>
      </c>
      <c r="F2476" s="10"/>
      <c r="G2476" s="10"/>
      <c r="H2476" s="10" t="s">
        <v>5718</v>
      </c>
      <c r="I2476" s="14">
        <v>127654.48006507661</v>
      </c>
      <c r="J2476" s="19">
        <v>0.74539099136469678</v>
      </c>
      <c r="K2476" s="19">
        <v>0.21575759394697563</v>
      </c>
      <c r="L2476" s="19">
        <v>3.8851414688327632E-2</v>
      </c>
      <c r="M2476" s="20">
        <v>3</v>
      </c>
      <c r="N2476" s="19">
        <v>0.12529361218112861</v>
      </c>
      <c r="O2476" s="19">
        <v>0</v>
      </c>
      <c r="P2476" s="19">
        <v>9.046398176584701E-2</v>
      </c>
      <c r="Q2476" s="19">
        <v>8.1931989290339111E-3</v>
      </c>
      <c r="R2476" s="19">
        <v>2.608247173109457E-2</v>
      </c>
      <c r="S2476" s="19">
        <v>4.5757440281991545E-3</v>
      </c>
      <c r="T2476" s="20">
        <v>30</v>
      </c>
      <c r="U2476" s="17">
        <v>2</v>
      </c>
      <c r="V2476" s="17">
        <v>34</v>
      </c>
    </row>
    <row r="2477" spans="1:22" x14ac:dyDescent="0.2">
      <c r="A2477" t="s">
        <v>5719</v>
      </c>
      <c r="B2477" t="s">
        <v>2719</v>
      </c>
      <c r="C2477" t="s">
        <v>2720</v>
      </c>
      <c r="D2477" t="s">
        <v>5720</v>
      </c>
      <c r="E2477" s="10" t="s">
        <v>5721</v>
      </c>
      <c r="F2477" s="10"/>
      <c r="G2477" s="10"/>
      <c r="H2477" s="10" t="s">
        <v>5721</v>
      </c>
      <c r="I2477" s="14">
        <v>33433.781360082328</v>
      </c>
      <c r="J2477" s="19">
        <v>0</v>
      </c>
      <c r="K2477" s="19">
        <v>0.44377331515338025</v>
      </c>
      <c r="L2477" s="19">
        <v>0.55622668484661975</v>
      </c>
      <c r="M2477" s="20">
        <v>1</v>
      </c>
      <c r="N2477" s="19">
        <v>0.16688521023989797</v>
      </c>
      <c r="O2477" s="19">
        <v>0</v>
      </c>
      <c r="P2477" s="19">
        <v>0.27688810491348231</v>
      </c>
      <c r="Q2477" s="19">
        <v>0.28060781779660038</v>
      </c>
      <c r="R2477" s="19">
        <v>0.25230561180207534</v>
      </c>
      <c r="S2477" s="19">
        <v>2.3313255247944014E-2</v>
      </c>
      <c r="T2477" s="20">
        <v>13</v>
      </c>
      <c r="U2477" s="17">
        <v>2</v>
      </c>
      <c r="V2477" s="17">
        <v>34</v>
      </c>
    </row>
    <row r="2478" spans="1:22" x14ac:dyDescent="0.2">
      <c r="A2478" t="s">
        <v>5722</v>
      </c>
      <c r="B2478" t="s">
        <v>2719</v>
      </c>
      <c r="C2478" t="s">
        <v>2720</v>
      </c>
      <c r="D2478" t="s">
        <v>5720</v>
      </c>
      <c r="E2478" s="10" t="s">
        <v>5723</v>
      </c>
      <c r="F2478" s="10"/>
      <c r="G2478" s="10"/>
      <c r="H2478" s="10" t="s">
        <v>5723</v>
      </c>
      <c r="I2478" s="14">
        <v>25222.856508870613</v>
      </c>
      <c r="J2478" s="19">
        <v>0</v>
      </c>
      <c r="K2478" s="19">
        <v>9.4965839351298528E-2</v>
      </c>
      <c r="L2478" s="19">
        <v>0.90503416064870135</v>
      </c>
      <c r="M2478" s="20">
        <v>1</v>
      </c>
      <c r="N2478" s="19">
        <v>0</v>
      </c>
      <c r="O2478" s="19">
        <v>0</v>
      </c>
      <c r="P2478" s="19">
        <v>9.4965839351298528E-2</v>
      </c>
      <c r="Q2478" s="19">
        <v>0.6252542471944772</v>
      </c>
      <c r="R2478" s="19">
        <v>0.24150746990894353</v>
      </c>
      <c r="S2478" s="19">
        <v>3.8272443545280629E-2</v>
      </c>
      <c r="T2478" s="20">
        <v>13</v>
      </c>
      <c r="U2478" s="17">
        <v>2</v>
      </c>
      <c r="V2478" s="17">
        <v>34</v>
      </c>
    </row>
    <row r="2479" spans="1:22" x14ac:dyDescent="0.2">
      <c r="A2479" t="s">
        <v>5724</v>
      </c>
      <c r="B2479" t="s">
        <v>2719</v>
      </c>
      <c r="C2479" t="s">
        <v>2720</v>
      </c>
      <c r="D2479" t="s">
        <v>5720</v>
      </c>
      <c r="E2479" s="10" t="s">
        <v>5725</v>
      </c>
      <c r="F2479" s="10"/>
      <c r="G2479" s="10"/>
      <c r="H2479" s="10" t="s">
        <v>5725</v>
      </c>
      <c r="I2479" s="14">
        <v>95447.939173062798</v>
      </c>
      <c r="J2479" s="19">
        <v>3.6359152456030566E-2</v>
      </c>
      <c r="K2479" s="19">
        <v>0.78208021997712907</v>
      </c>
      <c r="L2479" s="19">
        <v>0.18156062756684041</v>
      </c>
      <c r="M2479" s="20">
        <v>2</v>
      </c>
      <c r="N2479" s="19">
        <v>0.30049254348457793</v>
      </c>
      <c r="O2479" s="19">
        <v>0.14310120359373008</v>
      </c>
      <c r="P2479" s="19">
        <v>0.33848647289882106</v>
      </c>
      <c r="Q2479" s="19">
        <v>5.8634039360178331E-2</v>
      </c>
      <c r="R2479" s="19">
        <v>0.11453546141050737</v>
      </c>
      <c r="S2479" s="19">
        <v>8.3911267961547156E-3</v>
      </c>
      <c r="T2479" s="20">
        <v>23</v>
      </c>
      <c r="U2479" s="17">
        <v>2</v>
      </c>
      <c r="V2479" s="17">
        <v>34</v>
      </c>
    </row>
    <row r="2480" spans="1:22" x14ac:dyDescent="0.2">
      <c r="A2480" t="s">
        <v>5726</v>
      </c>
      <c r="B2480" t="s">
        <v>2719</v>
      </c>
      <c r="C2480" t="s">
        <v>2720</v>
      </c>
      <c r="D2480" t="s">
        <v>5720</v>
      </c>
      <c r="E2480" s="10" t="s">
        <v>5727</v>
      </c>
      <c r="F2480" s="10"/>
      <c r="G2480" s="10"/>
      <c r="H2480" s="10" t="s">
        <v>5727</v>
      </c>
      <c r="I2480" s="14">
        <v>150889.92758149933</v>
      </c>
      <c r="J2480" s="19">
        <v>0.77870844135650796</v>
      </c>
      <c r="K2480" s="19">
        <v>0.15939985134446988</v>
      </c>
      <c r="L2480" s="19">
        <v>6.1891707299022138E-2</v>
      </c>
      <c r="M2480" s="20">
        <v>3</v>
      </c>
      <c r="N2480" s="19">
        <v>1.6047838036621694E-2</v>
      </c>
      <c r="O2480" s="19">
        <v>6.5587273888725083E-3</v>
      </c>
      <c r="P2480" s="19">
        <v>0.13679328591897569</v>
      </c>
      <c r="Q2480" s="19">
        <v>7.2309338167072575E-3</v>
      </c>
      <c r="R2480" s="19">
        <v>5.0350098708883718E-2</v>
      </c>
      <c r="S2480" s="19">
        <v>4.310674773431165E-3</v>
      </c>
      <c r="T2480" s="20">
        <v>30</v>
      </c>
      <c r="U2480" s="17">
        <v>2</v>
      </c>
      <c r="V2480" s="17">
        <v>34</v>
      </c>
    </row>
    <row r="2481" spans="1:22" x14ac:dyDescent="0.2">
      <c r="A2481" t="s">
        <v>5728</v>
      </c>
      <c r="B2481" t="s">
        <v>2719</v>
      </c>
      <c r="C2481" t="s">
        <v>2720</v>
      </c>
      <c r="D2481" t="s">
        <v>5720</v>
      </c>
      <c r="E2481" s="10" t="s">
        <v>5729</v>
      </c>
      <c r="F2481" s="10"/>
      <c r="G2481" s="10"/>
      <c r="H2481" s="10" t="s">
        <v>5729</v>
      </c>
      <c r="I2481" s="14">
        <v>22380.353114845231</v>
      </c>
      <c r="J2481" s="19">
        <v>0</v>
      </c>
      <c r="K2481" s="19">
        <v>0.24115076064903562</v>
      </c>
      <c r="L2481" s="19">
        <v>0.75884923935096438</v>
      </c>
      <c r="M2481" s="20">
        <v>1</v>
      </c>
      <c r="N2481" s="19">
        <v>0</v>
      </c>
      <c r="O2481" s="19">
        <v>0.24115076064903562</v>
      </c>
      <c r="P2481" s="19">
        <v>0</v>
      </c>
      <c r="Q2481" s="19">
        <v>0.3996194125076612</v>
      </c>
      <c r="R2481" s="19">
        <v>0.32440949817093145</v>
      </c>
      <c r="S2481" s="19">
        <v>3.4820328672371753E-2</v>
      </c>
      <c r="T2481" s="20">
        <v>13</v>
      </c>
      <c r="U2481" s="17">
        <v>2</v>
      </c>
      <c r="V2481" s="17">
        <v>34</v>
      </c>
    </row>
    <row r="2482" spans="1:22" x14ac:dyDescent="0.2">
      <c r="A2482" t="s">
        <v>5730</v>
      </c>
      <c r="B2482" t="s">
        <v>2719</v>
      </c>
      <c r="C2482" t="s">
        <v>2720</v>
      </c>
      <c r="D2482" t="s">
        <v>5720</v>
      </c>
      <c r="E2482" s="10" t="s">
        <v>5731</v>
      </c>
      <c r="F2482" s="10"/>
      <c r="G2482" s="10"/>
      <c r="H2482" s="10" t="s">
        <v>5731</v>
      </c>
      <c r="I2482" s="14">
        <v>40572.02457525488</v>
      </c>
      <c r="J2482" s="19">
        <v>0</v>
      </c>
      <c r="K2482" s="19">
        <v>4.8230386068483927E-2</v>
      </c>
      <c r="L2482" s="19">
        <v>0.95176961393151605</v>
      </c>
      <c r="M2482" s="20">
        <v>1</v>
      </c>
      <c r="N2482" s="19">
        <v>0</v>
      </c>
      <c r="O2482" s="19">
        <v>0</v>
      </c>
      <c r="P2482" s="19">
        <v>4.8230386068483927E-2</v>
      </c>
      <c r="Q2482" s="19">
        <v>0.57462145924989605</v>
      </c>
      <c r="R2482" s="19">
        <v>0.29304313146663585</v>
      </c>
      <c r="S2482" s="19">
        <v>8.4105023214984184E-2</v>
      </c>
      <c r="T2482" s="20">
        <v>13</v>
      </c>
      <c r="U2482" s="17">
        <v>2</v>
      </c>
      <c r="V2482" s="17">
        <v>34</v>
      </c>
    </row>
    <row r="2483" spans="1:22" x14ac:dyDescent="0.2">
      <c r="A2483" t="s">
        <v>5732</v>
      </c>
      <c r="B2483" t="s">
        <v>2719</v>
      </c>
      <c r="C2483" t="s">
        <v>2720</v>
      </c>
      <c r="D2483" t="s">
        <v>5720</v>
      </c>
      <c r="E2483" s="10" t="s">
        <v>5733</v>
      </c>
      <c r="F2483" s="10"/>
      <c r="G2483" s="10"/>
      <c r="H2483" s="10" t="s">
        <v>5733</v>
      </c>
      <c r="I2483" s="14">
        <v>32810.201254341751</v>
      </c>
      <c r="J2483" s="19">
        <v>0</v>
      </c>
      <c r="K2483" s="19">
        <v>0.46417486593268198</v>
      </c>
      <c r="L2483" s="19">
        <v>0.53582513406731802</v>
      </c>
      <c r="M2483" s="20">
        <v>1</v>
      </c>
      <c r="N2483" s="19">
        <v>0.20960896431852749</v>
      </c>
      <c r="O2483" s="19">
        <v>0</v>
      </c>
      <c r="P2483" s="19">
        <v>0.25456590161415443</v>
      </c>
      <c r="Q2483" s="19">
        <v>0.1898758984400773</v>
      </c>
      <c r="R2483" s="19">
        <v>0.31381323504599612</v>
      </c>
      <c r="S2483" s="19">
        <v>3.2136000581244599E-2</v>
      </c>
      <c r="T2483" s="20">
        <v>12</v>
      </c>
      <c r="U2483" s="17">
        <v>2</v>
      </c>
      <c r="V2483" s="17">
        <v>34</v>
      </c>
    </row>
    <row r="2484" spans="1:22" x14ac:dyDescent="0.2">
      <c r="A2484" t="s">
        <v>5734</v>
      </c>
      <c r="B2484" t="s">
        <v>2719</v>
      </c>
      <c r="C2484" t="s">
        <v>2720</v>
      </c>
      <c r="D2484" t="s">
        <v>5720</v>
      </c>
      <c r="E2484" s="10" t="s">
        <v>5735</v>
      </c>
      <c r="F2484" s="10"/>
      <c r="G2484" s="10"/>
      <c r="H2484" s="10" t="s">
        <v>5735</v>
      </c>
      <c r="I2484" s="14">
        <v>26436.600005408749</v>
      </c>
      <c r="J2484" s="19">
        <v>0</v>
      </c>
      <c r="K2484" s="19">
        <v>0.13196658771049069</v>
      </c>
      <c r="L2484" s="19">
        <v>0.86803341228950925</v>
      </c>
      <c r="M2484" s="20">
        <v>1</v>
      </c>
      <c r="N2484" s="19">
        <v>0</v>
      </c>
      <c r="O2484" s="19">
        <v>3.4151038149987677E-2</v>
      </c>
      <c r="P2484" s="19">
        <v>9.7815549560503021E-2</v>
      </c>
      <c r="Q2484" s="19">
        <v>0.38228609627038257</v>
      </c>
      <c r="R2484" s="19">
        <v>0.41499164076815498</v>
      </c>
      <c r="S2484" s="19">
        <v>7.0755675250971761E-2</v>
      </c>
      <c r="T2484" s="20">
        <v>12</v>
      </c>
      <c r="U2484" s="17">
        <v>2</v>
      </c>
      <c r="V2484" s="17">
        <v>34</v>
      </c>
    </row>
    <row r="2485" spans="1:22" x14ac:dyDescent="0.2">
      <c r="A2485" t="s">
        <v>5736</v>
      </c>
      <c r="B2485" t="s">
        <v>2719</v>
      </c>
      <c r="C2485" t="s">
        <v>2720</v>
      </c>
      <c r="D2485" t="s">
        <v>5720</v>
      </c>
      <c r="E2485" s="10" t="s">
        <v>5737</v>
      </c>
      <c r="F2485" s="10"/>
      <c r="G2485" s="10"/>
      <c r="H2485" s="10" t="s">
        <v>5737</v>
      </c>
      <c r="I2485" s="14">
        <v>54346.128627543338</v>
      </c>
      <c r="J2485" s="19">
        <v>0.14631168626154253</v>
      </c>
      <c r="K2485" s="19">
        <v>0.51033857949783124</v>
      </c>
      <c r="L2485" s="19">
        <v>0.3433497342406262</v>
      </c>
      <c r="M2485" s="20">
        <v>2</v>
      </c>
      <c r="N2485" s="19">
        <v>0</v>
      </c>
      <c r="O2485" s="19">
        <v>0.26738626257700621</v>
      </c>
      <c r="P2485" s="19">
        <v>0.242952316920825</v>
      </c>
      <c r="Q2485" s="19">
        <v>0.1591405532792288</v>
      </c>
      <c r="R2485" s="19">
        <v>0.17204914261928264</v>
      </c>
      <c r="S2485" s="19">
        <v>1.2160038342114779E-2</v>
      </c>
      <c r="T2485" s="20">
        <v>22</v>
      </c>
      <c r="U2485" s="17">
        <v>2</v>
      </c>
      <c r="V2485" s="17">
        <v>34</v>
      </c>
    </row>
    <row r="2486" spans="1:22" x14ac:dyDescent="0.2">
      <c r="A2486" t="s">
        <v>5738</v>
      </c>
      <c r="B2486" t="s">
        <v>2719</v>
      </c>
      <c r="C2486" t="s">
        <v>2720</v>
      </c>
      <c r="D2486" t="s">
        <v>5720</v>
      </c>
      <c r="E2486" s="10" t="s">
        <v>4810</v>
      </c>
      <c r="F2486" s="10"/>
      <c r="G2486" s="10"/>
      <c r="H2486" s="10" t="s">
        <v>4810</v>
      </c>
      <c r="I2486" s="14">
        <v>9275.8243250511587</v>
      </c>
      <c r="J2486" s="19">
        <v>0</v>
      </c>
      <c r="K2486" s="19">
        <v>0.12329382265062251</v>
      </c>
      <c r="L2486" s="19">
        <v>0.8767061773493775</v>
      </c>
      <c r="M2486" s="20">
        <v>1</v>
      </c>
      <c r="N2486" s="19">
        <v>0</v>
      </c>
      <c r="O2486" s="19">
        <v>0.12329382265062251</v>
      </c>
      <c r="P2486" s="19">
        <v>0</v>
      </c>
      <c r="Q2486" s="19">
        <v>0.39890292241679826</v>
      </c>
      <c r="R2486" s="19">
        <v>0.42185431514483646</v>
      </c>
      <c r="S2486" s="19">
        <v>5.5948939787742777E-2</v>
      </c>
      <c r="T2486" s="20">
        <v>12</v>
      </c>
      <c r="U2486" s="17">
        <v>2</v>
      </c>
      <c r="V2486" s="17">
        <v>34</v>
      </c>
    </row>
    <row r="2487" spans="1:22" x14ac:dyDescent="0.2">
      <c r="A2487" t="s">
        <v>5739</v>
      </c>
      <c r="B2487" t="s">
        <v>2719</v>
      </c>
      <c r="C2487" t="s">
        <v>2720</v>
      </c>
      <c r="D2487" t="s">
        <v>5720</v>
      </c>
      <c r="E2487" s="10" t="s">
        <v>5740</v>
      </c>
      <c r="F2487" s="10"/>
      <c r="G2487" s="10"/>
      <c r="H2487" s="10" t="s">
        <v>5740</v>
      </c>
      <c r="I2487" s="14">
        <v>47055.96509776637</v>
      </c>
      <c r="J2487" s="19">
        <v>0</v>
      </c>
      <c r="K2487" s="19">
        <v>0.76399283651249805</v>
      </c>
      <c r="L2487" s="19">
        <v>0.23600716348750198</v>
      </c>
      <c r="M2487" s="20">
        <v>2</v>
      </c>
      <c r="N2487" s="19">
        <v>0.39518474005805904</v>
      </c>
      <c r="O2487" s="19">
        <v>0</v>
      </c>
      <c r="P2487" s="19">
        <v>0.36880809645443902</v>
      </c>
      <c r="Q2487" s="19">
        <v>9.3070505984706023E-2</v>
      </c>
      <c r="R2487" s="19">
        <v>0.13067561062887298</v>
      </c>
      <c r="S2487" s="19">
        <v>1.2261046873922963E-2</v>
      </c>
      <c r="T2487" s="20">
        <v>23</v>
      </c>
      <c r="U2487" s="17">
        <v>2</v>
      </c>
      <c r="V2487" s="17">
        <v>34</v>
      </c>
    </row>
    <row r="2488" spans="1:22" x14ac:dyDescent="0.2">
      <c r="A2488" t="s">
        <v>5741</v>
      </c>
      <c r="B2488" t="s">
        <v>2719</v>
      </c>
      <c r="C2488" t="s">
        <v>2720</v>
      </c>
      <c r="D2488" t="s">
        <v>5720</v>
      </c>
      <c r="E2488" s="10" t="s">
        <v>5742</v>
      </c>
      <c r="F2488" s="10"/>
      <c r="G2488" s="10"/>
      <c r="H2488" s="10" t="s">
        <v>5742</v>
      </c>
      <c r="I2488" s="14">
        <v>48039.836530519649</v>
      </c>
      <c r="J2488" s="19">
        <v>0</v>
      </c>
      <c r="K2488" s="19">
        <v>0.81192174223485247</v>
      </c>
      <c r="L2488" s="19">
        <v>0.18807825776514753</v>
      </c>
      <c r="M2488" s="20">
        <v>2</v>
      </c>
      <c r="N2488" s="19">
        <v>0</v>
      </c>
      <c r="O2488" s="19">
        <v>4.4820603734894602E-3</v>
      </c>
      <c r="P2488" s="19">
        <v>0.80743968186136295</v>
      </c>
      <c r="Q2488" s="19">
        <v>3.4697828862433368E-2</v>
      </c>
      <c r="R2488" s="19">
        <v>0.14612300548050017</v>
      </c>
      <c r="S2488" s="19">
        <v>7.2574234222140136E-3</v>
      </c>
      <c r="T2488" s="20">
        <v>21</v>
      </c>
      <c r="U2488" s="17">
        <v>2</v>
      </c>
      <c r="V2488" s="17">
        <v>34</v>
      </c>
    </row>
    <row r="2489" spans="1:22" x14ac:dyDescent="0.2">
      <c r="A2489" t="s">
        <v>5743</v>
      </c>
      <c r="B2489" t="s">
        <v>2719</v>
      </c>
      <c r="C2489" t="s">
        <v>2720</v>
      </c>
      <c r="D2489" t="s">
        <v>5720</v>
      </c>
      <c r="E2489" s="10" t="s">
        <v>5744</v>
      </c>
      <c r="F2489" s="10"/>
      <c r="G2489" s="10"/>
      <c r="H2489" s="10" t="s">
        <v>5744</v>
      </c>
      <c r="I2489" s="14">
        <v>44900.067494556315</v>
      </c>
      <c r="J2489" s="19">
        <v>0</v>
      </c>
      <c r="K2489" s="19">
        <v>0.77454726898302217</v>
      </c>
      <c r="L2489" s="19">
        <v>0.22545273101697771</v>
      </c>
      <c r="M2489" s="20">
        <v>2</v>
      </c>
      <c r="N2489" s="19">
        <v>0.14701995767971621</v>
      </c>
      <c r="O2489" s="19">
        <v>2.6313688021127467E-5</v>
      </c>
      <c r="P2489" s="19">
        <v>0.62750099761528488</v>
      </c>
      <c r="Q2489" s="19">
        <v>1.4006347965054162E-2</v>
      </c>
      <c r="R2489" s="19">
        <v>0.19035639777594798</v>
      </c>
      <c r="S2489" s="19">
        <v>2.1089985275975519E-2</v>
      </c>
      <c r="T2489" s="20">
        <v>21</v>
      </c>
      <c r="U2489" s="17">
        <v>2</v>
      </c>
      <c r="V2489" s="17">
        <v>34</v>
      </c>
    </row>
    <row r="2490" spans="1:22" x14ac:dyDescent="0.2">
      <c r="A2490" t="s">
        <v>5745</v>
      </c>
      <c r="B2490" t="s">
        <v>2719</v>
      </c>
      <c r="C2490" t="s">
        <v>2720</v>
      </c>
      <c r="D2490" t="s">
        <v>5720</v>
      </c>
      <c r="E2490" s="10" t="s">
        <v>5746</v>
      </c>
      <c r="F2490" s="10"/>
      <c r="G2490" s="10"/>
      <c r="H2490" s="10" t="s">
        <v>5746</v>
      </c>
      <c r="I2490" s="14">
        <v>13747.497860081494</v>
      </c>
      <c r="J2490" s="19">
        <v>0</v>
      </c>
      <c r="K2490" s="19">
        <v>0</v>
      </c>
      <c r="L2490" s="19">
        <v>1</v>
      </c>
      <c r="M2490" s="20">
        <v>1</v>
      </c>
      <c r="N2490" s="19">
        <v>0</v>
      </c>
      <c r="O2490" s="19">
        <v>0</v>
      </c>
      <c r="P2490" s="19">
        <v>0</v>
      </c>
      <c r="Q2490" s="19">
        <v>0.66268642478978679</v>
      </c>
      <c r="R2490" s="19">
        <v>0.3120036824067009</v>
      </c>
      <c r="S2490" s="19">
        <v>2.530989280351232E-2</v>
      </c>
      <c r="T2490" s="20">
        <v>13</v>
      </c>
      <c r="U2490" s="17">
        <v>2</v>
      </c>
      <c r="V2490" s="17">
        <v>34</v>
      </c>
    </row>
    <row r="2491" spans="1:22" x14ac:dyDescent="0.2">
      <c r="A2491" t="s">
        <v>5747</v>
      </c>
      <c r="B2491" t="s">
        <v>2719</v>
      </c>
      <c r="C2491" t="s">
        <v>2720</v>
      </c>
      <c r="D2491" t="s">
        <v>5720</v>
      </c>
      <c r="E2491" s="10" t="s">
        <v>5748</v>
      </c>
      <c r="F2491" s="10"/>
      <c r="G2491" s="10"/>
      <c r="H2491" s="10" t="s">
        <v>5748</v>
      </c>
      <c r="I2491" s="14">
        <v>25466.561984483153</v>
      </c>
      <c r="J2491" s="19">
        <v>0</v>
      </c>
      <c r="K2491" s="19">
        <v>0.57379750714125588</v>
      </c>
      <c r="L2491" s="19">
        <v>0.42620249285874406</v>
      </c>
      <c r="M2491" s="20">
        <v>2</v>
      </c>
      <c r="N2491" s="19">
        <v>0.28044282388637976</v>
      </c>
      <c r="O2491" s="19">
        <v>0</v>
      </c>
      <c r="P2491" s="19">
        <v>0.29335468325487618</v>
      </c>
      <c r="Q2491" s="19">
        <v>0.11564114538444036</v>
      </c>
      <c r="R2491" s="19">
        <v>0.27769933814507125</v>
      </c>
      <c r="S2491" s="19">
        <v>3.2862009329232451E-2</v>
      </c>
      <c r="T2491" s="20">
        <v>23</v>
      </c>
      <c r="U2491" s="17">
        <v>2</v>
      </c>
      <c r="V2491" s="17">
        <v>34</v>
      </c>
    </row>
    <row r="2492" spans="1:22" x14ac:dyDescent="0.2">
      <c r="A2492" t="s">
        <v>5749</v>
      </c>
      <c r="B2492" t="s">
        <v>2719</v>
      </c>
      <c r="C2492" t="s">
        <v>2720</v>
      </c>
      <c r="D2492" t="s">
        <v>5720</v>
      </c>
      <c r="E2492" s="10" t="s">
        <v>5750</v>
      </c>
      <c r="F2492" s="10"/>
      <c r="G2492" s="10"/>
      <c r="H2492" s="10" t="s">
        <v>5750</v>
      </c>
      <c r="I2492" s="14">
        <v>45095.306831404567</v>
      </c>
      <c r="J2492" s="19">
        <v>0</v>
      </c>
      <c r="K2492" s="19">
        <v>0.83968110016268915</v>
      </c>
      <c r="L2492" s="19">
        <v>0.16031889983731085</v>
      </c>
      <c r="M2492" s="20">
        <v>2</v>
      </c>
      <c r="N2492" s="19">
        <v>0.15639998054570012</v>
      </c>
      <c r="O2492" s="19">
        <v>0</v>
      </c>
      <c r="P2492" s="19">
        <v>0.68328111961698901</v>
      </c>
      <c r="Q2492" s="19">
        <v>1.7259539677743376E-2</v>
      </c>
      <c r="R2492" s="19">
        <v>0.14198525759895911</v>
      </c>
      <c r="S2492" s="19">
        <v>1.0741025606083748E-3</v>
      </c>
      <c r="T2492" s="20">
        <v>21</v>
      </c>
      <c r="U2492" s="17">
        <v>2</v>
      </c>
      <c r="V2492" s="17">
        <v>34</v>
      </c>
    </row>
    <row r="2493" spans="1:22" x14ac:dyDescent="0.2">
      <c r="A2493" t="s">
        <v>5751</v>
      </c>
      <c r="B2493" t="s">
        <v>2719</v>
      </c>
      <c r="C2493" t="s">
        <v>2720</v>
      </c>
      <c r="D2493" t="s">
        <v>5720</v>
      </c>
      <c r="E2493" s="10" t="s">
        <v>5752</v>
      </c>
      <c r="F2493" s="10"/>
      <c r="G2493" s="10"/>
      <c r="H2493" s="10" t="s">
        <v>5752</v>
      </c>
      <c r="I2493" s="14">
        <v>46095.465154454112</v>
      </c>
      <c r="J2493" s="19">
        <v>0</v>
      </c>
      <c r="K2493" s="19">
        <v>0.62703234942783892</v>
      </c>
      <c r="L2493" s="19">
        <v>0.37296765057216097</v>
      </c>
      <c r="M2493" s="20">
        <v>2</v>
      </c>
      <c r="N2493" s="19">
        <v>0.16490111849086925</v>
      </c>
      <c r="O2493" s="19">
        <v>0.27021586339969522</v>
      </c>
      <c r="P2493" s="19">
        <v>0.19191536753727456</v>
      </c>
      <c r="Q2493" s="19">
        <v>0.16385116322612192</v>
      </c>
      <c r="R2493" s="19">
        <v>0.19776563610351786</v>
      </c>
      <c r="S2493" s="19">
        <v>1.1350851242521181E-2</v>
      </c>
      <c r="T2493" s="20">
        <v>22</v>
      </c>
      <c r="U2493" s="17">
        <v>2</v>
      </c>
      <c r="V2493" s="17">
        <v>34</v>
      </c>
    </row>
    <row r="2494" spans="1:22" x14ac:dyDescent="0.2">
      <c r="A2494" t="s">
        <v>5753</v>
      </c>
      <c r="B2494" t="s">
        <v>2719</v>
      </c>
      <c r="C2494" t="s">
        <v>2720</v>
      </c>
      <c r="D2494" t="s">
        <v>5720</v>
      </c>
      <c r="E2494" s="10" t="s">
        <v>3368</v>
      </c>
      <c r="F2494" s="10"/>
      <c r="G2494" s="10"/>
      <c r="H2494" s="10" t="s">
        <v>3368</v>
      </c>
      <c r="I2494" s="14">
        <v>15538.471784625202</v>
      </c>
      <c r="J2494" s="19">
        <v>0</v>
      </c>
      <c r="K2494" s="19">
        <v>0.77815604461353194</v>
      </c>
      <c r="L2494" s="19">
        <v>0.22184395538646803</v>
      </c>
      <c r="M2494" s="20">
        <v>2</v>
      </c>
      <c r="N2494" s="19">
        <v>0</v>
      </c>
      <c r="O2494" s="19">
        <v>0.53433002593631196</v>
      </c>
      <c r="P2494" s="19">
        <v>0.24382601867722006</v>
      </c>
      <c r="Q2494" s="19">
        <v>7.2724236575104587E-2</v>
      </c>
      <c r="R2494" s="19">
        <v>0.12434358352500105</v>
      </c>
      <c r="S2494" s="19">
        <v>2.477613528636239E-2</v>
      </c>
      <c r="T2494" s="20">
        <v>22</v>
      </c>
      <c r="U2494" s="17">
        <v>2</v>
      </c>
      <c r="V2494" s="17">
        <v>34</v>
      </c>
    </row>
    <row r="2495" spans="1:22" x14ac:dyDescent="0.2">
      <c r="A2495" t="s">
        <v>5754</v>
      </c>
      <c r="B2495" t="s">
        <v>2719</v>
      </c>
      <c r="C2495" t="s">
        <v>2720</v>
      </c>
      <c r="D2495" t="s">
        <v>5720</v>
      </c>
      <c r="E2495" s="10" t="s">
        <v>5755</v>
      </c>
      <c r="F2495" s="10"/>
      <c r="G2495" s="10"/>
      <c r="H2495" s="10" t="s">
        <v>5755</v>
      </c>
      <c r="I2495" s="14">
        <v>37965.767468925565</v>
      </c>
      <c r="J2495" s="19">
        <v>0</v>
      </c>
      <c r="K2495" s="19">
        <v>0.46501684866900478</v>
      </c>
      <c r="L2495" s="19">
        <v>0.53498315133099528</v>
      </c>
      <c r="M2495" s="20">
        <v>1</v>
      </c>
      <c r="N2495" s="19">
        <v>0.2012992347720583</v>
      </c>
      <c r="O2495" s="19">
        <v>0</v>
      </c>
      <c r="P2495" s="19">
        <v>0.26371761389694648</v>
      </c>
      <c r="Q2495" s="19">
        <v>0.29693327914241646</v>
      </c>
      <c r="R2495" s="19">
        <v>0.21745788973571442</v>
      </c>
      <c r="S2495" s="19">
        <v>2.0591982452864328E-2</v>
      </c>
      <c r="T2495" s="20">
        <v>13</v>
      </c>
      <c r="U2495" s="17">
        <v>2</v>
      </c>
      <c r="V2495" s="17">
        <v>34</v>
      </c>
    </row>
    <row r="2496" spans="1:22" x14ac:dyDescent="0.2">
      <c r="A2496" t="s">
        <v>5756</v>
      </c>
      <c r="B2496" t="s">
        <v>2719</v>
      </c>
      <c r="C2496" t="s">
        <v>2720</v>
      </c>
      <c r="D2496" t="s">
        <v>5720</v>
      </c>
      <c r="E2496" s="10" t="s">
        <v>5757</v>
      </c>
      <c r="F2496" s="10"/>
      <c r="G2496" s="10"/>
      <c r="H2496" s="10" t="s">
        <v>5757</v>
      </c>
      <c r="I2496" s="14">
        <v>35081.367757551372</v>
      </c>
      <c r="J2496" s="19">
        <v>0</v>
      </c>
      <c r="K2496" s="19">
        <v>0.17247982976925219</v>
      </c>
      <c r="L2496" s="19">
        <v>0.82752017023074786</v>
      </c>
      <c r="M2496" s="20">
        <v>1</v>
      </c>
      <c r="N2496" s="19">
        <v>0</v>
      </c>
      <c r="O2496" s="19">
        <v>0.15140983322220247</v>
      </c>
      <c r="P2496" s="19">
        <v>2.1069996547049729E-2</v>
      </c>
      <c r="Q2496" s="19">
        <v>0.32115270483351638</v>
      </c>
      <c r="R2496" s="19">
        <v>0.45127060930170526</v>
      </c>
      <c r="S2496" s="19">
        <v>5.5096856095526191E-2</v>
      </c>
      <c r="T2496" s="20">
        <v>12</v>
      </c>
      <c r="U2496" s="17">
        <v>2</v>
      </c>
      <c r="V2496" s="17">
        <v>34</v>
      </c>
    </row>
    <row r="2497" spans="1:22" x14ac:dyDescent="0.2">
      <c r="A2497" t="s">
        <v>5758</v>
      </c>
      <c r="B2497" t="s">
        <v>2719</v>
      </c>
      <c r="C2497" t="s">
        <v>2720</v>
      </c>
      <c r="D2497" t="s">
        <v>5720</v>
      </c>
      <c r="E2497" s="10" t="s">
        <v>5759</v>
      </c>
      <c r="F2497" s="10"/>
      <c r="G2497" s="10"/>
      <c r="H2497" s="10" t="s">
        <v>5759</v>
      </c>
      <c r="I2497" s="14">
        <v>41418.701728604734</v>
      </c>
      <c r="J2497" s="19">
        <v>0</v>
      </c>
      <c r="K2497" s="19">
        <v>0.5470825883043785</v>
      </c>
      <c r="L2497" s="19">
        <v>0.45291741169562139</v>
      </c>
      <c r="M2497" s="20">
        <v>2</v>
      </c>
      <c r="N2497" s="19">
        <v>0</v>
      </c>
      <c r="O2497" s="19">
        <v>0.5470825883043785</v>
      </c>
      <c r="P2497" s="19">
        <v>0</v>
      </c>
      <c r="Q2497" s="19">
        <v>7.0784978890082909E-2</v>
      </c>
      <c r="R2497" s="19">
        <v>0.32561745464494862</v>
      </c>
      <c r="S2497" s="19">
        <v>5.6514978160589799E-2</v>
      </c>
      <c r="T2497" s="20">
        <v>22</v>
      </c>
      <c r="U2497" s="17">
        <v>2</v>
      </c>
      <c r="V2497" s="17">
        <v>34</v>
      </c>
    </row>
    <row r="2498" spans="1:22" x14ac:dyDescent="0.2">
      <c r="A2498" t="s">
        <v>5760</v>
      </c>
      <c r="B2498" t="s">
        <v>2719</v>
      </c>
      <c r="C2498" t="s">
        <v>2720</v>
      </c>
      <c r="D2498" t="s">
        <v>5720</v>
      </c>
      <c r="E2498" s="10" t="s">
        <v>5761</v>
      </c>
      <c r="F2498" s="10"/>
      <c r="G2498" s="10"/>
      <c r="H2498" s="10" t="s">
        <v>5761</v>
      </c>
      <c r="I2498" s="14">
        <v>42542.104487119243</v>
      </c>
      <c r="J2498" s="19">
        <v>0</v>
      </c>
      <c r="K2498" s="19">
        <v>0.24761434984265385</v>
      </c>
      <c r="L2498" s="19">
        <v>0.75238565015734626</v>
      </c>
      <c r="M2498" s="20">
        <v>1</v>
      </c>
      <c r="N2498" s="19">
        <v>0.13916308345453482</v>
      </c>
      <c r="O2498" s="19">
        <v>0</v>
      </c>
      <c r="P2498" s="19">
        <v>0.10845126638811903</v>
      </c>
      <c r="Q2498" s="19">
        <v>0.4023131139239538</v>
      </c>
      <c r="R2498" s="19">
        <v>0.29237143462487603</v>
      </c>
      <c r="S2498" s="19">
        <v>5.770110160851636E-2</v>
      </c>
      <c r="T2498" s="20">
        <v>13</v>
      </c>
      <c r="U2498" s="17">
        <v>2</v>
      </c>
      <c r="V2498" s="17">
        <v>34</v>
      </c>
    </row>
    <row r="2499" spans="1:22" x14ac:dyDescent="0.2">
      <c r="A2499" t="s">
        <v>5762</v>
      </c>
      <c r="B2499" t="s">
        <v>2719</v>
      </c>
      <c r="C2499" t="s">
        <v>2720</v>
      </c>
      <c r="D2499" t="s">
        <v>5720</v>
      </c>
      <c r="E2499" s="10" t="s">
        <v>5763</v>
      </c>
      <c r="F2499" s="10"/>
      <c r="G2499" s="10"/>
      <c r="H2499" s="10" t="s">
        <v>5763</v>
      </c>
      <c r="I2499" s="14">
        <v>19495.145447067916</v>
      </c>
      <c r="J2499" s="19">
        <v>0</v>
      </c>
      <c r="K2499" s="19">
        <v>0.71293358823470809</v>
      </c>
      <c r="L2499" s="19">
        <v>0.28706641176529191</v>
      </c>
      <c r="M2499" s="20">
        <v>2</v>
      </c>
      <c r="N2499" s="19">
        <v>0</v>
      </c>
      <c r="O2499" s="19">
        <v>2.7413640273356236E-2</v>
      </c>
      <c r="P2499" s="19">
        <v>0.68551994796135185</v>
      </c>
      <c r="Q2499" s="19">
        <v>8.9298821366347425E-2</v>
      </c>
      <c r="R2499" s="19">
        <v>0.18560088479567327</v>
      </c>
      <c r="S2499" s="19">
        <v>1.2166705603271204E-2</v>
      </c>
      <c r="T2499" s="20">
        <v>21</v>
      </c>
      <c r="U2499" s="17">
        <v>2</v>
      </c>
      <c r="V2499" s="17">
        <v>34</v>
      </c>
    </row>
    <row r="2500" spans="1:22" x14ac:dyDescent="0.2">
      <c r="A2500" t="s">
        <v>5764</v>
      </c>
      <c r="B2500" t="s">
        <v>2719</v>
      </c>
      <c r="C2500" t="s">
        <v>2720</v>
      </c>
      <c r="D2500" t="s">
        <v>5720</v>
      </c>
      <c r="E2500" s="10" t="s">
        <v>5765</v>
      </c>
      <c r="F2500" s="10"/>
      <c r="G2500" s="10"/>
      <c r="H2500" s="10" t="s">
        <v>5765</v>
      </c>
      <c r="I2500" s="14">
        <v>118640.08916586637</v>
      </c>
      <c r="J2500" s="19">
        <v>0</v>
      </c>
      <c r="K2500" s="19">
        <v>0.75939881945915089</v>
      </c>
      <c r="L2500" s="19">
        <v>0.24060118054084911</v>
      </c>
      <c r="M2500" s="20">
        <v>2</v>
      </c>
      <c r="N2500" s="19">
        <v>0.23813481366017727</v>
      </c>
      <c r="O2500" s="19">
        <v>0</v>
      </c>
      <c r="P2500" s="19">
        <v>0.52126400579897358</v>
      </c>
      <c r="Q2500" s="19">
        <v>0.12618294107273581</v>
      </c>
      <c r="R2500" s="19">
        <v>0.1065076458941608</v>
      </c>
      <c r="S2500" s="19">
        <v>7.9105935739525318E-3</v>
      </c>
      <c r="T2500" s="20">
        <v>21</v>
      </c>
      <c r="U2500" s="17">
        <v>2</v>
      </c>
      <c r="V2500" s="17">
        <v>34</v>
      </c>
    </row>
    <row r="2501" spans="1:22" x14ac:dyDescent="0.2">
      <c r="A2501" t="s">
        <v>5766</v>
      </c>
      <c r="B2501" t="s">
        <v>2719</v>
      </c>
      <c r="C2501" t="s">
        <v>2720</v>
      </c>
      <c r="D2501" t="s">
        <v>5720</v>
      </c>
      <c r="E2501" s="10" t="s">
        <v>5767</v>
      </c>
      <c r="F2501" s="10"/>
      <c r="G2501" s="10"/>
      <c r="H2501" s="10" t="s">
        <v>5767</v>
      </c>
      <c r="I2501" s="14">
        <v>48520.21444688132</v>
      </c>
      <c r="J2501" s="19">
        <v>0</v>
      </c>
      <c r="K2501" s="19">
        <v>0.70804820416676684</v>
      </c>
      <c r="L2501" s="19">
        <v>0.29195179583323316</v>
      </c>
      <c r="M2501" s="20">
        <v>2</v>
      </c>
      <c r="N2501" s="19">
        <v>0.27124003278906245</v>
      </c>
      <c r="O2501" s="19">
        <v>0</v>
      </c>
      <c r="P2501" s="19">
        <v>0.43680817137770439</v>
      </c>
      <c r="Q2501" s="19">
        <v>0.18720996067695778</v>
      </c>
      <c r="R2501" s="19">
        <v>9.8336569653671865E-2</v>
      </c>
      <c r="S2501" s="19">
        <v>6.405265502603545E-3</v>
      </c>
      <c r="T2501" s="20">
        <v>23</v>
      </c>
      <c r="U2501" s="17">
        <v>2</v>
      </c>
      <c r="V2501" s="17">
        <v>34</v>
      </c>
    </row>
    <row r="2502" spans="1:22" x14ac:dyDescent="0.2">
      <c r="A2502" t="s">
        <v>5768</v>
      </c>
      <c r="B2502" t="s">
        <v>2719</v>
      </c>
      <c r="C2502" t="s">
        <v>2720</v>
      </c>
      <c r="D2502" t="s">
        <v>5720</v>
      </c>
      <c r="E2502" s="10" t="s">
        <v>5769</v>
      </c>
      <c r="F2502" s="10"/>
      <c r="G2502" s="10"/>
      <c r="H2502" s="10" t="s">
        <v>5769</v>
      </c>
      <c r="I2502" s="14">
        <v>35254.550671612378</v>
      </c>
      <c r="J2502" s="19">
        <v>0</v>
      </c>
      <c r="K2502" s="19">
        <v>0.65903567134759877</v>
      </c>
      <c r="L2502" s="19">
        <v>0.34096432865240123</v>
      </c>
      <c r="M2502" s="20">
        <v>2</v>
      </c>
      <c r="N2502" s="19">
        <v>0</v>
      </c>
      <c r="O2502" s="19">
        <v>0.65903567134759877</v>
      </c>
      <c r="P2502" s="19">
        <v>0</v>
      </c>
      <c r="Q2502" s="19">
        <v>0.14422249178248411</v>
      </c>
      <c r="R2502" s="19">
        <v>0.17143594590019898</v>
      </c>
      <c r="S2502" s="19">
        <v>2.5305890969718112E-2</v>
      </c>
      <c r="T2502" s="20">
        <v>22</v>
      </c>
      <c r="U2502" s="17">
        <v>2</v>
      </c>
      <c r="V2502" s="17">
        <v>34</v>
      </c>
    </row>
    <row r="2503" spans="1:22" x14ac:dyDescent="0.2">
      <c r="A2503" t="s">
        <v>5770</v>
      </c>
      <c r="B2503" t="s">
        <v>2719</v>
      </c>
      <c r="C2503" t="s">
        <v>2720</v>
      </c>
      <c r="D2503" t="s">
        <v>5720</v>
      </c>
      <c r="E2503" s="10" t="s">
        <v>5771</v>
      </c>
      <c r="F2503" s="10"/>
      <c r="G2503" s="10"/>
      <c r="H2503" s="10" t="s">
        <v>5771</v>
      </c>
      <c r="I2503" s="14">
        <v>28852.425034804266</v>
      </c>
      <c r="J2503" s="19">
        <v>0</v>
      </c>
      <c r="K2503" s="19">
        <v>0.68016812039561469</v>
      </c>
      <c r="L2503" s="19">
        <v>0.31983187960438547</v>
      </c>
      <c r="M2503" s="20">
        <v>2</v>
      </c>
      <c r="N2503" s="19">
        <v>0</v>
      </c>
      <c r="O2503" s="19">
        <v>0.6632761940568952</v>
      </c>
      <c r="P2503" s="19">
        <v>1.6891926338719433E-2</v>
      </c>
      <c r="Q2503" s="19">
        <v>8.4322159596355709E-2</v>
      </c>
      <c r="R2503" s="19">
        <v>0.22075149011019604</v>
      </c>
      <c r="S2503" s="19">
        <v>1.4758229897833713E-2</v>
      </c>
      <c r="T2503" s="20">
        <v>22</v>
      </c>
      <c r="U2503" s="17">
        <v>2</v>
      </c>
      <c r="V2503" s="17">
        <v>34</v>
      </c>
    </row>
    <row r="2504" spans="1:22" x14ac:dyDescent="0.2">
      <c r="A2504" t="s">
        <v>5772</v>
      </c>
      <c r="B2504" t="s">
        <v>2719</v>
      </c>
      <c r="C2504" t="s">
        <v>2720</v>
      </c>
      <c r="D2504" t="s">
        <v>5773</v>
      </c>
      <c r="E2504" s="10" t="s">
        <v>2956</v>
      </c>
      <c r="F2504" s="10"/>
      <c r="G2504" s="10"/>
      <c r="H2504" s="10" t="s">
        <v>2956</v>
      </c>
      <c r="I2504" s="14">
        <v>57550.377241453156</v>
      </c>
      <c r="J2504" s="19">
        <v>0</v>
      </c>
      <c r="K2504" s="19">
        <v>0.74752478416637291</v>
      </c>
      <c r="L2504" s="19">
        <v>0.25247521583362698</v>
      </c>
      <c r="M2504" s="20">
        <v>2</v>
      </c>
      <c r="N2504" s="19">
        <v>0.17460424925765772</v>
      </c>
      <c r="O2504" s="19">
        <v>4.2891889544749158E-2</v>
      </c>
      <c r="P2504" s="19">
        <v>0.5300286453639661</v>
      </c>
      <c r="Q2504" s="19">
        <v>6.9292508419225532E-2</v>
      </c>
      <c r="R2504" s="19">
        <v>0.17307599146947833</v>
      </c>
      <c r="S2504" s="19">
        <v>1.0106715944923132E-2</v>
      </c>
      <c r="T2504" s="20">
        <v>21</v>
      </c>
      <c r="U2504" s="17">
        <v>2</v>
      </c>
      <c r="V2504" s="17">
        <v>34</v>
      </c>
    </row>
    <row r="2505" spans="1:22" x14ac:dyDescent="0.2">
      <c r="A2505" t="s">
        <v>5774</v>
      </c>
      <c r="B2505" t="s">
        <v>2719</v>
      </c>
      <c r="C2505" t="s">
        <v>2720</v>
      </c>
      <c r="D2505" t="s">
        <v>5773</v>
      </c>
      <c r="E2505" s="10" t="s">
        <v>5775</v>
      </c>
      <c r="F2505" s="10"/>
      <c r="G2505" s="10"/>
      <c r="H2505" s="10" t="s">
        <v>5775</v>
      </c>
      <c r="I2505" s="14">
        <v>37006.498205009848</v>
      </c>
      <c r="J2505" s="19">
        <v>0</v>
      </c>
      <c r="K2505" s="19">
        <v>0.31643892678841545</v>
      </c>
      <c r="L2505" s="19">
        <v>0.68356107321158466</v>
      </c>
      <c r="M2505" s="20">
        <v>1</v>
      </c>
      <c r="N2505" s="19">
        <v>0.22796515066809794</v>
      </c>
      <c r="O2505" s="19">
        <v>0</v>
      </c>
      <c r="P2505" s="19">
        <v>8.8473776120317538E-2</v>
      </c>
      <c r="Q2505" s="19">
        <v>0.41231643340256663</v>
      </c>
      <c r="R2505" s="19">
        <v>0.2457318601963234</v>
      </c>
      <c r="S2505" s="19">
        <v>2.5512779612694502E-2</v>
      </c>
      <c r="T2505" s="20">
        <v>13</v>
      </c>
      <c r="U2505" s="17">
        <v>2</v>
      </c>
      <c r="V2505" s="17">
        <v>34</v>
      </c>
    </row>
    <row r="2506" spans="1:22" x14ac:dyDescent="0.2">
      <c r="A2506" t="s">
        <v>5776</v>
      </c>
      <c r="B2506" t="s">
        <v>2719</v>
      </c>
      <c r="C2506" t="s">
        <v>2720</v>
      </c>
      <c r="D2506" t="s">
        <v>5773</v>
      </c>
      <c r="E2506" s="10" t="s">
        <v>5777</v>
      </c>
      <c r="F2506" s="10"/>
      <c r="G2506" s="10"/>
      <c r="H2506" s="10" t="s">
        <v>5777</v>
      </c>
      <c r="I2506" s="14">
        <v>32611.385058479384</v>
      </c>
      <c r="J2506" s="19">
        <v>0</v>
      </c>
      <c r="K2506" s="19">
        <v>0.50170965664538292</v>
      </c>
      <c r="L2506" s="19">
        <v>0.49829034335461708</v>
      </c>
      <c r="M2506" s="20">
        <v>2</v>
      </c>
      <c r="N2506" s="19">
        <v>0</v>
      </c>
      <c r="O2506" s="19">
        <v>0.37682723983169847</v>
      </c>
      <c r="P2506" s="19">
        <v>0.12488241681368437</v>
      </c>
      <c r="Q2506" s="19">
        <v>0.23776495962360134</v>
      </c>
      <c r="R2506" s="19">
        <v>0.23729078863643932</v>
      </c>
      <c r="S2506" s="19">
        <v>2.3234595094576493E-2</v>
      </c>
      <c r="T2506" s="20">
        <v>22</v>
      </c>
      <c r="U2506" s="17">
        <v>2</v>
      </c>
      <c r="V2506" s="17">
        <v>34</v>
      </c>
    </row>
    <row r="2507" spans="1:22" x14ac:dyDescent="0.2">
      <c r="A2507" t="s">
        <v>5778</v>
      </c>
      <c r="B2507" t="s">
        <v>2719</v>
      </c>
      <c r="C2507" t="s">
        <v>2720</v>
      </c>
      <c r="D2507" t="s">
        <v>5773</v>
      </c>
      <c r="E2507" s="10" t="s">
        <v>5779</v>
      </c>
      <c r="F2507" s="10"/>
      <c r="G2507" s="10"/>
      <c r="H2507" s="10" t="s">
        <v>5779</v>
      </c>
      <c r="I2507" s="14">
        <v>41414.211171450093</v>
      </c>
      <c r="J2507" s="19">
        <v>0</v>
      </c>
      <c r="K2507" s="19">
        <v>0.41051987440941934</v>
      </c>
      <c r="L2507" s="19">
        <v>0.58948012559058072</v>
      </c>
      <c r="M2507" s="20">
        <v>1</v>
      </c>
      <c r="N2507" s="19">
        <v>0</v>
      </c>
      <c r="O2507" s="19">
        <v>0.41051987440941934</v>
      </c>
      <c r="P2507" s="19">
        <v>0</v>
      </c>
      <c r="Q2507" s="19">
        <v>0.31817059793318625</v>
      </c>
      <c r="R2507" s="19">
        <v>0.25111235295152762</v>
      </c>
      <c r="S2507" s="19">
        <v>2.0197174705866808E-2</v>
      </c>
      <c r="T2507" s="20">
        <v>13</v>
      </c>
      <c r="U2507" s="17">
        <v>2</v>
      </c>
      <c r="V2507" s="17">
        <v>34</v>
      </c>
    </row>
    <row r="2508" spans="1:22" x14ac:dyDescent="0.2">
      <c r="A2508" t="s">
        <v>5780</v>
      </c>
      <c r="B2508" t="s">
        <v>2719</v>
      </c>
      <c r="C2508" t="s">
        <v>2720</v>
      </c>
      <c r="D2508" t="s">
        <v>5773</v>
      </c>
      <c r="E2508" s="10" t="s">
        <v>5781</v>
      </c>
      <c r="F2508" s="10"/>
      <c r="G2508" s="10"/>
      <c r="H2508" s="10" t="s">
        <v>5781</v>
      </c>
      <c r="I2508" s="14">
        <v>36228.036306995898</v>
      </c>
      <c r="J2508" s="19">
        <v>0</v>
      </c>
      <c r="K2508" s="19">
        <v>0.611499042415653</v>
      </c>
      <c r="L2508" s="19">
        <v>0.38850095758434688</v>
      </c>
      <c r="M2508" s="20">
        <v>2</v>
      </c>
      <c r="N2508" s="19">
        <v>0.21651678542310748</v>
      </c>
      <c r="O2508" s="19">
        <v>3.9514563308065569E-2</v>
      </c>
      <c r="P2508" s="19">
        <v>0.35546769368448</v>
      </c>
      <c r="Q2508" s="19">
        <v>0.22808173900632245</v>
      </c>
      <c r="R2508" s="19">
        <v>0.14413662396115023</v>
      </c>
      <c r="S2508" s="19">
        <v>1.6282594616874271E-2</v>
      </c>
      <c r="T2508" s="20">
        <v>23</v>
      </c>
      <c r="U2508" s="17">
        <v>2</v>
      </c>
      <c r="V2508" s="17">
        <v>34</v>
      </c>
    </row>
    <row r="2509" spans="1:22" x14ac:dyDescent="0.2">
      <c r="A2509" t="s">
        <v>5782</v>
      </c>
      <c r="B2509" t="s">
        <v>2719</v>
      </c>
      <c r="C2509" t="s">
        <v>2720</v>
      </c>
      <c r="D2509" t="s">
        <v>5773</v>
      </c>
      <c r="E2509" s="10" t="s">
        <v>5783</v>
      </c>
      <c r="F2509" s="10"/>
      <c r="G2509" s="10"/>
      <c r="H2509" s="10" t="s">
        <v>5783</v>
      </c>
      <c r="I2509" s="14">
        <v>54391.722775306553</v>
      </c>
      <c r="J2509" s="19">
        <v>0</v>
      </c>
      <c r="K2509" s="19">
        <v>0.43729912949295524</v>
      </c>
      <c r="L2509" s="19">
        <v>0.56270087050704476</v>
      </c>
      <c r="M2509" s="20">
        <v>1</v>
      </c>
      <c r="N2509" s="19">
        <v>0.10440004092315905</v>
      </c>
      <c r="O2509" s="19">
        <v>3.9763368809665536E-2</v>
      </c>
      <c r="P2509" s="19">
        <v>0.29313571976013064</v>
      </c>
      <c r="Q2509" s="19">
        <v>0.16528853089141066</v>
      </c>
      <c r="R2509" s="19">
        <v>0.34161982997594997</v>
      </c>
      <c r="S2509" s="19">
        <v>5.5792509639684101E-2</v>
      </c>
      <c r="T2509" s="20">
        <v>12</v>
      </c>
      <c r="U2509" s="17">
        <v>2</v>
      </c>
      <c r="V2509" s="17">
        <v>34</v>
      </c>
    </row>
    <row r="2510" spans="1:22" x14ac:dyDescent="0.2">
      <c r="A2510" t="s">
        <v>5784</v>
      </c>
      <c r="B2510" t="s">
        <v>2719</v>
      </c>
      <c r="C2510" t="s">
        <v>2720</v>
      </c>
      <c r="D2510" t="s">
        <v>5773</v>
      </c>
      <c r="E2510" s="10" t="s">
        <v>5785</v>
      </c>
      <c r="F2510" s="10"/>
      <c r="G2510" s="10"/>
      <c r="H2510" s="10" t="s">
        <v>5785</v>
      </c>
      <c r="I2510" s="14">
        <v>23089.991420097649</v>
      </c>
      <c r="J2510" s="19">
        <v>0</v>
      </c>
      <c r="K2510" s="19">
        <v>0.73304661951735228</v>
      </c>
      <c r="L2510" s="19">
        <v>0.26695338048264777</v>
      </c>
      <c r="M2510" s="20">
        <v>2</v>
      </c>
      <c r="N2510" s="19">
        <v>0</v>
      </c>
      <c r="O2510" s="19">
        <v>0.73304661951735228</v>
      </c>
      <c r="P2510" s="19">
        <v>0</v>
      </c>
      <c r="Q2510" s="19">
        <v>2.4379278322071905E-2</v>
      </c>
      <c r="R2510" s="19">
        <v>0.21574385872674087</v>
      </c>
      <c r="S2510" s="19">
        <v>2.6830243433834975E-2</v>
      </c>
      <c r="T2510" s="20">
        <v>22</v>
      </c>
      <c r="U2510" s="17">
        <v>2</v>
      </c>
      <c r="V2510" s="17">
        <v>34</v>
      </c>
    </row>
    <row r="2511" spans="1:22" x14ac:dyDescent="0.2">
      <c r="A2511" t="s">
        <v>5786</v>
      </c>
      <c r="B2511" t="s">
        <v>2719</v>
      </c>
      <c r="C2511" t="s">
        <v>2720</v>
      </c>
      <c r="D2511" t="s">
        <v>5773</v>
      </c>
      <c r="E2511" s="10" t="s">
        <v>5787</v>
      </c>
      <c r="F2511" s="10"/>
      <c r="G2511" s="10"/>
      <c r="H2511" s="10" t="s">
        <v>5787</v>
      </c>
      <c r="I2511" s="14">
        <v>12650.987685989587</v>
      </c>
      <c r="J2511" s="19">
        <v>0</v>
      </c>
      <c r="K2511" s="19">
        <v>0.89538290514422325</v>
      </c>
      <c r="L2511" s="19">
        <v>0.10461709485577694</v>
      </c>
      <c r="M2511" s="20">
        <v>2</v>
      </c>
      <c r="N2511" s="19">
        <v>0</v>
      </c>
      <c r="O2511" s="19">
        <v>0</v>
      </c>
      <c r="P2511" s="19">
        <v>0.89538290514422325</v>
      </c>
      <c r="Q2511" s="19">
        <v>0</v>
      </c>
      <c r="R2511" s="19">
        <v>0.10210443126895155</v>
      </c>
      <c r="S2511" s="19">
        <v>2.5126635868253969E-3</v>
      </c>
      <c r="T2511" s="20">
        <v>21</v>
      </c>
      <c r="U2511" s="17">
        <v>2</v>
      </c>
      <c r="V2511" s="17">
        <v>34</v>
      </c>
    </row>
    <row r="2512" spans="1:22" x14ac:dyDescent="0.2">
      <c r="A2512" t="s">
        <v>5788</v>
      </c>
      <c r="B2512" t="s">
        <v>2719</v>
      </c>
      <c r="C2512" t="s">
        <v>2720</v>
      </c>
      <c r="D2512" t="s">
        <v>5773</v>
      </c>
      <c r="E2512" s="10" t="s">
        <v>5789</v>
      </c>
      <c r="F2512" s="10"/>
      <c r="G2512" s="10"/>
      <c r="H2512" s="10" t="s">
        <v>5789</v>
      </c>
      <c r="I2512" s="14">
        <v>33779.29874692671</v>
      </c>
      <c r="J2512" s="19">
        <v>0</v>
      </c>
      <c r="K2512" s="19">
        <v>0.70104157716779947</v>
      </c>
      <c r="L2512" s="19">
        <v>0.29895842283220048</v>
      </c>
      <c r="M2512" s="20">
        <v>2</v>
      </c>
      <c r="N2512" s="19">
        <v>0.31897343016710888</v>
      </c>
      <c r="O2512" s="19">
        <v>6.2169257944363059E-2</v>
      </c>
      <c r="P2512" s="19">
        <v>0.31989888905632757</v>
      </c>
      <c r="Q2512" s="19">
        <v>0.144407390312214</v>
      </c>
      <c r="R2512" s="19">
        <v>0.13502664540462692</v>
      </c>
      <c r="S2512" s="19">
        <v>1.9524387115359566E-2</v>
      </c>
      <c r="T2512" s="20">
        <v>23</v>
      </c>
      <c r="U2512" s="17">
        <v>2</v>
      </c>
      <c r="V2512" s="17">
        <v>34</v>
      </c>
    </row>
    <row r="2513" spans="1:22" x14ac:dyDescent="0.2">
      <c r="A2513" t="s">
        <v>5790</v>
      </c>
      <c r="B2513" t="s">
        <v>2719</v>
      </c>
      <c r="C2513" t="s">
        <v>2720</v>
      </c>
      <c r="D2513" t="s">
        <v>5773</v>
      </c>
      <c r="E2513" s="10" t="s">
        <v>5791</v>
      </c>
      <c r="F2513" s="10"/>
      <c r="G2513" s="10"/>
      <c r="H2513" s="10" t="s">
        <v>5791</v>
      </c>
      <c r="I2513" s="14">
        <v>47218.850740877919</v>
      </c>
      <c r="J2513" s="19">
        <v>2.3402237529259327E-2</v>
      </c>
      <c r="K2513" s="19">
        <v>0.65102320568023975</v>
      </c>
      <c r="L2513" s="19">
        <v>0.32557455679050062</v>
      </c>
      <c r="M2513" s="20">
        <v>2</v>
      </c>
      <c r="N2513" s="19">
        <v>0.10787489498773246</v>
      </c>
      <c r="O2513" s="19">
        <v>0</v>
      </c>
      <c r="P2513" s="19">
        <v>0.54314831069250735</v>
      </c>
      <c r="Q2513" s="19">
        <v>0.18623085757869354</v>
      </c>
      <c r="R2513" s="19">
        <v>0.13022236550249874</v>
      </c>
      <c r="S2513" s="19">
        <v>9.1213337093083557E-3</v>
      </c>
      <c r="T2513" s="20">
        <v>21</v>
      </c>
      <c r="U2513" s="17">
        <v>2</v>
      </c>
      <c r="V2513" s="17">
        <v>34</v>
      </c>
    </row>
    <row r="2514" spans="1:22" x14ac:dyDescent="0.2">
      <c r="A2514" t="s">
        <v>5792</v>
      </c>
      <c r="B2514" t="s">
        <v>2719</v>
      </c>
      <c r="C2514" t="s">
        <v>2720</v>
      </c>
      <c r="D2514" t="s">
        <v>5773</v>
      </c>
      <c r="E2514" s="10" t="s">
        <v>5793</v>
      </c>
      <c r="F2514" s="10"/>
      <c r="G2514" s="10"/>
      <c r="H2514" s="10" t="s">
        <v>5793</v>
      </c>
      <c r="I2514" s="14">
        <v>24209.396428992972</v>
      </c>
      <c r="J2514" s="19">
        <v>0</v>
      </c>
      <c r="K2514" s="19">
        <v>0.45297707707636647</v>
      </c>
      <c r="L2514" s="19">
        <v>0.54702292292363353</v>
      </c>
      <c r="M2514" s="20">
        <v>1</v>
      </c>
      <c r="N2514" s="19">
        <v>0</v>
      </c>
      <c r="O2514" s="19">
        <v>0.45297707707636647</v>
      </c>
      <c r="P2514" s="19">
        <v>0</v>
      </c>
      <c r="Q2514" s="19">
        <v>0.37020358369989181</v>
      </c>
      <c r="R2514" s="19">
        <v>0.15337508655658635</v>
      </c>
      <c r="S2514" s="19">
        <v>2.3444252667155347E-2</v>
      </c>
      <c r="T2514" s="20">
        <v>13</v>
      </c>
      <c r="U2514" s="17">
        <v>2</v>
      </c>
      <c r="V2514" s="17">
        <v>34</v>
      </c>
    </row>
    <row r="2515" spans="1:22" x14ac:dyDescent="0.2">
      <c r="A2515" t="s">
        <v>5794</v>
      </c>
      <c r="B2515" t="s">
        <v>2719</v>
      </c>
      <c r="C2515" t="s">
        <v>2720</v>
      </c>
      <c r="D2515" t="s">
        <v>5773</v>
      </c>
      <c r="E2515" s="10" t="s">
        <v>5795</v>
      </c>
      <c r="F2515" s="10"/>
      <c r="G2515" s="10"/>
      <c r="H2515" s="10" t="s">
        <v>5795</v>
      </c>
      <c r="I2515" s="14">
        <v>45.881949439644814</v>
      </c>
      <c r="J2515" s="19">
        <v>0</v>
      </c>
      <c r="K2515" s="19">
        <v>0.37394521137210185</v>
      </c>
      <c r="L2515" s="19">
        <v>0.6260547886278981</v>
      </c>
      <c r="M2515" s="20">
        <v>1</v>
      </c>
      <c r="N2515" s="19">
        <v>0</v>
      </c>
      <c r="O2515" s="19">
        <v>0.37394521137210185</v>
      </c>
      <c r="P2515" s="19">
        <v>0</v>
      </c>
      <c r="Q2515" s="19">
        <v>0.4156985543017585</v>
      </c>
      <c r="R2515" s="19">
        <v>0.21035623432613965</v>
      </c>
      <c r="S2515" s="19">
        <v>0</v>
      </c>
      <c r="T2515" s="20">
        <v>13</v>
      </c>
      <c r="U2515" s="17">
        <v>2</v>
      </c>
      <c r="V2515" s="17">
        <v>34</v>
      </c>
    </row>
    <row r="2516" spans="1:22" x14ac:dyDescent="0.2">
      <c r="A2516" t="s">
        <v>5796</v>
      </c>
      <c r="B2516" t="s">
        <v>2719</v>
      </c>
      <c r="C2516" t="s">
        <v>2720</v>
      </c>
      <c r="D2516" t="s">
        <v>5773</v>
      </c>
      <c r="E2516" s="10" t="s">
        <v>5797</v>
      </c>
      <c r="F2516" s="10"/>
      <c r="G2516" s="10"/>
      <c r="H2516" s="10" t="s">
        <v>5797</v>
      </c>
      <c r="I2516" s="14">
        <v>30055.590993322432</v>
      </c>
      <c r="J2516" s="19">
        <v>0</v>
      </c>
      <c r="K2516" s="19">
        <v>0.25857054608377339</v>
      </c>
      <c r="L2516" s="19">
        <v>0.74142945391622661</v>
      </c>
      <c r="M2516" s="20">
        <v>1</v>
      </c>
      <c r="N2516" s="19">
        <v>0</v>
      </c>
      <c r="O2516" s="19">
        <v>0.25857054608377339</v>
      </c>
      <c r="P2516" s="19">
        <v>0</v>
      </c>
      <c r="Q2516" s="19">
        <v>0.46935675149638084</v>
      </c>
      <c r="R2516" s="19">
        <v>0.25724170457631751</v>
      </c>
      <c r="S2516" s="19">
        <v>1.4830997843528248E-2</v>
      </c>
      <c r="T2516" s="20">
        <v>13</v>
      </c>
      <c r="U2516" s="17">
        <v>2</v>
      </c>
      <c r="V2516" s="17">
        <v>34</v>
      </c>
    </row>
    <row r="2517" spans="1:22" x14ac:dyDescent="0.2">
      <c r="A2517" t="s">
        <v>5798</v>
      </c>
      <c r="B2517" t="s">
        <v>2719</v>
      </c>
      <c r="C2517" t="s">
        <v>2720</v>
      </c>
      <c r="D2517" t="s">
        <v>5773</v>
      </c>
      <c r="E2517" s="10" t="s">
        <v>5799</v>
      </c>
      <c r="F2517" s="10"/>
      <c r="G2517" s="10"/>
      <c r="H2517" s="10" t="s">
        <v>5799</v>
      </c>
      <c r="I2517" s="14">
        <v>53276.225090479478</v>
      </c>
      <c r="J2517" s="19">
        <v>0</v>
      </c>
      <c r="K2517" s="19">
        <v>0.78274316436157554</v>
      </c>
      <c r="L2517" s="19">
        <v>0.21725683563842452</v>
      </c>
      <c r="M2517" s="20">
        <v>2</v>
      </c>
      <c r="N2517" s="19">
        <v>0.21294766362762019</v>
      </c>
      <c r="O2517" s="19">
        <v>0</v>
      </c>
      <c r="P2517" s="19">
        <v>0.56979550073395524</v>
      </c>
      <c r="Q2517" s="19">
        <v>2.6404989099503163E-2</v>
      </c>
      <c r="R2517" s="19">
        <v>0.17338571524279831</v>
      </c>
      <c r="S2517" s="19">
        <v>1.7466131296123049E-2</v>
      </c>
      <c r="T2517" s="20">
        <v>21</v>
      </c>
      <c r="U2517" s="17">
        <v>2</v>
      </c>
      <c r="V2517" s="17">
        <v>34</v>
      </c>
    </row>
    <row r="2518" spans="1:22" x14ac:dyDescent="0.2">
      <c r="A2518" t="s">
        <v>5800</v>
      </c>
      <c r="B2518" t="s">
        <v>2719</v>
      </c>
      <c r="C2518" t="s">
        <v>2720</v>
      </c>
      <c r="D2518" t="s">
        <v>5773</v>
      </c>
      <c r="E2518" s="10" t="s">
        <v>5801</v>
      </c>
      <c r="F2518" s="10"/>
      <c r="G2518" s="10"/>
      <c r="H2518" s="10" t="s">
        <v>5801</v>
      </c>
      <c r="I2518" s="14">
        <v>41366.197919942439</v>
      </c>
      <c r="J2518" s="19">
        <v>0</v>
      </c>
      <c r="K2518" s="19">
        <v>0.75749250239368227</v>
      </c>
      <c r="L2518" s="19">
        <v>0.24250749760631771</v>
      </c>
      <c r="M2518" s="20">
        <v>2</v>
      </c>
      <c r="N2518" s="19">
        <v>0.37027426946601066</v>
      </c>
      <c r="O2518" s="19">
        <v>0.15081798799540896</v>
      </c>
      <c r="P2518" s="19">
        <v>0.23640024493226267</v>
      </c>
      <c r="Q2518" s="19">
        <v>0.12640981590551559</v>
      </c>
      <c r="R2518" s="19">
        <v>0.1067983587040196</v>
      </c>
      <c r="S2518" s="19">
        <v>9.2993229967825285E-3</v>
      </c>
      <c r="T2518" s="20">
        <v>23</v>
      </c>
      <c r="U2518" s="17">
        <v>2</v>
      </c>
      <c r="V2518" s="17">
        <v>34</v>
      </c>
    </row>
    <row r="2519" spans="1:22" x14ac:dyDescent="0.2">
      <c r="A2519" t="s">
        <v>5802</v>
      </c>
      <c r="B2519" t="s">
        <v>2719</v>
      </c>
      <c r="C2519" t="s">
        <v>2720</v>
      </c>
      <c r="D2519" t="s">
        <v>5773</v>
      </c>
      <c r="E2519" s="10" t="s">
        <v>5803</v>
      </c>
      <c r="F2519" s="10"/>
      <c r="G2519" s="10"/>
      <c r="H2519" s="10" t="s">
        <v>5803</v>
      </c>
      <c r="I2519" s="14">
        <v>37264.903695531189</v>
      </c>
      <c r="J2519" s="19">
        <v>0</v>
      </c>
      <c r="K2519" s="19">
        <v>0.27384533383452636</v>
      </c>
      <c r="L2519" s="19">
        <v>0.72615466616547364</v>
      </c>
      <c r="M2519" s="20">
        <v>1</v>
      </c>
      <c r="N2519" s="19">
        <v>0</v>
      </c>
      <c r="O2519" s="19">
        <v>0.27384533383452636</v>
      </c>
      <c r="P2519" s="19">
        <v>0</v>
      </c>
      <c r="Q2519" s="19">
        <v>0.33575035650188195</v>
      </c>
      <c r="R2519" s="19">
        <v>0.3586550347383865</v>
      </c>
      <c r="S2519" s="19">
        <v>3.1749274925205226E-2</v>
      </c>
      <c r="T2519" s="20">
        <v>12</v>
      </c>
      <c r="U2519" s="17">
        <v>2</v>
      </c>
      <c r="V2519" s="17">
        <v>34</v>
      </c>
    </row>
    <row r="2520" spans="1:22" x14ac:dyDescent="0.2">
      <c r="A2520" t="s">
        <v>5804</v>
      </c>
      <c r="B2520" t="s">
        <v>2719</v>
      </c>
      <c r="C2520" t="s">
        <v>2720</v>
      </c>
      <c r="D2520" t="s">
        <v>5773</v>
      </c>
      <c r="E2520" s="10" t="s">
        <v>5805</v>
      </c>
      <c r="F2520" s="10"/>
      <c r="G2520" s="10"/>
      <c r="H2520" s="10" t="s">
        <v>5805</v>
      </c>
      <c r="I2520" s="14">
        <v>56959.35635099002</v>
      </c>
      <c r="J2520" s="19">
        <v>0</v>
      </c>
      <c r="K2520" s="19">
        <v>0.9510075595845342</v>
      </c>
      <c r="L2520" s="19">
        <v>4.8992440415465716E-2</v>
      </c>
      <c r="M2520" s="20">
        <v>2</v>
      </c>
      <c r="N2520" s="19">
        <v>0.4655196440531309</v>
      </c>
      <c r="O2520" s="19">
        <v>0</v>
      </c>
      <c r="P2520" s="19">
        <v>0.48548791553140325</v>
      </c>
      <c r="Q2520" s="19">
        <v>0</v>
      </c>
      <c r="R2520" s="19">
        <v>4.8242999250816203E-2</v>
      </c>
      <c r="S2520" s="19">
        <v>7.4944116464951082E-4</v>
      </c>
      <c r="T2520" s="20">
        <v>23</v>
      </c>
      <c r="U2520" s="17">
        <v>2</v>
      </c>
      <c r="V2520" s="17">
        <v>34</v>
      </c>
    </row>
    <row r="2521" spans="1:22" x14ac:dyDescent="0.2">
      <c r="A2521" t="s">
        <v>5806</v>
      </c>
      <c r="B2521" t="s">
        <v>2719</v>
      </c>
      <c r="C2521" t="s">
        <v>2720</v>
      </c>
      <c r="D2521" t="s">
        <v>5773</v>
      </c>
      <c r="E2521" s="10" t="s">
        <v>5807</v>
      </c>
      <c r="F2521" s="10"/>
      <c r="G2521" s="10"/>
      <c r="H2521" s="10" t="s">
        <v>5807</v>
      </c>
      <c r="I2521" s="14">
        <v>245568.93630380975</v>
      </c>
      <c r="J2521" s="19">
        <v>0.73096573203015458</v>
      </c>
      <c r="K2521" s="19">
        <v>0.18661569335845635</v>
      </c>
      <c r="L2521" s="19">
        <v>8.2418574611388906E-2</v>
      </c>
      <c r="M2521" s="20">
        <v>3</v>
      </c>
      <c r="N2521" s="19">
        <v>0</v>
      </c>
      <c r="O2521" s="19">
        <v>0</v>
      </c>
      <c r="P2521" s="19">
        <v>0.18661569335845635</v>
      </c>
      <c r="Q2521" s="19">
        <v>4.1261954086074318E-2</v>
      </c>
      <c r="R2521" s="19">
        <v>3.7467376097887868E-2</v>
      </c>
      <c r="S2521" s="19">
        <v>3.6892444274267194E-3</v>
      </c>
      <c r="T2521" s="20">
        <v>30</v>
      </c>
      <c r="U2521" s="17">
        <v>2</v>
      </c>
      <c r="V2521" s="17">
        <v>34</v>
      </c>
    </row>
    <row r="2522" spans="1:22" x14ac:dyDescent="0.2">
      <c r="A2522" t="s">
        <v>5808</v>
      </c>
      <c r="B2522" t="s">
        <v>2719</v>
      </c>
      <c r="C2522" t="s">
        <v>2720</v>
      </c>
      <c r="D2522" t="s">
        <v>5773</v>
      </c>
      <c r="E2522" s="10" t="s">
        <v>5268</v>
      </c>
      <c r="F2522" s="10"/>
      <c r="G2522" s="10"/>
      <c r="H2522" s="10" t="s">
        <v>5268</v>
      </c>
      <c r="I2522" s="14">
        <v>29587.699320637621</v>
      </c>
      <c r="J2522" s="19">
        <v>0</v>
      </c>
      <c r="K2522" s="19">
        <v>0.86073884109897558</v>
      </c>
      <c r="L2522" s="19">
        <v>0.13926115890102439</v>
      </c>
      <c r="M2522" s="20">
        <v>2</v>
      </c>
      <c r="N2522" s="19">
        <v>0.20519229724220192</v>
      </c>
      <c r="O2522" s="19">
        <v>0</v>
      </c>
      <c r="P2522" s="19">
        <v>0.65554654385677369</v>
      </c>
      <c r="Q2522" s="19">
        <v>2.4133796675251503E-2</v>
      </c>
      <c r="R2522" s="19">
        <v>0.10280298163526336</v>
      </c>
      <c r="S2522" s="19">
        <v>1.2324380590509542E-2</v>
      </c>
      <c r="T2522" s="20">
        <v>21</v>
      </c>
      <c r="U2522" s="17">
        <v>2</v>
      </c>
      <c r="V2522" s="17">
        <v>34</v>
      </c>
    </row>
    <row r="2523" spans="1:22" x14ac:dyDescent="0.2">
      <c r="A2523" t="s">
        <v>5809</v>
      </c>
      <c r="B2523" t="s">
        <v>2719</v>
      </c>
      <c r="C2523" t="s">
        <v>2720</v>
      </c>
      <c r="D2523" t="s">
        <v>5773</v>
      </c>
      <c r="E2523" s="10" t="s">
        <v>5810</v>
      </c>
      <c r="F2523" s="10"/>
      <c r="G2523" s="10"/>
      <c r="H2523" s="10" t="s">
        <v>5810</v>
      </c>
      <c r="I2523" s="14">
        <v>31058.261244937778</v>
      </c>
      <c r="J2523" s="19">
        <v>0</v>
      </c>
      <c r="K2523" s="19">
        <v>0.70974976378778498</v>
      </c>
      <c r="L2523" s="19">
        <v>0.29025023621221507</v>
      </c>
      <c r="M2523" s="20">
        <v>2</v>
      </c>
      <c r="N2523" s="19">
        <v>0</v>
      </c>
      <c r="O2523" s="19">
        <v>0</v>
      </c>
      <c r="P2523" s="19">
        <v>0.70974976378778498</v>
      </c>
      <c r="Q2523" s="19">
        <v>0.10452544542722431</v>
      </c>
      <c r="R2523" s="19">
        <v>0.17247320886309636</v>
      </c>
      <c r="S2523" s="19">
        <v>1.3251581921894377E-2</v>
      </c>
      <c r="T2523" s="20">
        <v>21</v>
      </c>
      <c r="U2523" s="17">
        <v>2</v>
      </c>
      <c r="V2523" s="17">
        <v>34</v>
      </c>
    </row>
    <row r="2524" spans="1:22" x14ac:dyDescent="0.2">
      <c r="A2524" t="s">
        <v>5811</v>
      </c>
      <c r="B2524" t="s">
        <v>2719</v>
      </c>
      <c r="C2524" t="s">
        <v>2720</v>
      </c>
      <c r="D2524" t="s">
        <v>5773</v>
      </c>
      <c r="E2524" s="10" t="s">
        <v>3215</v>
      </c>
      <c r="F2524" s="10"/>
      <c r="G2524" s="10"/>
      <c r="H2524" s="10" t="s">
        <v>3215</v>
      </c>
      <c r="I2524" s="14">
        <v>22887.840556174517</v>
      </c>
      <c r="J2524" s="19">
        <v>0</v>
      </c>
      <c r="K2524" s="19">
        <v>0.47199009995797947</v>
      </c>
      <c r="L2524" s="19">
        <v>0.52800990004202053</v>
      </c>
      <c r="M2524" s="20">
        <v>1</v>
      </c>
      <c r="N2524" s="19">
        <v>0</v>
      </c>
      <c r="O2524" s="19">
        <v>0.47199009995797947</v>
      </c>
      <c r="P2524" s="19">
        <v>0</v>
      </c>
      <c r="Q2524" s="19">
        <v>0.25718896525662571</v>
      </c>
      <c r="R2524" s="19">
        <v>0.24930468154112612</v>
      </c>
      <c r="S2524" s="19">
        <v>2.1516253244268681E-2</v>
      </c>
      <c r="T2524" s="20">
        <v>13</v>
      </c>
      <c r="U2524" s="17">
        <v>2</v>
      </c>
      <c r="V2524" s="17">
        <v>34</v>
      </c>
    </row>
    <row r="2525" spans="1:22" x14ac:dyDescent="0.2">
      <c r="A2525" t="s">
        <v>5812</v>
      </c>
      <c r="B2525" t="s">
        <v>2719</v>
      </c>
      <c r="C2525" t="s">
        <v>2720</v>
      </c>
      <c r="D2525" t="s">
        <v>5773</v>
      </c>
      <c r="E2525" s="10" t="s">
        <v>4131</v>
      </c>
      <c r="F2525" s="10"/>
      <c r="G2525" s="10"/>
      <c r="H2525" s="10" t="s">
        <v>4131</v>
      </c>
      <c r="I2525" s="14">
        <v>31319.678168542683</v>
      </c>
      <c r="J2525" s="19">
        <v>0</v>
      </c>
      <c r="K2525" s="19">
        <v>0.75245087280947853</v>
      </c>
      <c r="L2525" s="19">
        <v>0.24754912719052147</v>
      </c>
      <c r="M2525" s="20">
        <v>2</v>
      </c>
      <c r="N2525" s="19">
        <v>0</v>
      </c>
      <c r="O2525" s="19">
        <v>0.75245087280947853</v>
      </c>
      <c r="P2525" s="19">
        <v>0</v>
      </c>
      <c r="Q2525" s="19">
        <v>0.10469366309309446</v>
      </c>
      <c r="R2525" s="19">
        <v>0.127210256163413</v>
      </c>
      <c r="S2525" s="19">
        <v>1.5645207934013979E-2</v>
      </c>
      <c r="T2525" s="20">
        <v>22</v>
      </c>
      <c r="U2525" s="17">
        <v>2</v>
      </c>
      <c r="V2525" s="17">
        <v>34</v>
      </c>
    </row>
    <row r="2526" spans="1:22" x14ac:dyDescent="0.2">
      <c r="A2526" t="s">
        <v>5813</v>
      </c>
      <c r="B2526" t="s">
        <v>2719</v>
      </c>
      <c r="C2526" t="s">
        <v>2720</v>
      </c>
      <c r="D2526" t="s">
        <v>5773</v>
      </c>
      <c r="E2526" s="10" t="s">
        <v>5814</v>
      </c>
      <c r="F2526" s="10"/>
      <c r="G2526" s="10"/>
      <c r="H2526" s="10" t="s">
        <v>5814</v>
      </c>
      <c r="I2526" s="14">
        <v>19606.307357007638</v>
      </c>
      <c r="J2526" s="19">
        <v>0</v>
      </c>
      <c r="K2526" s="19">
        <v>0.39491079872146884</v>
      </c>
      <c r="L2526" s="19">
        <v>0.60508920127853116</v>
      </c>
      <c r="M2526" s="20">
        <v>1</v>
      </c>
      <c r="N2526" s="19">
        <v>0</v>
      </c>
      <c r="O2526" s="19">
        <v>2.5934983946012527E-2</v>
      </c>
      <c r="P2526" s="19">
        <v>0.36897581477545632</v>
      </c>
      <c r="Q2526" s="19">
        <v>0.33259594355379068</v>
      </c>
      <c r="R2526" s="19">
        <v>0.24743645028433456</v>
      </c>
      <c r="S2526" s="19">
        <v>2.5056807440405893E-2</v>
      </c>
      <c r="T2526" s="20">
        <v>13</v>
      </c>
      <c r="U2526" s="17">
        <v>2</v>
      </c>
      <c r="V2526" s="17">
        <v>34</v>
      </c>
    </row>
    <row r="2527" spans="1:22" x14ac:dyDescent="0.2">
      <c r="A2527" t="s">
        <v>5815</v>
      </c>
      <c r="B2527" t="s">
        <v>2719</v>
      </c>
      <c r="C2527" t="s">
        <v>2720</v>
      </c>
      <c r="D2527" t="s">
        <v>5773</v>
      </c>
      <c r="E2527" s="10" t="s">
        <v>5816</v>
      </c>
      <c r="F2527" s="10"/>
      <c r="G2527" s="10"/>
      <c r="H2527" s="10" t="s">
        <v>5816</v>
      </c>
      <c r="I2527" s="14">
        <v>27824.917942987755</v>
      </c>
      <c r="J2527" s="19">
        <v>0</v>
      </c>
      <c r="K2527" s="19">
        <v>0.84691260874803875</v>
      </c>
      <c r="L2527" s="19">
        <v>0.15308739125196122</v>
      </c>
      <c r="M2527" s="20">
        <v>2</v>
      </c>
      <c r="N2527" s="19">
        <v>0.20943206313197063</v>
      </c>
      <c r="O2527" s="19">
        <v>0</v>
      </c>
      <c r="P2527" s="19">
        <v>0.63748054561606815</v>
      </c>
      <c r="Q2527" s="19">
        <v>2.9738833414205003E-2</v>
      </c>
      <c r="R2527" s="19">
        <v>0.11206023665573418</v>
      </c>
      <c r="S2527" s="19">
        <v>1.1288321182022049E-2</v>
      </c>
      <c r="T2527" s="20">
        <v>21</v>
      </c>
      <c r="U2527" s="17">
        <v>2</v>
      </c>
      <c r="V2527" s="17">
        <v>34</v>
      </c>
    </row>
    <row r="2528" spans="1:22" x14ac:dyDescent="0.2">
      <c r="A2528" t="s">
        <v>5817</v>
      </c>
      <c r="B2528" t="s">
        <v>2719</v>
      </c>
      <c r="C2528" t="s">
        <v>2720</v>
      </c>
      <c r="D2528" t="s">
        <v>5773</v>
      </c>
      <c r="E2528" s="10" t="s">
        <v>5818</v>
      </c>
      <c r="F2528" s="10"/>
      <c r="G2528" s="10"/>
      <c r="H2528" s="10" t="s">
        <v>5818</v>
      </c>
      <c r="I2528" s="14">
        <v>41007.083552092314</v>
      </c>
      <c r="J2528" s="19">
        <v>0</v>
      </c>
      <c r="K2528" s="19">
        <v>0.63951387636996215</v>
      </c>
      <c r="L2528" s="19">
        <v>0.36048612363003768</v>
      </c>
      <c r="M2528" s="20">
        <v>2</v>
      </c>
      <c r="N2528" s="19">
        <v>0.21754750337986484</v>
      </c>
      <c r="O2528" s="19">
        <v>0</v>
      </c>
      <c r="P2528" s="19">
        <v>0.42196637299009743</v>
      </c>
      <c r="Q2528" s="19">
        <v>8.4194083732558503E-2</v>
      </c>
      <c r="R2528" s="19">
        <v>0.26049978539660529</v>
      </c>
      <c r="S2528" s="19">
        <v>1.5792254500873935E-2</v>
      </c>
      <c r="T2528" s="20">
        <v>23</v>
      </c>
      <c r="U2528" s="17">
        <v>2</v>
      </c>
      <c r="V2528" s="17">
        <v>34</v>
      </c>
    </row>
    <row r="2529" spans="1:22" x14ac:dyDescent="0.2">
      <c r="A2529" t="s">
        <v>5819</v>
      </c>
      <c r="B2529" t="s">
        <v>2719</v>
      </c>
      <c r="C2529" t="s">
        <v>2720</v>
      </c>
      <c r="D2529" t="s">
        <v>5773</v>
      </c>
      <c r="E2529" s="10" t="s">
        <v>5820</v>
      </c>
      <c r="F2529" s="10"/>
      <c r="G2529" s="10"/>
      <c r="H2529" s="10" t="s">
        <v>5820</v>
      </c>
      <c r="I2529" s="14">
        <v>22965.302954078652</v>
      </c>
      <c r="J2529" s="19">
        <v>0</v>
      </c>
      <c r="K2529" s="19">
        <v>0.40986281295025079</v>
      </c>
      <c r="L2529" s="19">
        <v>0.59013718704974916</v>
      </c>
      <c r="M2529" s="20">
        <v>1</v>
      </c>
      <c r="N2529" s="19">
        <v>0</v>
      </c>
      <c r="O2529" s="19">
        <v>0.40986281295025079</v>
      </c>
      <c r="P2529" s="19">
        <v>0</v>
      </c>
      <c r="Q2529" s="19">
        <v>0.31065920443901229</v>
      </c>
      <c r="R2529" s="19">
        <v>0.25771483202971568</v>
      </c>
      <c r="S2529" s="19">
        <v>2.1763150581021219E-2</v>
      </c>
      <c r="T2529" s="20">
        <v>13</v>
      </c>
      <c r="U2529" s="17">
        <v>2</v>
      </c>
      <c r="V2529" s="17">
        <v>34</v>
      </c>
    </row>
    <row r="2530" spans="1:22" x14ac:dyDescent="0.2">
      <c r="A2530" t="s">
        <v>5821</v>
      </c>
      <c r="B2530" t="s">
        <v>2719</v>
      </c>
      <c r="C2530" t="s">
        <v>2720</v>
      </c>
      <c r="D2530" t="s">
        <v>5773</v>
      </c>
      <c r="E2530" s="10" t="s">
        <v>5822</v>
      </c>
      <c r="F2530" s="10"/>
      <c r="G2530" s="10"/>
      <c r="H2530" s="10" t="s">
        <v>5822</v>
      </c>
      <c r="I2530" s="14">
        <v>45553.773035580292</v>
      </c>
      <c r="J2530" s="19">
        <v>0</v>
      </c>
      <c r="K2530" s="19">
        <v>0.77120599549336732</v>
      </c>
      <c r="L2530" s="19">
        <v>0.22879400450663265</v>
      </c>
      <c r="M2530" s="20">
        <v>2</v>
      </c>
      <c r="N2530" s="19">
        <v>0.40079044602530017</v>
      </c>
      <c r="O2530" s="19">
        <v>3.2257914329469589E-2</v>
      </c>
      <c r="P2530" s="19">
        <v>0.33815763513859765</v>
      </c>
      <c r="Q2530" s="19">
        <v>6.9912116899235988E-2</v>
      </c>
      <c r="R2530" s="19">
        <v>0.14188894333604218</v>
      </c>
      <c r="S2530" s="19">
        <v>1.6992944271354466E-2</v>
      </c>
      <c r="T2530" s="20">
        <v>23</v>
      </c>
      <c r="U2530" s="17">
        <v>2</v>
      </c>
      <c r="V2530" s="17">
        <v>34</v>
      </c>
    </row>
    <row r="2531" spans="1:22" x14ac:dyDescent="0.2">
      <c r="A2531" t="s">
        <v>5823</v>
      </c>
      <c r="B2531" t="s">
        <v>2719</v>
      </c>
      <c r="C2531" t="s">
        <v>2720</v>
      </c>
      <c r="D2531" t="s">
        <v>5773</v>
      </c>
      <c r="E2531" s="10" t="s">
        <v>5824</v>
      </c>
      <c r="F2531" s="10"/>
      <c r="G2531" s="10"/>
      <c r="H2531" s="10" t="s">
        <v>5824</v>
      </c>
      <c r="I2531" s="14">
        <v>24547.420937795192</v>
      </c>
      <c r="J2531" s="19">
        <v>0</v>
      </c>
      <c r="K2531" s="19">
        <v>0.78224795701675698</v>
      </c>
      <c r="L2531" s="19">
        <v>0.21775204298324302</v>
      </c>
      <c r="M2531" s="20">
        <v>2</v>
      </c>
      <c r="N2531" s="19">
        <v>0</v>
      </c>
      <c r="O2531" s="19">
        <v>0.70569405599246593</v>
      </c>
      <c r="P2531" s="19">
        <v>7.6553901024291035E-2</v>
      </c>
      <c r="Q2531" s="19">
        <v>6.0099403193905318E-2</v>
      </c>
      <c r="R2531" s="19">
        <v>0.14729399747365593</v>
      </c>
      <c r="S2531" s="19">
        <v>1.0358642315681751E-2</v>
      </c>
      <c r="T2531" s="20">
        <v>22</v>
      </c>
      <c r="U2531" s="17">
        <v>2</v>
      </c>
      <c r="V2531" s="17">
        <v>34</v>
      </c>
    </row>
    <row r="2532" spans="1:22" x14ac:dyDescent="0.2">
      <c r="A2532" t="s">
        <v>5825</v>
      </c>
      <c r="B2532" t="s">
        <v>2719</v>
      </c>
      <c r="C2532" t="s">
        <v>2720</v>
      </c>
      <c r="D2532" t="s">
        <v>5773</v>
      </c>
      <c r="E2532" s="10" t="s">
        <v>5826</v>
      </c>
      <c r="F2532" s="10"/>
      <c r="G2532" s="10"/>
      <c r="H2532" s="10" t="s">
        <v>5826</v>
      </c>
      <c r="I2532" s="14">
        <v>856300.59401876712</v>
      </c>
      <c r="J2532" s="19">
        <v>0.66867854799895232</v>
      </c>
      <c r="K2532" s="19">
        <v>0.23781336927132188</v>
      </c>
      <c r="L2532" s="19">
        <v>9.3508082729725855E-2</v>
      </c>
      <c r="M2532" s="20">
        <v>3</v>
      </c>
      <c r="N2532" s="19">
        <v>9.6322607395661466E-2</v>
      </c>
      <c r="O2532" s="19">
        <v>4.0693317751228607E-2</v>
      </c>
      <c r="P2532" s="19">
        <v>0.1007974441244318</v>
      </c>
      <c r="Q2532" s="19">
        <v>3.1892746366511071E-2</v>
      </c>
      <c r="R2532" s="19">
        <v>5.3534672586732973E-2</v>
      </c>
      <c r="S2532" s="19">
        <v>8.0806637764818095E-3</v>
      </c>
      <c r="T2532" s="20">
        <v>30</v>
      </c>
      <c r="U2532" s="17">
        <v>2</v>
      </c>
      <c r="V2532" s="17">
        <v>34</v>
      </c>
    </row>
    <row r="2533" spans="1:22" x14ac:dyDescent="0.2">
      <c r="A2533" t="s">
        <v>5827</v>
      </c>
      <c r="B2533" t="s">
        <v>2719</v>
      </c>
      <c r="C2533" t="s">
        <v>2720</v>
      </c>
      <c r="D2533" t="s">
        <v>5828</v>
      </c>
      <c r="E2533" s="10" t="s">
        <v>3146</v>
      </c>
      <c r="F2533" s="10"/>
      <c r="G2533" s="10"/>
      <c r="H2533" s="10" t="s">
        <v>3146</v>
      </c>
      <c r="I2533" s="14">
        <v>44625.346367129125</v>
      </c>
      <c r="J2533" s="19">
        <v>0</v>
      </c>
      <c r="K2533" s="19">
        <v>0.64389242346677578</v>
      </c>
      <c r="L2533" s="19">
        <v>0.35610757653322422</v>
      </c>
      <c r="M2533" s="20">
        <v>2</v>
      </c>
      <c r="N2533" s="19">
        <v>0.15799889116482685</v>
      </c>
      <c r="O2533" s="19">
        <v>0.33718619614041906</v>
      </c>
      <c r="P2533" s="19">
        <v>0.14870733616152984</v>
      </c>
      <c r="Q2533" s="19">
        <v>0.14791525696095892</v>
      </c>
      <c r="R2533" s="19">
        <v>0.19588922841347792</v>
      </c>
      <c r="S2533" s="19">
        <v>1.2303091158787425E-2</v>
      </c>
      <c r="T2533" s="20">
        <v>22</v>
      </c>
      <c r="U2533" s="17">
        <v>2</v>
      </c>
      <c r="V2533" s="17">
        <v>34</v>
      </c>
    </row>
    <row r="2534" spans="1:22" x14ac:dyDescent="0.2">
      <c r="A2534" t="s">
        <v>5829</v>
      </c>
      <c r="B2534" t="s">
        <v>2719</v>
      </c>
      <c r="C2534" t="s">
        <v>2720</v>
      </c>
      <c r="D2534" t="s">
        <v>5828</v>
      </c>
      <c r="E2534" s="10" t="s">
        <v>5830</v>
      </c>
      <c r="F2534" s="10"/>
      <c r="G2534" s="10"/>
      <c r="H2534" s="10" t="s">
        <v>5830</v>
      </c>
      <c r="I2534" s="14">
        <v>45559.169270568527</v>
      </c>
      <c r="J2534" s="19">
        <v>0</v>
      </c>
      <c r="K2534" s="19">
        <v>0.76680857720145279</v>
      </c>
      <c r="L2534" s="19">
        <v>0.23319142279854721</v>
      </c>
      <c r="M2534" s="20">
        <v>2</v>
      </c>
      <c r="N2534" s="19">
        <v>0.41672040805686317</v>
      </c>
      <c r="O2534" s="19">
        <v>0</v>
      </c>
      <c r="P2534" s="19">
        <v>0.35008816914458962</v>
      </c>
      <c r="Q2534" s="19">
        <v>5.5782252772535471E-2</v>
      </c>
      <c r="R2534" s="19">
        <v>0.16318382917600513</v>
      </c>
      <c r="S2534" s="19">
        <v>1.4225340850006632E-2</v>
      </c>
      <c r="T2534" s="20">
        <v>23</v>
      </c>
      <c r="U2534" s="17">
        <v>2</v>
      </c>
      <c r="V2534" s="17">
        <v>34</v>
      </c>
    </row>
    <row r="2535" spans="1:22" x14ac:dyDescent="0.2">
      <c r="A2535" t="s">
        <v>5831</v>
      </c>
      <c r="B2535" t="s">
        <v>2719</v>
      </c>
      <c r="C2535" t="s">
        <v>2720</v>
      </c>
      <c r="D2535" t="s">
        <v>5828</v>
      </c>
      <c r="E2535" s="10" t="s">
        <v>5832</v>
      </c>
      <c r="F2535" s="10"/>
      <c r="G2535" s="10"/>
      <c r="H2535" s="10" t="s">
        <v>5832</v>
      </c>
      <c r="I2535" s="14">
        <v>42088.393786754925</v>
      </c>
      <c r="J2535" s="19">
        <v>0</v>
      </c>
      <c r="K2535" s="19">
        <v>0.70699655818882556</v>
      </c>
      <c r="L2535" s="19">
        <v>0.29300344181117438</v>
      </c>
      <c r="M2535" s="20">
        <v>2</v>
      </c>
      <c r="N2535" s="19">
        <v>0.16976320011847093</v>
      </c>
      <c r="O2535" s="19">
        <v>2.3595664307217165E-3</v>
      </c>
      <c r="P2535" s="19">
        <v>0.53487379163963289</v>
      </c>
      <c r="Q2535" s="19">
        <v>9.1226111169706414E-2</v>
      </c>
      <c r="R2535" s="19">
        <v>0.1843408826264423</v>
      </c>
      <c r="S2535" s="19">
        <v>1.7436448015025689E-2</v>
      </c>
      <c r="T2535" s="20">
        <v>21</v>
      </c>
      <c r="U2535" s="17">
        <v>2</v>
      </c>
      <c r="V2535" s="17">
        <v>34</v>
      </c>
    </row>
    <row r="2536" spans="1:22" x14ac:dyDescent="0.2">
      <c r="A2536" t="s">
        <v>5833</v>
      </c>
      <c r="B2536" t="s">
        <v>2719</v>
      </c>
      <c r="C2536" t="s">
        <v>2720</v>
      </c>
      <c r="D2536" t="s">
        <v>5828</v>
      </c>
      <c r="E2536" s="10" t="s">
        <v>5834</v>
      </c>
      <c r="F2536" s="10"/>
      <c r="G2536" s="10"/>
      <c r="H2536" s="10" t="s">
        <v>5834</v>
      </c>
      <c r="I2536" s="14">
        <v>38252.431935447268</v>
      </c>
      <c r="J2536" s="19">
        <v>0</v>
      </c>
      <c r="K2536" s="19">
        <v>0.93602493640170992</v>
      </c>
      <c r="L2536" s="19">
        <v>6.3975063598290027E-2</v>
      </c>
      <c r="M2536" s="20">
        <v>2</v>
      </c>
      <c r="N2536" s="19">
        <v>0.56132926021898399</v>
      </c>
      <c r="O2536" s="19">
        <v>4.2022784962387427E-2</v>
      </c>
      <c r="P2536" s="19">
        <v>0.33267289122033861</v>
      </c>
      <c r="Q2536" s="19">
        <v>0</v>
      </c>
      <c r="R2536" s="19">
        <v>5.4409138587637997E-2</v>
      </c>
      <c r="S2536" s="19">
        <v>9.5659250106520325E-3</v>
      </c>
      <c r="T2536" s="20">
        <v>23</v>
      </c>
      <c r="U2536" s="17">
        <v>2</v>
      </c>
      <c r="V2536" s="17">
        <v>34</v>
      </c>
    </row>
    <row r="2537" spans="1:22" x14ac:dyDescent="0.2">
      <c r="A2537" t="s">
        <v>5835</v>
      </c>
      <c r="B2537" t="s">
        <v>2719</v>
      </c>
      <c r="C2537" t="s">
        <v>2720</v>
      </c>
      <c r="D2537" t="s">
        <v>5828</v>
      </c>
      <c r="E2537" s="10" t="s">
        <v>5836</v>
      </c>
      <c r="F2537" s="10"/>
      <c r="G2537" s="10"/>
      <c r="H2537" s="10" t="s">
        <v>5836</v>
      </c>
      <c r="I2537" s="14">
        <v>83963.316867454909</v>
      </c>
      <c r="J2537" s="19">
        <v>0</v>
      </c>
      <c r="K2537" s="19">
        <v>0.8829541731042666</v>
      </c>
      <c r="L2537" s="19">
        <v>0.11704582689573337</v>
      </c>
      <c r="M2537" s="20">
        <v>2</v>
      </c>
      <c r="N2537" s="19">
        <v>0.50957012180850358</v>
      </c>
      <c r="O2537" s="19">
        <v>0</v>
      </c>
      <c r="P2537" s="19">
        <v>0.37338405129576308</v>
      </c>
      <c r="Q2537" s="19">
        <v>4.0611845846741282E-2</v>
      </c>
      <c r="R2537" s="19">
        <v>7.138999102028161E-2</v>
      </c>
      <c r="S2537" s="19">
        <v>5.0439900287104844E-3</v>
      </c>
      <c r="T2537" s="20">
        <v>23</v>
      </c>
      <c r="U2537" s="17">
        <v>2</v>
      </c>
      <c r="V2537" s="17">
        <v>34</v>
      </c>
    </row>
    <row r="2538" spans="1:22" x14ac:dyDescent="0.2">
      <c r="A2538" t="s">
        <v>5837</v>
      </c>
      <c r="B2538" t="s">
        <v>2719</v>
      </c>
      <c r="C2538" t="s">
        <v>2720</v>
      </c>
      <c r="D2538" t="s">
        <v>5828</v>
      </c>
      <c r="E2538" s="10" t="s">
        <v>5838</v>
      </c>
      <c r="F2538" s="10"/>
      <c r="G2538" s="10"/>
      <c r="H2538" s="10" t="s">
        <v>5838</v>
      </c>
      <c r="I2538" s="14">
        <v>51404.678083896637</v>
      </c>
      <c r="J2538" s="19">
        <v>0</v>
      </c>
      <c r="K2538" s="19">
        <v>0.66498965218351935</v>
      </c>
      <c r="L2538" s="19">
        <v>0.33501034781648065</v>
      </c>
      <c r="M2538" s="20">
        <v>2</v>
      </c>
      <c r="N2538" s="19">
        <v>0.32900854026745141</v>
      </c>
      <c r="O2538" s="19">
        <v>0</v>
      </c>
      <c r="P2538" s="19">
        <v>0.33598111191606794</v>
      </c>
      <c r="Q2538" s="19">
        <v>0.2051007072955664</v>
      </c>
      <c r="R2538" s="19">
        <v>0.11700140602176705</v>
      </c>
      <c r="S2538" s="19">
        <v>1.2908234499147186E-2</v>
      </c>
      <c r="T2538" s="20">
        <v>23</v>
      </c>
      <c r="U2538" s="17">
        <v>2</v>
      </c>
      <c r="V2538" s="17">
        <v>34</v>
      </c>
    </row>
    <row r="2539" spans="1:22" x14ac:dyDescent="0.2">
      <c r="A2539" t="s">
        <v>5839</v>
      </c>
      <c r="B2539" t="s">
        <v>2719</v>
      </c>
      <c r="C2539" t="s">
        <v>2720</v>
      </c>
      <c r="D2539" t="s">
        <v>5828</v>
      </c>
      <c r="E2539" s="10" t="s">
        <v>5840</v>
      </c>
      <c r="F2539" s="10"/>
      <c r="G2539" s="10"/>
      <c r="H2539" s="10" t="s">
        <v>5840</v>
      </c>
      <c r="I2539" s="14">
        <v>41899.92876592651</v>
      </c>
      <c r="J2539" s="19">
        <v>0</v>
      </c>
      <c r="K2539" s="19">
        <v>0.77786008166800913</v>
      </c>
      <c r="L2539" s="19">
        <v>0.22213991833199087</v>
      </c>
      <c r="M2539" s="20">
        <v>2</v>
      </c>
      <c r="N2539" s="19">
        <v>0.22498902717095387</v>
      </c>
      <c r="O2539" s="19">
        <v>0.17284046499039352</v>
      </c>
      <c r="P2539" s="19">
        <v>0.3800305895066618</v>
      </c>
      <c r="Q2539" s="19">
        <v>0.16337439943910373</v>
      </c>
      <c r="R2539" s="19">
        <v>5.1572154055835276E-2</v>
      </c>
      <c r="S2539" s="19">
        <v>7.193364837051866E-3</v>
      </c>
      <c r="T2539" s="20">
        <v>23</v>
      </c>
      <c r="U2539" s="17">
        <v>2</v>
      </c>
      <c r="V2539" s="17">
        <v>34</v>
      </c>
    </row>
    <row r="2540" spans="1:22" x14ac:dyDescent="0.2">
      <c r="A2540" t="s">
        <v>5841</v>
      </c>
      <c r="B2540" t="s">
        <v>2719</v>
      </c>
      <c r="C2540" t="s">
        <v>2720</v>
      </c>
      <c r="D2540" t="s">
        <v>5828</v>
      </c>
      <c r="E2540" s="10" t="s">
        <v>5842</v>
      </c>
      <c r="F2540" s="10"/>
      <c r="G2540" s="10"/>
      <c r="H2540" s="10" t="s">
        <v>5842</v>
      </c>
      <c r="I2540" s="14">
        <v>39312.716603557114</v>
      </c>
      <c r="J2540" s="19">
        <v>0</v>
      </c>
      <c r="K2540" s="19">
        <v>0.73286810033437788</v>
      </c>
      <c r="L2540" s="19">
        <v>0.26713189966562217</v>
      </c>
      <c r="M2540" s="20">
        <v>2</v>
      </c>
      <c r="N2540" s="19">
        <v>0.32145186697485895</v>
      </c>
      <c r="O2540" s="19">
        <v>0.12847176786067396</v>
      </c>
      <c r="P2540" s="19">
        <v>0.28294446549884494</v>
      </c>
      <c r="Q2540" s="19">
        <v>0.11122176735809183</v>
      </c>
      <c r="R2540" s="19">
        <v>0.13872039600496713</v>
      </c>
      <c r="S2540" s="19">
        <v>1.7189736302563197E-2</v>
      </c>
      <c r="T2540" s="20">
        <v>23</v>
      </c>
      <c r="U2540" s="17">
        <v>2</v>
      </c>
      <c r="V2540" s="17">
        <v>34</v>
      </c>
    </row>
    <row r="2541" spans="1:22" x14ac:dyDescent="0.2">
      <c r="A2541" t="s">
        <v>5843</v>
      </c>
      <c r="B2541" t="s">
        <v>2719</v>
      </c>
      <c r="C2541" t="s">
        <v>2720</v>
      </c>
      <c r="D2541" t="s">
        <v>5828</v>
      </c>
      <c r="E2541" s="10" t="s">
        <v>5844</v>
      </c>
      <c r="F2541" s="10"/>
      <c r="G2541" s="10"/>
      <c r="H2541" s="10" t="s">
        <v>5844</v>
      </c>
      <c r="I2541" s="14">
        <v>45493.078235876746</v>
      </c>
      <c r="J2541" s="19">
        <v>0</v>
      </c>
      <c r="K2541" s="19">
        <v>0.5374660912648116</v>
      </c>
      <c r="L2541" s="19">
        <v>0.46253390873518846</v>
      </c>
      <c r="M2541" s="20">
        <v>2</v>
      </c>
      <c r="N2541" s="19">
        <v>0.14703197620935027</v>
      </c>
      <c r="O2541" s="19">
        <v>0.18511960658470056</v>
      </c>
      <c r="P2541" s="19">
        <v>0.20531450847076074</v>
      </c>
      <c r="Q2541" s="19">
        <v>0.33610026750939359</v>
      </c>
      <c r="R2541" s="19">
        <v>0.11449638548289597</v>
      </c>
      <c r="S2541" s="19">
        <v>1.1937255742898849E-2</v>
      </c>
      <c r="T2541" s="20">
        <v>22</v>
      </c>
      <c r="U2541" s="17">
        <v>2</v>
      </c>
      <c r="V2541" s="17">
        <v>34</v>
      </c>
    </row>
    <row r="2542" spans="1:22" x14ac:dyDescent="0.2">
      <c r="A2542" t="s">
        <v>5845</v>
      </c>
      <c r="B2542" t="s">
        <v>2719</v>
      </c>
      <c r="C2542" t="s">
        <v>2720</v>
      </c>
      <c r="D2542" t="s">
        <v>5828</v>
      </c>
      <c r="E2542" s="10" t="s">
        <v>5846</v>
      </c>
      <c r="F2542" s="10"/>
      <c r="G2542" s="10"/>
      <c r="H2542" s="10" t="s">
        <v>5846</v>
      </c>
      <c r="I2542" s="14">
        <v>35662.302167868242</v>
      </c>
      <c r="J2542" s="19">
        <v>0</v>
      </c>
      <c r="K2542" s="19">
        <v>0.88019741380990535</v>
      </c>
      <c r="L2542" s="19">
        <v>0.11980258619009471</v>
      </c>
      <c r="M2542" s="20">
        <v>2</v>
      </c>
      <c r="N2542" s="19">
        <v>0.29114961455009003</v>
      </c>
      <c r="O2542" s="19">
        <v>0</v>
      </c>
      <c r="P2542" s="19">
        <v>0.58904779925981532</v>
      </c>
      <c r="Q2542" s="19">
        <v>5.8018654075729842E-2</v>
      </c>
      <c r="R2542" s="19">
        <v>6.0014123915535705E-2</v>
      </c>
      <c r="S2542" s="19">
        <v>1.7698081988291483E-3</v>
      </c>
      <c r="T2542" s="20">
        <v>21</v>
      </c>
      <c r="U2542" s="17">
        <v>2</v>
      </c>
      <c r="V2542" s="17">
        <v>34</v>
      </c>
    </row>
    <row r="2543" spans="1:22" x14ac:dyDescent="0.2">
      <c r="A2543" t="s">
        <v>5847</v>
      </c>
      <c r="B2543" t="s">
        <v>2719</v>
      </c>
      <c r="C2543" t="s">
        <v>2720</v>
      </c>
      <c r="D2543" t="s">
        <v>5828</v>
      </c>
      <c r="E2543" s="10" t="s">
        <v>5848</v>
      </c>
      <c r="F2543" s="10"/>
      <c r="G2543" s="10"/>
      <c r="H2543" s="10" t="s">
        <v>5848</v>
      </c>
      <c r="I2543" s="14">
        <v>38721.812898933975</v>
      </c>
      <c r="J2543" s="19">
        <v>0</v>
      </c>
      <c r="K2543" s="19">
        <v>0.53949944025318131</v>
      </c>
      <c r="L2543" s="19">
        <v>0.46050055974681858</v>
      </c>
      <c r="M2543" s="20">
        <v>2</v>
      </c>
      <c r="N2543" s="19">
        <v>7.4683032785055205E-5</v>
      </c>
      <c r="O2543" s="19">
        <v>0.33090724548747558</v>
      </c>
      <c r="P2543" s="19">
        <v>0.20851751173292077</v>
      </c>
      <c r="Q2543" s="19">
        <v>0.17271998665168298</v>
      </c>
      <c r="R2543" s="19">
        <v>0.27061093612411841</v>
      </c>
      <c r="S2543" s="19">
        <v>1.7169636971017293E-2</v>
      </c>
      <c r="T2543" s="20">
        <v>22</v>
      </c>
      <c r="U2543" s="17">
        <v>2</v>
      </c>
      <c r="V2543" s="17">
        <v>34</v>
      </c>
    </row>
    <row r="2544" spans="1:22" x14ac:dyDescent="0.2">
      <c r="A2544" t="s">
        <v>5849</v>
      </c>
      <c r="B2544" t="s">
        <v>2719</v>
      </c>
      <c r="C2544" t="s">
        <v>2720</v>
      </c>
      <c r="D2544" t="s">
        <v>5828</v>
      </c>
      <c r="E2544" s="10" t="s">
        <v>5850</v>
      </c>
      <c r="F2544" s="10"/>
      <c r="G2544" s="10"/>
      <c r="H2544" s="10" t="s">
        <v>5850</v>
      </c>
      <c r="I2544" s="14">
        <v>47929.220907530747</v>
      </c>
      <c r="J2544" s="19">
        <v>0</v>
      </c>
      <c r="K2544" s="19">
        <v>0.54769237935897397</v>
      </c>
      <c r="L2544" s="19">
        <v>0.45230762064102609</v>
      </c>
      <c r="M2544" s="20">
        <v>2</v>
      </c>
      <c r="N2544" s="19">
        <v>0.18366969930955854</v>
      </c>
      <c r="O2544" s="19">
        <v>9.3119206416876099E-2</v>
      </c>
      <c r="P2544" s="19">
        <v>0.27090347363253936</v>
      </c>
      <c r="Q2544" s="19">
        <v>0.21888789667516159</v>
      </c>
      <c r="R2544" s="19">
        <v>0.19786037841957979</v>
      </c>
      <c r="S2544" s="19">
        <v>3.5559345546284614E-2</v>
      </c>
      <c r="T2544" s="20">
        <v>23</v>
      </c>
      <c r="U2544" s="17">
        <v>2</v>
      </c>
      <c r="V2544" s="17">
        <v>34</v>
      </c>
    </row>
    <row r="2545" spans="1:22" x14ac:dyDescent="0.2">
      <c r="A2545" t="s">
        <v>5851</v>
      </c>
      <c r="B2545" t="s">
        <v>2719</v>
      </c>
      <c r="C2545" t="s">
        <v>2720</v>
      </c>
      <c r="D2545" t="s">
        <v>5828</v>
      </c>
      <c r="E2545" s="10" t="s">
        <v>5852</v>
      </c>
      <c r="F2545" s="10"/>
      <c r="G2545" s="10"/>
      <c r="H2545" s="10" t="s">
        <v>5852</v>
      </c>
      <c r="I2545" s="14">
        <v>51815.689145582728</v>
      </c>
      <c r="J2545" s="19">
        <v>0</v>
      </c>
      <c r="K2545" s="19">
        <v>0.65894783814294799</v>
      </c>
      <c r="L2545" s="19">
        <v>0.34105216185705201</v>
      </c>
      <c r="M2545" s="20">
        <v>2</v>
      </c>
      <c r="N2545" s="19">
        <v>0.13167150975532002</v>
      </c>
      <c r="O2545" s="19">
        <v>0</v>
      </c>
      <c r="P2545" s="19">
        <v>0.52727632838762795</v>
      </c>
      <c r="Q2545" s="19">
        <v>0.19163562755806948</v>
      </c>
      <c r="R2545" s="19">
        <v>0.13554208848884738</v>
      </c>
      <c r="S2545" s="19">
        <v>1.3874445810135139E-2</v>
      </c>
      <c r="T2545" s="20">
        <v>21</v>
      </c>
      <c r="U2545" s="17">
        <v>2</v>
      </c>
      <c r="V2545" s="17">
        <v>34</v>
      </c>
    </row>
    <row r="2546" spans="1:22" x14ac:dyDescent="0.2">
      <c r="A2546" t="s">
        <v>5853</v>
      </c>
      <c r="B2546" t="s">
        <v>2719</v>
      </c>
      <c r="C2546" t="s">
        <v>2720</v>
      </c>
      <c r="D2546" t="s">
        <v>5828</v>
      </c>
      <c r="E2546" s="10" t="s">
        <v>5854</v>
      </c>
      <c r="F2546" s="10"/>
      <c r="G2546" s="10"/>
      <c r="H2546" s="10" t="s">
        <v>5854</v>
      </c>
      <c r="I2546" s="14">
        <v>34052.079463014379</v>
      </c>
      <c r="J2546" s="19">
        <v>0</v>
      </c>
      <c r="K2546" s="19">
        <v>0.79373788069015005</v>
      </c>
      <c r="L2546" s="19">
        <v>0.20626211930984989</v>
      </c>
      <c r="M2546" s="20">
        <v>2</v>
      </c>
      <c r="N2546" s="19">
        <v>0.36361180324668008</v>
      </c>
      <c r="O2546" s="19">
        <v>0</v>
      </c>
      <c r="P2546" s="19">
        <v>0.43012607744347003</v>
      </c>
      <c r="Q2546" s="19">
        <v>0.13625380813746713</v>
      </c>
      <c r="R2546" s="19">
        <v>6.8240688522209422E-2</v>
      </c>
      <c r="S2546" s="19">
        <v>1.7676226501733608E-3</v>
      </c>
      <c r="T2546" s="20">
        <v>23</v>
      </c>
      <c r="U2546" s="17">
        <v>2</v>
      </c>
      <c r="V2546" s="17">
        <v>34</v>
      </c>
    </row>
    <row r="2547" spans="1:22" x14ac:dyDescent="0.2">
      <c r="A2547" t="s">
        <v>5855</v>
      </c>
      <c r="B2547" t="s">
        <v>2719</v>
      </c>
      <c r="C2547" t="s">
        <v>2720</v>
      </c>
      <c r="D2547" t="s">
        <v>5828</v>
      </c>
      <c r="E2547" s="10" t="s">
        <v>5856</v>
      </c>
      <c r="F2547" s="10"/>
      <c r="G2547" s="10"/>
      <c r="H2547" s="10" t="s">
        <v>5856</v>
      </c>
      <c r="I2547" s="14">
        <v>59725.649135802872</v>
      </c>
      <c r="J2547" s="19">
        <v>0</v>
      </c>
      <c r="K2547" s="19">
        <v>0.85092774491262824</v>
      </c>
      <c r="L2547" s="19">
        <v>0.14907225508737171</v>
      </c>
      <c r="M2547" s="20">
        <v>2</v>
      </c>
      <c r="N2547" s="19">
        <v>0.27603908014919876</v>
      </c>
      <c r="O2547" s="19">
        <v>0</v>
      </c>
      <c r="P2547" s="19">
        <v>0.57488866476342959</v>
      </c>
      <c r="Q2547" s="19">
        <v>2.3304405431867226E-2</v>
      </c>
      <c r="R2547" s="19">
        <v>0.11156121674869832</v>
      </c>
      <c r="S2547" s="19">
        <v>1.4206632906806172E-2</v>
      </c>
      <c r="T2547" s="20">
        <v>21</v>
      </c>
      <c r="U2547" s="17">
        <v>2</v>
      </c>
      <c r="V2547" s="17">
        <v>34</v>
      </c>
    </row>
    <row r="2548" spans="1:22" x14ac:dyDescent="0.2">
      <c r="A2548" t="s">
        <v>5857</v>
      </c>
      <c r="B2548" t="s">
        <v>2719</v>
      </c>
      <c r="C2548" t="s">
        <v>2720</v>
      </c>
      <c r="D2548" t="s">
        <v>5828</v>
      </c>
      <c r="E2548" s="10" t="s">
        <v>5858</v>
      </c>
      <c r="F2548" s="10"/>
      <c r="G2548" s="10"/>
      <c r="H2548" s="10" t="s">
        <v>5858</v>
      </c>
      <c r="I2548" s="14">
        <v>52796.66421427764</v>
      </c>
      <c r="J2548" s="19">
        <v>0</v>
      </c>
      <c r="K2548" s="19">
        <v>0.38701543805820221</v>
      </c>
      <c r="L2548" s="19">
        <v>0.61298456194179785</v>
      </c>
      <c r="M2548" s="20">
        <v>1</v>
      </c>
      <c r="N2548" s="19">
        <v>0</v>
      </c>
      <c r="O2548" s="19">
        <v>0.12587768564401444</v>
      </c>
      <c r="P2548" s="19">
        <v>0.26113775241418774</v>
      </c>
      <c r="Q2548" s="19">
        <v>0.34272650278379285</v>
      </c>
      <c r="R2548" s="19">
        <v>0.23878867501284193</v>
      </c>
      <c r="S2548" s="19">
        <v>3.1469384145163044E-2</v>
      </c>
      <c r="T2548" s="20">
        <v>13</v>
      </c>
      <c r="U2548" s="17">
        <v>2</v>
      </c>
      <c r="V2548" s="17">
        <v>34</v>
      </c>
    </row>
    <row r="2549" spans="1:22" x14ac:dyDescent="0.2">
      <c r="A2549" t="s">
        <v>5859</v>
      </c>
      <c r="B2549" t="s">
        <v>5859</v>
      </c>
      <c r="C2549" t="s">
        <v>5860</v>
      </c>
      <c r="E2549" s="10"/>
      <c r="F2549" s="10"/>
      <c r="G2549" s="10"/>
      <c r="H2549" s="10" t="s">
        <v>5860</v>
      </c>
      <c r="I2549" s="14">
        <v>5906277.7734415149</v>
      </c>
      <c r="J2549" s="19">
        <v>0.9977025865617275</v>
      </c>
      <c r="K2549" s="19">
        <v>1.598105024444414E-3</v>
      </c>
      <c r="L2549" s="19">
        <v>6.9930841382811549E-4</v>
      </c>
      <c r="M2549" s="20">
        <v>3</v>
      </c>
      <c r="N2549" s="19">
        <v>0</v>
      </c>
      <c r="O2549" s="19">
        <v>0</v>
      </c>
      <c r="P2549" s="19">
        <v>1.598105024444414E-3</v>
      </c>
      <c r="Q2549" s="19">
        <v>0</v>
      </c>
      <c r="R2549" s="19">
        <v>6.460036013784526E-4</v>
      </c>
      <c r="S2549" s="19">
        <v>5.3304812449662928E-5</v>
      </c>
      <c r="T2549" s="20">
        <v>30</v>
      </c>
      <c r="U2549" s="17">
        <v>4</v>
      </c>
      <c r="V2549" s="17">
        <v>85</v>
      </c>
    </row>
    <row r="2550" spans="1:22" x14ac:dyDescent="0.2">
      <c r="A2550" t="s">
        <v>5861</v>
      </c>
      <c r="B2550" t="s">
        <v>5862</v>
      </c>
      <c r="C2550" t="s">
        <v>5863</v>
      </c>
      <c r="D2550" t="s">
        <v>5864</v>
      </c>
      <c r="E2550" s="10" t="s">
        <v>5865</v>
      </c>
      <c r="F2550" s="10"/>
      <c r="G2550" s="10"/>
      <c r="H2550" s="10" t="s">
        <v>5865</v>
      </c>
      <c r="I2550" s="14">
        <v>19844.649946055375</v>
      </c>
      <c r="J2550" s="19">
        <v>0</v>
      </c>
      <c r="K2550" s="19">
        <v>0</v>
      </c>
      <c r="L2550" s="19">
        <v>1</v>
      </c>
      <c r="M2550" s="20">
        <v>1</v>
      </c>
      <c r="N2550" s="19">
        <v>0</v>
      </c>
      <c r="O2550" s="19">
        <v>0</v>
      </c>
      <c r="P2550" s="19">
        <v>0</v>
      </c>
      <c r="Q2550" s="19">
        <v>0.25946599591660197</v>
      </c>
      <c r="R2550" s="19">
        <v>0.58738365434755591</v>
      </c>
      <c r="S2550" s="19">
        <v>0.15315034973584207</v>
      </c>
      <c r="T2550" s="20">
        <v>12</v>
      </c>
      <c r="U2550" s="17">
        <v>3</v>
      </c>
      <c r="V2550" s="17">
        <v>36</v>
      </c>
    </row>
    <row r="2551" spans="1:22" x14ac:dyDescent="0.2">
      <c r="A2551" t="s">
        <v>5866</v>
      </c>
      <c r="B2551" t="s">
        <v>5862</v>
      </c>
      <c r="C2551" t="s">
        <v>5863</v>
      </c>
      <c r="D2551" t="s">
        <v>5864</v>
      </c>
      <c r="E2551" s="10" t="s">
        <v>5867</v>
      </c>
      <c r="F2551" s="10"/>
      <c r="G2551" s="10"/>
      <c r="H2551" s="10" t="s">
        <v>5867</v>
      </c>
      <c r="I2551" s="14">
        <v>28417.352962775622</v>
      </c>
      <c r="J2551" s="19">
        <v>0</v>
      </c>
      <c r="K2551" s="19">
        <v>0</v>
      </c>
      <c r="L2551" s="19">
        <v>1</v>
      </c>
      <c r="M2551" s="20">
        <v>1</v>
      </c>
      <c r="N2551" s="19">
        <v>0</v>
      </c>
      <c r="O2551" s="19">
        <v>0</v>
      </c>
      <c r="P2551" s="19">
        <v>0</v>
      </c>
      <c r="Q2551" s="19">
        <v>0.53904066476417323</v>
      </c>
      <c r="R2551" s="19">
        <v>0.38435702731534788</v>
      </c>
      <c r="S2551" s="19">
        <v>7.6602307920478785E-2</v>
      </c>
      <c r="T2551" s="20">
        <v>13</v>
      </c>
      <c r="U2551" s="17">
        <v>3</v>
      </c>
      <c r="V2551" s="17">
        <v>36</v>
      </c>
    </row>
    <row r="2552" spans="1:22" x14ac:dyDescent="0.2">
      <c r="A2552" t="s">
        <v>5868</v>
      </c>
      <c r="B2552" t="s">
        <v>5862</v>
      </c>
      <c r="C2552" t="s">
        <v>5863</v>
      </c>
      <c r="D2552" t="s">
        <v>5864</v>
      </c>
      <c r="E2552" s="10" t="s">
        <v>5869</v>
      </c>
      <c r="F2552" s="10"/>
      <c r="G2552" s="10"/>
      <c r="H2552" s="10" t="s">
        <v>5869</v>
      </c>
      <c r="I2552" s="14">
        <v>21204.393315321649</v>
      </c>
      <c r="J2552" s="19">
        <v>0</v>
      </c>
      <c r="K2552" s="19">
        <v>0</v>
      </c>
      <c r="L2552" s="19">
        <v>1</v>
      </c>
      <c r="M2552" s="20">
        <v>1</v>
      </c>
      <c r="N2552" s="19">
        <v>0</v>
      </c>
      <c r="O2552" s="19">
        <v>0</v>
      </c>
      <c r="P2552" s="19">
        <v>0</v>
      </c>
      <c r="Q2552" s="19">
        <v>0.52184163540780748</v>
      </c>
      <c r="R2552" s="19">
        <v>0.36159499948923896</v>
      </c>
      <c r="S2552" s="19">
        <v>0.11656336510295363</v>
      </c>
      <c r="T2552" s="20">
        <v>13</v>
      </c>
      <c r="U2552" s="17">
        <v>3</v>
      </c>
      <c r="V2552" s="17">
        <v>36</v>
      </c>
    </row>
    <row r="2553" spans="1:22" x14ac:dyDescent="0.2">
      <c r="A2553" t="s">
        <v>5870</v>
      </c>
      <c r="B2553" t="s">
        <v>5862</v>
      </c>
      <c r="C2553" t="s">
        <v>5863</v>
      </c>
      <c r="D2553" t="s">
        <v>5864</v>
      </c>
      <c r="E2553" s="10" t="s">
        <v>5871</v>
      </c>
      <c r="F2553" s="10"/>
      <c r="G2553" s="10"/>
      <c r="H2553" s="10" t="s">
        <v>5871</v>
      </c>
      <c r="I2553" s="14">
        <v>160116.75241131836</v>
      </c>
      <c r="J2553" s="19">
        <v>0</v>
      </c>
      <c r="K2553" s="19">
        <v>0.41075475812122075</v>
      </c>
      <c r="L2553" s="19">
        <v>0.58924524187877925</v>
      </c>
      <c r="M2553" s="20">
        <v>1</v>
      </c>
      <c r="N2553" s="19">
        <v>0.235579806918364</v>
      </c>
      <c r="O2553" s="19">
        <v>0</v>
      </c>
      <c r="P2553" s="19">
        <v>0.17517495120285675</v>
      </c>
      <c r="Q2553" s="19">
        <v>0.23774274307614865</v>
      </c>
      <c r="R2553" s="19">
        <v>0.2963922215049602</v>
      </c>
      <c r="S2553" s="19">
        <v>5.5110277297670394E-2</v>
      </c>
      <c r="T2553" s="20">
        <v>12</v>
      </c>
      <c r="U2553" s="17">
        <v>3</v>
      </c>
      <c r="V2553" s="17">
        <v>36</v>
      </c>
    </row>
    <row r="2554" spans="1:22" x14ac:dyDescent="0.2">
      <c r="A2554" t="s">
        <v>5872</v>
      </c>
      <c r="B2554" t="s">
        <v>5862</v>
      </c>
      <c r="C2554" t="s">
        <v>5863</v>
      </c>
      <c r="D2554" t="s">
        <v>5864</v>
      </c>
      <c r="E2554" s="10" t="s">
        <v>5873</v>
      </c>
      <c r="F2554" s="10"/>
      <c r="G2554" s="10"/>
      <c r="H2554" s="10" t="s">
        <v>5873</v>
      </c>
      <c r="I2554" s="14">
        <v>24478.69342624268</v>
      </c>
      <c r="J2554" s="19">
        <v>0</v>
      </c>
      <c r="K2554" s="19">
        <v>0</v>
      </c>
      <c r="L2554" s="19">
        <v>1</v>
      </c>
      <c r="M2554" s="20">
        <v>1</v>
      </c>
      <c r="N2554" s="19">
        <v>0</v>
      </c>
      <c r="O2554" s="19">
        <v>0</v>
      </c>
      <c r="P2554" s="19">
        <v>0</v>
      </c>
      <c r="Q2554" s="19">
        <v>0.18636333735744628</v>
      </c>
      <c r="R2554" s="19">
        <v>0.60731991402342067</v>
      </c>
      <c r="S2554" s="19">
        <v>0.20631674861913304</v>
      </c>
      <c r="T2554" s="20">
        <v>12</v>
      </c>
      <c r="U2554" s="17">
        <v>3</v>
      </c>
      <c r="V2554" s="17">
        <v>36</v>
      </c>
    </row>
    <row r="2555" spans="1:22" x14ac:dyDescent="0.2">
      <c r="A2555" t="s">
        <v>5874</v>
      </c>
      <c r="B2555" t="s">
        <v>5862</v>
      </c>
      <c r="C2555" t="s">
        <v>5863</v>
      </c>
      <c r="D2555" t="s">
        <v>5864</v>
      </c>
      <c r="E2555" s="10" t="s">
        <v>5875</v>
      </c>
      <c r="F2555" s="10"/>
      <c r="G2555" s="10"/>
      <c r="H2555" s="10" t="s">
        <v>5875</v>
      </c>
      <c r="I2555" s="14">
        <v>16403.04903527745</v>
      </c>
      <c r="J2555" s="19">
        <v>0</v>
      </c>
      <c r="K2555" s="19">
        <v>0</v>
      </c>
      <c r="L2555" s="19">
        <v>1</v>
      </c>
      <c r="M2555" s="20">
        <v>1</v>
      </c>
      <c r="N2555" s="19">
        <v>0</v>
      </c>
      <c r="O2555" s="19">
        <v>0</v>
      </c>
      <c r="P2555" s="19">
        <v>0</v>
      </c>
      <c r="Q2555" s="19">
        <v>0.27660545613613829</v>
      </c>
      <c r="R2555" s="19">
        <v>0.56256739479833751</v>
      </c>
      <c r="S2555" s="19">
        <v>0.16082714906552414</v>
      </c>
      <c r="T2555" s="20">
        <v>12</v>
      </c>
      <c r="U2555" s="17">
        <v>3</v>
      </c>
      <c r="V2555" s="17">
        <v>36</v>
      </c>
    </row>
    <row r="2556" spans="1:22" x14ac:dyDescent="0.2">
      <c r="A2556" t="s">
        <v>5876</v>
      </c>
      <c r="B2556" t="s">
        <v>5862</v>
      </c>
      <c r="C2556" t="s">
        <v>5863</v>
      </c>
      <c r="D2556" t="s">
        <v>5864</v>
      </c>
      <c r="E2556" s="10" t="s">
        <v>5877</v>
      </c>
      <c r="F2556" s="10"/>
      <c r="G2556" s="10"/>
      <c r="H2556" s="10" t="s">
        <v>5877</v>
      </c>
      <c r="I2556" s="14">
        <v>22883.451302715461</v>
      </c>
      <c r="J2556" s="19">
        <v>0</v>
      </c>
      <c r="K2556" s="19">
        <v>0</v>
      </c>
      <c r="L2556" s="19">
        <v>1</v>
      </c>
      <c r="M2556" s="20">
        <v>1</v>
      </c>
      <c r="N2556" s="19">
        <v>0</v>
      </c>
      <c r="O2556" s="19">
        <v>0</v>
      </c>
      <c r="P2556" s="19">
        <v>0</v>
      </c>
      <c r="Q2556" s="19">
        <v>0.4524150692261345</v>
      </c>
      <c r="R2556" s="19">
        <v>0.43022415608418335</v>
      </c>
      <c r="S2556" s="19">
        <v>0.11736077468968213</v>
      </c>
      <c r="T2556" s="20">
        <v>13</v>
      </c>
      <c r="U2556" s="17">
        <v>3</v>
      </c>
      <c r="V2556" s="17">
        <v>36</v>
      </c>
    </row>
    <row r="2557" spans="1:22" x14ac:dyDescent="0.2">
      <c r="A2557" t="s">
        <v>5878</v>
      </c>
      <c r="B2557" t="s">
        <v>5862</v>
      </c>
      <c r="C2557" t="s">
        <v>5863</v>
      </c>
      <c r="D2557" t="s">
        <v>5879</v>
      </c>
      <c r="E2557" s="10" t="s">
        <v>5880</v>
      </c>
      <c r="F2557" s="10"/>
      <c r="G2557" s="10"/>
      <c r="H2557" s="10" t="s">
        <v>5880</v>
      </c>
      <c r="I2557" s="14">
        <v>17776.718566783937</v>
      </c>
      <c r="J2557" s="19">
        <v>0</v>
      </c>
      <c r="K2557" s="19">
        <v>0.67301789925661237</v>
      </c>
      <c r="L2557" s="19">
        <v>0.32698210074338763</v>
      </c>
      <c r="M2557" s="20">
        <v>2</v>
      </c>
      <c r="N2557" s="19">
        <v>0</v>
      </c>
      <c r="O2557" s="19">
        <v>0.67301789925661237</v>
      </c>
      <c r="P2557" s="19">
        <v>0</v>
      </c>
      <c r="Q2557" s="19">
        <v>0</v>
      </c>
      <c r="R2557" s="19">
        <v>0.31224629099697354</v>
      </c>
      <c r="S2557" s="19">
        <v>1.4735809746414088E-2</v>
      </c>
      <c r="T2557" s="20">
        <v>22</v>
      </c>
      <c r="U2557" s="17">
        <v>3</v>
      </c>
      <c r="V2557" s="17">
        <v>36</v>
      </c>
    </row>
    <row r="2558" spans="1:22" x14ac:dyDescent="0.2">
      <c r="A2558" t="s">
        <v>5881</v>
      </c>
      <c r="B2558" t="s">
        <v>5862</v>
      </c>
      <c r="C2558" t="s">
        <v>5863</v>
      </c>
      <c r="D2558" t="s">
        <v>5879</v>
      </c>
      <c r="E2558" s="10" t="s">
        <v>5882</v>
      </c>
      <c r="F2558" s="10"/>
      <c r="G2558" s="10"/>
      <c r="H2558" s="10" t="s">
        <v>5882</v>
      </c>
      <c r="I2558" s="14">
        <v>40300.182806699304</v>
      </c>
      <c r="J2558" s="19">
        <v>0</v>
      </c>
      <c r="K2558" s="19">
        <v>0.79992103491893818</v>
      </c>
      <c r="L2558" s="19">
        <v>0.20007896508106179</v>
      </c>
      <c r="M2558" s="20">
        <v>2</v>
      </c>
      <c r="N2558" s="19">
        <v>0.27482986755317074</v>
      </c>
      <c r="O2558" s="19">
        <v>8.4054370015174788E-3</v>
      </c>
      <c r="P2558" s="19">
        <v>0.51668573036425003</v>
      </c>
      <c r="Q2558" s="19">
        <v>2.7428788123537117E-2</v>
      </c>
      <c r="R2558" s="19">
        <v>0.1621704158874796</v>
      </c>
      <c r="S2558" s="19">
        <v>1.0479761070045078E-2</v>
      </c>
      <c r="T2558" s="20">
        <v>21</v>
      </c>
      <c r="U2558" s="17">
        <v>3</v>
      </c>
      <c r="V2558" s="17">
        <v>36</v>
      </c>
    </row>
    <row r="2559" spans="1:22" x14ac:dyDescent="0.2">
      <c r="A2559" t="s">
        <v>5883</v>
      </c>
      <c r="B2559" t="s">
        <v>5862</v>
      </c>
      <c r="C2559" t="s">
        <v>5863</v>
      </c>
      <c r="D2559" t="s">
        <v>5879</v>
      </c>
      <c r="E2559" s="10" t="s">
        <v>5884</v>
      </c>
      <c r="F2559" s="10"/>
      <c r="G2559" s="10"/>
      <c r="H2559" s="10" t="s">
        <v>5884</v>
      </c>
      <c r="I2559" s="14">
        <v>22927.10489629535</v>
      </c>
      <c r="J2559" s="19">
        <v>0</v>
      </c>
      <c r="K2559" s="19">
        <v>0.88400116848050858</v>
      </c>
      <c r="L2559" s="19">
        <v>0.11599883151949145</v>
      </c>
      <c r="M2559" s="20">
        <v>2</v>
      </c>
      <c r="N2559" s="19">
        <v>1.0630413940259819E-4</v>
      </c>
      <c r="O2559" s="19">
        <v>0</v>
      </c>
      <c r="P2559" s="19">
        <v>0.88389486434110598</v>
      </c>
      <c r="Q2559" s="19">
        <v>0</v>
      </c>
      <c r="R2559" s="19">
        <v>0.10365111373867202</v>
      </c>
      <c r="S2559" s="19">
        <v>1.2347717780819433E-2</v>
      </c>
      <c r="T2559" s="20">
        <v>21</v>
      </c>
      <c r="U2559" s="17">
        <v>3</v>
      </c>
      <c r="V2559" s="17">
        <v>36</v>
      </c>
    </row>
    <row r="2560" spans="1:22" x14ac:dyDescent="0.2">
      <c r="A2560" t="s">
        <v>5885</v>
      </c>
      <c r="B2560" t="s">
        <v>5862</v>
      </c>
      <c r="C2560" t="s">
        <v>5863</v>
      </c>
      <c r="D2560" t="s">
        <v>5879</v>
      </c>
      <c r="E2560" s="10" t="s">
        <v>5886</v>
      </c>
      <c r="F2560" s="10"/>
      <c r="G2560" s="10"/>
      <c r="H2560" s="10" t="s">
        <v>5886</v>
      </c>
      <c r="I2560" s="14">
        <v>43302.892159113428</v>
      </c>
      <c r="J2560" s="19">
        <v>0</v>
      </c>
      <c r="K2560" s="19">
        <v>0.34810773819602986</v>
      </c>
      <c r="L2560" s="19">
        <v>0.6518922618039702</v>
      </c>
      <c r="M2560" s="20">
        <v>1</v>
      </c>
      <c r="N2560" s="19">
        <v>0</v>
      </c>
      <c r="O2560" s="19">
        <v>0</v>
      </c>
      <c r="P2560" s="19">
        <v>0.34810773819602986</v>
      </c>
      <c r="Q2560" s="19">
        <v>0.24127520513310524</v>
      </c>
      <c r="R2560" s="19">
        <v>0.38770990381919057</v>
      </c>
      <c r="S2560" s="19">
        <v>2.290715285167429E-2</v>
      </c>
      <c r="T2560" s="20">
        <v>12</v>
      </c>
      <c r="U2560" s="17">
        <v>3</v>
      </c>
      <c r="V2560" s="17">
        <v>36</v>
      </c>
    </row>
    <row r="2561" spans="1:22" x14ac:dyDescent="0.2">
      <c r="A2561" t="s">
        <v>5887</v>
      </c>
      <c r="B2561" t="s">
        <v>5862</v>
      </c>
      <c r="C2561" t="s">
        <v>5863</v>
      </c>
      <c r="D2561" t="s">
        <v>5879</v>
      </c>
      <c r="E2561" s="10" t="s">
        <v>5888</v>
      </c>
      <c r="F2561" s="10"/>
      <c r="G2561" s="10"/>
      <c r="H2561" s="10" t="s">
        <v>5888</v>
      </c>
      <c r="I2561" s="14">
        <v>14345.368604491232</v>
      </c>
      <c r="J2561" s="19">
        <v>0</v>
      </c>
      <c r="K2561" s="19">
        <v>0</v>
      </c>
      <c r="L2561" s="19">
        <v>1</v>
      </c>
      <c r="M2561" s="20">
        <v>1</v>
      </c>
      <c r="N2561" s="19">
        <v>0</v>
      </c>
      <c r="O2561" s="19">
        <v>0</v>
      </c>
      <c r="P2561" s="19">
        <v>0</v>
      </c>
      <c r="Q2561" s="19">
        <v>0.13001312408859417</v>
      </c>
      <c r="R2561" s="19">
        <v>0.85101340859835062</v>
      </c>
      <c r="S2561" s="19">
        <v>1.897346731305518E-2</v>
      </c>
      <c r="T2561" s="20">
        <v>12</v>
      </c>
      <c r="U2561" s="17">
        <v>3</v>
      </c>
      <c r="V2561" s="17">
        <v>36</v>
      </c>
    </row>
    <row r="2562" spans="1:22" x14ac:dyDescent="0.2">
      <c r="A2562" t="s">
        <v>5889</v>
      </c>
      <c r="B2562" t="s">
        <v>5862</v>
      </c>
      <c r="C2562" t="s">
        <v>5863</v>
      </c>
      <c r="D2562" t="s">
        <v>5879</v>
      </c>
      <c r="E2562" s="10" t="s">
        <v>5890</v>
      </c>
      <c r="F2562" s="10"/>
      <c r="G2562" s="10"/>
      <c r="H2562" s="10" t="s">
        <v>5890</v>
      </c>
      <c r="I2562" s="14">
        <v>27630.619927977677</v>
      </c>
      <c r="J2562" s="19">
        <v>0</v>
      </c>
      <c r="K2562" s="19">
        <v>1.2690312854602805E-3</v>
      </c>
      <c r="L2562" s="19">
        <v>0.9987309687145397</v>
      </c>
      <c r="M2562" s="20">
        <v>1</v>
      </c>
      <c r="N2562" s="19">
        <v>0</v>
      </c>
      <c r="O2562" s="19">
        <v>1.2690312854602805E-3</v>
      </c>
      <c r="P2562" s="19">
        <v>0</v>
      </c>
      <c r="Q2562" s="19">
        <v>0.43649855425641804</v>
      </c>
      <c r="R2562" s="19">
        <v>0.53387504818555287</v>
      </c>
      <c r="S2562" s="19">
        <v>2.8357366272568747E-2</v>
      </c>
      <c r="T2562" s="20">
        <v>12</v>
      </c>
      <c r="U2562" s="17">
        <v>3</v>
      </c>
      <c r="V2562" s="17">
        <v>36</v>
      </c>
    </row>
    <row r="2563" spans="1:22" x14ac:dyDescent="0.2">
      <c r="A2563" t="s">
        <v>5891</v>
      </c>
      <c r="B2563" t="s">
        <v>5862</v>
      </c>
      <c r="C2563" t="s">
        <v>5863</v>
      </c>
      <c r="D2563" t="s">
        <v>5879</v>
      </c>
      <c r="E2563" s="10" t="s">
        <v>5892</v>
      </c>
      <c r="F2563" s="10"/>
      <c r="G2563" s="10"/>
      <c r="H2563" s="10" t="s">
        <v>5892</v>
      </c>
      <c r="I2563" s="14">
        <v>53237.252543709241</v>
      </c>
      <c r="J2563" s="19">
        <v>0</v>
      </c>
      <c r="K2563" s="19">
        <v>0.51416454911946186</v>
      </c>
      <c r="L2563" s="19">
        <v>0.4858354508805382</v>
      </c>
      <c r="M2563" s="20">
        <v>2</v>
      </c>
      <c r="N2563" s="19">
        <v>0.12315181195424291</v>
      </c>
      <c r="O2563" s="19">
        <v>0</v>
      </c>
      <c r="P2563" s="19">
        <v>0.39101273716521889</v>
      </c>
      <c r="Q2563" s="19">
        <v>0.10703065391856403</v>
      </c>
      <c r="R2563" s="19">
        <v>0.35499139887887821</v>
      </c>
      <c r="S2563" s="19">
        <v>2.3813398083095925E-2</v>
      </c>
      <c r="T2563" s="20">
        <v>23</v>
      </c>
      <c r="U2563" s="17">
        <v>3</v>
      </c>
      <c r="V2563" s="17">
        <v>36</v>
      </c>
    </row>
    <row r="2564" spans="1:22" x14ac:dyDescent="0.2">
      <c r="A2564" t="s">
        <v>5893</v>
      </c>
      <c r="B2564" t="s">
        <v>5862</v>
      </c>
      <c r="C2564" t="s">
        <v>5863</v>
      </c>
      <c r="D2564" t="s">
        <v>5894</v>
      </c>
      <c r="E2564" s="10" t="s">
        <v>5895</v>
      </c>
      <c r="F2564" s="10"/>
      <c r="G2564" s="10"/>
      <c r="H2564" s="10" t="s">
        <v>5895</v>
      </c>
      <c r="I2564" s="14">
        <v>62927.374454717959</v>
      </c>
      <c r="J2564" s="19">
        <v>0</v>
      </c>
      <c r="K2564" s="19">
        <v>0.26083888567908664</v>
      </c>
      <c r="L2564" s="19">
        <v>0.73916111432091336</v>
      </c>
      <c r="M2564" s="20">
        <v>1</v>
      </c>
      <c r="N2564" s="19">
        <v>0.1570454766301782</v>
      </c>
      <c r="O2564" s="19">
        <v>0</v>
      </c>
      <c r="P2564" s="19">
        <v>0.10379340904890844</v>
      </c>
      <c r="Q2564" s="19">
        <v>0.32783454395682921</v>
      </c>
      <c r="R2564" s="19">
        <v>0.35467856929739877</v>
      </c>
      <c r="S2564" s="19">
        <v>5.6648001066685522E-2</v>
      </c>
      <c r="T2564" s="20">
        <v>12</v>
      </c>
      <c r="U2564" s="17">
        <v>3</v>
      </c>
      <c r="V2564" s="17">
        <v>36</v>
      </c>
    </row>
    <row r="2565" spans="1:22" x14ac:dyDescent="0.2">
      <c r="A2565" t="s">
        <v>5896</v>
      </c>
      <c r="B2565" t="s">
        <v>5862</v>
      </c>
      <c r="C2565" t="s">
        <v>5863</v>
      </c>
      <c r="D2565" t="s">
        <v>5894</v>
      </c>
      <c r="E2565" s="10" t="s">
        <v>5897</v>
      </c>
      <c r="F2565" s="10"/>
      <c r="G2565" s="10"/>
      <c r="H2565" s="10" t="s">
        <v>5897</v>
      </c>
      <c r="I2565" s="14">
        <v>26953.036022571265</v>
      </c>
      <c r="J2565" s="19">
        <v>0</v>
      </c>
      <c r="K2565" s="19">
        <v>0.21180761365580927</v>
      </c>
      <c r="L2565" s="19">
        <v>0.78819238634419075</v>
      </c>
      <c r="M2565" s="20">
        <v>1</v>
      </c>
      <c r="N2565" s="19">
        <v>0</v>
      </c>
      <c r="O2565" s="19">
        <v>0.21180761365580927</v>
      </c>
      <c r="P2565" s="19">
        <v>0</v>
      </c>
      <c r="Q2565" s="19">
        <v>0.34881108735326571</v>
      </c>
      <c r="R2565" s="19">
        <v>0.36285691949564675</v>
      </c>
      <c r="S2565" s="19">
        <v>7.652437949527828E-2</v>
      </c>
      <c r="T2565" s="20">
        <v>12</v>
      </c>
      <c r="U2565" s="17">
        <v>3</v>
      </c>
      <c r="V2565" s="17">
        <v>36</v>
      </c>
    </row>
    <row r="2566" spans="1:22" x14ac:dyDescent="0.2">
      <c r="A2566" t="s">
        <v>5898</v>
      </c>
      <c r="B2566" t="s">
        <v>5862</v>
      </c>
      <c r="C2566" t="s">
        <v>5863</v>
      </c>
      <c r="D2566" t="s">
        <v>5894</v>
      </c>
      <c r="E2566" s="10" t="s">
        <v>5899</v>
      </c>
      <c r="F2566" s="10"/>
      <c r="G2566" s="10"/>
      <c r="H2566" s="10" t="s">
        <v>5899</v>
      </c>
      <c r="I2566" s="14">
        <v>10075.336069390178</v>
      </c>
      <c r="J2566" s="19">
        <v>0</v>
      </c>
      <c r="K2566" s="19">
        <v>0.23324763693818523</v>
      </c>
      <c r="L2566" s="19">
        <v>0.76675236306181493</v>
      </c>
      <c r="M2566" s="20">
        <v>1</v>
      </c>
      <c r="N2566" s="19">
        <v>0</v>
      </c>
      <c r="O2566" s="19">
        <v>0.23324763693818523</v>
      </c>
      <c r="P2566" s="19">
        <v>0</v>
      </c>
      <c r="Q2566" s="19">
        <v>0.11854368424120751</v>
      </c>
      <c r="R2566" s="19">
        <v>0.58708828475179986</v>
      </c>
      <c r="S2566" s="19">
        <v>6.1120394068807399E-2</v>
      </c>
      <c r="T2566" s="20">
        <v>12</v>
      </c>
      <c r="U2566" s="17">
        <v>3</v>
      </c>
      <c r="V2566" s="17">
        <v>36</v>
      </c>
    </row>
    <row r="2567" spans="1:22" x14ac:dyDescent="0.2">
      <c r="A2567" t="s">
        <v>5900</v>
      </c>
      <c r="B2567" t="s">
        <v>5862</v>
      </c>
      <c r="C2567" t="s">
        <v>5863</v>
      </c>
      <c r="D2567" t="s">
        <v>5894</v>
      </c>
      <c r="E2567" s="10" t="s">
        <v>5901</v>
      </c>
      <c r="F2567" s="10"/>
      <c r="G2567" s="10"/>
      <c r="H2567" s="10" t="s">
        <v>5901</v>
      </c>
      <c r="I2567" s="14">
        <v>25885.299877533223</v>
      </c>
      <c r="J2567" s="19">
        <v>0</v>
      </c>
      <c r="K2567" s="19">
        <v>0.36358926531311225</v>
      </c>
      <c r="L2567" s="19">
        <v>0.63641073468688769</v>
      </c>
      <c r="M2567" s="20">
        <v>1</v>
      </c>
      <c r="N2567" s="19">
        <v>0.2184065505838331</v>
      </c>
      <c r="O2567" s="19">
        <v>0</v>
      </c>
      <c r="P2567" s="19">
        <v>0.14518271472927913</v>
      </c>
      <c r="Q2567" s="19">
        <v>0.31389989240978328</v>
      </c>
      <c r="R2567" s="19">
        <v>0.26904841409975566</v>
      </c>
      <c r="S2567" s="19">
        <v>5.3462428177348809E-2</v>
      </c>
      <c r="T2567" s="20">
        <v>13</v>
      </c>
      <c r="U2567" s="17">
        <v>3</v>
      </c>
      <c r="V2567" s="17">
        <v>36</v>
      </c>
    </row>
    <row r="2568" spans="1:22" x14ac:dyDescent="0.2">
      <c r="A2568" t="s">
        <v>5902</v>
      </c>
      <c r="B2568" t="s">
        <v>5862</v>
      </c>
      <c r="C2568" t="s">
        <v>5863</v>
      </c>
      <c r="D2568" t="s">
        <v>5894</v>
      </c>
      <c r="E2568" s="10" t="s">
        <v>5903</v>
      </c>
      <c r="F2568" s="10"/>
      <c r="G2568" s="10"/>
      <c r="H2568" s="10" t="s">
        <v>5903</v>
      </c>
      <c r="I2568" s="14">
        <v>31508.06653098762</v>
      </c>
      <c r="J2568" s="19">
        <v>0</v>
      </c>
      <c r="K2568" s="19">
        <v>0.38438059950069992</v>
      </c>
      <c r="L2568" s="19">
        <v>0.61561940049930008</v>
      </c>
      <c r="M2568" s="20">
        <v>1</v>
      </c>
      <c r="N2568" s="19">
        <v>0.21737394260965562</v>
      </c>
      <c r="O2568" s="19">
        <v>0</v>
      </c>
      <c r="P2568" s="19">
        <v>0.1670066568910443</v>
      </c>
      <c r="Q2568" s="19">
        <v>0.35240200061771593</v>
      </c>
      <c r="R2568" s="19">
        <v>0.20054501265692745</v>
      </c>
      <c r="S2568" s="19">
        <v>6.267238722465672E-2</v>
      </c>
      <c r="T2568" s="20">
        <v>13</v>
      </c>
      <c r="U2568" s="17">
        <v>3</v>
      </c>
      <c r="V2568" s="17">
        <v>36</v>
      </c>
    </row>
    <row r="2569" spans="1:22" x14ac:dyDescent="0.2">
      <c r="A2569" t="s">
        <v>5904</v>
      </c>
      <c r="B2569" t="s">
        <v>5862</v>
      </c>
      <c r="C2569" t="s">
        <v>5863</v>
      </c>
      <c r="D2569" t="s">
        <v>5894</v>
      </c>
      <c r="E2569" s="10" t="s">
        <v>5905</v>
      </c>
      <c r="F2569" s="10"/>
      <c r="G2569" s="10"/>
      <c r="H2569" s="10" t="s">
        <v>5905</v>
      </c>
      <c r="I2569" s="14">
        <v>61706.912924904376</v>
      </c>
      <c r="J2569" s="19">
        <v>0</v>
      </c>
      <c r="K2569" s="19">
        <v>0.15082325385139358</v>
      </c>
      <c r="L2569" s="19">
        <v>0.84917674614860639</v>
      </c>
      <c r="M2569" s="20">
        <v>1</v>
      </c>
      <c r="N2569" s="19">
        <v>0.10011762324797176</v>
      </c>
      <c r="O2569" s="19">
        <v>3.6517397632452567E-4</v>
      </c>
      <c r="P2569" s="19">
        <v>5.0340456627097289E-2</v>
      </c>
      <c r="Q2569" s="19">
        <v>0.47883134139732142</v>
      </c>
      <c r="R2569" s="19">
        <v>0.29281371126833461</v>
      </c>
      <c r="S2569" s="19">
        <v>7.7531693482950415E-2</v>
      </c>
      <c r="T2569" s="20">
        <v>13</v>
      </c>
      <c r="U2569" s="17">
        <v>3</v>
      </c>
      <c r="V2569" s="17">
        <v>36</v>
      </c>
    </row>
    <row r="2570" spans="1:22" x14ac:dyDescent="0.2">
      <c r="A2570" t="s">
        <v>5906</v>
      </c>
      <c r="B2570" t="s">
        <v>5862</v>
      </c>
      <c r="C2570" t="s">
        <v>5863</v>
      </c>
      <c r="D2570" t="s">
        <v>5894</v>
      </c>
      <c r="E2570" s="10" t="s">
        <v>5907</v>
      </c>
      <c r="F2570" s="10"/>
      <c r="G2570" s="10"/>
      <c r="H2570" s="10" t="s">
        <v>5907</v>
      </c>
      <c r="I2570" s="14">
        <v>29584.859298929339</v>
      </c>
      <c r="J2570" s="19">
        <v>0</v>
      </c>
      <c r="K2570" s="19">
        <v>0.35275681645105644</v>
      </c>
      <c r="L2570" s="19">
        <v>0.64724318354894361</v>
      </c>
      <c r="M2570" s="20">
        <v>1</v>
      </c>
      <c r="N2570" s="19">
        <v>0</v>
      </c>
      <c r="O2570" s="19">
        <v>0.35275681645105644</v>
      </c>
      <c r="P2570" s="19">
        <v>0</v>
      </c>
      <c r="Q2570" s="19">
        <v>0.359694425629079</v>
      </c>
      <c r="R2570" s="19">
        <v>0.21063673740975405</v>
      </c>
      <c r="S2570" s="19">
        <v>7.6912020510110521E-2</v>
      </c>
      <c r="T2570" s="20">
        <v>13</v>
      </c>
      <c r="U2570" s="17">
        <v>3</v>
      </c>
      <c r="V2570" s="17">
        <v>36</v>
      </c>
    </row>
    <row r="2571" spans="1:22" x14ac:dyDescent="0.2">
      <c r="A2571" t="s">
        <v>5908</v>
      </c>
      <c r="B2571" t="s">
        <v>5862</v>
      </c>
      <c r="C2571" t="s">
        <v>5863</v>
      </c>
      <c r="D2571" t="s">
        <v>5894</v>
      </c>
      <c r="E2571" s="10" t="s">
        <v>5909</v>
      </c>
      <c r="F2571" s="10"/>
      <c r="G2571" s="10"/>
      <c r="H2571" s="10" t="s">
        <v>5909</v>
      </c>
      <c r="I2571" s="14">
        <v>55906.034988997504</v>
      </c>
      <c r="J2571" s="19">
        <v>0</v>
      </c>
      <c r="K2571" s="19">
        <v>0.15804735906591158</v>
      </c>
      <c r="L2571" s="19">
        <v>0.84195264093408839</v>
      </c>
      <c r="M2571" s="20">
        <v>1</v>
      </c>
      <c r="N2571" s="19">
        <v>0</v>
      </c>
      <c r="O2571" s="19">
        <v>0.15804735906591158</v>
      </c>
      <c r="P2571" s="19">
        <v>0</v>
      </c>
      <c r="Q2571" s="19">
        <v>0.55179083761743364</v>
      </c>
      <c r="R2571" s="19">
        <v>0.25089824315346804</v>
      </c>
      <c r="S2571" s="19">
        <v>3.9263560163186731E-2</v>
      </c>
      <c r="T2571" s="20">
        <v>13</v>
      </c>
      <c r="U2571" s="17">
        <v>3</v>
      </c>
      <c r="V2571" s="17">
        <v>36</v>
      </c>
    </row>
    <row r="2572" spans="1:22" x14ac:dyDescent="0.2">
      <c r="A2572" t="s">
        <v>5910</v>
      </c>
      <c r="B2572" t="s">
        <v>5862</v>
      </c>
      <c r="C2572" t="s">
        <v>5863</v>
      </c>
      <c r="D2572" t="s">
        <v>5911</v>
      </c>
      <c r="E2572" s="10" t="s">
        <v>5912</v>
      </c>
      <c r="F2572" s="10"/>
      <c r="G2572" s="10"/>
      <c r="H2572" s="10" t="s">
        <v>5912</v>
      </c>
      <c r="I2572" s="14">
        <v>48587.804176698904</v>
      </c>
      <c r="J2572" s="19">
        <v>0</v>
      </c>
      <c r="K2572" s="19">
        <v>0.14720982772612656</v>
      </c>
      <c r="L2572" s="19">
        <v>0.85279017227387344</v>
      </c>
      <c r="M2572" s="20">
        <v>1</v>
      </c>
      <c r="N2572" s="19">
        <v>0</v>
      </c>
      <c r="O2572" s="19">
        <v>0.14720982772612656</v>
      </c>
      <c r="P2572" s="19">
        <v>0</v>
      </c>
      <c r="Q2572" s="19">
        <v>0.35925788398773245</v>
      </c>
      <c r="R2572" s="19">
        <v>0.4547097041005087</v>
      </c>
      <c r="S2572" s="19">
        <v>3.8822584185632246E-2</v>
      </c>
      <c r="T2572" s="20">
        <v>12</v>
      </c>
      <c r="U2572" s="17">
        <v>3</v>
      </c>
      <c r="V2572" s="17">
        <v>36</v>
      </c>
    </row>
    <row r="2573" spans="1:22" x14ac:dyDescent="0.2">
      <c r="A2573" t="s">
        <v>5913</v>
      </c>
      <c r="B2573" t="s">
        <v>5862</v>
      </c>
      <c r="C2573" t="s">
        <v>5863</v>
      </c>
      <c r="D2573" t="s">
        <v>5911</v>
      </c>
      <c r="E2573" s="10" t="s">
        <v>5914</v>
      </c>
      <c r="F2573" s="10"/>
      <c r="G2573" s="10"/>
      <c r="H2573" s="10" t="s">
        <v>5914</v>
      </c>
      <c r="I2573" s="14">
        <v>17562.335663008736</v>
      </c>
      <c r="J2573" s="19">
        <v>0</v>
      </c>
      <c r="K2573" s="19">
        <v>0</v>
      </c>
      <c r="L2573" s="19">
        <v>1</v>
      </c>
      <c r="M2573" s="20">
        <v>1</v>
      </c>
      <c r="N2573" s="19">
        <v>0</v>
      </c>
      <c r="O2573" s="19">
        <v>0</v>
      </c>
      <c r="P2573" s="19">
        <v>0</v>
      </c>
      <c r="Q2573" s="19">
        <v>0.49024666619549945</v>
      </c>
      <c r="R2573" s="19">
        <v>0.48098178653376567</v>
      </c>
      <c r="S2573" s="19">
        <v>2.8771547270734908E-2</v>
      </c>
      <c r="T2573" s="20">
        <v>13</v>
      </c>
      <c r="U2573" s="17">
        <v>3</v>
      </c>
      <c r="V2573" s="17">
        <v>36</v>
      </c>
    </row>
    <row r="2574" spans="1:22" x14ac:dyDescent="0.2">
      <c r="A2574" t="s">
        <v>5915</v>
      </c>
      <c r="B2574" t="s">
        <v>5862</v>
      </c>
      <c r="C2574" t="s">
        <v>5863</v>
      </c>
      <c r="D2574" t="s">
        <v>5911</v>
      </c>
      <c r="E2574" s="10" t="s">
        <v>5916</v>
      </c>
      <c r="F2574" s="10"/>
      <c r="G2574" s="10"/>
      <c r="H2574" s="10" t="s">
        <v>5916</v>
      </c>
      <c r="I2574" s="14">
        <v>22199.122574591311</v>
      </c>
      <c r="J2574" s="19">
        <v>0</v>
      </c>
      <c r="K2574" s="19">
        <v>0</v>
      </c>
      <c r="L2574" s="19">
        <v>1</v>
      </c>
      <c r="M2574" s="20">
        <v>1</v>
      </c>
      <c r="N2574" s="19">
        <v>0</v>
      </c>
      <c r="O2574" s="19">
        <v>0</v>
      </c>
      <c r="P2574" s="19">
        <v>0</v>
      </c>
      <c r="Q2574" s="19">
        <v>0.48985324617245984</v>
      </c>
      <c r="R2574" s="19">
        <v>0.43692398821268713</v>
      </c>
      <c r="S2574" s="19">
        <v>7.3222765614853011E-2</v>
      </c>
      <c r="T2574" s="20">
        <v>13</v>
      </c>
      <c r="U2574" s="17">
        <v>3</v>
      </c>
      <c r="V2574" s="17">
        <v>36</v>
      </c>
    </row>
    <row r="2575" spans="1:22" x14ac:dyDescent="0.2">
      <c r="A2575" t="s">
        <v>5917</v>
      </c>
      <c r="B2575" t="s">
        <v>5862</v>
      </c>
      <c r="C2575" t="s">
        <v>5863</v>
      </c>
      <c r="D2575" t="s">
        <v>5911</v>
      </c>
      <c r="E2575" s="10" t="s">
        <v>5918</v>
      </c>
      <c r="F2575" s="10"/>
      <c r="G2575" s="10"/>
      <c r="H2575" s="10" t="s">
        <v>5918</v>
      </c>
      <c r="I2575" s="14">
        <v>21230.713326094905</v>
      </c>
      <c r="J2575" s="19">
        <v>0</v>
      </c>
      <c r="K2575" s="19">
        <v>0</v>
      </c>
      <c r="L2575" s="19">
        <v>1</v>
      </c>
      <c r="M2575" s="20">
        <v>1</v>
      </c>
      <c r="N2575" s="19">
        <v>0</v>
      </c>
      <c r="O2575" s="19">
        <v>0</v>
      </c>
      <c r="P2575" s="19">
        <v>0</v>
      </c>
      <c r="Q2575" s="19">
        <v>0.47583645333849395</v>
      </c>
      <c r="R2575" s="19">
        <v>0.47293760950497615</v>
      </c>
      <c r="S2575" s="19">
        <v>5.1225937156529899E-2</v>
      </c>
      <c r="T2575" s="20">
        <v>13</v>
      </c>
      <c r="U2575" s="17">
        <v>3</v>
      </c>
      <c r="V2575" s="17">
        <v>36</v>
      </c>
    </row>
    <row r="2576" spans="1:22" x14ac:dyDescent="0.2">
      <c r="A2576" t="s">
        <v>5919</v>
      </c>
      <c r="B2576" t="s">
        <v>5862</v>
      </c>
      <c r="C2576" t="s">
        <v>5863</v>
      </c>
      <c r="D2576" t="s">
        <v>5911</v>
      </c>
      <c r="E2576" s="10" t="s">
        <v>5920</v>
      </c>
      <c r="F2576" s="10"/>
      <c r="G2576" s="10"/>
      <c r="H2576" s="10" t="s">
        <v>5920</v>
      </c>
      <c r="I2576" s="14">
        <v>39295.589808883611</v>
      </c>
      <c r="J2576" s="19">
        <v>0</v>
      </c>
      <c r="K2576" s="19">
        <v>0.49945079422662686</v>
      </c>
      <c r="L2576" s="19">
        <v>0.50054920577337314</v>
      </c>
      <c r="M2576" s="20">
        <v>1</v>
      </c>
      <c r="N2576" s="19">
        <v>0</v>
      </c>
      <c r="O2576" s="19">
        <v>0.49945079422662686</v>
      </c>
      <c r="P2576" s="19">
        <v>0</v>
      </c>
      <c r="Q2576" s="19">
        <v>0.27344692590355679</v>
      </c>
      <c r="R2576" s="19">
        <v>0.2118652478140948</v>
      </c>
      <c r="S2576" s="19">
        <v>1.5237032055721527E-2</v>
      </c>
      <c r="T2576" s="20">
        <v>13</v>
      </c>
      <c r="U2576" s="17">
        <v>3</v>
      </c>
      <c r="V2576" s="17">
        <v>36</v>
      </c>
    </row>
    <row r="2577" spans="1:22" x14ac:dyDescent="0.2">
      <c r="A2577" t="s">
        <v>5921</v>
      </c>
      <c r="B2577" t="s">
        <v>5862</v>
      </c>
      <c r="C2577" t="s">
        <v>5863</v>
      </c>
      <c r="D2577" t="s">
        <v>5911</v>
      </c>
      <c r="E2577" s="10" t="s">
        <v>5922</v>
      </c>
      <c r="F2577" s="10"/>
      <c r="G2577" s="10"/>
      <c r="H2577" s="10" t="s">
        <v>5922</v>
      </c>
      <c r="I2577" s="14">
        <v>33382.371792767663</v>
      </c>
      <c r="J2577" s="19">
        <v>0</v>
      </c>
      <c r="K2577" s="19">
        <v>0.31233613818754824</v>
      </c>
      <c r="L2577" s="19">
        <v>0.68766386181245176</v>
      </c>
      <c r="M2577" s="20">
        <v>1</v>
      </c>
      <c r="N2577" s="19">
        <v>0</v>
      </c>
      <c r="O2577" s="19">
        <v>0.31233613818754824</v>
      </c>
      <c r="P2577" s="19">
        <v>0</v>
      </c>
      <c r="Q2577" s="19">
        <v>0.46648296142325019</v>
      </c>
      <c r="R2577" s="19">
        <v>0.19346143269063512</v>
      </c>
      <c r="S2577" s="19">
        <v>2.7719467698566404E-2</v>
      </c>
      <c r="T2577" s="20">
        <v>13</v>
      </c>
      <c r="U2577" s="17">
        <v>3</v>
      </c>
      <c r="V2577" s="17">
        <v>36</v>
      </c>
    </row>
    <row r="2578" spans="1:22" x14ac:dyDescent="0.2">
      <c r="A2578" t="s">
        <v>5923</v>
      </c>
      <c r="B2578" t="s">
        <v>5862</v>
      </c>
      <c r="C2578" t="s">
        <v>5863</v>
      </c>
      <c r="D2578" t="s">
        <v>5911</v>
      </c>
      <c r="E2578" s="10" t="s">
        <v>5924</v>
      </c>
      <c r="F2578" s="10"/>
      <c r="G2578" s="10"/>
      <c r="H2578" s="10" t="s">
        <v>5924</v>
      </c>
      <c r="I2578" s="14">
        <v>20796.866221579723</v>
      </c>
      <c r="J2578" s="19">
        <v>0</v>
      </c>
      <c r="K2578" s="19">
        <v>5.3957493924773343E-2</v>
      </c>
      <c r="L2578" s="19">
        <v>0.94604250607522677</v>
      </c>
      <c r="M2578" s="20">
        <v>1</v>
      </c>
      <c r="N2578" s="19">
        <v>0</v>
      </c>
      <c r="O2578" s="19">
        <v>5.3957493924773343E-2</v>
      </c>
      <c r="P2578" s="19">
        <v>0</v>
      </c>
      <c r="Q2578" s="19">
        <v>0.49558885606463421</v>
      </c>
      <c r="R2578" s="19">
        <v>0.40064193245325203</v>
      </c>
      <c r="S2578" s="19">
        <v>4.9811717557340408E-2</v>
      </c>
      <c r="T2578" s="20">
        <v>13</v>
      </c>
      <c r="U2578" s="17">
        <v>3</v>
      </c>
      <c r="V2578" s="17">
        <v>36</v>
      </c>
    </row>
    <row r="2579" spans="1:22" x14ac:dyDescent="0.2">
      <c r="A2579" t="s">
        <v>5925</v>
      </c>
      <c r="B2579" t="s">
        <v>5862</v>
      </c>
      <c r="C2579" t="s">
        <v>5863</v>
      </c>
      <c r="D2579" t="s">
        <v>5911</v>
      </c>
      <c r="E2579" s="10" t="s">
        <v>5926</v>
      </c>
      <c r="F2579" s="10"/>
      <c r="G2579" s="10"/>
      <c r="H2579" s="10" t="s">
        <v>5926</v>
      </c>
      <c r="I2579" s="14">
        <v>74170.506418578792</v>
      </c>
      <c r="J2579" s="19">
        <v>0</v>
      </c>
      <c r="K2579" s="19">
        <v>0.35587025153450996</v>
      </c>
      <c r="L2579" s="19">
        <v>0.64412974846548987</v>
      </c>
      <c r="M2579" s="20">
        <v>1</v>
      </c>
      <c r="N2579" s="19">
        <v>0</v>
      </c>
      <c r="O2579" s="19">
        <v>0.35587025153450996</v>
      </c>
      <c r="P2579" s="19">
        <v>0</v>
      </c>
      <c r="Q2579" s="19">
        <v>0.39448792071883071</v>
      </c>
      <c r="R2579" s="19">
        <v>0.22471880513956835</v>
      </c>
      <c r="S2579" s="19">
        <v>2.4923022607090919E-2</v>
      </c>
      <c r="T2579" s="20">
        <v>13</v>
      </c>
      <c r="U2579" s="17">
        <v>3</v>
      </c>
      <c r="V2579" s="17">
        <v>36</v>
      </c>
    </row>
    <row r="2580" spans="1:22" x14ac:dyDescent="0.2">
      <c r="A2580" t="s">
        <v>5927</v>
      </c>
      <c r="B2580" t="s">
        <v>5862</v>
      </c>
      <c r="C2580" t="s">
        <v>5863</v>
      </c>
      <c r="D2580" t="s">
        <v>5911</v>
      </c>
      <c r="E2580" s="10" t="s">
        <v>5928</v>
      </c>
      <c r="F2580" s="10"/>
      <c r="G2580" s="10"/>
      <c r="H2580" s="10" t="s">
        <v>5928</v>
      </c>
      <c r="I2580" s="14">
        <v>66012.59203281824</v>
      </c>
      <c r="J2580" s="19">
        <v>0</v>
      </c>
      <c r="K2580" s="19">
        <v>9.0255941789507868E-2</v>
      </c>
      <c r="L2580" s="19">
        <v>0.90974405821049198</v>
      </c>
      <c r="M2580" s="20">
        <v>1</v>
      </c>
      <c r="N2580" s="19">
        <v>0</v>
      </c>
      <c r="O2580" s="19">
        <v>9.0255941789507868E-2</v>
      </c>
      <c r="P2580" s="19">
        <v>0</v>
      </c>
      <c r="Q2580" s="19">
        <v>0.42869028833245232</v>
      </c>
      <c r="R2580" s="19">
        <v>0.4289438652082429</v>
      </c>
      <c r="S2580" s="19">
        <v>5.2109904669796939E-2</v>
      </c>
      <c r="T2580" s="20">
        <v>12</v>
      </c>
      <c r="U2580" s="17">
        <v>3</v>
      </c>
      <c r="V2580" s="17">
        <v>36</v>
      </c>
    </row>
    <row r="2581" spans="1:22" x14ac:dyDescent="0.2">
      <c r="A2581" t="s">
        <v>5929</v>
      </c>
      <c r="B2581" t="s">
        <v>5862</v>
      </c>
      <c r="C2581" t="s">
        <v>5863</v>
      </c>
      <c r="D2581" t="s">
        <v>5911</v>
      </c>
      <c r="E2581" s="10" t="s">
        <v>5930</v>
      </c>
      <c r="F2581" s="10"/>
      <c r="G2581" s="10"/>
      <c r="H2581" s="10" t="s">
        <v>5930</v>
      </c>
      <c r="I2581" s="14">
        <v>46299.393360818969</v>
      </c>
      <c r="J2581" s="19">
        <v>0</v>
      </c>
      <c r="K2581" s="19">
        <v>0.17127596489026078</v>
      </c>
      <c r="L2581" s="19">
        <v>0.82872403510973924</v>
      </c>
      <c r="M2581" s="20">
        <v>1</v>
      </c>
      <c r="N2581" s="19">
        <v>0.11156558552061265</v>
      </c>
      <c r="O2581" s="19">
        <v>0</v>
      </c>
      <c r="P2581" s="19">
        <v>5.971037936964816E-2</v>
      </c>
      <c r="Q2581" s="19">
        <v>0.46755041444365475</v>
      </c>
      <c r="R2581" s="19">
        <v>0.31203496938186526</v>
      </c>
      <c r="S2581" s="19">
        <v>4.9138651284219209E-2</v>
      </c>
      <c r="T2581" s="20">
        <v>13</v>
      </c>
      <c r="U2581" s="17">
        <v>3</v>
      </c>
      <c r="V2581" s="17">
        <v>36</v>
      </c>
    </row>
    <row r="2582" spans="1:22" x14ac:dyDescent="0.2">
      <c r="A2582" t="s">
        <v>5931</v>
      </c>
      <c r="B2582" t="s">
        <v>5862</v>
      </c>
      <c r="C2582" t="s">
        <v>5863</v>
      </c>
      <c r="D2582" t="s">
        <v>5911</v>
      </c>
      <c r="E2582" s="10" t="s">
        <v>5932</v>
      </c>
      <c r="F2582" s="10"/>
      <c r="G2582" s="10"/>
      <c r="H2582" s="10" t="s">
        <v>5932</v>
      </c>
      <c r="I2582" s="14">
        <v>147783.81609664392</v>
      </c>
      <c r="J2582" s="19">
        <v>0</v>
      </c>
      <c r="K2582" s="19">
        <v>0.26826348338258715</v>
      </c>
      <c r="L2582" s="19">
        <v>0.7317365166174129</v>
      </c>
      <c r="M2582" s="20">
        <v>1</v>
      </c>
      <c r="N2582" s="19">
        <v>0.13350233962598893</v>
      </c>
      <c r="O2582" s="19">
        <v>7.8497727433418082E-2</v>
      </c>
      <c r="P2582" s="19">
        <v>5.6263416323180118E-2</v>
      </c>
      <c r="Q2582" s="19">
        <v>0.47535081884841096</v>
      </c>
      <c r="R2582" s="19">
        <v>0.22721463511424406</v>
      </c>
      <c r="S2582" s="19">
        <v>2.9171062654757846E-2</v>
      </c>
      <c r="T2582" s="20">
        <v>13</v>
      </c>
      <c r="U2582" s="17">
        <v>3</v>
      </c>
      <c r="V2582" s="17">
        <v>36</v>
      </c>
    </row>
    <row r="2583" spans="1:22" x14ac:dyDescent="0.2">
      <c r="A2583" t="s">
        <v>5933</v>
      </c>
      <c r="B2583" t="s">
        <v>5862</v>
      </c>
      <c r="C2583" t="s">
        <v>5863</v>
      </c>
      <c r="D2583" t="s">
        <v>5911</v>
      </c>
      <c r="E2583" s="10" t="s">
        <v>5934</v>
      </c>
      <c r="F2583" s="10"/>
      <c r="G2583" s="10"/>
      <c r="H2583" s="10" t="s">
        <v>5934</v>
      </c>
      <c r="I2583" s="14">
        <v>223998.82792089973</v>
      </c>
      <c r="J2583" s="19">
        <v>0.36103091564602541</v>
      </c>
      <c r="K2583" s="19">
        <v>0.19687307514839383</v>
      </c>
      <c r="L2583" s="19">
        <v>0.44209600920558079</v>
      </c>
      <c r="M2583" s="20">
        <v>2</v>
      </c>
      <c r="N2583" s="19">
        <v>0</v>
      </c>
      <c r="O2583" s="19">
        <v>2.3016075799514538E-2</v>
      </c>
      <c r="P2583" s="19">
        <v>0.1738569993488793</v>
      </c>
      <c r="Q2583" s="19">
        <v>0.22777565709321335</v>
      </c>
      <c r="R2583" s="19">
        <v>0.19512954904204841</v>
      </c>
      <c r="S2583" s="19">
        <v>1.9190803070319017E-2</v>
      </c>
      <c r="T2583" s="20">
        <v>22</v>
      </c>
      <c r="U2583" s="17">
        <v>3</v>
      </c>
      <c r="V2583" s="17">
        <v>36</v>
      </c>
    </row>
    <row r="2584" spans="1:22" x14ac:dyDescent="0.2">
      <c r="A2584" t="s">
        <v>5935</v>
      </c>
      <c r="B2584" t="s">
        <v>5862</v>
      </c>
      <c r="C2584" t="s">
        <v>5863</v>
      </c>
      <c r="D2584" t="s">
        <v>5911</v>
      </c>
      <c r="E2584" s="10" t="s">
        <v>5936</v>
      </c>
      <c r="F2584" s="10"/>
      <c r="G2584" s="10"/>
      <c r="H2584" s="10" t="s">
        <v>5936</v>
      </c>
      <c r="I2584" s="14">
        <v>22497.351683155983</v>
      </c>
      <c r="J2584" s="19">
        <v>0</v>
      </c>
      <c r="K2584" s="19">
        <v>0</v>
      </c>
      <c r="L2584" s="19">
        <v>1</v>
      </c>
      <c r="M2584" s="20">
        <v>1</v>
      </c>
      <c r="N2584" s="19">
        <v>0</v>
      </c>
      <c r="O2584" s="19">
        <v>0</v>
      </c>
      <c r="P2584" s="19">
        <v>0</v>
      </c>
      <c r="Q2584" s="19">
        <v>0.52574091243430221</v>
      </c>
      <c r="R2584" s="19">
        <v>0.42413599625501353</v>
      </c>
      <c r="S2584" s="19">
        <v>5.0123091310684292E-2</v>
      </c>
      <c r="T2584" s="20">
        <v>13</v>
      </c>
      <c r="U2584" s="17">
        <v>3</v>
      </c>
      <c r="V2584" s="17">
        <v>36</v>
      </c>
    </row>
    <row r="2585" spans="1:22" x14ac:dyDescent="0.2">
      <c r="A2585" t="s">
        <v>5937</v>
      </c>
      <c r="B2585" t="s">
        <v>5862</v>
      </c>
      <c r="C2585" t="s">
        <v>5863</v>
      </c>
      <c r="D2585" t="s">
        <v>5911</v>
      </c>
      <c r="E2585" s="10" t="s">
        <v>5938</v>
      </c>
      <c r="F2585" s="10"/>
      <c r="G2585" s="10"/>
      <c r="H2585" s="10" t="s">
        <v>5938</v>
      </c>
      <c r="I2585" s="14">
        <v>68042.783295358997</v>
      </c>
      <c r="J2585" s="19">
        <v>0</v>
      </c>
      <c r="K2585" s="19">
        <v>0.24189007281381156</v>
      </c>
      <c r="L2585" s="19">
        <v>0.75810992718618853</v>
      </c>
      <c r="M2585" s="20">
        <v>1</v>
      </c>
      <c r="N2585" s="19">
        <v>0.11956904593422302</v>
      </c>
      <c r="O2585" s="19">
        <v>0</v>
      </c>
      <c r="P2585" s="19">
        <v>0.12232102687958853</v>
      </c>
      <c r="Q2585" s="19">
        <v>0.17353622486503403</v>
      </c>
      <c r="R2585" s="19">
        <v>0.50462754626805806</v>
      </c>
      <c r="S2585" s="19">
        <v>7.9946156053096379E-2</v>
      </c>
      <c r="T2585" s="20">
        <v>12</v>
      </c>
      <c r="U2585" s="17">
        <v>3</v>
      </c>
      <c r="V2585" s="17">
        <v>36</v>
      </c>
    </row>
    <row r="2586" spans="1:22" x14ac:dyDescent="0.2">
      <c r="A2586" t="s">
        <v>5939</v>
      </c>
      <c r="B2586" t="s">
        <v>5862</v>
      </c>
      <c r="C2586" t="s">
        <v>5863</v>
      </c>
      <c r="D2586" t="s">
        <v>5911</v>
      </c>
      <c r="E2586" s="10" t="s">
        <v>5940</v>
      </c>
      <c r="F2586" s="10"/>
      <c r="G2586" s="10"/>
      <c r="H2586" s="10" t="s">
        <v>5940</v>
      </c>
      <c r="I2586" s="14">
        <v>15947.329873089448</v>
      </c>
      <c r="J2586" s="19">
        <v>0</v>
      </c>
      <c r="K2586" s="19">
        <v>0.38571849884936354</v>
      </c>
      <c r="L2586" s="19">
        <v>0.61428150115063629</v>
      </c>
      <c r="M2586" s="20">
        <v>1</v>
      </c>
      <c r="N2586" s="19">
        <v>0</v>
      </c>
      <c r="O2586" s="19">
        <v>0.38571849884936354</v>
      </c>
      <c r="P2586" s="19">
        <v>0</v>
      </c>
      <c r="Q2586" s="19">
        <v>0.21997249753230877</v>
      </c>
      <c r="R2586" s="19">
        <v>0.33198986630079502</v>
      </c>
      <c r="S2586" s="19">
        <v>6.2319137317532546E-2</v>
      </c>
      <c r="T2586" s="20">
        <v>12</v>
      </c>
      <c r="U2586" s="17">
        <v>3</v>
      </c>
      <c r="V2586" s="17">
        <v>36</v>
      </c>
    </row>
    <row r="2587" spans="1:22" x14ac:dyDescent="0.2">
      <c r="A2587" t="s">
        <v>5941</v>
      </c>
      <c r="B2587" t="s">
        <v>5862</v>
      </c>
      <c r="C2587" t="s">
        <v>5863</v>
      </c>
      <c r="D2587" t="s">
        <v>5911</v>
      </c>
      <c r="E2587" s="10" t="s">
        <v>5942</v>
      </c>
      <c r="F2587" s="10"/>
      <c r="G2587" s="10"/>
      <c r="H2587" s="10" t="s">
        <v>5942</v>
      </c>
      <c r="I2587" s="14">
        <v>14587.151614856906</v>
      </c>
      <c r="J2587" s="19">
        <v>0</v>
      </c>
      <c r="K2587" s="19">
        <v>0</v>
      </c>
      <c r="L2587" s="19">
        <v>1</v>
      </c>
      <c r="M2587" s="20">
        <v>1</v>
      </c>
      <c r="N2587" s="19">
        <v>0</v>
      </c>
      <c r="O2587" s="19">
        <v>0</v>
      </c>
      <c r="P2587" s="19">
        <v>0</v>
      </c>
      <c r="Q2587" s="19">
        <v>0.65897025241659657</v>
      </c>
      <c r="R2587" s="19">
        <v>0.26486484390517473</v>
      </c>
      <c r="S2587" s="19">
        <v>7.6164903678228701E-2</v>
      </c>
      <c r="T2587" s="20">
        <v>13</v>
      </c>
      <c r="U2587" s="17">
        <v>3</v>
      </c>
      <c r="V2587" s="17">
        <v>36</v>
      </c>
    </row>
    <row r="2588" spans="1:22" x14ac:dyDescent="0.2">
      <c r="A2588" t="s">
        <v>5943</v>
      </c>
      <c r="B2588" t="s">
        <v>5862</v>
      </c>
      <c r="C2588" t="s">
        <v>5863</v>
      </c>
      <c r="D2588" t="s">
        <v>5911</v>
      </c>
      <c r="E2588" s="10" t="s">
        <v>5944</v>
      </c>
      <c r="F2588" s="10"/>
      <c r="G2588" s="10"/>
      <c r="H2588" s="10" t="s">
        <v>5944</v>
      </c>
      <c r="I2588" s="14">
        <v>31051.651814121753</v>
      </c>
      <c r="J2588" s="19">
        <v>0</v>
      </c>
      <c r="K2588" s="19">
        <v>0</v>
      </c>
      <c r="L2588" s="19">
        <v>1</v>
      </c>
      <c r="M2588" s="20">
        <v>1</v>
      </c>
      <c r="N2588" s="19">
        <v>0</v>
      </c>
      <c r="O2588" s="19">
        <v>0</v>
      </c>
      <c r="P2588" s="19">
        <v>0</v>
      </c>
      <c r="Q2588" s="19">
        <v>0.47507978471151358</v>
      </c>
      <c r="R2588" s="19">
        <v>0.46288932720350073</v>
      </c>
      <c r="S2588" s="19">
        <v>6.2030888084985678E-2</v>
      </c>
      <c r="T2588" s="20">
        <v>13</v>
      </c>
      <c r="U2588" s="17">
        <v>3</v>
      </c>
      <c r="V2588" s="17">
        <v>36</v>
      </c>
    </row>
    <row r="2589" spans="1:22" x14ac:dyDescent="0.2">
      <c r="A2589" t="s">
        <v>5945</v>
      </c>
      <c r="B2589" t="s">
        <v>5862</v>
      </c>
      <c r="C2589" t="s">
        <v>5863</v>
      </c>
      <c r="D2589" t="s">
        <v>5911</v>
      </c>
      <c r="E2589" s="10" t="s">
        <v>5946</v>
      </c>
      <c r="F2589" s="10"/>
      <c r="G2589" s="10"/>
      <c r="H2589" s="10" t="s">
        <v>5946</v>
      </c>
      <c r="I2589" s="14">
        <v>45640.59983590967</v>
      </c>
      <c r="J2589" s="19">
        <v>0</v>
      </c>
      <c r="K2589" s="19">
        <v>0.31373954817685029</v>
      </c>
      <c r="L2589" s="19">
        <v>0.68626045182314965</v>
      </c>
      <c r="M2589" s="20">
        <v>1</v>
      </c>
      <c r="N2589" s="19">
        <v>0.22394676467474328</v>
      </c>
      <c r="O2589" s="19">
        <v>0</v>
      </c>
      <c r="P2589" s="19">
        <v>8.9792783502107024E-2</v>
      </c>
      <c r="Q2589" s="19">
        <v>0.28827915468307924</v>
      </c>
      <c r="R2589" s="19">
        <v>0.349876259485634</v>
      </c>
      <c r="S2589" s="19">
        <v>4.8105037654436474E-2</v>
      </c>
      <c r="T2589" s="20">
        <v>12</v>
      </c>
      <c r="U2589" s="17">
        <v>3</v>
      </c>
      <c r="V2589" s="17">
        <v>36</v>
      </c>
    </row>
    <row r="2590" spans="1:22" x14ac:dyDescent="0.2">
      <c r="A2590" t="s">
        <v>5947</v>
      </c>
      <c r="B2590" t="s">
        <v>5862</v>
      </c>
      <c r="C2590" t="s">
        <v>5863</v>
      </c>
      <c r="D2590" t="s">
        <v>5911</v>
      </c>
      <c r="E2590" s="10" t="s">
        <v>5948</v>
      </c>
      <c r="F2590" s="10"/>
      <c r="G2590" s="10"/>
      <c r="H2590" s="10" t="s">
        <v>5948</v>
      </c>
      <c r="I2590" s="14">
        <v>28305.961536437972</v>
      </c>
      <c r="J2590" s="19">
        <v>0</v>
      </c>
      <c r="K2590" s="19">
        <v>0.20950856168408968</v>
      </c>
      <c r="L2590" s="19">
        <v>0.79049143831591029</v>
      </c>
      <c r="M2590" s="20">
        <v>1</v>
      </c>
      <c r="N2590" s="19">
        <v>0</v>
      </c>
      <c r="O2590" s="19">
        <v>0.20950856168408968</v>
      </c>
      <c r="P2590" s="19">
        <v>0</v>
      </c>
      <c r="Q2590" s="19">
        <v>0.52572586693733614</v>
      </c>
      <c r="R2590" s="19">
        <v>0.21197799780732687</v>
      </c>
      <c r="S2590" s="19">
        <v>5.2787573571247297E-2</v>
      </c>
      <c r="T2590" s="20">
        <v>13</v>
      </c>
      <c r="U2590" s="17">
        <v>3</v>
      </c>
      <c r="V2590" s="17">
        <v>36</v>
      </c>
    </row>
    <row r="2591" spans="1:22" x14ac:dyDescent="0.2">
      <c r="A2591" t="s">
        <v>5949</v>
      </c>
      <c r="B2591" t="s">
        <v>5862</v>
      </c>
      <c r="C2591" t="s">
        <v>5863</v>
      </c>
      <c r="D2591" t="s">
        <v>5911</v>
      </c>
      <c r="E2591" s="10" t="s">
        <v>5950</v>
      </c>
      <c r="F2591" s="10"/>
      <c r="G2591" s="10"/>
      <c r="H2591" s="10" t="s">
        <v>5950</v>
      </c>
      <c r="I2591" s="14">
        <v>27440.670163264731</v>
      </c>
      <c r="J2591" s="19">
        <v>0</v>
      </c>
      <c r="K2591" s="19">
        <v>0</v>
      </c>
      <c r="L2591" s="19">
        <v>1</v>
      </c>
      <c r="M2591" s="20">
        <v>1</v>
      </c>
      <c r="N2591" s="19">
        <v>0</v>
      </c>
      <c r="O2591" s="19">
        <v>0</v>
      </c>
      <c r="P2591" s="19">
        <v>0</v>
      </c>
      <c r="Q2591" s="19">
        <v>0.49177532854051459</v>
      </c>
      <c r="R2591" s="19">
        <v>0.46617790705043277</v>
      </c>
      <c r="S2591" s="19">
        <v>4.2046764409052639E-2</v>
      </c>
      <c r="T2591" s="20">
        <v>13</v>
      </c>
      <c r="U2591" s="17">
        <v>3</v>
      </c>
      <c r="V2591" s="17">
        <v>36</v>
      </c>
    </row>
    <row r="2592" spans="1:22" x14ac:dyDescent="0.2">
      <c r="A2592" t="s">
        <v>5951</v>
      </c>
      <c r="B2592" t="s">
        <v>5862</v>
      </c>
      <c r="C2592" t="s">
        <v>5863</v>
      </c>
      <c r="D2592" t="s">
        <v>5911</v>
      </c>
      <c r="E2592" s="10" t="s">
        <v>5952</v>
      </c>
      <c r="F2592" s="10"/>
      <c r="G2592" s="10"/>
      <c r="H2592" s="10" t="s">
        <v>5952</v>
      </c>
      <c r="I2592" s="14">
        <v>31546.498450168758</v>
      </c>
      <c r="J2592" s="19">
        <v>0</v>
      </c>
      <c r="K2592" s="19">
        <v>0.19641973665371709</v>
      </c>
      <c r="L2592" s="19">
        <v>0.80358026334628296</v>
      </c>
      <c r="M2592" s="20">
        <v>1</v>
      </c>
      <c r="N2592" s="19">
        <v>0</v>
      </c>
      <c r="O2592" s="19">
        <v>0.19641973665371709</v>
      </c>
      <c r="P2592" s="19">
        <v>0</v>
      </c>
      <c r="Q2592" s="19">
        <v>0.2841593491609693</v>
      </c>
      <c r="R2592" s="19">
        <v>0.46577832472034308</v>
      </c>
      <c r="S2592" s="19">
        <v>5.364258946497049E-2</v>
      </c>
      <c r="T2592" s="20">
        <v>12</v>
      </c>
      <c r="U2592" s="17">
        <v>3</v>
      </c>
      <c r="V2592" s="17">
        <v>36</v>
      </c>
    </row>
    <row r="2593" spans="1:22" x14ac:dyDescent="0.2">
      <c r="A2593" t="s">
        <v>5953</v>
      </c>
      <c r="B2593" t="s">
        <v>5862</v>
      </c>
      <c r="C2593" t="s">
        <v>5863</v>
      </c>
      <c r="D2593" t="s">
        <v>5911</v>
      </c>
      <c r="E2593" s="10" t="s">
        <v>5954</v>
      </c>
      <c r="F2593" s="10"/>
      <c r="G2593" s="10"/>
      <c r="H2593" s="10" t="s">
        <v>5954</v>
      </c>
      <c r="I2593" s="14">
        <v>86295.694256277755</v>
      </c>
      <c r="J2593" s="19">
        <v>0</v>
      </c>
      <c r="K2593" s="19">
        <v>0.14027740925073806</v>
      </c>
      <c r="L2593" s="19">
        <v>0.85972259074926205</v>
      </c>
      <c r="M2593" s="20">
        <v>1</v>
      </c>
      <c r="N2593" s="19">
        <v>8.686033421791145E-2</v>
      </c>
      <c r="O2593" s="19">
        <v>0</v>
      </c>
      <c r="P2593" s="19">
        <v>5.3417075032826604E-2</v>
      </c>
      <c r="Q2593" s="19">
        <v>0.42021267696846404</v>
      </c>
      <c r="R2593" s="19">
        <v>0.38772147609919083</v>
      </c>
      <c r="S2593" s="19">
        <v>5.1788437681607076E-2</v>
      </c>
      <c r="T2593" s="20">
        <v>13</v>
      </c>
      <c r="U2593" s="17">
        <v>3</v>
      </c>
      <c r="V2593" s="17">
        <v>36</v>
      </c>
    </row>
    <row r="2594" spans="1:22" x14ac:dyDescent="0.2">
      <c r="A2594" t="s">
        <v>5955</v>
      </c>
      <c r="B2594" t="s">
        <v>5862</v>
      </c>
      <c r="C2594" t="s">
        <v>5863</v>
      </c>
      <c r="D2594" t="s">
        <v>5911</v>
      </c>
      <c r="E2594" s="10" t="s">
        <v>5956</v>
      </c>
      <c r="F2594" s="10"/>
      <c r="G2594" s="10"/>
      <c r="H2594" s="10" t="s">
        <v>5956</v>
      </c>
      <c r="I2594" s="14">
        <v>71544.967162717134</v>
      </c>
      <c r="J2594" s="19">
        <v>0</v>
      </c>
      <c r="K2594" s="19">
        <v>0.27176594284099609</v>
      </c>
      <c r="L2594" s="19">
        <v>0.72823405715900391</v>
      </c>
      <c r="M2594" s="20">
        <v>1</v>
      </c>
      <c r="N2594" s="19">
        <v>0.15862168194054349</v>
      </c>
      <c r="O2594" s="19">
        <v>0</v>
      </c>
      <c r="P2594" s="19">
        <v>0.1131442609004526</v>
      </c>
      <c r="Q2594" s="19">
        <v>0.32445242888566311</v>
      </c>
      <c r="R2594" s="19">
        <v>0.35146977389139306</v>
      </c>
      <c r="S2594" s="19">
        <v>5.2311854381947714E-2</v>
      </c>
      <c r="T2594" s="20">
        <v>12</v>
      </c>
      <c r="U2594" s="17">
        <v>3</v>
      </c>
      <c r="V2594" s="17">
        <v>36</v>
      </c>
    </row>
    <row r="2595" spans="1:22" x14ac:dyDescent="0.2">
      <c r="A2595" t="s">
        <v>5957</v>
      </c>
      <c r="B2595" t="s">
        <v>5862</v>
      </c>
      <c r="C2595" t="s">
        <v>5863</v>
      </c>
      <c r="D2595" t="s">
        <v>5958</v>
      </c>
      <c r="E2595" s="10" t="s">
        <v>5959</v>
      </c>
      <c r="F2595" s="10"/>
      <c r="G2595" s="10"/>
      <c r="H2595" s="10" t="s">
        <v>5959</v>
      </c>
      <c r="I2595" s="14">
        <v>56142.23432094849</v>
      </c>
      <c r="J2595" s="19">
        <v>0</v>
      </c>
      <c r="K2595" s="19">
        <v>0.66223221193901294</v>
      </c>
      <c r="L2595" s="19">
        <v>0.33776778806098695</v>
      </c>
      <c r="M2595" s="20">
        <v>2</v>
      </c>
      <c r="N2595" s="19">
        <v>8.8229461436798551E-2</v>
      </c>
      <c r="O2595" s="19">
        <v>6.1340340247431503E-3</v>
      </c>
      <c r="P2595" s="19">
        <v>0.56786871647747117</v>
      </c>
      <c r="Q2595" s="19">
        <v>1.2471901176767415E-2</v>
      </c>
      <c r="R2595" s="19">
        <v>0.3175871824444842</v>
      </c>
      <c r="S2595" s="19">
        <v>7.7087044397353656E-3</v>
      </c>
      <c r="T2595" s="20">
        <v>21</v>
      </c>
      <c r="U2595" s="17">
        <v>3</v>
      </c>
      <c r="V2595" s="17">
        <v>36</v>
      </c>
    </row>
    <row r="2596" spans="1:22" x14ac:dyDescent="0.2">
      <c r="A2596" t="s">
        <v>5960</v>
      </c>
      <c r="B2596" t="s">
        <v>5862</v>
      </c>
      <c r="C2596" t="s">
        <v>5863</v>
      </c>
      <c r="D2596" t="s">
        <v>5958</v>
      </c>
      <c r="E2596" s="10" t="s">
        <v>5961</v>
      </c>
      <c r="F2596" s="10"/>
      <c r="G2596" s="10"/>
      <c r="H2596" s="10" t="s">
        <v>5961</v>
      </c>
      <c r="I2596" s="14">
        <v>53609.768397437874</v>
      </c>
      <c r="J2596" s="19">
        <v>0</v>
      </c>
      <c r="K2596" s="19">
        <v>0.60980993600298861</v>
      </c>
      <c r="L2596" s="19">
        <v>0.39019006399701139</v>
      </c>
      <c r="M2596" s="20">
        <v>2</v>
      </c>
      <c r="N2596" s="19">
        <v>0.16523374118328946</v>
      </c>
      <c r="O2596" s="19">
        <v>0</v>
      </c>
      <c r="P2596" s="19">
        <v>0.44457619481969912</v>
      </c>
      <c r="Q2596" s="19">
        <v>7.3931156540927606E-2</v>
      </c>
      <c r="R2596" s="19">
        <v>0.29586578882633785</v>
      </c>
      <c r="S2596" s="19">
        <v>2.0393118629745997E-2</v>
      </c>
      <c r="T2596" s="20">
        <v>23</v>
      </c>
      <c r="U2596" s="17">
        <v>3</v>
      </c>
      <c r="V2596" s="17">
        <v>36</v>
      </c>
    </row>
    <row r="2597" spans="1:22" x14ac:dyDescent="0.2">
      <c r="A2597" t="s">
        <v>5962</v>
      </c>
      <c r="B2597" t="s">
        <v>5862</v>
      </c>
      <c r="C2597" t="s">
        <v>5863</v>
      </c>
      <c r="D2597" t="s">
        <v>5958</v>
      </c>
      <c r="E2597" s="10" t="s">
        <v>5963</v>
      </c>
      <c r="F2597" s="10"/>
      <c r="G2597" s="10"/>
      <c r="H2597" s="10" t="s">
        <v>5963</v>
      </c>
      <c r="I2597" s="14">
        <v>92259.145805634209</v>
      </c>
      <c r="J2597" s="19">
        <v>0</v>
      </c>
      <c r="K2597" s="19">
        <v>0.32237190184092845</v>
      </c>
      <c r="L2597" s="19">
        <v>0.67762809815907166</v>
      </c>
      <c r="M2597" s="20">
        <v>1</v>
      </c>
      <c r="N2597" s="19">
        <v>0</v>
      </c>
      <c r="O2597" s="19">
        <v>0.15418955906098961</v>
      </c>
      <c r="P2597" s="19">
        <v>0.16818234277993885</v>
      </c>
      <c r="Q2597" s="19">
        <v>0.25195653526432393</v>
      </c>
      <c r="R2597" s="19">
        <v>0.40258347376965931</v>
      </c>
      <c r="S2597" s="19">
        <v>2.308808912508839E-2</v>
      </c>
      <c r="T2597" s="20">
        <v>12</v>
      </c>
      <c r="U2597" s="17">
        <v>3</v>
      </c>
      <c r="V2597" s="17">
        <v>36</v>
      </c>
    </row>
    <row r="2598" spans="1:22" x14ac:dyDescent="0.2">
      <c r="A2598" t="s">
        <v>5964</v>
      </c>
      <c r="B2598" t="s">
        <v>5862</v>
      </c>
      <c r="C2598" t="s">
        <v>5863</v>
      </c>
      <c r="D2598" t="s">
        <v>5958</v>
      </c>
      <c r="E2598" s="10" t="s">
        <v>5965</v>
      </c>
      <c r="F2598" s="10"/>
      <c r="G2598" s="10"/>
      <c r="H2598" s="10" t="s">
        <v>5965</v>
      </c>
      <c r="I2598" s="14">
        <v>90186.526078156196</v>
      </c>
      <c r="J2598" s="19">
        <v>0</v>
      </c>
      <c r="K2598" s="19">
        <v>0.86489811152898655</v>
      </c>
      <c r="L2598" s="19">
        <v>0.13510188847101345</v>
      </c>
      <c r="M2598" s="20">
        <v>2</v>
      </c>
      <c r="N2598" s="19">
        <v>0.43464852601758985</v>
      </c>
      <c r="O2598" s="19">
        <v>0</v>
      </c>
      <c r="P2598" s="19">
        <v>0.43024958551139669</v>
      </c>
      <c r="Q2598" s="19">
        <v>0</v>
      </c>
      <c r="R2598" s="19">
        <v>0.12796483309702139</v>
      </c>
      <c r="S2598" s="19">
        <v>7.1370553739920385E-3</v>
      </c>
      <c r="T2598" s="20">
        <v>23</v>
      </c>
      <c r="U2598" s="17">
        <v>3</v>
      </c>
      <c r="V2598" s="17">
        <v>36</v>
      </c>
    </row>
    <row r="2599" spans="1:22" x14ac:dyDescent="0.2">
      <c r="A2599" t="s">
        <v>5966</v>
      </c>
      <c r="B2599" t="s">
        <v>5862</v>
      </c>
      <c r="C2599" t="s">
        <v>5863</v>
      </c>
      <c r="D2599" t="s">
        <v>5958</v>
      </c>
      <c r="E2599" s="10" t="s">
        <v>5967</v>
      </c>
      <c r="F2599" s="10"/>
      <c r="G2599" s="10"/>
      <c r="H2599" s="10" t="s">
        <v>5967</v>
      </c>
      <c r="I2599" s="14">
        <v>15867.925026589886</v>
      </c>
      <c r="J2599" s="19">
        <v>0</v>
      </c>
      <c r="K2599" s="19">
        <v>0.16045805841547461</v>
      </c>
      <c r="L2599" s="19">
        <v>0.83954194158452533</v>
      </c>
      <c r="M2599" s="20">
        <v>1</v>
      </c>
      <c r="N2599" s="19">
        <v>9.322595487180925E-2</v>
      </c>
      <c r="O2599" s="19">
        <v>0</v>
      </c>
      <c r="P2599" s="19">
        <v>6.7232103543665364E-2</v>
      </c>
      <c r="Q2599" s="19">
        <v>9.0360431397214169E-2</v>
      </c>
      <c r="R2599" s="19">
        <v>0.73233912357177633</v>
      </c>
      <c r="S2599" s="19">
        <v>1.6842386615534964E-2</v>
      </c>
      <c r="T2599" s="20">
        <v>12</v>
      </c>
      <c r="U2599" s="17">
        <v>3</v>
      </c>
      <c r="V2599" s="17">
        <v>36</v>
      </c>
    </row>
    <row r="2600" spans="1:22" x14ac:dyDescent="0.2">
      <c r="A2600" t="s">
        <v>5968</v>
      </c>
      <c r="B2600" t="s">
        <v>5862</v>
      </c>
      <c r="C2600" t="s">
        <v>5863</v>
      </c>
      <c r="D2600" t="s">
        <v>5958</v>
      </c>
      <c r="E2600" s="10" t="s">
        <v>5969</v>
      </c>
      <c r="F2600" s="10"/>
      <c r="G2600" s="10"/>
      <c r="H2600" s="10" t="s">
        <v>5969</v>
      </c>
      <c r="I2600" s="14">
        <v>175042.90828328917</v>
      </c>
      <c r="J2600" s="19">
        <v>0.42191237216431837</v>
      </c>
      <c r="K2600" s="19">
        <v>0.37235111582657177</v>
      </c>
      <c r="L2600" s="19">
        <v>0.20573651200910986</v>
      </c>
      <c r="M2600" s="20">
        <v>2</v>
      </c>
      <c r="N2600" s="19">
        <v>5.8376601164423496E-2</v>
      </c>
      <c r="O2600" s="19">
        <v>0</v>
      </c>
      <c r="P2600" s="19">
        <v>0.31397451466214832</v>
      </c>
      <c r="Q2600" s="19">
        <v>1.9335365127756767E-2</v>
      </c>
      <c r="R2600" s="19">
        <v>0.1789408605395171</v>
      </c>
      <c r="S2600" s="19">
        <v>7.4602863418359909E-3</v>
      </c>
      <c r="T2600" s="20">
        <v>23</v>
      </c>
      <c r="U2600" s="17">
        <v>3</v>
      </c>
      <c r="V2600" s="17">
        <v>36</v>
      </c>
    </row>
    <row r="2601" spans="1:22" x14ac:dyDescent="0.2">
      <c r="A2601" t="s">
        <v>5970</v>
      </c>
      <c r="B2601" t="s">
        <v>5862</v>
      </c>
      <c r="C2601" t="s">
        <v>5863</v>
      </c>
      <c r="D2601" t="s">
        <v>5958</v>
      </c>
      <c r="E2601" s="10" t="s">
        <v>5971</v>
      </c>
      <c r="F2601" s="10"/>
      <c r="G2601" s="10"/>
      <c r="H2601" s="10" t="s">
        <v>5971</v>
      </c>
      <c r="I2601" s="14">
        <v>89554.476911577396</v>
      </c>
      <c r="J2601" s="19">
        <v>0</v>
      </c>
      <c r="K2601" s="19">
        <v>0.36193281798449961</v>
      </c>
      <c r="L2601" s="19">
        <v>0.63806718201550039</v>
      </c>
      <c r="M2601" s="20">
        <v>1</v>
      </c>
      <c r="N2601" s="19">
        <v>9.8466201353682906E-2</v>
      </c>
      <c r="O2601" s="19">
        <v>7.9926826035715784E-2</v>
      </c>
      <c r="P2601" s="19">
        <v>0.18353979059510092</v>
      </c>
      <c r="Q2601" s="19">
        <v>0.15427317440475974</v>
      </c>
      <c r="R2601" s="19">
        <v>0.4535500409720517</v>
      </c>
      <c r="S2601" s="19">
        <v>3.0243966638688943E-2</v>
      </c>
      <c r="T2601" s="20">
        <v>12</v>
      </c>
      <c r="U2601" s="17">
        <v>3</v>
      </c>
      <c r="V2601" s="17">
        <v>36</v>
      </c>
    </row>
    <row r="2602" spans="1:22" x14ac:dyDescent="0.2">
      <c r="A2602" t="s">
        <v>5972</v>
      </c>
      <c r="B2602" t="s">
        <v>5862</v>
      </c>
      <c r="C2602" t="s">
        <v>5863</v>
      </c>
      <c r="D2602" t="s">
        <v>5958</v>
      </c>
      <c r="E2602" s="10" t="s">
        <v>5973</v>
      </c>
      <c r="F2602" s="10"/>
      <c r="G2602" s="10"/>
      <c r="H2602" s="10" t="s">
        <v>5973</v>
      </c>
      <c r="I2602" s="14">
        <v>40775.052506618435</v>
      </c>
      <c r="J2602" s="19">
        <v>0</v>
      </c>
      <c r="K2602" s="19">
        <v>0.46813939827516532</v>
      </c>
      <c r="L2602" s="19">
        <v>0.53186060172483463</v>
      </c>
      <c r="M2602" s="20">
        <v>1</v>
      </c>
      <c r="N2602" s="19">
        <v>0.2077416542454579</v>
      </c>
      <c r="O2602" s="19">
        <v>0.18482590229720913</v>
      </c>
      <c r="P2602" s="19">
        <v>7.5571841732498285E-2</v>
      </c>
      <c r="Q2602" s="19">
        <v>8.3500665724080034E-2</v>
      </c>
      <c r="R2602" s="19">
        <v>0.3820987678624172</v>
      </c>
      <c r="S2602" s="19">
        <v>6.626116813833749E-2</v>
      </c>
      <c r="T2602" s="20">
        <v>12</v>
      </c>
      <c r="U2602" s="17">
        <v>3</v>
      </c>
      <c r="V2602" s="17">
        <v>36</v>
      </c>
    </row>
    <row r="2603" spans="1:22" x14ac:dyDescent="0.2">
      <c r="A2603" t="s">
        <v>5974</v>
      </c>
      <c r="B2603" t="s">
        <v>5862</v>
      </c>
      <c r="C2603" t="s">
        <v>5863</v>
      </c>
      <c r="D2603" t="s">
        <v>5958</v>
      </c>
      <c r="E2603" s="10" t="s">
        <v>5975</v>
      </c>
      <c r="F2603" s="10"/>
      <c r="G2603" s="10"/>
      <c r="H2603" s="10" t="s">
        <v>5975</v>
      </c>
      <c r="I2603" s="14">
        <v>14593.143477179809</v>
      </c>
      <c r="J2603" s="19">
        <v>0</v>
      </c>
      <c r="K2603" s="19">
        <v>0.39209361863068504</v>
      </c>
      <c r="L2603" s="19">
        <v>0.60790638136931496</v>
      </c>
      <c r="M2603" s="20">
        <v>1</v>
      </c>
      <c r="N2603" s="19">
        <v>0</v>
      </c>
      <c r="O2603" s="19">
        <v>0.38798296615171191</v>
      </c>
      <c r="P2603" s="19">
        <v>4.1106524789731782E-3</v>
      </c>
      <c r="Q2603" s="19">
        <v>3.1129736137021007E-2</v>
      </c>
      <c r="R2603" s="19">
        <v>0.50341223980116945</v>
      </c>
      <c r="S2603" s="19">
        <v>7.3364405431124491E-2</v>
      </c>
      <c r="T2603" s="20">
        <v>12</v>
      </c>
      <c r="U2603" s="17">
        <v>3</v>
      </c>
      <c r="V2603" s="17">
        <v>36</v>
      </c>
    </row>
    <row r="2604" spans="1:22" x14ac:dyDescent="0.2">
      <c r="A2604" t="s">
        <v>5976</v>
      </c>
      <c r="B2604" t="s">
        <v>5862</v>
      </c>
      <c r="C2604" t="s">
        <v>5863</v>
      </c>
      <c r="D2604" t="s">
        <v>5958</v>
      </c>
      <c r="E2604" s="10" t="s">
        <v>5977</v>
      </c>
      <c r="F2604" s="10"/>
      <c r="G2604" s="10"/>
      <c r="H2604" s="10" t="s">
        <v>5977</v>
      </c>
      <c r="I2604" s="14">
        <v>76112.397386348806</v>
      </c>
      <c r="J2604" s="19">
        <v>0</v>
      </c>
      <c r="K2604" s="19">
        <v>0.16741268429811343</v>
      </c>
      <c r="L2604" s="19">
        <v>0.8325873157018866</v>
      </c>
      <c r="M2604" s="20">
        <v>1</v>
      </c>
      <c r="N2604" s="19">
        <v>0</v>
      </c>
      <c r="O2604" s="19">
        <v>0.16741268429811343</v>
      </c>
      <c r="P2604" s="19">
        <v>0</v>
      </c>
      <c r="Q2604" s="19">
        <v>0.28318541836749755</v>
      </c>
      <c r="R2604" s="19">
        <v>0.45980626803072577</v>
      </c>
      <c r="S2604" s="19">
        <v>8.9595629303663257E-2</v>
      </c>
      <c r="T2604" s="20">
        <v>12</v>
      </c>
      <c r="U2604" s="17">
        <v>3</v>
      </c>
      <c r="V2604" s="17">
        <v>36</v>
      </c>
    </row>
    <row r="2605" spans="1:22" x14ac:dyDescent="0.2">
      <c r="A2605" t="s">
        <v>5978</v>
      </c>
      <c r="B2605" t="s">
        <v>5862</v>
      </c>
      <c r="C2605" t="s">
        <v>5863</v>
      </c>
      <c r="D2605" t="s">
        <v>5958</v>
      </c>
      <c r="E2605" s="10" t="s">
        <v>5979</v>
      </c>
      <c r="F2605" s="10"/>
      <c r="G2605" s="10"/>
      <c r="H2605" s="10" t="s">
        <v>5979</v>
      </c>
      <c r="I2605" s="14">
        <v>43095.926945348969</v>
      </c>
      <c r="J2605" s="19">
        <v>0</v>
      </c>
      <c r="K2605" s="19">
        <v>0.14159428914362665</v>
      </c>
      <c r="L2605" s="19">
        <v>0.85840571085637341</v>
      </c>
      <c r="M2605" s="20">
        <v>1</v>
      </c>
      <c r="N2605" s="19">
        <v>0</v>
      </c>
      <c r="O2605" s="19">
        <v>0.14159428914362665</v>
      </c>
      <c r="P2605" s="19">
        <v>0</v>
      </c>
      <c r="Q2605" s="19">
        <v>0.14569760704155682</v>
      </c>
      <c r="R2605" s="19">
        <v>0.53828968522992116</v>
      </c>
      <c r="S2605" s="19">
        <v>0.17441841858489546</v>
      </c>
      <c r="T2605" s="20">
        <v>12</v>
      </c>
      <c r="U2605" s="17">
        <v>3</v>
      </c>
      <c r="V2605" s="17">
        <v>36</v>
      </c>
    </row>
    <row r="2606" spans="1:22" x14ac:dyDescent="0.2">
      <c r="A2606" t="s">
        <v>5980</v>
      </c>
      <c r="B2606" t="s">
        <v>5862</v>
      </c>
      <c r="C2606" t="s">
        <v>5863</v>
      </c>
      <c r="D2606" t="s">
        <v>5981</v>
      </c>
      <c r="E2606" s="10" t="s">
        <v>5982</v>
      </c>
      <c r="F2606" s="10"/>
      <c r="G2606" s="10"/>
      <c r="H2606" s="10" t="s">
        <v>5982</v>
      </c>
      <c r="I2606" s="14">
        <v>38512.364024234936</v>
      </c>
      <c r="J2606" s="19">
        <v>0</v>
      </c>
      <c r="K2606" s="19">
        <v>0.13228060146094078</v>
      </c>
      <c r="L2606" s="19">
        <v>0.86771939853905922</v>
      </c>
      <c r="M2606" s="20">
        <v>1</v>
      </c>
      <c r="N2606" s="19">
        <v>0</v>
      </c>
      <c r="O2606" s="19">
        <v>0.13228060146094078</v>
      </c>
      <c r="P2606" s="19">
        <v>0</v>
      </c>
      <c r="Q2606" s="19">
        <v>0.11857161426798853</v>
      </c>
      <c r="R2606" s="19">
        <v>0.61635329783477766</v>
      </c>
      <c r="S2606" s="19">
        <v>0.13279448643629302</v>
      </c>
      <c r="T2606" s="20">
        <v>12</v>
      </c>
      <c r="U2606" s="17">
        <v>3</v>
      </c>
      <c r="V2606" s="17">
        <v>36</v>
      </c>
    </row>
    <row r="2607" spans="1:22" x14ac:dyDescent="0.2">
      <c r="A2607" t="s">
        <v>5983</v>
      </c>
      <c r="B2607" t="s">
        <v>5862</v>
      </c>
      <c r="C2607" t="s">
        <v>5863</v>
      </c>
      <c r="D2607" t="s">
        <v>5981</v>
      </c>
      <c r="E2607" s="10" t="s">
        <v>5984</v>
      </c>
      <c r="F2607" s="10"/>
      <c r="G2607" s="10"/>
      <c r="H2607" s="10" t="s">
        <v>5984</v>
      </c>
      <c r="I2607" s="14">
        <v>11727.885338724358</v>
      </c>
      <c r="J2607" s="19">
        <v>0</v>
      </c>
      <c r="K2607" s="19">
        <v>0</v>
      </c>
      <c r="L2607" s="19">
        <v>1</v>
      </c>
      <c r="M2607" s="20">
        <v>1</v>
      </c>
      <c r="N2607" s="19">
        <v>0</v>
      </c>
      <c r="O2607" s="19">
        <v>0</v>
      </c>
      <c r="P2607" s="19">
        <v>0</v>
      </c>
      <c r="Q2607" s="19">
        <v>0.25514897920697155</v>
      </c>
      <c r="R2607" s="19">
        <v>0.5634108088526214</v>
      </c>
      <c r="S2607" s="19">
        <v>0.18144021194040708</v>
      </c>
      <c r="T2607" s="20">
        <v>12</v>
      </c>
      <c r="U2607" s="17">
        <v>3</v>
      </c>
      <c r="V2607" s="17">
        <v>36</v>
      </c>
    </row>
    <row r="2608" spans="1:22" x14ac:dyDescent="0.2">
      <c r="A2608" t="s">
        <v>5985</v>
      </c>
      <c r="B2608" t="s">
        <v>5862</v>
      </c>
      <c r="C2608" t="s">
        <v>5863</v>
      </c>
      <c r="D2608" t="s">
        <v>5981</v>
      </c>
      <c r="E2608" s="10" t="s">
        <v>5986</v>
      </c>
      <c r="F2608" s="10"/>
      <c r="G2608" s="10"/>
      <c r="H2608" s="10" t="s">
        <v>5986</v>
      </c>
      <c r="I2608" s="14">
        <v>12889.791094118264</v>
      </c>
      <c r="J2608" s="19">
        <v>0</v>
      </c>
      <c r="K2608" s="19">
        <v>0</v>
      </c>
      <c r="L2608" s="19">
        <v>1</v>
      </c>
      <c r="M2608" s="20">
        <v>1</v>
      </c>
      <c r="N2608" s="19">
        <v>0</v>
      </c>
      <c r="O2608" s="19">
        <v>0</v>
      </c>
      <c r="P2608" s="19">
        <v>0</v>
      </c>
      <c r="Q2608" s="19">
        <v>0</v>
      </c>
      <c r="R2608" s="19">
        <v>0.6996028405010003</v>
      </c>
      <c r="S2608" s="19">
        <v>0.30039715949899976</v>
      </c>
      <c r="T2608" s="20">
        <v>12</v>
      </c>
      <c r="U2608" s="17">
        <v>3</v>
      </c>
      <c r="V2608" s="17">
        <v>36</v>
      </c>
    </row>
    <row r="2609" spans="1:22" x14ac:dyDescent="0.2">
      <c r="A2609" t="s">
        <v>5987</v>
      </c>
      <c r="B2609" t="s">
        <v>5862</v>
      </c>
      <c r="C2609" t="s">
        <v>5863</v>
      </c>
      <c r="D2609" t="s">
        <v>5981</v>
      </c>
      <c r="E2609" s="10" t="s">
        <v>5988</v>
      </c>
      <c r="F2609" s="10"/>
      <c r="G2609" s="10"/>
      <c r="H2609" s="10" t="s">
        <v>5988</v>
      </c>
      <c r="I2609" s="14">
        <v>23846.132505029673</v>
      </c>
      <c r="J2609" s="19">
        <v>0</v>
      </c>
      <c r="K2609" s="19">
        <v>0</v>
      </c>
      <c r="L2609" s="19">
        <v>1</v>
      </c>
      <c r="M2609" s="20">
        <v>1</v>
      </c>
      <c r="N2609" s="19">
        <v>0</v>
      </c>
      <c r="O2609" s="19">
        <v>0</v>
      </c>
      <c r="P2609" s="19">
        <v>0</v>
      </c>
      <c r="Q2609" s="19">
        <v>0.41904083208700865</v>
      </c>
      <c r="R2609" s="19">
        <v>0.51781942583509799</v>
      </c>
      <c r="S2609" s="19">
        <v>6.3139742077893302E-2</v>
      </c>
      <c r="T2609" s="20">
        <v>12</v>
      </c>
      <c r="U2609" s="17">
        <v>3</v>
      </c>
      <c r="V2609" s="17">
        <v>36</v>
      </c>
    </row>
    <row r="2610" spans="1:22" x14ac:dyDescent="0.2">
      <c r="A2610" t="s">
        <v>5989</v>
      </c>
      <c r="B2610" t="s">
        <v>5862</v>
      </c>
      <c r="C2610" t="s">
        <v>5863</v>
      </c>
      <c r="D2610" t="s">
        <v>5981</v>
      </c>
      <c r="E2610" s="10" t="s">
        <v>5990</v>
      </c>
      <c r="F2610" s="10"/>
      <c r="G2610" s="10"/>
      <c r="H2610" s="10" t="s">
        <v>5990</v>
      </c>
      <c r="I2610" s="14">
        <v>51670.875411908841</v>
      </c>
      <c r="J2610" s="19">
        <v>0</v>
      </c>
      <c r="K2610" s="19">
        <v>0.51053191191642422</v>
      </c>
      <c r="L2610" s="19">
        <v>0.48946808808357578</v>
      </c>
      <c r="M2610" s="20">
        <v>2</v>
      </c>
      <c r="N2610" s="19">
        <v>0.23557853372621582</v>
      </c>
      <c r="O2610" s="19">
        <v>1.909282177816168E-3</v>
      </c>
      <c r="P2610" s="19">
        <v>0.27304409601239221</v>
      </c>
      <c r="Q2610" s="19">
        <v>0.12211907315504872</v>
      </c>
      <c r="R2610" s="19">
        <v>0.34094979588334684</v>
      </c>
      <c r="S2610" s="19">
        <v>2.6399219045180229E-2</v>
      </c>
      <c r="T2610" s="20">
        <v>23</v>
      </c>
      <c r="U2610" s="17">
        <v>3</v>
      </c>
      <c r="V2610" s="17">
        <v>36</v>
      </c>
    </row>
    <row r="2611" spans="1:22" x14ac:dyDescent="0.2">
      <c r="A2611" t="s">
        <v>5991</v>
      </c>
      <c r="B2611" t="s">
        <v>5862</v>
      </c>
      <c r="C2611" t="s">
        <v>5863</v>
      </c>
      <c r="D2611" t="s">
        <v>5981</v>
      </c>
      <c r="E2611" s="10" t="s">
        <v>5992</v>
      </c>
      <c r="F2611" s="10"/>
      <c r="G2611" s="10"/>
      <c r="H2611" s="10" t="s">
        <v>5992</v>
      </c>
      <c r="I2611" s="14">
        <v>47931.211915499065</v>
      </c>
      <c r="J2611" s="19">
        <v>0</v>
      </c>
      <c r="K2611" s="19">
        <v>0.50961570171115689</v>
      </c>
      <c r="L2611" s="19">
        <v>0.49038429828884306</v>
      </c>
      <c r="M2611" s="20">
        <v>2</v>
      </c>
      <c r="N2611" s="19">
        <v>0</v>
      </c>
      <c r="O2611" s="19">
        <v>0.50961570171115689</v>
      </c>
      <c r="P2611" s="19">
        <v>0</v>
      </c>
      <c r="Q2611" s="19">
        <v>0.12409846467963163</v>
      </c>
      <c r="R2611" s="19">
        <v>0.32468718371816396</v>
      </c>
      <c r="S2611" s="19">
        <v>4.1598649891047459E-2</v>
      </c>
      <c r="T2611" s="20">
        <v>22</v>
      </c>
      <c r="U2611" s="17">
        <v>3</v>
      </c>
      <c r="V2611" s="17">
        <v>36</v>
      </c>
    </row>
    <row r="2612" spans="1:22" x14ac:dyDescent="0.2">
      <c r="A2612" t="s">
        <v>5993</v>
      </c>
      <c r="B2612" t="s">
        <v>5862</v>
      </c>
      <c r="C2612" t="s">
        <v>5863</v>
      </c>
      <c r="D2612" t="s">
        <v>5981</v>
      </c>
      <c r="E2612" s="10" t="s">
        <v>5994</v>
      </c>
      <c r="F2612" s="10"/>
      <c r="G2612" s="10"/>
      <c r="H2612" s="10" t="s">
        <v>5994</v>
      </c>
      <c r="I2612" s="14">
        <v>33546.387112604687</v>
      </c>
      <c r="J2612" s="19">
        <v>0</v>
      </c>
      <c r="K2612" s="19">
        <v>0.72779981072143329</v>
      </c>
      <c r="L2612" s="19">
        <v>0.27220018927856671</v>
      </c>
      <c r="M2612" s="20">
        <v>2</v>
      </c>
      <c r="N2612" s="19">
        <v>0</v>
      </c>
      <c r="O2612" s="19">
        <v>0</v>
      </c>
      <c r="P2612" s="19">
        <v>0.72779981072143329</v>
      </c>
      <c r="Q2612" s="19">
        <v>3.412813909219424E-2</v>
      </c>
      <c r="R2612" s="19">
        <v>0.21634482670763899</v>
      </c>
      <c r="S2612" s="19">
        <v>2.1727223478733449E-2</v>
      </c>
      <c r="T2612" s="20">
        <v>21</v>
      </c>
      <c r="U2612" s="17">
        <v>3</v>
      </c>
      <c r="V2612" s="17">
        <v>36</v>
      </c>
    </row>
    <row r="2613" spans="1:22" x14ac:dyDescent="0.2">
      <c r="A2613" t="s">
        <v>5995</v>
      </c>
      <c r="B2613" t="s">
        <v>5862</v>
      </c>
      <c r="C2613" t="s">
        <v>5863</v>
      </c>
      <c r="D2613" t="s">
        <v>5981</v>
      </c>
      <c r="E2613" s="10" t="s">
        <v>5996</v>
      </c>
      <c r="F2613" s="10"/>
      <c r="G2613" s="10"/>
      <c r="H2613" s="10" t="s">
        <v>5996</v>
      </c>
      <c r="I2613" s="14">
        <v>18385.074756727903</v>
      </c>
      <c r="J2613" s="19">
        <v>0</v>
      </c>
      <c r="K2613" s="19">
        <v>0</v>
      </c>
      <c r="L2613" s="19">
        <v>1</v>
      </c>
      <c r="M2613" s="20">
        <v>1</v>
      </c>
      <c r="N2613" s="19">
        <v>0</v>
      </c>
      <c r="O2613" s="19">
        <v>0</v>
      </c>
      <c r="P2613" s="19">
        <v>0</v>
      </c>
      <c r="Q2613" s="19">
        <v>0.2218660249322969</v>
      </c>
      <c r="R2613" s="19">
        <v>0.64164349722530889</v>
      </c>
      <c r="S2613" s="19">
        <v>0.13649047784239421</v>
      </c>
      <c r="T2613" s="20">
        <v>12</v>
      </c>
      <c r="U2613" s="17">
        <v>3</v>
      </c>
      <c r="V2613" s="17">
        <v>36</v>
      </c>
    </row>
    <row r="2614" spans="1:22" x14ac:dyDescent="0.2">
      <c r="A2614" t="s">
        <v>5997</v>
      </c>
      <c r="B2614" t="s">
        <v>5862</v>
      </c>
      <c r="C2614" t="s">
        <v>5863</v>
      </c>
      <c r="D2614" t="s">
        <v>5998</v>
      </c>
      <c r="E2614" s="10" t="s">
        <v>5999</v>
      </c>
      <c r="F2614" s="10"/>
      <c r="G2614" s="10"/>
      <c r="H2614" s="10" t="s">
        <v>5999</v>
      </c>
      <c r="I2614" s="14">
        <v>38883.840089046047</v>
      </c>
      <c r="J2614" s="19">
        <v>0</v>
      </c>
      <c r="K2614" s="19">
        <v>0.35560740537773394</v>
      </c>
      <c r="L2614" s="19">
        <v>0.64439259462226606</v>
      </c>
      <c r="M2614" s="20">
        <v>1</v>
      </c>
      <c r="N2614" s="19">
        <v>0</v>
      </c>
      <c r="O2614" s="19">
        <v>0.35560740537773394</v>
      </c>
      <c r="P2614" s="19">
        <v>0</v>
      </c>
      <c r="Q2614" s="19">
        <v>0.16848398260146952</v>
      </c>
      <c r="R2614" s="19">
        <v>0.42302435331852267</v>
      </c>
      <c r="S2614" s="19">
        <v>5.2884258702273867E-2</v>
      </c>
      <c r="T2614" s="20">
        <v>12</v>
      </c>
      <c r="U2614" s="17">
        <v>3</v>
      </c>
      <c r="V2614" s="17">
        <v>36</v>
      </c>
    </row>
    <row r="2615" spans="1:22" x14ac:dyDescent="0.2">
      <c r="A2615" t="s">
        <v>6000</v>
      </c>
      <c r="B2615" t="s">
        <v>5862</v>
      </c>
      <c r="C2615" t="s">
        <v>5863</v>
      </c>
      <c r="D2615" t="s">
        <v>5998</v>
      </c>
      <c r="E2615" s="10" t="s">
        <v>6001</v>
      </c>
      <c r="F2615" s="10"/>
      <c r="G2615" s="10"/>
      <c r="H2615" s="10" t="s">
        <v>6001</v>
      </c>
      <c r="I2615" s="14">
        <v>39659.071022753837</v>
      </c>
      <c r="J2615" s="19">
        <v>0</v>
      </c>
      <c r="K2615" s="19">
        <v>0.37958257027375514</v>
      </c>
      <c r="L2615" s="19">
        <v>0.62041742972624492</v>
      </c>
      <c r="M2615" s="20">
        <v>1</v>
      </c>
      <c r="N2615" s="19">
        <v>0.15329977689299054</v>
      </c>
      <c r="O2615" s="19">
        <v>0</v>
      </c>
      <c r="P2615" s="19">
        <v>0.2262827933807646</v>
      </c>
      <c r="Q2615" s="19">
        <v>0.30784048838007694</v>
      </c>
      <c r="R2615" s="19">
        <v>0.24460765245271859</v>
      </c>
      <c r="S2615" s="19">
        <v>6.7969288893449289E-2</v>
      </c>
      <c r="T2615" s="20">
        <v>13</v>
      </c>
      <c r="U2615" s="17">
        <v>3</v>
      </c>
      <c r="V2615" s="17">
        <v>36</v>
      </c>
    </row>
    <row r="2616" spans="1:22" x14ac:dyDescent="0.2">
      <c r="A2616" t="s">
        <v>6002</v>
      </c>
      <c r="B2616" t="s">
        <v>5862</v>
      </c>
      <c r="C2616" t="s">
        <v>5863</v>
      </c>
      <c r="D2616" t="s">
        <v>5998</v>
      </c>
      <c r="E2616" s="10" t="s">
        <v>6003</v>
      </c>
      <c r="F2616" s="10"/>
      <c r="G2616" s="10"/>
      <c r="H2616" s="10" t="s">
        <v>6003</v>
      </c>
      <c r="I2616" s="14">
        <v>31232.158211045313</v>
      </c>
      <c r="J2616" s="19">
        <v>0</v>
      </c>
      <c r="K2616" s="19">
        <v>0</v>
      </c>
      <c r="L2616" s="19">
        <v>1</v>
      </c>
      <c r="M2616" s="20">
        <v>1</v>
      </c>
      <c r="N2616" s="19">
        <v>0</v>
      </c>
      <c r="O2616" s="19">
        <v>0</v>
      </c>
      <c r="P2616" s="19">
        <v>0</v>
      </c>
      <c r="Q2616" s="19">
        <v>0.6695580556451689</v>
      </c>
      <c r="R2616" s="19">
        <v>0.2881563298899632</v>
      </c>
      <c r="S2616" s="19">
        <v>4.2285614464868046E-2</v>
      </c>
      <c r="T2616" s="20">
        <v>13</v>
      </c>
      <c r="U2616" s="17">
        <v>3</v>
      </c>
      <c r="V2616" s="17">
        <v>36</v>
      </c>
    </row>
    <row r="2617" spans="1:22" x14ac:dyDescent="0.2">
      <c r="A2617" t="s">
        <v>6004</v>
      </c>
      <c r="B2617" t="s">
        <v>5862</v>
      </c>
      <c r="C2617" t="s">
        <v>5863</v>
      </c>
      <c r="D2617" t="s">
        <v>5998</v>
      </c>
      <c r="E2617" s="10" t="s">
        <v>6005</v>
      </c>
      <c r="F2617" s="10"/>
      <c r="G2617" s="10"/>
      <c r="H2617" s="10" t="s">
        <v>6005</v>
      </c>
      <c r="I2617" s="14">
        <v>52941.650710296584</v>
      </c>
      <c r="J2617" s="19">
        <v>0</v>
      </c>
      <c r="K2617" s="19">
        <v>0.17743446883642394</v>
      </c>
      <c r="L2617" s="19">
        <v>0.82256553116357611</v>
      </c>
      <c r="M2617" s="20">
        <v>1</v>
      </c>
      <c r="N2617" s="19">
        <v>0</v>
      </c>
      <c r="O2617" s="19">
        <v>0.17743446883642394</v>
      </c>
      <c r="P2617" s="19">
        <v>0</v>
      </c>
      <c r="Q2617" s="19">
        <v>0.47817108343691328</v>
      </c>
      <c r="R2617" s="19">
        <v>0.27394278779007614</v>
      </c>
      <c r="S2617" s="19">
        <v>7.0451659936586586E-2</v>
      </c>
      <c r="T2617" s="20">
        <v>13</v>
      </c>
      <c r="U2617" s="17">
        <v>3</v>
      </c>
      <c r="V2617" s="17">
        <v>36</v>
      </c>
    </row>
    <row r="2618" spans="1:22" x14ac:dyDescent="0.2">
      <c r="A2618" t="s">
        <v>6006</v>
      </c>
      <c r="B2618" t="s">
        <v>5862</v>
      </c>
      <c r="C2618" t="s">
        <v>5863</v>
      </c>
      <c r="D2618" t="s">
        <v>5998</v>
      </c>
      <c r="E2618" s="10" t="s">
        <v>6007</v>
      </c>
      <c r="F2618" s="10"/>
      <c r="G2618" s="10"/>
      <c r="H2618" s="10" t="s">
        <v>6007</v>
      </c>
      <c r="I2618" s="14">
        <v>8500.7552268913714</v>
      </c>
      <c r="J2618" s="19">
        <v>0</v>
      </c>
      <c r="K2618" s="19">
        <v>0</v>
      </c>
      <c r="L2618" s="19">
        <v>1</v>
      </c>
      <c r="M2618" s="20">
        <v>1</v>
      </c>
      <c r="N2618" s="19">
        <v>0</v>
      </c>
      <c r="O2618" s="19">
        <v>0</v>
      </c>
      <c r="P2618" s="19">
        <v>0</v>
      </c>
      <c r="Q2618" s="19">
        <v>0.10120063490329832</v>
      </c>
      <c r="R2618" s="19">
        <v>0.66387258528603088</v>
      </c>
      <c r="S2618" s="19">
        <v>0.23492677981067067</v>
      </c>
      <c r="T2618" s="20">
        <v>12</v>
      </c>
      <c r="U2618" s="17">
        <v>3</v>
      </c>
      <c r="V2618" s="17">
        <v>36</v>
      </c>
    </row>
    <row r="2619" spans="1:22" x14ac:dyDescent="0.2">
      <c r="A2619" t="s">
        <v>6008</v>
      </c>
      <c r="B2619" t="s">
        <v>5862</v>
      </c>
      <c r="C2619" t="s">
        <v>5863</v>
      </c>
      <c r="D2619" t="s">
        <v>5998</v>
      </c>
      <c r="E2619" s="10" t="s">
        <v>6009</v>
      </c>
      <c r="F2619" s="10"/>
      <c r="G2619" s="10"/>
      <c r="H2619" s="10" t="s">
        <v>6009</v>
      </c>
      <c r="I2619" s="14">
        <v>62276.461857677197</v>
      </c>
      <c r="J2619" s="19">
        <v>0</v>
      </c>
      <c r="K2619" s="19">
        <v>0.21144372041349618</v>
      </c>
      <c r="L2619" s="19">
        <v>0.78855627958650398</v>
      </c>
      <c r="M2619" s="20">
        <v>1</v>
      </c>
      <c r="N2619" s="19">
        <v>0.17532487290286194</v>
      </c>
      <c r="O2619" s="19">
        <v>0</v>
      </c>
      <c r="P2619" s="19">
        <v>3.6118847510634246E-2</v>
      </c>
      <c r="Q2619" s="19">
        <v>0.48386877578042597</v>
      </c>
      <c r="R2619" s="19">
        <v>0.25100756387651585</v>
      </c>
      <c r="S2619" s="19">
        <v>5.3679939929562076E-2</v>
      </c>
      <c r="T2619" s="20">
        <v>13</v>
      </c>
      <c r="U2619" s="17">
        <v>3</v>
      </c>
      <c r="V2619" s="17">
        <v>36</v>
      </c>
    </row>
    <row r="2620" spans="1:22" x14ac:dyDescent="0.2">
      <c r="A2620" t="s">
        <v>6010</v>
      </c>
      <c r="B2620" t="s">
        <v>5862</v>
      </c>
      <c r="C2620" t="s">
        <v>5863</v>
      </c>
      <c r="D2620" t="s">
        <v>5998</v>
      </c>
      <c r="E2620" s="10" t="s">
        <v>6011</v>
      </c>
      <c r="F2620" s="10"/>
      <c r="G2620" s="10"/>
      <c r="H2620" s="10" t="s">
        <v>6011</v>
      </c>
      <c r="I2620" s="14">
        <v>79135.019244908821</v>
      </c>
      <c r="J2620" s="19">
        <v>0</v>
      </c>
      <c r="K2620" s="19">
        <v>0.14348875689052781</v>
      </c>
      <c r="L2620" s="19">
        <v>0.85651124310947224</v>
      </c>
      <c r="M2620" s="20">
        <v>1</v>
      </c>
      <c r="N2620" s="19">
        <v>0</v>
      </c>
      <c r="O2620" s="19">
        <v>0.14348875689052781</v>
      </c>
      <c r="P2620" s="19">
        <v>0</v>
      </c>
      <c r="Q2620" s="19">
        <v>0.43228301466405672</v>
      </c>
      <c r="R2620" s="19">
        <v>0.34811395220983321</v>
      </c>
      <c r="S2620" s="19">
        <v>7.6114276235582257E-2</v>
      </c>
      <c r="T2620" s="20">
        <v>13</v>
      </c>
      <c r="U2620" s="17">
        <v>3</v>
      </c>
      <c r="V2620" s="17">
        <v>36</v>
      </c>
    </row>
    <row r="2621" spans="1:22" x14ac:dyDescent="0.2">
      <c r="A2621" t="s">
        <v>6012</v>
      </c>
      <c r="B2621" t="s">
        <v>5862</v>
      </c>
      <c r="C2621" t="s">
        <v>5863</v>
      </c>
      <c r="D2621" t="s">
        <v>5998</v>
      </c>
      <c r="E2621" s="10" t="s">
        <v>6013</v>
      </c>
      <c r="F2621" s="10"/>
      <c r="G2621" s="10"/>
      <c r="H2621" s="10" t="s">
        <v>6013</v>
      </c>
      <c r="I2621" s="14">
        <v>41806.377045247704</v>
      </c>
      <c r="J2621" s="19">
        <v>0</v>
      </c>
      <c r="K2621" s="19">
        <v>0.27237488069299837</v>
      </c>
      <c r="L2621" s="19">
        <v>0.72762511930700169</v>
      </c>
      <c r="M2621" s="20">
        <v>1</v>
      </c>
      <c r="N2621" s="19">
        <v>0</v>
      </c>
      <c r="O2621" s="19">
        <v>0.27237488069299837</v>
      </c>
      <c r="P2621" s="19">
        <v>0</v>
      </c>
      <c r="Q2621" s="19">
        <v>0.23569703585151219</v>
      </c>
      <c r="R2621" s="19">
        <v>0.4191730494059111</v>
      </c>
      <c r="S2621" s="19">
        <v>7.2755034049578352E-2</v>
      </c>
      <c r="T2621" s="20">
        <v>12</v>
      </c>
      <c r="U2621" s="17">
        <v>3</v>
      </c>
      <c r="V2621" s="17">
        <v>36</v>
      </c>
    </row>
    <row r="2622" spans="1:22" x14ac:dyDescent="0.2">
      <c r="A2622" t="s">
        <v>6014</v>
      </c>
      <c r="B2622" t="s">
        <v>5862</v>
      </c>
      <c r="C2622" t="s">
        <v>5863</v>
      </c>
      <c r="D2622" t="s">
        <v>5998</v>
      </c>
      <c r="E2622" s="10" t="s">
        <v>6015</v>
      </c>
      <c r="F2622" s="10"/>
      <c r="G2622" s="10"/>
      <c r="H2622" s="10" t="s">
        <v>6015</v>
      </c>
      <c r="I2622" s="14">
        <v>38639.357503018691</v>
      </c>
      <c r="J2622" s="19">
        <v>0</v>
      </c>
      <c r="K2622" s="19">
        <v>0</v>
      </c>
      <c r="L2622" s="19">
        <v>1</v>
      </c>
      <c r="M2622" s="20">
        <v>1</v>
      </c>
      <c r="N2622" s="19">
        <v>0</v>
      </c>
      <c r="O2622" s="19">
        <v>0</v>
      </c>
      <c r="P2622" s="19">
        <v>0</v>
      </c>
      <c r="Q2622" s="19">
        <v>0.55978431237925175</v>
      </c>
      <c r="R2622" s="19">
        <v>0.34975081801835994</v>
      </c>
      <c r="S2622" s="19">
        <v>9.0464869602388295E-2</v>
      </c>
      <c r="T2622" s="20">
        <v>13</v>
      </c>
      <c r="U2622" s="17">
        <v>3</v>
      </c>
      <c r="V2622" s="17">
        <v>36</v>
      </c>
    </row>
    <row r="2623" spans="1:22" x14ac:dyDescent="0.2">
      <c r="A2623" t="s">
        <v>6016</v>
      </c>
      <c r="B2623" t="s">
        <v>5862</v>
      </c>
      <c r="C2623" t="s">
        <v>5863</v>
      </c>
      <c r="D2623" t="s">
        <v>5998</v>
      </c>
      <c r="E2623" s="10" t="s">
        <v>6017</v>
      </c>
      <c r="F2623" s="10"/>
      <c r="G2623" s="10"/>
      <c r="H2623" s="10" t="s">
        <v>6017</v>
      </c>
      <c r="I2623" s="14">
        <v>141861.55459959502</v>
      </c>
      <c r="J2623" s="19">
        <v>0</v>
      </c>
      <c r="K2623" s="19">
        <v>0.4715622354695887</v>
      </c>
      <c r="L2623" s="19">
        <v>0.52843776453041125</v>
      </c>
      <c r="M2623" s="20">
        <v>1</v>
      </c>
      <c r="N2623" s="19">
        <v>0.26008594143776209</v>
      </c>
      <c r="O2623" s="19">
        <v>4.2551343363618846E-4</v>
      </c>
      <c r="P2623" s="19">
        <v>0.21105078059819041</v>
      </c>
      <c r="Q2623" s="19">
        <v>0.25063585815964984</v>
      </c>
      <c r="R2623" s="19">
        <v>0.23382434053837448</v>
      </c>
      <c r="S2623" s="19">
        <v>4.397756583238701E-2</v>
      </c>
      <c r="T2623" s="20">
        <v>13</v>
      </c>
      <c r="U2623" s="17">
        <v>3</v>
      </c>
      <c r="V2623" s="17">
        <v>36</v>
      </c>
    </row>
    <row r="2624" spans="1:22" x14ac:dyDescent="0.2">
      <c r="A2624" t="s">
        <v>6018</v>
      </c>
      <c r="B2624" t="s">
        <v>5862</v>
      </c>
      <c r="C2624" t="s">
        <v>5863</v>
      </c>
      <c r="D2624" t="s">
        <v>5998</v>
      </c>
      <c r="E2624" s="10" t="s">
        <v>6019</v>
      </c>
      <c r="F2624" s="10"/>
      <c r="G2624" s="10"/>
      <c r="H2624" s="10" t="s">
        <v>6019</v>
      </c>
      <c r="I2624" s="14">
        <v>17241.931697645807</v>
      </c>
      <c r="J2624" s="19">
        <v>0</v>
      </c>
      <c r="K2624" s="19">
        <v>0</v>
      </c>
      <c r="L2624" s="19">
        <v>1</v>
      </c>
      <c r="M2624" s="20">
        <v>1</v>
      </c>
      <c r="N2624" s="19">
        <v>0</v>
      </c>
      <c r="O2624" s="19">
        <v>0</v>
      </c>
      <c r="P2624" s="19">
        <v>0</v>
      </c>
      <c r="Q2624" s="19">
        <v>0.55501942131341508</v>
      </c>
      <c r="R2624" s="19">
        <v>0.36133855311061192</v>
      </c>
      <c r="S2624" s="19">
        <v>8.3642025575972959E-2</v>
      </c>
      <c r="T2624" s="20">
        <v>13</v>
      </c>
      <c r="U2624" s="17">
        <v>3</v>
      </c>
      <c r="V2624" s="17">
        <v>36</v>
      </c>
    </row>
    <row r="2625" spans="1:22" x14ac:dyDescent="0.2">
      <c r="A2625" t="s">
        <v>6020</v>
      </c>
      <c r="B2625" t="s">
        <v>5862</v>
      </c>
      <c r="C2625" t="s">
        <v>5863</v>
      </c>
      <c r="D2625" t="s">
        <v>5998</v>
      </c>
      <c r="E2625" s="10" t="s">
        <v>6021</v>
      </c>
      <c r="F2625" s="10"/>
      <c r="G2625" s="10"/>
      <c r="H2625" s="10" t="s">
        <v>6021</v>
      </c>
      <c r="I2625" s="14">
        <v>65923.981947616092</v>
      </c>
      <c r="J2625" s="19">
        <v>0</v>
      </c>
      <c r="K2625" s="19">
        <v>0.16493876332458143</v>
      </c>
      <c r="L2625" s="19">
        <v>0.83506123667541854</v>
      </c>
      <c r="M2625" s="20">
        <v>1</v>
      </c>
      <c r="N2625" s="19">
        <v>0</v>
      </c>
      <c r="O2625" s="19">
        <v>0.16493876332458143</v>
      </c>
      <c r="P2625" s="19">
        <v>0</v>
      </c>
      <c r="Q2625" s="19">
        <v>0.46275004015530785</v>
      </c>
      <c r="R2625" s="19">
        <v>0.28972984567802046</v>
      </c>
      <c r="S2625" s="19">
        <v>8.2581350842090256E-2</v>
      </c>
      <c r="T2625" s="20">
        <v>13</v>
      </c>
      <c r="U2625" s="17">
        <v>3</v>
      </c>
      <c r="V2625" s="17">
        <v>36</v>
      </c>
    </row>
    <row r="2626" spans="1:22" x14ac:dyDescent="0.2">
      <c r="A2626" t="s">
        <v>6022</v>
      </c>
      <c r="B2626" t="s">
        <v>5862</v>
      </c>
      <c r="C2626" t="s">
        <v>5863</v>
      </c>
      <c r="D2626" t="s">
        <v>5998</v>
      </c>
      <c r="E2626" s="10" t="s">
        <v>6023</v>
      </c>
      <c r="F2626" s="10"/>
      <c r="G2626" s="10"/>
      <c r="H2626" s="10" t="s">
        <v>6023</v>
      </c>
      <c r="I2626" s="14">
        <v>23840.425853012362</v>
      </c>
      <c r="J2626" s="19">
        <v>0</v>
      </c>
      <c r="K2626" s="19">
        <v>0</v>
      </c>
      <c r="L2626" s="19">
        <v>1</v>
      </c>
      <c r="M2626" s="20">
        <v>1</v>
      </c>
      <c r="N2626" s="19">
        <v>0</v>
      </c>
      <c r="O2626" s="19">
        <v>0</v>
      </c>
      <c r="P2626" s="19">
        <v>0</v>
      </c>
      <c r="Q2626" s="19">
        <v>0.29667765951476632</v>
      </c>
      <c r="R2626" s="19">
        <v>0.5850810559845262</v>
      </c>
      <c r="S2626" s="19">
        <v>0.11824128450070748</v>
      </c>
      <c r="T2626" s="20">
        <v>12</v>
      </c>
      <c r="U2626" s="17">
        <v>3</v>
      </c>
      <c r="V2626" s="17">
        <v>36</v>
      </c>
    </row>
    <row r="2627" spans="1:22" x14ac:dyDescent="0.2">
      <c r="A2627" t="s">
        <v>6024</v>
      </c>
      <c r="B2627" t="s">
        <v>5862</v>
      </c>
      <c r="C2627" t="s">
        <v>5863</v>
      </c>
      <c r="D2627" t="s">
        <v>5998</v>
      </c>
      <c r="E2627" s="10" t="s">
        <v>6025</v>
      </c>
      <c r="F2627" s="10"/>
      <c r="G2627" s="10"/>
      <c r="H2627" s="10" t="s">
        <v>6025</v>
      </c>
      <c r="I2627" s="14">
        <v>19969.009648701292</v>
      </c>
      <c r="J2627" s="19">
        <v>0</v>
      </c>
      <c r="K2627" s="19">
        <v>0</v>
      </c>
      <c r="L2627" s="19">
        <v>1</v>
      </c>
      <c r="M2627" s="20">
        <v>1</v>
      </c>
      <c r="N2627" s="19">
        <v>0</v>
      </c>
      <c r="O2627" s="19">
        <v>0</v>
      </c>
      <c r="P2627" s="19">
        <v>0</v>
      </c>
      <c r="Q2627" s="19">
        <v>0.28256230885118067</v>
      </c>
      <c r="R2627" s="19">
        <v>0.61108266071250483</v>
      </c>
      <c r="S2627" s="19">
        <v>0.10635503043631449</v>
      </c>
      <c r="T2627" s="20">
        <v>12</v>
      </c>
      <c r="U2627" s="17">
        <v>3</v>
      </c>
      <c r="V2627" s="17">
        <v>36</v>
      </c>
    </row>
    <row r="2628" spans="1:22" x14ac:dyDescent="0.2">
      <c r="A2628" t="s">
        <v>6026</v>
      </c>
      <c r="B2628" t="s">
        <v>5862</v>
      </c>
      <c r="C2628" t="s">
        <v>5863</v>
      </c>
      <c r="D2628" t="s">
        <v>5998</v>
      </c>
      <c r="E2628" s="10" t="s">
        <v>6027</v>
      </c>
      <c r="F2628" s="10"/>
      <c r="G2628" s="10"/>
      <c r="H2628" s="10" t="s">
        <v>6027</v>
      </c>
      <c r="I2628" s="14">
        <v>85842.658932963968</v>
      </c>
      <c r="J2628" s="19">
        <v>0</v>
      </c>
      <c r="K2628" s="19">
        <v>0.23638242939871942</v>
      </c>
      <c r="L2628" s="19">
        <v>0.76361757060128055</v>
      </c>
      <c r="M2628" s="20">
        <v>1</v>
      </c>
      <c r="N2628" s="19">
        <v>9.2317452711048451E-2</v>
      </c>
      <c r="O2628" s="19">
        <v>6.9170286092326963E-2</v>
      </c>
      <c r="P2628" s="19">
        <v>7.489469059534401E-2</v>
      </c>
      <c r="Q2628" s="19">
        <v>0.50454988004572365</v>
      </c>
      <c r="R2628" s="19">
        <v>0.21321516472903479</v>
      </c>
      <c r="S2628" s="19">
        <v>4.5852525826522161E-2</v>
      </c>
      <c r="T2628" s="20">
        <v>13</v>
      </c>
      <c r="U2628" s="17">
        <v>3</v>
      </c>
      <c r="V2628" s="17">
        <v>36</v>
      </c>
    </row>
    <row r="2629" spans="1:22" x14ac:dyDescent="0.2">
      <c r="A2629" t="s">
        <v>6028</v>
      </c>
      <c r="B2629" t="s">
        <v>5862</v>
      </c>
      <c r="C2629" t="s">
        <v>5863</v>
      </c>
      <c r="D2629" t="s">
        <v>5998</v>
      </c>
      <c r="E2629" s="10" t="s">
        <v>6029</v>
      </c>
      <c r="F2629" s="10"/>
      <c r="G2629" s="10"/>
      <c r="H2629" s="10" t="s">
        <v>6029</v>
      </c>
      <c r="I2629" s="14">
        <v>44006.429045475903</v>
      </c>
      <c r="J2629" s="19">
        <v>0</v>
      </c>
      <c r="K2629" s="19">
        <v>0</v>
      </c>
      <c r="L2629" s="19">
        <v>1</v>
      </c>
      <c r="M2629" s="20">
        <v>1</v>
      </c>
      <c r="N2629" s="19">
        <v>0</v>
      </c>
      <c r="O2629" s="19">
        <v>0</v>
      </c>
      <c r="P2629" s="19">
        <v>0</v>
      </c>
      <c r="Q2629" s="19">
        <v>0.24481181025144927</v>
      </c>
      <c r="R2629" s="19">
        <v>0.64972146448816959</v>
      </c>
      <c r="S2629" s="19">
        <v>0.10546672526038114</v>
      </c>
      <c r="T2629" s="20">
        <v>12</v>
      </c>
      <c r="U2629" s="17">
        <v>3</v>
      </c>
      <c r="V2629" s="17">
        <v>36</v>
      </c>
    </row>
    <row r="2630" spans="1:22" x14ac:dyDescent="0.2">
      <c r="A2630" t="s">
        <v>6030</v>
      </c>
      <c r="B2630" t="s">
        <v>5862</v>
      </c>
      <c r="C2630" t="s">
        <v>5863</v>
      </c>
      <c r="D2630" t="s">
        <v>6031</v>
      </c>
      <c r="E2630" s="10" t="s">
        <v>6032</v>
      </c>
      <c r="F2630" s="10"/>
      <c r="G2630" s="10"/>
      <c r="H2630" s="10" t="s">
        <v>6032</v>
      </c>
      <c r="I2630" s="14">
        <v>39682.778334840201</v>
      </c>
      <c r="J2630" s="19">
        <v>0</v>
      </c>
      <c r="K2630" s="19">
        <v>0</v>
      </c>
      <c r="L2630" s="19">
        <v>1</v>
      </c>
      <c r="M2630" s="20">
        <v>1</v>
      </c>
      <c r="N2630" s="19">
        <v>0</v>
      </c>
      <c r="O2630" s="19">
        <v>0</v>
      </c>
      <c r="P2630" s="19">
        <v>0</v>
      </c>
      <c r="Q2630" s="19">
        <v>0.23394131621109465</v>
      </c>
      <c r="R2630" s="19">
        <v>0.67409474664062996</v>
      </c>
      <c r="S2630" s="19">
        <v>9.1963937148275485E-2</v>
      </c>
      <c r="T2630" s="20">
        <v>12</v>
      </c>
      <c r="U2630" s="17">
        <v>3</v>
      </c>
      <c r="V2630" s="17">
        <v>36</v>
      </c>
    </row>
    <row r="2631" spans="1:22" x14ac:dyDescent="0.2">
      <c r="A2631" t="s">
        <v>6033</v>
      </c>
      <c r="B2631" t="s">
        <v>5862</v>
      </c>
      <c r="C2631" t="s">
        <v>5863</v>
      </c>
      <c r="D2631" t="s">
        <v>6031</v>
      </c>
      <c r="E2631" s="10" t="s">
        <v>6034</v>
      </c>
      <c r="F2631" s="10"/>
      <c r="G2631" s="10"/>
      <c r="H2631" s="10" t="s">
        <v>6034</v>
      </c>
      <c r="I2631" s="14">
        <v>51933.378403595649</v>
      </c>
      <c r="J2631" s="19">
        <v>0</v>
      </c>
      <c r="K2631" s="19">
        <v>0.33754585005360255</v>
      </c>
      <c r="L2631" s="19">
        <v>0.6624541499463974</v>
      </c>
      <c r="M2631" s="20">
        <v>1</v>
      </c>
      <c r="N2631" s="19">
        <v>0</v>
      </c>
      <c r="O2631" s="19">
        <v>0</v>
      </c>
      <c r="P2631" s="19">
        <v>0.33754585005360255</v>
      </c>
      <c r="Q2631" s="19">
        <v>0.12277909881476036</v>
      </c>
      <c r="R2631" s="19">
        <v>0.51073337474513192</v>
      </c>
      <c r="S2631" s="19">
        <v>2.894167638650515E-2</v>
      </c>
      <c r="T2631" s="20">
        <v>12</v>
      </c>
      <c r="U2631" s="17">
        <v>3</v>
      </c>
      <c r="V2631" s="17">
        <v>36</v>
      </c>
    </row>
    <row r="2632" spans="1:22" x14ac:dyDescent="0.2">
      <c r="A2632" t="s">
        <v>6035</v>
      </c>
      <c r="B2632" t="s">
        <v>5862</v>
      </c>
      <c r="C2632" t="s">
        <v>5863</v>
      </c>
      <c r="D2632" t="s">
        <v>6031</v>
      </c>
      <c r="E2632" s="10" t="s">
        <v>6036</v>
      </c>
      <c r="F2632" s="10"/>
      <c r="G2632" s="10"/>
      <c r="H2632" s="10" t="s">
        <v>6036</v>
      </c>
      <c r="I2632" s="14">
        <v>32840.247773823328</v>
      </c>
      <c r="J2632" s="19">
        <v>0</v>
      </c>
      <c r="K2632" s="19">
        <v>0</v>
      </c>
      <c r="L2632" s="19">
        <v>1</v>
      </c>
      <c r="M2632" s="20">
        <v>1</v>
      </c>
      <c r="N2632" s="19">
        <v>0</v>
      </c>
      <c r="O2632" s="19">
        <v>0</v>
      </c>
      <c r="P2632" s="19">
        <v>0</v>
      </c>
      <c r="Q2632" s="19">
        <v>0.10305261183515423</v>
      </c>
      <c r="R2632" s="19">
        <v>0.64352220578102626</v>
      </c>
      <c r="S2632" s="19">
        <v>0.2534251823838195</v>
      </c>
      <c r="T2632" s="20">
        <v>12</v>
      </c>
      <c r="U2632" s="17">
        <v>3</v>
      </c>
      <c r="V2632" s="17">
        <v>36</v>
      </c>
    </row>
    <row r="2633" spans="1:22" x14ac:dyDescent="0.2">
      <c r="A2633" t="s">
        <v>6037</v>
      </c>
      <c r="B2633" t="s">
        <v>5862</v>
      </c>
      <c r="C2633" t="s">
        <v>5863</v>
      </c>
      <c r="D2633" t="s">
        <v>6031</v>
      </c>
      <c r="E2633" s="10" t="s">
        <v>6038</v>
      </c>
      <c r="F2633" s="10"/>
      <c r="G2633" s="10"/>
      <c r="H2633" s="10" t="s">
        <v>6038</v>
      </c>
      <c r="I2633" s="14">
        <v>51216.398392982199</v>
      </c>
      <c r="J2633" s="19">
        <v>0</v>
      </c>
      <c r="K2633" s="19">
        <v>0.43233967804560153</v>
      </c>
      <c r="L2633" s="19">
        <v>0.56766032195439853</v>
      </c>
      <c r="M2633" s="20">
        <v>1</v>
      </c>
      <c r="N2633" s="19">
        <v>0.14298753574166242</v>
      </c>
      <c r="O2633" s="19">
        <v>0</v>
      </c>
      <c r="P2633" s="19">
        <v>0.28935214230393902</v>
      </c>
      <c r="Q2633" s="19">
        <v>7.9310228322089588E-2</v>
      </c>
      <c r="R2633" s="19">
        <v>0.38730586084199925</v>
      </c>
      <c r="S2633" s="19">
        <v>0.10104423279030982</v>
      </c>
      <c r="T2633" s="20">
        <v>12</v>
      </c>
      <c r="U2633" s="17">
        <v>3</v>
      </c>
      <c r="V2633" s="17">
        <v>36</v>
      </c>
    </row>
    <row r="2634" spans="1:22" x14ac:dyDescent="0.2">
      <c r="A2634" t="s">
        <v>6039</v>
      </c>
      <c r="B2634" t="s">
        <v>5862</v>
      </c>
      <c r="C2634" t="s">
        <v>5863</v>
      </c>
      <c r="D2634" t="s">
        <v>6031</v>
      </c>
      <c r="E2634" s="10" t="s">
        <v>6040</v>
      </c>
      <c r="F2634" s="10"/>
      <c r="G2634" s="10"/>
      <c r="H2634" s="10" t="s">
        <v>6040</v>
      </c>
      <c r="I2634" s="14">
        <v>28924.537947085337</v>
      </c>
      <c r="J2634" s="19">
        <v>0</v>
      </c>
      <c r="K2634" s="19">
        <v>0.46932651512010742</v>
      </c>
      <c r="L2634" s="19">
        <v>0.53067348487989252</v>
      </c>
      <c r="M2634" s="20">
        <v>1</v>
      </c>
      <c r="N2634" s="19">
        <v>0</v>
      </c>
      <c r="O2634" s="19">
        <v>0.23827801266878493</v>
      </c>
      <c r="P2634" s="19">
        <v>0.2310485024513225</v>
      </c>
      <c r="Q2634" s="19">
        <v>0.15710775140047972</v>
      </c>
      <c r="R2634" s="19">
        <v>0.34440699906186373</v>
      </c>
      <c r="S2634" s="19">
        <v>2.9158734417549133E-2</v>
      </c>
      <c r="T2634" s="20">
        <v>12</v>
      </c>
      <c r="U2634" s="17">
        <v>3</v>
      </c>
      <c r="V2634" s="17">
        <v>36</v>
      </c>
    </row>
    <row r="2635" spans="1:22" x14ac:dyDescent="0.2">
      <c r="A2635" t="s">
        <v>6041</v>
      </c>
      <c r="B2635" t="s">
        <v>5862</v>
      </c>
      <c r="C2635" t="s">
        <v>5863</v>
      </c>
      <c r="D2635" t="s">
        <v>6031</v>
      </c>
      <c r="E2635" s="10" t="s">
        <v>6042</v>
      </c>
      <c r="F2635" s="10"/>
      <c r="G2635" s="10"/>
      <c r="H2635" s="10" t="s">
        <v>6042</v>
      </c>
      <c r="I2635" s="14">
        <v>26445.535864310339</v>
      </c>
      <c r="J2635" s="19">
        <v>0</v>
      </c>
      <c r="K2635" s="19">
        <v>2.4277082313616079E-2</v>
      </c>
      <c r="L2635" s="19">
        <v>0.97572291768638397</v>
      </c>
      <c r="M2635" s="20">
        <v>1</v>
      </c>
      <c r="N2635" s="19">
        <v>0</v>
      </c>
      <c r="O2635" s="19">
        <v>0</v>
      </c>
      <c r="P2635" s="19">
        <v>2.4277082313616079E-2</v>
      </c>
      <c r="Q2635" s="19">
        <v>0.11605472363642054</v>
      </c>
      <c r="R2635" s="19">
        <v>0.70975120972089778</v>
      </c>
      <c r="S2635" s="19">
        <v>0.14991698432906564</v>
      </c>
      <c r="T2635" s="20">
        <v>12</v>
      </c>
      <c r="U2635" s="17">
        <v>3</v>
      </c>
      <c r="V2635" s="17">
        <v>36</v>
      </c>
    </row>
    <row r="2636" spans="1:22" x14ac:dyDescent="0.2">
      <c r="A2636" t="s">
        <v>6043</v>
      </c>
      <c r="B2636" t="s">
        <v>5862</v>
      </c>
      <c r="C2636" t="s">
        <v>5863</v>
      </c>
      <c r="D2636" t="s">
        <v>6031</v>
      </c>
      <c r="E2636" s="10" t="s">
        <v>6044</v>
      </c>
      <c r="F2636" s="10"/>
      <c r="G2636" s="10"/>
      <c r="H2636" s="10" t="s">
        <v>6044</v>
      </c>
      <c r="I2636" s="14">
        <v>202404.49826003541</v>
      </c>
      <c r="J2636" s="19">
        <v>0.61914851293883033</v>
      </c>
      <c r="K2636" s="19">
        <v>0.28368294236197422</v>
      </c>
      <c r="L2636" s="19">
        <v>9.7168544699195433E-2</v>
      </c>
      <c r="M2636" s="20">
        <v>3</v>
      </c>
      <c r="N2636" s="19">
        <v>5.1316717979907646E-2</v>
      </c>
      <c r="O2636" s="19">
        <v>0</v>
      </c>
      <c r="P2636" s="19">
        <v>0.23236622438206656</v>
      </c>
      <c r="Q2636" s="19">
        <v>1.8485833615510077E-2</v>
      </c>
      <c r="R2636" s="19">
        <v>7.6157256974688947E-2</v>
      </c>
      <c r="S2636" s="19">
        <v>2.525454108996399E-3</v>
      </c>
      <c r="T2636" s="20">
        <v>30</v>
      </c>
      <c r="U2636" s="17">
        <v>3</v>
      </c>
      <c r="V2636" s="17">
        <v>36</v>
      </c>
    </row>
    <row r="2637" spans="1:22" x14ac:dyDescent="0.2">
      <c r="A2637" t="s">
        <v>6045</v>
      </c>
      <c r="B2637" t="s">
        <v>5862</v>
      </c>
      <c r="C2637" t="s">
        <v>5863</v>
      </c>
      <c r="D2637" t="s">
        <v>6031</v>
      </c>
      <c r="E2637" s="10" t="s">
        <v>6046</v>
      </c>
      <c r="F2637" s="10"/>
      <c r="G2637" s="10"/>
      <c r="H2637" s="10" t="s">
        <v>6046</v>
      </c>
      <c r="I2637" s="14">
        <v>31810.707949324045</v>
      </c>
      <c r="J2637" s="19">
        <v>0</v>
      </c>
      <c r="K2637" s="19">
        <v>6.895035588208033E-2</v>
      </c>
      <c r="L2637" s="19">
        <v>0.93104964411791968</v>
      </c>
      <c r="M2637" s="20">
        <v>1</v>
      </c>
      <c r="N2637" s="19">
        <v>5.4288014289881635E-2</v>
      </c>
      <c r="O2637" s="19">
        <v>1.6600453030025594E-3</v>
      </c>
      <c r="P2637" s="19">
        <v>1.3002296289196143E-2</v>
      </c>
      <c r="Q2637" s="19">
        <v>0.1162542202125644</v>
      </c>
      <c r="R2637" s="19">
        <v>0.61914073611882336</v>
      </c>
      <c r="S2637" s="19">
        <v>0.19565468778653194</v>
      </c>
      <c r="T2637" s="20">
        <v>12</v>
      </c>
      <c r="U2637" s="17">
        <v>3</v>
      </c>
      <c r="V2637" s="17">
        <v>36</v>
      </c>
    </row>
    <row r="2638" spans="1:22" x14ac:dyDescent="0.2">
      <c r="A2638" t="s">
        <v>6047</v>
      </c>
      <c r="B2638" t="s">
        <v>5862</v>
      </c>
      <c r="C2638" t="s">
        <v>5863</v>
      </c>
      <c r="D2638" t="s">
        <v>6031</v>
      </c>
      <c r="E2638" s="10" t="s">
        <v>6048</v>
      </c>
      <c r="F2638" s="10"/>
      <c r="G2638" s="10"/>
      <c r="H2638" s="10" t="s">
        <v>6048</v>
      </c>
      <c r="I2638" s="14">
        <v>45216.64664691384</v>
      </c>
      <c r="J2638" s="19">
        <v>0</v>
      </c>
      <c r="K2638" s="19">
        <v>0.16858727163716</v>
      </c>
      <c r="L2638" s="19">
        <v>0.83141272836284008</v>
      </c>
      <c r="M2638" s="20">
        <v>1</v>
      </c>
      <c r="N2638" s="19">
        <v>3.0114087151559164E-3</v>
      </c>
      <c r="O2638" s="19">
        <v>0.15625057664908712</v>
      </c>
      <c r="P2638" s="19">
        <v>9.3252862729169637E-3</v>
      </c>
      <c r="Q2638" s="19">
        <v>0.14029840766070206</v>
      </c>
      <c r="R2638" s="19">
        <v>0.52276621759273467</v>
      </c>
      <c r="S2638" s="19">
        <v>0.16834810310940329</v>
      </c>
      <c r="T2638" s="20">
        <v>12</v>
      </c>
      <c r="U2638" s="17">
        <v>3</v>
      </c>
      <c r="V2638" s="17">
        <v>36</v>
      </c>
    </row>
    <row r="2639" spans="1:22" x14ac:dyDescent="0.2">
      <c r="A2639" t="s">
        <v>6049</v>
      </c>
      <c r="B2639" t="s">
        <v>5862</v>
      </c>
      <c r="C2639" t="s">
        <v>5863</v>
      </c>
      <c r="D2639" t="s">
        <v>6031</v>
      </c>
      <c r="E2639" s="10" t="s">
        <v>6050</v>
      </c>
      <c r="F2639" s="10"/>
      <c r="G2639" s="10"/>
      <c r="H2639" s="10" t="s">
        <v>6050</v>
      </c>
      <c r="I2639" s="14">
        <v>110603.268142113</v>
      </c>
      <c r="J2639" s="19">
        <v>0</v>
      </c>
      <c r="K2639" s="19">
        <v>0.47560523277024008</v>
      </c>
      <c r="L2639" s="19">
        <v>0.52439476722975997</v>
      </c>
      <c r="M2639" s="20">
        <v>1</v>
      </c>
      <c r="N2639" s="19">
        <v>6.9027921735122344E-2</v>
      </c>
      <c r="O2639" s="19">
        <v>7.8997904320574422E-2</v>
      </c>
      <c r="P2639" s="19">
        <v>0.32757940671454333</v>
      </c>
      <c r="Q2639" s="19">
        <v>3.6643024762759581E-2</v>
      </c>
      <c r="R2639" s="19">
        <v>0.45733306888139086</v>
      </c>
      <c r="S2639" s="19">
        <v>3.0418673585609443E-2</v>
      </c>
      <c r="T2639" s="20">
        <v>12</v>
      </c>
      <c r="U2639" s="17">
        <v>3</v>
      </c>
      <c r="V2639" s="17">
        <v>36</v>
      </c>
    </row>
    <row r="2640" spans="1:22" x14ac:dyDescent="0.2">
      <c r="A2640" t="s">
        <v>6051</v>
      </c>
      <c r="B2640" t="s">
        <v>5862</v>
      </c>
      <c r="C2640" t="s">
        <v>5863</v>
      </c>
      <c r="D2640" t="s">
        <v>6052</v>
      </c>
      <c r="E2640" s="10" t="s">
        <v>6053</v>
      </c>
      <c r="F2640" s="10"/>
      <c r="G2640" s="10"/>
      <c r="H2640" s="10" t="s">
        <v>6053</v>
      </c>
      <c r="I2640" s="14">
        <v>51237.285806805827</v>
      </c>
      <c r="J2640" s="19">
        <v>0</v>
      </c>
      <c r="K2640" s="19">
        <v>0.72418053918161485</v>
      </c>
      <c r="L2640" s="19">
        <v>0.27581946081838521</v>
      </c>
      <c r="M2640" s="20">
        <v>2</v>
      </c>
      <c r="N2640" s="19">
        <v>0.13763472769424942</v>
      </c>
      <c r="O2640" s="19">
        <v>0</v>
      </c>
      <c r="P2640" s="19">
        <v>0.5865458114873654</v>
      </c>
      <c r="Q2640" s="19">
        <v>0</v>
      </c>
      <c r="R2640" s="19">
        <v>0.23745868172933066</v>
      </c>
      <c r="S2640" s="19">
        <v>3.8360779089054546E-2</v>
      </c>
      <c r="T2640" s="20">
        <v>21</v>
      </c>
      <c r="U2640" s="17">
        <v>3</v>
      </c>
      <c r="V2640" s="17">
        <v>36</v>
      </c>
    </row>
    <row r="2641" spans="1:22" x14ac:dyDescent="0.2">
      <c r="A2641" t="s">
        <v>6054</v>
      </c>
      <c r="B2641" t="s">
        <v>5862</v>
      </c>
      <c r="C2641" t="s">
        <v>5863</v>
      </c>
      <c r="D2641" t="s">
        <v>6052</v>
      </c>
      <c r="E2641" s="10" t="s">
        <v>6055</v>
      </c>
      <c r="F2641" s="10"/>
      <c r="G2641" s="10"/>
      <c r="H2641" s="10" t="s">
        <v>6055</v>
      </c>
      <c r="I2641" s="14">
        <v>84640.838872058317</v>
      </c>
      <c r="J2641" s="19">
        <v>0</v>
      </c>
      <c r="K2641" s="19">
        <v>0.37214365610039846</v>
      </c>
      <c r="L2641" s="19">
        <v>0.62785634389960154</v>
      </c>
      <c r="M2641" s="20">
        <v>1</v>
      </c>
      <c r="N2641" s="19">
        <v>6.9026414441805919E-2</v>
      </c>
      <c r="O2641" s="19">
        <v>0.29289969119189901</v>
      </c>
      <c r="P2641" s="19">
        <v>1.0217550466693511E-2</v>
      </c>
      <c r="Q2641" s="19">
        <v>0.2188875484435947</v>
      </c>
      <c r="R2641" s="19">
        <v>0.34483506465904779</v>
      </c>
      <c r="S2641" s="19">
        <v>6.413373079695904E-2</v>
      </c>
      <c r="T2641" s="20">
        <v>12</v>
      </c>
      <c r="U2641" s="17">
        <v>3</v>
      </c>
      <c r="V2641" s="17">
        <v>36</v>
      </c>
    </row>
    <row r="2642" spans="1:22" x14ac:dyDescent="0.2">
      <c r="A2642" t="s">
        <v>6056</v>
      </c>
      <c r="B2642" t="s">
        <v>5862</v>
      </c>
      <c r="C2642" t="s">
        <v>5863</v>
      </c>
      <c r="D2642" t="s">
        <v>6052</v>
      </c>
      <c r="E2642" s="10" t="s">
        <v>6057</v>
      </c>
      <c r="F2642" s="10"/>
      <c r="G2642" s="10"/>
      <c r="H2642" s="10" t="s">
        <v>6057</v>
      </c>
      <c r="I2642" s="14">
        <v>73802.562159758061</v>
      </c>
      <c r="J2642" s="19">
        <v>0</v>
      </c>
      <c r="K2642" s="19">
        <v>0.47158255070501598</v>
      </c>
      <c r="L2642" s="19">
        <v>0.52841744929498402</v>
      </c>
      <c r="M2642" s="20">
        <v>1</v>
      </c>
      <c r="N2642" s="19">
        <v>0.22445995913100053</v>
      </c>
      <c r="O2642" s="19">
        <v>5.1959212356888364E-2</v>
      </c>
      <c r="P2642" s="19">
        <v>0.19516337921712709</v>
      </c>
      <c r="Q2642" s="19">
        <v>0.12608791843155337</v>
      </c>
      <c r="R2642" s="19">
        <v>0.33895940052159207</v>
      </c>
      <c r="S2642" s="19">
        <v>6.3370130341838582E-2</v>
      </c>
      <c r="T2642" s="20">
        <v>12</v>
      </c>
      <c r="U2642" s="17">
        <v>3</v>
      </c>
      <c r="V2642" s="17">
        <v>36</v>
      </c>
    </row>
    <row r="2643" spans="1:22" x14ac:dyDescent="0.2">
      <c r="A2643" t="s">
        <v>6058</v>
      </c>
      <c r="B2643" t="s">
        <v>5862</v>
      </c>
      <c r="C2643" t="s">
        <v>5863</v>
      </c>
      <c r="D2643" t="s">
        <v>6052</v>
      </c>
      <c r="E2643" s="10" t="s">
        <v>6059</v>
      </c>
      <c r="F2643" s="10"/>
      <c r="G2643" s="10"/>
      <c r="H2643" s="10" t="s">
        <v>6059</v>
      </c>
      <c r="I2643" s="14">
        <v>90558.965760174207</v>
      </c>
      <c r="J2643" s="19">
        <v>9.4017418571295294E-2</v>
      </c>
      <c r="K2643" s="19">
        <v>0.64951618029133174</v>
      </c>
      <c r="L2643" s="19">
        <v>0.25646640113737296</v>
      </c>
      <c r="M2643" s="20">
        <v>2</v>
      </c>
      <c r="N2643" s="19">
        <v>0</v>
      </c>
      <c r="O2643" s="19">
        <v>0</v>
      </c>
      <c r="P2643" s="19">
        <v>0.64951618029133174</v>
      </c>
      <c r="Q2643" s="19">
        <v>5.310009654399693E-2</v>
      </c>
      <c r="R2643" s="19">
        <v>0.17909195672983635</v>
      </c>
      <c r="S2643" s="19">
        <v>2.4274347863539651E-2</v>
      </c>
      <c r="T2643" s="20">
        <v>21</v>
      </c>
      <c r="U2643" s="17">
        <v>3</v>
      </c>
      <c r="V2643" s="17">
        <v>36</v>
      </c>
    </row>
    <row r="2644" spans="1:22" x14ac:dyDescent="0.2">
      <c r="A2644" t="s">
        <v>6060</v>
      </c>
      <c r="B2644" t="s">
        <v>5862</v>
      </c>
      <c r="C2644" t="s">
        <v>5863</v>
      </c>
      <c r="D2644" t="s">
        <v>6052</v>
      </c>
      <c r="E2644" s="10" t="s">
        <v>6061</v>
      </c>
      <c r="F2644" s="10"/>
      <c r="G2644" s="10"/>
      <c r="H2644" s="10" t="s">
        <v>6061</v>
      </c>
      <c r="I2644" s="14">
        <v>30980.348800987238</v>
      </c>
      <c r="J2644" s="19">
        <v>0</v>
      </c>
      <c r="K2644" s="19">
        <v>0.25587344880316598</v>
      </c>
      <c r="L2644" s="19">
        <v>0.74412655119683402</v>
      </c>
      <c r="M2644" s="20">
        <v>1</v>
      </c>
      <c r="N2644" s="19">
        <v>0</v>
      </c>
      <c r="O2644" s="19">
        <v>0.25587344880316598</v>
      </c>
      <c r="P2644" s="19">
        <v>0</v>
      </c>
      <c r="Q2644" s="19">
        <v>0.28261709643249355</v>
      </c>
      <c r="R2644" s="19">
        <v>0.33944539322845935</v>
      </c>
      <c r="S2644" s="19">
        <v>0.12206406153588115</v>
      </c>
      <c r="T2644" s="20">
        <v>12</v>
      </c>
      <c r="U2644" s="17">
        <v>3</v>
      </c>
      <c r="V2644" s="17">
        <v>36</v>
      </c>
    </row>
    <row r="2645" spans="1:22" x14ac:dyDescent="0.2">
      <c r="A2645" t="s">
        <v>6062</v>
      </c>
      <c r="B2645" t="s">
        <v>5862</v>
      </c>
      <c r="C2645" t="s">
        <v>5863</v>
      </c>
      <c r="D2645" t="s">
        <v>6052</v>
      </c>
      <c r="E2645" s="10" t="s">
        <v>6063</v>
      </c>
      <c r="F2645" s="10"/>
      <c r="G2645" s="10"/>
      <c r="H2645" s="10" t="s">
        <v>6063</v>
      </c>
      <c r="I2645" s="14">
        <v>116149.91977407226</v>
      </c>
      <c r="J2645" s="19">
        <v>0</v>
      </c>
      <c r="K2645" s="19">
        <v>0.67663717887285502</v>
      </c>
      <c r="L2645" s="19">
        <v>0.32336282112714476</v>
      </c>
      <c r="M2645" s="20">
        <v>2</v>
      </c>
      <c r="N2645" s="19">
        <v>0.1807512393907249</v>
      </c>
      <c r="O2645" s="19">
        <v>0</v>
      </c>
      <c r="P2645" s="19">
        <v>0.49588593948213011</v>
      </c>
      <c r="Q2645" s="19">
        <v>2.1726521844393207E-2</v>
      </c>
      <c r="R2645" s="19">
        <v>0.26618292634570695</v>
      </c>
      <c r="S2645" s="19">
        <v>3.5453372937044696E-2</v>
      </c>
      <c r="T2645" s="20">
        <v>23</v>
      </c>
      <c r="U2645" s="17">
        <v>3</v>
      </c>
      <c r="V2645" s="17">
        <v>36</v>
      </c>
    </row>
    <row r="2646" spans="1:22" x14ac:dyDescent="0.2">
      <c r="A2646" t="s">
        <v>6064</v>
      </c>
      <c r="B2646" t="s">
        <v>5862</v>
      </c>
      <c r="C2646" t="s">
        <v>5863</v>
      </c>
      <c r="D2646" t="s">
        <v>6052</v>
      </c>
      <c r="E2646" s="10" t="s">
        <v>6065</v>
      </c>
      <c r="F2646" s="10"/>
      <c r="G2646" s="10"/>
      <c r="H2646" s="10" t="s">
        <v>6065</v>
      </c>
      <c r="I2646" s="14">
        <v>102103.02550106682</v>
      </c>
      <c r="J2646" s="19">
        <v>0.60557235086305272</v>
      </c>
      <c r="K2646" s="19">
        <v>0.29009198992764779</v>
      </c>
      <c r="L2646" s="19">
        <v>0.10433565920929948</v>
      </c>
      <c r="M2646" s="20">
        <v>3</v>
      </c>
      <c r="N2646" s="19">
        <v>0</v>
      </c>
      <c r="O2646" s="19">
        <v>0</v>
      </c>
      <c r="P2646" s="19">
        <v>0.29009198992764779</v>
      </c>
      <c r="Q2646" s="19">
        <v>5.5593211713180282E-3</v>
      </c>
      <c r="R2646" s="19">
        <v>8.6315869375344578E-2</v>
      </c>
      <c r="S2646" s="19">
        <v>1.2460468662636868E-2</v>
      </c>
      <c r="T2646" s="20">
        <v>30</v>
      </c>
      <c r="U2646" s="17">
        <v>3</v>
      </c>
      <c r="V2646" s="17">
        <v>36</v>
      </c>
    </row>
    <row r="2647" spans="1:22" x14ac:dyDescent="0.2">
      <c r="A2647" t="s">
        <v>6066</v>
      </c>
      <c r="B2647" t="s">
        <v>5862</v>
      </c>
      <c r="C2647" t="s">
        <v>5863</v>
      </c>
      <c r="D2647" t="s">
        <v>6052</v>
      </c>
      <c r="E2647" s="10" t="s">
        <v>6067</v>
      </c>
      <c r="F2647" s="10"/>
      <c r="G2647" s="10"/>
      <c r="H2647" s="10" t="s">
        <v>6067</v>
      </c>
      <c r="I2647" s="14">
        <v>48687.860355897108</v>
      </c>
      <c r="J2647" s="19">
        <v>0</v>
      </c>
      <c r="K2647" s="19">
        <v>0.39736400856278048</v>
      </c>
      <c r="L2647" s="19">
        <v>0.60263599143721946</v>
      </c>
      <c r="M2647" s="20">
        <v>1</v>
      </c>
      <c r="N2647" s="19">
        <v>0</v>
      </c>
      <c r="O2647" s="19">
        <v>0.39736400856278048</v>
      </c>
      <c r="P2647" s="19">
        <v>0</v>
      </c>
      <c r="Q2647" s="19">
        <v>0.14195106748083644</v>
      </c>
      <c r="R2647" s="19">
        <v>0.36216032025825617</v>
      </c>
      <c r="S2647" s="19">
        <v>9.8524603698126864E-2</v>
      </c>
      <c r="T2647" s="20">
        <v>12</v>
      </c>
      <c r="U2647" s="17">
        <v>3</v>
      </c>
      <c r="V2647" s="17">
        <v>36</v>
      </c>
    </row>
    <row r="2648" spans="1:22" x14ac:dyDescent="0.2">
      <c r="A2648" t="s">
        <v>6068</v>
      </c>
      <c r="B2648" t="s">
        <v>5862</v>
      </c>
      <c r="C2648" t="s">
        <v>5863</v>
      </c>
      <c r="D2648" t="s">
        <v>6052</v>
      </c>
      <c r="E2648" s="10" t="s">
        <v>6069</v>
      </c>
      <c r="F2648" s="10"/>
      <c r="G2648" s="10"/>
      <c r="H2648" s="10" t="s">
        <v>6069</v>
      </c>
      <c r="I2648" s="14">
        <v>46040.086288873805</v>
      </c>
      <c r="J2648" s="19">
        <v>0</v>
      </c>
      <c r="K2648" s="19">
        <v>0.73040088794430402</v>
      </c>
      <c r="L2648" s="19">
        <v>0.26959911205569603</v>
      </c>
      <c r="M2648" s="20">
        <v>2</v>
      </c>
      <c r="N2648" s="19">
        <v>0</v>
      </c>
      <c r="O2648" s="19">
        <v>0</v>
      </c>
      <c r="P2648" s="19">
        <v>0.73040088794430402</v>
      </c>
      <c r="Q2648" s="19">
        <v>2.7186331720867658E-2</v>
      </c>
      <c r="R2648" s="19">
        <v>0.2371604082026996</v>
      </c>
      <c r="S2648" s="19">
        <v>5.2523721321287766E-3</v>
      </c>
      <c r="T2648" s="20">
        <v>21</v>
      </c>
      <c r="U2648" s="17">
        <v>3</v>
      </c>
      <c r="V2648" s="17">
        <v>36</v>
      </c>
    </row>
    <row r="2649" spans="1:22" x14ac:dyDescent="0.2">
      <c r="A2649" t="s">
        <v>6070</v>
      </c>
      <c r="B2649" t="s">
        <v>5862</v>
      </c>
      <c r="C2649" t="s">
        <v>5863</v>
      </c>
      <c r="D2649" t="s">
        <v>6052</v>
      </c>
      <c r="E2649" s="10" t="s">
        <v>6071</v>
      </c>
      <c r="F2649" s="10"/>
      <c r="G2649" s="10"/>
      <c r="H2649" s="10" t="s">
        <v>6071</v>
      </c>
      <c r="I2649" s="14">
        <v>30829.824232196206</v>
      </c>
      <c r="J2649" s="19">
        <v>0</v>
      </c>
      <c r="K2649" s="19">
        <v>0.57168154438963092</v>
      </c>
      <c r="L2649" s="19">
        <v>0.42831845561036902</v>
      </c>
      <c r="M2649" s="20">
        <v>2</v>
      </c>
      <c r="N2649" s="19">
        <v>0</v>
      </c>
      <c r="O2649" s="19">
        <v>0.57168154438963092</v>
      </c>
      <c r="P2649" s="19">
        <v>0</v>
      </c>
      <c r="Q2649" s="19">
        <v>0.11022317309906267</v>
      </c>
      <c r="R2649" s="19">
        <v>0.28960912338236583</v>
      </c>
      <c r="S2649" s="19">
        <v>2.848615912894038E-2</v>
      </c>
      <c r="T2649" s="20">
        <v>22</v>
      </c>
      <c r="U2649" s="17">
        <v>3</v>
      </c>
      <c r="V2649" s="17">
        <v>36</v>
      </c>
    </row>
    <row r="2650" spans="1:22" x14ac:dyDescent="0.2">
      <c r="A2650" t="s">
        <v>6072</v>
      </c>
      <c r="B2650" t="s">
        <v>5862</v>
      </c>
      <c r="C2650" t="s">
        <v>5863</v>
      </c>
      <c r="D2650" t="s">
        <v>6052</v>
      </c>
      <c r="E2650" s="10" t="s">
        <v>6073</v>
      </c>
      <c r="F2650" s="10"/>
      <c r="G2650" s="10"/>
      <c r="H2650" s="10" t="s">
        <v>6073</v>
      </c>
      <c r="I2650" s="14">
        <v>82858.683276031632</v>
      </c>
      <c r="J2650" s="19">
        <v>0</v>
      </c>
      <c r="K2650" s="19">
        <v>0.4668657412865494</v>
      </c>
      <c r="L2650" s="19">
        <v>0.53313425871345055</v>
      </c>
      <c r="M2650" s="20">
        <v>1</v>
      </c>
      <c r="N2650" s="19">
        <v>0.11339425608471296</v>
      </c>
      <c r="O2650" s="19">
        <v>0</v>
      </c>
      <c r="P2650" s="19">
        <v>0.35347148520183647</v>
      </c>
      <c r="Q2650" s="19">
        <v>0.21295790859000724</v>
      </c>
      <c r="R2650" s="19">
        <v>0.27700857346409774</v>
      </c>
      <c r="S2650" s="19">
        <v>4.3167776659345625E-2</v>
      </c>
      <c r="T2650" s="20">
        <v>12</v>
      </c>
      <c r="U2650" s="17">
        <v>3</v>
      </c>
      <c r="V2650" s="17">
        <v>36</v>
      </c>
    </row>
    <row r="2651" spans="1:22" x14ac:dyDescent="0.2">
      <c r="A2651" t="s">
        <v>6074</v>
      </c>
      <c r="B2651" t="s">
        <v>5862</v>
      </c>
      <c r="C2651" t="s">
        <v>5863</v>
      </c>
      <c r="D2651" t="s">
        <v>6052</v>
      </c>
      <c r="E2651" s="10" t="s">
        <v>6075</v>
      </c>
      <c r="F2651" s="10"/>
      <c r="G2651" s="10"/>
      <c r="H2651" s="10" t="s">
        <v>6075</v>
      </c>
      <c r="I2651" s="14">
        <v>71757.947901885957</v>
      </c>
      <c r="J2651" s="19">
        <v>0</v>
      </c>
      <c r="K2651" s="19">
        <v>0.2860539507225438</v>
      </c>
      <c r="L2651" s="19">
        <v>0.7139460492774562</v>
      </c>
      <c r="M2651" s="20">
        <v>1</v>
      </c>
      <c r="N2651" s="19">
        <v>8.0563504540050845E-2</v>
      </c>
      <c r="O2651" s="19">
        <v>0</v>
      </c>
      <c r="P2651" s="19">
        <v>0.20549044618249296</v>
      </c>
      <c r="Q2651" s="19">
        <v>0.17221607638654565</v>
      </c>
      <c r="R2651" s="19">
        <v>0.46520020093311526</v>
      </c>
      <c r="S2651" s="19">
        <v>7.6529771957795284E-2</v>
      </c>
      <c r="T2651" s="20">
        <v>12</v>
      </c>
      <c r="U2651" s="17">
        <v>3</v>
      </c>
      <c r="V2651" s="17">
        <v>36</v>
      </c>
    </row>
    <row r="2652" spans="1:22" x14ac:dyDescent="0.2">
      <c r="A2652" t="s">
        <v>6076</v>
      </c>
      <c r="B2652" t="s">
        <v>5862</v>
      </c>
      <c r="C2652" t="s">
        <v>5863</v>
      </c>
      <c r="D2652" t="s">
        <v>6052</v>
      </c>
      <c r="E2652" s="10" t="s">
        <v>6077</v>
      </c>
      <c r="F2652" s="10"/>
      <c r="G2652" s="10"/>
      <c r="H2652" s="10" t="s">
        <v>6077</v>
      </c>
      <c r="I2652" s="14">
        <v>109836.39281643066</v>
      </c>
      <c r="J2652" s="19">
        <v>0.23598258938083097</v>
      </c>
      <c r="K2652" s="19">
        <v>0.56094269388961526</v>
      </c>
      <c r="L2652" s="19">
        <v>0.20307471672955391</v>
      </c>
      <c r="M2652" s="20">
        <v>2</v>
      </c>
      <c r="N2652" s="19">
        <v>0.1869559060760291</v>
      </c>
      <c r="O2652" s="19">
        <v>8.7185322684150291E-3</v>
      </c>
      <c r="P2652" s="19">
        <v>0.36526825554517101</v>
      </c>
      <c r="Q2652" s="19">
        <v>1.5424643290185719E-2</v>
      </c>
      <c r="R2652" s="19">
        <v>0.16988116561692479</v>
      </c>
      <c r="S2652" s="19">
        <v>1.776890782244336E-2</v>
      </c>
      <c r="T2652" s="20">
        <v>23</v>
      </c>
      <c r="U2652" s="17">
        <v>3</v>
      </c>
      <c r="V2652" s="17">
        <v>36</v>
      </c>
    </row>
    <row r="2653" spans="1:22" x14ac:dyDescent="0.2">
      <c r="A2653" t="s">
        <v>6078</v>
      </c>
      <c r="B2653" t="s">
        <v>5862</v>
      </c>
      <c r="C2653" t="s">
        <v>5863</v>
      </c>
      <c r="D2653" t="s">
        <v>6052</v>
      </c>
      <c r="E2653" s="10" t="s">
        <v>6079</v>
      </c>
      <c r="F2653" s="10"/>
      <c r="G2653" s="10"/>
      <c r="H2653" s="10" t="s">
        <v>6079</v>
      </c>
      <c r="I2653" s="14">
        <v>108721.93141823146</v>
      </c>
      <c r="J2653" s="19">
        <v>0</v>
      </c>
      <c r="K2653" s="19">
        <v>0.59911616507214172</v>
      </c>
      <c r="L2653" s="19">
        <v>0.40088383492785828</v>
      </c>
      <c r="M2653" s="20">
        <v>2</v>
      </c>
      <c r="N2653" s="19">
        <v>0</v>
      </c>
      <c r="O2653" s="19">
        <v>0.20765097308979591</v>
      </c>
      <c r="P2653" s="19">
        <v>0.39146519198234575</v>
      </c>
      <c r="Q2653" s="19">
        <v>6.8784609530304838E-2</v>
      </c>
      <c r="R2653" s="19">
        <v>0.29186239679828374</v>
      </c>
      <c r="S2653" s="19">
        <v>4.0236828599269692E-2</v>
      </c>
      <c r="T2653" s="20">
        <v>22</v>
      </c>
      <c r="U2653" s="17">
        <v>3</v>
      </c>
      <c r="V2653" s="17">
        <v>36</v>
      </c>
    </row>
    <row r="2654" spans="1:22" x14ac:dyDescent="0.2">
      <c r="A2654" t="s">
        <v>6080</v>
      </c>
      <c r="B2654" t="s">
        <v>5862</v>
      </c>
      <c r="C2654" t="s">
        <v>5863</v>
      </c>
      <c r="D2654" t="s">
        <v>6052</v>
      </c>
      <c r="E2654" s="10" t="s">
        <v>6081</v>
      </c>
      <c r="F2654" s="10"/>
      <c r="G2654" s="10"/>
      <c r="H2654" s="10" t="s">
        <v>6081</v>
      </c>
      <c r="I2654" s="14">
        <v>35216.976793756709</v>
      </c>
      <c r="J2654" s="19">
        <v>0</v>
      </c>
      <c r="K2654" s="19">
        <v>0.5000424001791115</v>
      </c>
      <c r="L2654" s="19">
        <v>0.4999575998208885</v>
      </c>
      <c r="M2654" s="20">
        <v>2</v>
      </c>
      <c r="N2654" s="19">
        <v>0</v>
      </c>
      <c r="O2654" s="19">
        <v>0</v>
      </c>
      <c r="P2654" s="19">
        <v>0.5000424001791115</v>
      </c>
      <c r="Q2654" s="19">
        <v>4.4446603158012181E-2</v>
      </c>
      <c r="R2654" s="19">
        <v>0.38542100453813127</v>
      </c>
      <c r="S2654" s="19">
        <v>7.0089992124745024E-2</v>
      </c>
      <c r="T2654" s="20">
        <v>21</v>
      </c>
      <c r="U2654" s="17">
        <v>3</v>
      </c>
      <c r="V2654" s="17">
        <v>36</v>
      </c>
    </row>
    <row r="2655" spans="1:22" x14ac:dyDescent="0.2">
      <c r="A2655" t="s">
        <v>6082</v>
      </c>
      <c r="B2655" t="s">
        <v>5862</v>
      </c>
      <c r="C2655" t="s">
        <v>5863</v>
      </c>
      <c r="D2655" t="s">
        <v>6052</v>
      </c>
      <c r="E2655" s="10" t="s">
        <v>6083</v>
      </c>
      <c r="F2655" s="10"/>
      <c r="G2655" s="10"/>
      <c r="H2655" s="10" t="s">
        <v>6083</v>
      </c>
      <c r="I2655" s="14">
        <v>379847.54534549767</v>
      </c>
      <c r="J2655" s="19">
        <v>0.96049453258405471</v>
      </c>
      <c r="K2655" s="19">
        <v>3.6862529571101491E-2</v>
      </c>
      <c r="L2655" s="19">
        <v>2.6429378448437667E-3</v>
      </c>
      <c r="M2655" s="20">
        <v>3</v>
      </c>
      <c r="N2655" s="19">
        <v>0</v>
      </c>
      <c r="O2655" s="19">
        <v>0</v>
      </c>
      <c r="P2655" s="19">
        <v>3.6862529571101491E-2</v>
      </c>
      <c r="Q2655" s="19">
        <v>0</v>
      </c>
      <c r="R2655" s="19">
        <v>1.9909896078960689E-3</v>
      </c>
      <c r="S2655" s="19">
        <v>6.5194823694769807E-4</v>
      </c>
      <c r="T2655" s="20">
        <v>30</v>
      </c>
      <c r="U2655" s="17">
        <v>3</v>
      </c>
      <c r="V2655" s="17">
        <v>36</v>
      </c>
    </row>
    <row r="2656" spans="1:22" x14ac:dyDescent="0.2">
      <c r="A2656" t="s">
        <v>6084</v>
      </c>
      <c r="B2656" t="s">
        <v>5862</v>
      </c>
      <c r="C2656" t="s">
        <v>5863</v>
      </c>
      <c r="D2656" t="s">
        <v>6052</v>
      </c>
      <c r="E2656" s="10" t="s">
        <v>6085</v>
      </c>
      <c r="F2656" s="10"/>
      <c r="G2656" s="10"/>
      <c r="H2656" s="10" t="s">
        <v>6085</v>
      </c>
      <c r="I2656" s="14">
        <v>53159.8969527632</v>
      </c>
      <c r="J2656" s="19">
        <v>0</v>
      </c>
      <c r="K2656" s="19">
        <v>0.27969752296548073</v>
      </c>
      <c r="L2656" s="19">
        <v>0.72030247703451933</v>
      </c>
      <c r="M2656" s="20">
        <v>1</v>
      </c>
      <c r="N2656" s="19">
        <v>0</v>
      </c>
      <c r="O2656" s="19">
        <v>0.27969752296548073</v>
      </c>
      <c r="P2656" s="19">
        <v>0</v>
      </c>
      <c r="Q2656" s="19">
        <v>0.13643922941550474</v>
      </c>
      <c r="R2656" s="19">
        <v>0.46629672197320182</v>
      </c>
      <c r="S2656" s="19">
        <v>0.11756652564581274</v>
      </c>
      <c r="T2656" s="20">
        <v>12</v>
      </c>
      <c r="U2656" s="17">
        <v>3</v>
      </c>
      <c r="V2656" s="17">
        <v>36</v>
      </c>
    </row>
    <row r="2657" spans="1:22" x14ac:dyDescent="0.2">
      <c r="A2657" t="s">
        <v>6086</v>
      </c>
      <c r="B2657" t="s">
        <v>5862</v>
      </c>
      <c r="C2657" t="s">
        <v>5863</v>
      </c>
      <c r="D2657" t="s">
        <v>6052</v>
      </c>
      <c r="E2657" s="10" t="s">
        <v>6087</v>
      </c>
      <c r="F2657" s="10"/>
      <c r="G2657" s="10"/>
      <c r="H2657" s="10" t="s">
        <v>6087</v>
      </c>
      <c r="I2657" s="14">
        <v>61896.684836344793</v>
      </c>
      <c r="J2657" s="19">
        <v>0</v>
      </c>
      <c r="K2657" s="19">
        <v>0.43512981462287048</v>
      </c>
      <c r="L2657" s="19">
        <v>0.56487018537712952</v>
      </c>
      <c r="M2657" s="20">
        <v>1</v>
      </c>
      <c r="N2657" s="19">
        <v>0.11652153939698005</v>
      </c>
      <c r="O2657" s="19">
        <v>0</v>
      </c>
      <c r="P2657" s="19">
        <v>0.31860827522589041</v>
      </c>
      <c r="Q2657" s="19">
        <v>0.13649889358108422</v>
      </c>
      <c r="R2657" s="19">
        <v>0.38049184439542233</v>
      </c>
      <c r="S2657" s="19">
        <v>4.7879447400622971E-2</v>
      </c>
      <c r="T2657" s="20">
        <v>12</v>
      </c>
      <c r="U2657" s="17">
        <v>3</v>
      </c>
      <c r="V2657" s="17">
        <v>36</v>
      </c>
    </row>
    <row r="2658" spans="1:22" x14ac:dyDescent="0.2">
      <c r="A2658" t="s">
        <v>6088</v>
      </c>
      <c r="B2658" t="s">
        <v>5862</v>
      </c>
      <c r="C2658" t="s">
        <v>5863</v>
      </c>
      <c r="D2658" t="s">
        <v>6052</v>
      </c>
      <c r="E2658" s="10" t="s">
        <v>6089</v>
      </c>
      <c r="F2658" s="10"/>
      <c r="G2658" s="10"/>
      <c r="H2658" s="10" t="s">
        <v>6089</v>
      </c>
      <c r="I2658" s="14">
        <v>26067.093045700571</v>
      </c>
      <c r="J2658" s="19">
        <v>0</v>
      </c>
      <c r="K2658" s="19">
        <v>0.17571615785963962</v>
      </c>
      <c r="L2658" s="19">
        <v>0.82428384214036055</v>
      </c>
      <c r="M2658" s="20">
        <v>1</v>
      </c>
      <c r="N2658" s="19">
        <v>0</v>
      </c>
      <c r="O2658" s="19">
        <v>0.17571615785963962</v>
      </c>
      <c r="P2658" s="19">
        <v>0</v>
      </c>
      <c r="Q2658" s="19">
        <v>0.16278438741017465</v>
      </c>
      <c r="R2658" s="19">
        <v>0.55064203663283207</v>
      </c>
      <c r="S2658" s="19">
        <v>0.11085741809735368</v>
      </c>
      <c r="T2658" s="20">
        <v>12</v>
      </c>
      <c r="U2658" s="17">
        <v>3</v>
      </c>
      <c r="V2658" s="17">
        <v>36</v>
      </c>
    </row>
    <row r="2659" spans="1:22" x14ac:dyDescent="0.2">
      <c r="A2659" t="s">
        <v>6090</v>
      </c>
      <c r="B2659" t="s">
        <v>5862</v>
      </c>
      <c r="C2659" t="s">
        <v>5863</v>
      </c>
      <c r="D2659" t="s">
        <v>6052</v>
      </c>
      <c r="E2659" s="10" t="s">
        <v>6091</v>
      </c>
      <c r="F2659" s="10"/>
      <c r="G2659" s="10"/>
      <c r="H2659" s="10" t="s">
        <v>6091</v>
      </c>
      <c r="I2659" s="14">
        <v>110344.21783481375</v>
      </c>
      <c r="J2659" s="19">
        <v>0.40850108361746867</v>
      </c>
      <c r="K2659" s="19">
        <v>0.50199996334706964</v>
      </c>
      <c r="L2659" s="19">
        <v>8.9498953035461723E-2</v>
      </c>
      <c r="M2659" s="20">
        <v>2</v>
      </c>
      <c r="N2659" s="19">
        <v>0.12967631470478697</v>
      </c>
      <c r="O2659" s="19">
        <v>2.1995848739206531E-2</v>
      </c>
      <c r="P2659" s="19">
        <v>0.35032779990307611</v>
      </c>
      <c r="Q2659" s="19">
        <v>3.1049864251577047E-3</v>
      </c>
      <c r="R2659" s="19">
        <v>7.9113719173059094E-2</v>
      </c>
      <c r="S2659" s="19">
        <v>7.2802474372449253E-3</v>
      </c>
      <c r="T2659" s="20">
        <v>23</v>
      </c>
      <c r="U2659" s="17">
        <v>3</v>
      </c>
      <c r="V2659" s="17">
        <v>36</v>
      </c>
    </row>
    <row r="2660" spans="1:22" x14ac:dyDescent="0.2">
      <c r="A2660" t="s">
        <v>6092</v>
      </c>
      <c r="B2660" t="s">
        <v>5862</v>
      </c>
      <c r="C2660" t="s">
        <v>5863</v>
      </c>
      <c r="D2660" t="s">
        <v>6052</v>
      </c>
      <c r="E2660" s="10" t="s">
        <v>6093</v>
      </c>
      <c r="F2660" s="10"/>
      <c r="G2660" s="10"/>
      <c r="H2660" s="10" t="s">
        <v>6093</v>
      </c>
      <c r="I2660" s="14">
        <v>114619.89396958634</v>
      </c>
      <c r="J2660" s="19">
        <v>0</v>
      </c>
      <c r="K2660" s="19">
        <v>0.93336711850372522</v>
      </c>
      <c r="L2660" s="19">
        <v>6.663288149627479E-2</v>
      </c>
      <c r="M2660" s="20">
        <v>2</v>
      </c>
      <c r="N2660" s="19">
        <v>0.11336743939681963</v>
      </c>
      <c r="O2660" s="19">
        <v>0</v>
      </c>
      <c r="P2660" s="19">
        <v>0.81999967910690574</v>
      </c>
      <c r="Q2660" s="19">
        <v>0</v>
      </c>
      <c r="R2660" s="19">
        <v>6.5332847270413705E-2</v>
      </c>
      <c r="S2660" s="19">
        <v>1.3000342258610959E-3</v>
      </c>
      <c r="T2660" s="20">
        <v>21</v>
      </c>
      <c r="U2660" s="17">
        <v>3</v>
      </c>
      <c r="V2660" s="17">
        <v>36</v>
      </c>
    </row>
    <row r="2661" spans="1:22" x14ac:dyDescent="0.2">
      <c r="A2661" t="s">
        <v>6094</v>
      </c>
      <c r="B2661" t="s">
        <v>5862</v>
      </c>
      <c r="C2661" t="s">
        <v>5863</v>
      </c>
      <c r="D2661" t="s">
        <v>6052</v>
      </c>
      <c r="E2661" s="10" t="s">
        <v>6095</v>
      </c>
      <c r="F2661" s="10"/>
      <c r="G2661" s="10"/>
      <c r="H2661" s="10" t="s">
        <v>6095</v>
      </c>
      <c r="I2661" s="14">
        <v>135688.41611006763</v>
      </c>
      <c r="J2661" s="19">
        <v>0.42541529630646485</v>
      </c>
      <c r="K2661" s="19">
        <v>0.47160256260370753</v>
      </c>
      <c r="L2661" s="19">
        <v>0.10298214108982762</v>
      </c>
      <c r="M2661" s="20">
        <v>2</v>
      </c>
      <c r="N2661" s="19">
        <v>0.14580652592535084</v>
      </c>
      <c r="O2661" s="19">
        <v>0</v>
      </c>
      <c r="P2661" s="19">
        <v>0.32579603667835666</v>
      </c>
      <c r="Q2661" s="19">
        <v>0</v>
      </c>
      <c r="R2661" s="19">
        <v>9.6406282059647921E-2</v>
      </c>
      <c r="S2661" s="19">
        <v>6.5758590301796954E-3</v>
      </c>
      <c r="T2661" s="20">
        <v>23</v>
      </c>
      <c r="U2661" s="17">
        <v>3</v>
      </c>
      <c r="V2661" s="17">
        <v>36</v>
      </c>
    </row>
    <row r="2662" spans="1:22" x14ac:dyDescent="0.2">
      <c r="A2662" t="s">
        <v>6096</v>
      </c>
      <c r="B2662" t="s">
        <v>5862</v>
      </c>
      <c r="C2662" t="s">
        <v>5863</v>
      </c>
      <c r="D2662" t="s">
        <v>6052</v>
      </c>
      <c r="E2662" s="10" t="s">
        <v>6097</v>
      </c>
      <c r="F2662" s="10"/>
      <c r="G2662" s="10"/>
      <c r="H2662" s="10" t="s">
        <v>6097</v>
      </c>
      <c r="I2662" s="14">
        <v>111622.63033978036</v>
      </c>
      <c r="J2662" s="19">
        <v>0.58980263099245345</v>
      </c>
      <c r="K2662" s="19">
        <v>0.37592498788879097</v>
      </c>
      <c r="L2662" s="19">
        <v>3.4272381118755545E-2</v>
      </c>
      <c r="M2662" s="20">
        <v>3</v>
      </c>
      <c r="N2662" s="19">
        <v>0</v>
      </c>
      <c r="O2662" s="19">
        <v>0</v>
      </c>
      <c r="P2662" s="19">
        <v>0.37592498788879097</v>
      </c>
      <c r="Q2662" s="19">
        <v>0</v>
      </c>
      <c r="R2662" s="19">
        <v>3.3670129650071469E-2</v>
      </c>
      <c r="S2662" s="19">
        <v>6.0225146868407976E-4</v>
      </c>
      <c r="T2662" s="20">
        <v>30</v>
      </c>
      <c r="U2662" s="17">
        <v>3</v>
      </c>
      <c r="V2662" s="17">
        <v>36</v>
      </c>
    </row>
    <row r="2663" spans="1:22" x14ac:dyDescent="0.2">
      <c r="A2663" t="s">
        <v>6098</v>
      </c>
      <c r="B2663" t="s">
        <v>5862</v>
      </c>
      <c r="C2663" t="s">
        <v>5863</v>
      </c>
      <c r="D2663" t="s">
        <v>6052</v>
      </c>
      <c r="E2663" s="10" t="s">
        <v>6099</v>
      </c>
      <c r="F2663" s="10"/>
      <c r="G2663" s="10"/>
      <c r="H2663" s="10" t="s">
        <v>6099</v>
      </c>
      <c r="I2663" s="14">
        <v>25030.865545194596</v>
      </c>
      <c r="J2663" s="19">
        <v>0</v>
      </c>
      <c r="K2663" s="19">
        <v>0.51245042299530053</v>
      </c>
      <c r="L2663" s="19">
        <v>0.48754957700469953</v>
      </c>
      <c r="M2663" s="20">
        <v>2</v>
      </c>
      <c r="N2663" s="19">
        <v>0</v>
      </c>
      <c r="O2663" s="19">
        <v>0.51245042299530053</v>
      </c>
      <c r="P2663" s="19">
        <v>0</v>
      </c>
      <c r="Q2663" s="19">
        <v>0.19135619215021482</v>
      </c>
      <c r="R2663" s="19">
        <v>0.25356218604149799</v>
      </c>
      <c r="S2663" s="19">
        <v>4.2631198812986687E-2</v>
      </c>
      <c r="T2663" s="20">
        <v>22</v>
      </c>
      <c r="U2663" s="17">
        <v>3</v>
      </c>
      <c r="V2663" s="17">
        <v>36</v>
      </c>
    </row>
    <row r="2664" spans="1:22" x14ac:dyDescent="0.2">
      <c r="A2664" t="s">
        <v>6100</v>
      </c>
      <c r="B2664" t="s">
        <v>5862</v>
      </c>
      <c r="C2664" t="s">
        <v>5863</v>
      </c>
      <c r="D2664" t="s">
        <v>6101</v>
      </c>
      <c r="E2664" s="10" t="s">
        <v>6102</v>
      </c>
      <c r="F2664" s="10"/>
      <c r="G2664" s="10"/>
      <c r="H2664" s="10" t="s">
        <v>6102</v>
      </c>
      <c r="I2664" s="14">
        <v>59824.235591850244</v>
      </c>
      <c r="J2664" s="19">
        <v>0</v>
      </c>
      <c r="K2664" s="19">
        <v>0.37039957795716766</v>
      </c>
      <c r="L2664" s="19">
        <v>0.62960042204283229</v>
      </c>
      <c r="M2664" s="20">
        <v>1</v>
      </c>
      <c r="N2664" s="19">
        <v>0.11265990407543854</v>
      </c>
      <c r="O2664" s="19">
        <v>0.20705256340253927</v>
      </c>
      <c r="P2664" s="19">
        <v>5.0687110479189869E-2</v>
      </c>
      <c r="Q2664" s="19">
        <v>0.32715459893466664</v>
      </c>
      <c r="R2664" s="19">
        <v>0.26608376987737165</v>
      </c>
      <c r="S2664" s="19">
        <v>3.6362053230794056E-2</v>
      </c>
      <c r="T2664" s="20">
        <v>13</v>
      </c>
      <c r="U2664" s="17">
        <v>3</v>
      </c>
      <c r="V2664" s="17">
        <v>36</v>
      </c>
    </row>
    <row r="2665" spans="1:22" x14ac:dyDescent="0.2">
      <c r="A2665" t="s">
        <v>6103</v>
      </c>
      <c r="B2665" t="s">
        <v>5862</v>
      </c>
      <c r="C2665" t="s">
        <v>5863</v>
      </c>
      <c r="D2665" t="s">
        <v>6101</v>
      </c>
      <c r="E2665" s="10" t="s">
        <v>6104</v>
      </c>
      <c r="F2665" s="10"/>
      <c r="G2665" s="10"/>
      <c r="H2665" s="10" t="s">
        <v>6104</v>
      </c>
      <c r="I2665" s="14">
        <v>47569.197939511854</v>
      </c>
      <c r="J2665" s="19">
        <v>0</v>
      </c>
      <c r="K2665" s="19">
        <v>0.38810535013180086</v>
      </c>
      <c r="L2665" s="19">
        <v>0.61189464986819919</v>
      </c>
      <c r="M2665" s="20">
        <v>1</v>
      </c>
      <c r="N2665" s="19">
        <v>0.24704881140111126</v>
      </c>
      <c r="O2665" s="19">
        <v>5.5721348481640717E-2</v>
      </c>
      <c r="P2665" s="19">
        <v>8.5335190249048898E-2</v>
      </c>
      <c r="Q2665" s="19">
        <v>0.30478324563687842</v>
      </c>
      <c r="R2665" s="19">
        <v>0.26150714938609732</v>
      </c>
      <c r="S2665" s="19">
        <v>4.5604254845223402E-2</v>
      </c>
      <c r="T2665" s="20">
        <v>13</v>
      </c>
      <c r="U2665" s="17">
        <v>3</v>
      </c>
      <c r="V2665" s="17">
        <v>36</v>
      </c>
    </row>
    <row r="2666" spans="1:22" x14ac:dyDescent="0.2">
      <c r="A2666" t="s">
        <v>6105</v>
      </c>
      <c r="B2666" t="s">
        <v>5862</v>
      </c>
      <c r="C2666" t="s">
        <v>5863</v>
      </c>
      <c r="D2666" t="s">
        <v>6101</v>
      </c>
      <c r="E2666" s="10" t="s">
        <v>6106</v>
      </c>
      <c r="F2666" s="10"/>
      <c r="G2666" s="10"/>
      <c r="H2666" s="10" t="s">
        <v>6106</v>
      </c>
      <c r="I2666" s="14">
        <v>20249.32647392666</v>
      </c>
      <c r="J2666" s="19">
        <v>0</v>
      </c>
      <c r="K2666" s="19">
        <v>0</v>
      </c>
      <c r="L2666" s="19">
        <v>1</v>
      </c>
      <c r="M2666" s="20">
        <v>1</v>
      </c>
      <c r="N2666" s="19">
        <v>0</v>
      </c>
      <c r="O2666" s="19">
        <v>0</v>
      </c>
      <c r="P2666" s="19">
        <v>0</v>
      </c>
      <c r="Q2666" s="19">
        <v>0.63807291016636536</v>
      </c>
      <c r="R2666" s="19">
        <v>0.30245344688829567</v>
      </c>
      <c r="S2666" s="19">
        <v>5.9473642945338925E-2</v>
      </c>
      <c r="T2666" s="20">
        <v>13</v>
      </c>
      <c r="U2666" s="17">
        <v>3</v>
      </c>
      <c r="V2666" s="17">
        <v>36</v>
      </c>
    </row>
    <row r="2667" spans="1:22" x14ac:dyDescent="0.2">
      <c r="A2667" t="s">
        <v>6107</v>
      </c>
      <c r="B2667" t="s">
        <v>5862</v>
      </c>
      <c r="C2667" t="s">
        <v>5863</v>
      </c>
      <c r="D2667" t="s">
        <v>6101</v>
      </c>
      <c r="E2667" s="10" t="s">
        <v>6108</v>
      </c>
      <c r="F2667" s="10"/>
      <c r="G2667" s="10"/>
      <c r="H2667" s="10" t="s">
        <v>6108</v>
      </c>
      <c r="I2667" s="14">
        <v>23496.574348179856</v>
      </c>
      <c r="J2667" s="19">
        <v>0</v>
      </c>
      <c r="K2667" s="19">
        <v>0</v>
      </c>
      <c r="L2667" s="19">
        <v>1</v>
      </c>
      <c r="M2667" s="20">
        <v>1</v>
      </c>
      <c r="N2667" s="19">
        <v>0</v>
      </c>
      <c r="O2667" s="19">
        <v>0</v>
      </c>
      <c r="P2667" s="19">
        <v>0</v>
      </c>
      <c r="Q2667" s="19">
        <v>0.6585593079791553</v>
      </c>
      <c r="R2667" s="19">
        <v>0.28184589061883997</v>
      </c>
      <c r="S2667" s="19">
        <v>5.9594801402004682E-2</v>
      </c>
      <c r="T2667" s="20">
        <v>13</v>
      </c>
      <c r="U2667" s="17">
        <v>3</v>
      </c>
      <c r="V2667" s="17">
        <v>36</v>
      </c>
    </row>
    <row r="2668" spans="1:22" x14ac:dyDescent="0.2">
      <c r="A2668" t="s">
        <v>6109</v>
      </c>
      <c r="B2668" t="s">
        <v>5862</v>
      </c>
      <c r="C2668" t="s">
        <v>5863</v>
      </c>
      <c r="D2668" t="s">
        <v>6101</v>
      </c>
      <c r="E2668" s="10" t="s">
        <v>6110</v>
      </c>
      <c r="F2668" s="10"/>
      <c r="G2668" s="10"/>
      <c r="H2668" s="10" t="s">
        <v>6110</v>
      </c>
      <c r="I2668" s="14">
        <v>30931.978698074818</v>
      </c>
      <c r="J2668" s="19">
        <v>0</v>
      </c>
      <c r="K2668" s="19">
        <v>0.4735281783693045</v>
      </c>
      <c r="L2668" s="19">
        <v>0.5264718216306955</v>
      </c>
      <c r="M2668" s="20">
        <v>1</v>
      </c>
      <c r="N2668" s="19">
        <v>0.17218785768292788</v>
      </c>
      <c r="O2668" s="19">
        <v>0.16263922612647574</v>
      </c>
      <c r="P2668" s="19">
        <v>0.1387010945599009</v>
      </c>
      <c r="Q2668" s="19">
        <v>0.37243607765970277</v>
      </c>
      <c r="R2668" s="19">
        <v>0.13355224773593433</v>
      </c>
      <c r="S2668" s="19">
        <v>2.0483496235058421E-2</v>
      </c>
      <c r="T2668" s="20">
        <v>13</v>
      </c>
      <c r="U2668" s="17">
        <v>3</v>
      </c>
      <c r="V2668" s="17">
        <v>36</v>
      </c>
    </row>
    <row r="2669" spans="1:22" x14ac:dyDescent="0.2">
      <c r="A2669" t="s">
        <v>6111</v>
      </c>
      <c r="B2669" t="s">
        <v>5862</v>
      </c>
      <c r="C2669" t="s">
        <v>5863</v>
      </c>
      <c r="D2669" t="s">
        <v>6101</v>
      </c>
      <c r="E2669" s="10" t="s">
        <v>6112</v>
      </c>
      <c r="F2669" s="10"/>
      <c r="G2669" s="10"/>
      <c r="H2669" s="10" t="s">
        <v>6112</v>
      </c>
      <c r="I2669" s="14">
        <v>104911.7615860512</v>
      </c>
      <c r="J2669" s="19">
        <v>0</v>
      </c>
      <c r="K2669" s="19">
        <v>0.66933483594250698</v>
      </c>
      <c r="L2669" s="19">
        <v>0.33066516405749302</v>
      </c>
      <c r="M2669" s="20">
        <v>2</v>
      </c>
      <c r="N2669" s="19">
        <v>0.19644782228456217</v>
      </c>
      <c r="O2669" s="19">
        <v>0.22979114749139604</v>
      </c>
      <c r="P2669" s="19">
        <v>0.24309586616654877</v>
      </c>
      <c r="Q2669" s="19">
        <v>5.3541458754370164E-2</v>
      </c>
      <c r="R2669" s="19">
        <v>0.24352717392445508</v>
      </c>
      <c r="S2669" s="19">
        <v>3.3596531378667784E-2</v>
      </c>
      <c r="T2669" s="20">
        <v>22</v>
      </c>
      <c r="U2669" s="17">
        <v>3</v>
      </c>
      <c r="V2669" s="17">
        <v>36</v>
      </c>
    </row>
    <row r="2670" spans="1:22" x14ac:dyDescent="0.2">
      <c r="A2670" t="s">
        <v>6113</v>
      </c>
      <c r="B2670" t="s">
        <v>5862</v>
      </c>
      <c r="C2670" t="s">
        <v>5863</v>
      </c>
      <c r="D2670" t="s">
        <v>6101</v>
      </c>
      <c r="E2670" s="10" t="s">
        <v>6114</v>
      </c>
      <c r="F2670" s="10"/>
      <c r="G2670" s="10"/>
      <c r="H2670" s="10" t="s">
        <v>6114</v>
      </c>
      <c r="I2670" s="14">
        <v>60674.616118801525</v>
      </c>
      <c r="J2670" s="19">
        <v>0</v>
      </c>
      <c r="K2670" s="19">
        <v>0.33704336457387213</v>
      </c>
      <c r="L2670" s="19">
        <v>0.66295663542612782</v>
      </c>
      <c r="M2670" s="20">
        <v>1</v>
      </c>
      <c r="N2670" s="19">
        <v>0.16242319844549843</v>
      </c>
      <c r="O2670" s="19">
        <v>4.8673504807687236E-2</v>
      </c>
      <c r="P2670" s="19">
        <v>0.12594666132068644</v>
      </c>
      <c r="Q2670" s="19">
        <v>0.28004646226381152</v>
      </c>
      <c r="R2670" s="19">
        <v>0.33696511788397288</v>
      </c>
      <c r="S2670" s="19">
        <v>4.5945055278343416E-2</v>
      </c>
      <c r="T2670" s="20">
        <v>12</v>
      </c>
      <c r="U2670" s="17">
        <v>3</v>
      </c>
      <c r="V2670" s="17">
        <v>36</v>
      </c>
    </row>
    <row r="2671" spans="1:22" x14ac:dyDescent="0.2">
      <c r="A2671" t="s">
        <v>6115</v>
      </c>
      <c r="B2671" t="s">
        <v>5862</v>
      </c>
      <c r="C2671" t="s">
        <v>5863</v>
      </c>
      <c r="D2671" t="s">
        <v>6101</v>
      </c>
      <c r="E2671" s="10" t="s">
        <v>6116</v>
      </c>
      <c r="F2671" s="10"/>
      <c r="G2671" s="10"/>
      <c r="H2671" s="10" t="s">
        <v>6116</v>
      </c>
      <c r="I2671" s="14">
        <v>39321.442987230839</v>
      </c>
      <c r="J2671" s="19">
        <v>0</v>
      </c>
      <c r="K2671" s="19">
        <v>0.63953492535322798</v>
      </c>
      <c r="L2671" s="19">
        <v>0.36046507464677208</v>
      </c>
      <c r="M2671" s="20">
        <v>2</v>
      </c>
      <c r="N2671" s="19">
        <v>0</v>
      </c>
      <c r="O2671" s="19">
        <v>0.63953492535322798</v>
      </c>
      <c r="P2671" s="19">
        <v>0</v>
      </c>
      <c r="Q2671" s="19">
        <v>7.4453740666136095E-2</v>
      </c>
      <c r="R2671" s="19">
        <v>0.25897138770941558</v>
      </c>
      <c r="S2671" s="19">
        <v>2.7039946271220382E-2</v>
      </c>
      <c r="T2671" s="20">
        <v>22</v>
      </c>
      <c r="U2671" s="17">
        <v>3</v>
      </c>
      <c r="V2671" s="17">
        <v>36</v>
      </c>
    </row>
    <row r="2672" spans="1:22" x14ac:dyDescent="0.2">
      <c r="A2672" t="s">
        <v>6117</v>
      </c>
      <c r="B2672" t="s">
        <v>5862</v>
      </c>
      <c r="C2672" t="s">
        <v>5863</v>
      </c>
      <c r="D2672" t="s">
        <v>6101</v>
      </c>
      <c r="E2672" s="10" t="s">
        <v>6118</v>
      </c>
      <c r="F2672" s="10"/>
      <c r="G2672" s="10"/>
      <c r="H2672" s="10" t="s">
        <v>6118</v>
      </c>
      <c r="I2672" s="14">
        <v>75348.3011078001</v>
      </c>
      <c r="J2672" s="19">
        <v>0.50281276871460234</v>
      </c>
      <c r="K2672" s="19">
        <v>0.12349371950250319</v>
      </c>
      <c r="L2672" s="19">
        <v>0.37369351178289439</v>
      </c>
      <c r="M2672" s="20">
        <v>3</v>
      </c>
      <c r="N2672" s="19">
        <v>0</v>
      </c>
      <c r="O2672" s="19">
        <v>6.6664630964965277E-2</v>
      </c>
      <c r="P2672" s="19">
        <v>5.6829088537537931E-2</v>
      </c>
      <c r="Q2672" s="19">
        <v>0.1581392931426642</v>
      </c>
      <c r="R2672" s="19">
        <v>0.1940477106531987</v>
      </c>
      <c r="S2672" s="19">
        <v>2.1506507987031544E-2</v>
      </c>
      <c r="T2672" s="20">
        <v>30</v>
      </c>
      <c r="U2672" s="17">
        <v>3</v>
      </c>
      <c r="V2672" s="17">
        <v>36</v>
      </c>
    </row>
    <row r="2673" spans="1:22" x14ac:dyDescent="0.2">
      <c r="A2673" t="s">
        <v>6119</v>
      </c>
      <c r="B2673" t="s">
        <v>5862</v>
      </c>
      <c r="C2673" t="s">
        <v>5863</v>
      </c>
      <c r="D2673" t="s">
        <v>6101</v>
      </c>
      <c r="E2673" s="10" t="s">
        <v>6120</v>
      </c>
      <c r="F2673" s="10"/>
      <c r="G2673" s="10"/>
      <c r="H2673" s="10" t="s">
        <v>6120</v>
      </c>
      <c r="I2673" s="14">
        <v>70539.892384619918</v>
      </c>
      <c r="J2673" s="19">
        <v>0</v>
      </c>
      <c r="K2673" s="19">
        <v>0.47230705615013918</v>
      </c>
      <c r="L2673" s="19">
        <v>0.52769294384986076</v>
      </c>
      <c r="M2673" s="20">
        <v>1</v>
      </c>
      <c r="N2673" s="19">
        <v>0</v>
      </c>
      <c r="O2673" s="19">
        <v>0.47230705615013918</v>
      </c>
      <c r="P2673" s="19">
        <v>0</v>
      </c>
      <c r="Q2673" s="19">
        <v>0.1076066256684256</v>
      </c>
      <c r="R2673" s="19">
        <v>0.33375650019451786</v>
      </c>
      <c r="S2673" s="19">
        <v>8.6329817986917343E-2</v>
      </c>
      <c r="T2673" s="20">
        <v>12</v>
      </c>
      <c r="U2673" s="17">
        <v>3</v>
      </c>
      <c r="V2673" s="17">
        <v>36</v>
      </c>
    </row>
    <row r="2674" spans="1:22" x14ac:dyDescent="0.2">
      <c r="A2674" t="s">
        <v>6121</v>
      </c>
      <c r="B2674" t="s">
        <v>5862</v>
      </c>
      <c r="C2674" t="s">
        <v>5863</v>
      </c>
      <c r="D2674" t="s">
        <v>6101</v>
      </c>
      <c r="E2674" s="10" t="s">
        <v>6122</v>
      </c>
      <c r="F2674" s="10"/>
      <c r="G2674" s="10"/>
      <c r="H2674" s="10" t="s">
        <v>6122</v>
      </c>
      <c r="I2674" s="14">
        <v>273366.27946972963</v>
      </c>
      <c r="J2674" s="19">
        <v>0.41425399361294174</v>
      </c>
      <c r="K2674" s="19">
        <v>0.32276411038395242</v>
      </c>
      <c r="L2674" s="19">
        <v>0.26298189600310579</v>
      </c>
      <c r="M2674" s="20">
        <v>2</v>
      </c>
      <c r="N2674" s="19">
        <v>6.972664882498178E-2</v>
      </c>
      <c r="O2674" s="19">
        <v>5.450585930473038E-3</v>
      </c>
      <c r="P2674" s="19">
        <v>0.2475868756284976</v>
      </c>
      <c r="Q2674" s="19">
        <v>6.2035305175161537E-2</v>
      </c>
      <c r="R2674" s="19">
        <v>0.17185337978275178</v>
      </c>
      <c r="S2674" s="19">
        <v>2.9093211045192489E-2</v>
      </c>
      <c r="T2674" s="20">
        <v>23</v>
      </c>
      <c r="U2674" s="17">
        <v>3</v>
      </c>
      <c r="V2674" s="17">
        <v>36</v>
      </c>
    </row>
    <row r="2675" spans="1:22" x14ac:dyDescent="0.2">
      <c r="A2675" t="s">
        <v>6123</v>
      </c>
      <c r="B2675" t="s">
        <v>5862</v>
      </c>
      <c r="C2675" t="s">
        <v>5863</v>
      </c>
      <c r="D2675" t="s">
        <v>6101</v>
      </c>
      <c r="E2675" s="10" t="s">
        <v>6124</v>
      </c>
      <c r="F2675" s="10"/>
      <c r="G2675" s="10"/>
      <c r="H2675" s="10" t="s">
        <v>6124</v>
      </c>
      <c r="I2675" s="14">
        <v>33485.501747630769</v>
      </c>
      <c r="J2675" s="19">
        <v>0</v>
      </c>
      <c r="K2675" s="19">
        <v>0.63065163131811253</v>
      </c>
      <c r="L2675" s="19">
        <v>0.36934836868188742</v>
      </c>
      <c r="M2675" s="20">
        <v>2</v>
      </c>
      <c r="N2675" s="19">
        <v>0</v>
      </c>
      <c r="O2675" s="19">
        <v>0.63065163131811253</v>
      </c>
      <c r="P2675" s="19">
        <v>0</v>
      </c>
      <c r="Q2675" s="19">
        <v>0.19915918782859973</v>
      </c>
      <c r="R2675" s="19">
        <v>0.13170722290663839</v>
      </c>
      <c r="S2675" s="19">
        <v>3.8481957946649208E-2</v>
      </c>
      <c r="T2675" s="20">
        <v>22</v>
      </c>
      <c r="U2675" s="17">
        <v>3</v>
      </c>
      <c r="V2675" s="17">
        <v>36</v>
      </c>
    </row>
    <row r="2676" spans="1:22" x14ac:dyDescent="0.2">
      <c r="A2676" t="s">
        <v>6125</v>
      </c>
      <c r="B2676" t="s">
        <v>5862</v>
      </c>
      <c r="C2676" t="s">
        <v>5863</v>
      </c>
      <c r="D2676" t="s">
        <v>6101</v>
      </c>
      <c r="E2676" s="10" t="s">
        <v>6126</v>
      </c>
      <c r="F2676" s="10"/>
      <c r="G2676" s="10"/>
      <c r="H2676" s="10" t="s">
        <v>6126</v>
      </c>
      <c r="I2676" s="14">
        <v>166588.1860602079</v>
      </c>
      <c r="J2676" s="19">
        <v>0</v>
      </c>
      <c r="K2676" s="19">
        <v>0.62232118054607688</v>
      </c>
      <c r="L2676" s="19">
        <v>0.37767881945392306</v>
      </c>
      <c r="M2676" s="20">
        <v>2</v>
      </c>
      <c r="N2676" s="19">
        <v>0.18736149643322494</v>
      </c>
      <c r="O2676" s="19">
        <v>9.0037363144614718E-2</v>
      </c>
      <c r="P2676" s="19">
        <v>0.34492232096823727</v>
      </c>
      <c r="Q2676" s="19">
        <v>0.12395873982052892</v>
      </c>
      <c r="R2676" s="19">
        <v>0.23010297711837446</v>
      </c>
      <c r="S2676" s="19">
        <v>2.3617102515019708E-2</v>
      </c>
      <c r="T2676" s="20">
        <v>23</v>
      </c>
      <c r="U2676" s="17">
        <v>3</v>
      </c>
      <c r="V2676" s="17">
        <v>36</v>
      </c>
    </row>
    <row r="2677" spans="1:22" x14ac:dyDescent="0.2">
      <c r="A2677" t="s">
        <v>6127</v>
      </c>
      <c r="B2677" t="s">
        <v>5862</v>
      </c>
      <c r="C2677" t="s">
        <v>5863</v>
      </c>
      <c r="D2677" t="s">
        <v>6101</v>
      </c>
      <c r="E2677" s="10" t="s">
        <v>6128</v>
      </c>
      <c r="F2677" s="10"/>
      <c r="G2677" s="10"/>
      <c r="H2677" s="10" t="s">
        <v>6128</v>
      </c>
      <c r="I2677" s="14">
        <v>54667.816218227141</v>
      </c>
      <c r="J2677" s="19">
        <v>0</v>
      </c>
      <c r="K2677" s="19">
        <v>0.556022476589767</v>
      </c>
      <c r="L2677" s="19">
        <v>0.44397752341023305</v>
      </c>
      <c r="M2677" s="20">
        <v>2</v>
      </c>
      <c r="N2677" s="19">
        <v>0</v>
      </c>
      <c r="O2677" s="19">
        <v>0.556022476589767</v>
      </c>
      <c r="P2677" s="19">
        <v>0</v>
      </c>
      <c r="Q2677" s="19">
        <v>0.27745933901318171</v>
      </c>
      <c r="R2677" s="19">
        <v>0.12317376562974595</v>
      </c>
      <c r="S2677" s="19">
        <v>4.3344418767305389E-2</v>
      </c>
      <c r="T2677" s="20">
        <v>22</v>
      </c>
      <c r="U2677" s="17">
        <v>3</v>
      </c>
      <c r="V2677" s="17">
        <v>36</v>
      </c>
    </row>
    <row r="2678" spans="1:22" x14ac:dyDescent="0.2">
      <c r="A2678" t="s">
        <v>6129</v>
      </c>
      <c r="B2678" t="s">
        <v>5862</v>
      </c>
      <c r="C2678" t="s">
        <v>5863</v>
      </c>
      <c r="D2678" t="s">
        <v>6101</v>
      </c>
      <c r="E2678" s="10" t="s">
        <v>6130</v>
      </c>
      <c r="F2678" s="10"/>
      <c r="G2678" s="10"/>
      <c r="H2678" s="10" t="s">
        <v>6130</v>
      </c>
      <c r="I2678" s="14">
        <v>75564.65558918356</v>
      </c>
      <c r="J2678" s="19">
        <v>0</v>
      </c>
      <c r="K2678" s="19">
        <v>0.45069552046553468</v>
      </c>
      <c r="L2678" s="19">
        <v>0.54930447953446537</v>
      </c>
      <c r="M2678" s="20">
        <v>1</v>
      </c>
      <c r="N2678" s="19">
        <v>0.14088652168772525</v>
      </c>
      <c r="O2678" s="19">
        <v>0.22650136593213696</v>
      </c>
      <c r="P2678" s="19">
        <v>8.3307632845672497E-2</v>
      </c>
      <c r="Q2678" s="19">
        <v>0.22233963429452819</v>
      </c>
      <c r="R2678" s="19">
        <v>0.28832441670749109</v>
      </c>
      <c r="S2678" s="19">
        <v>3.8640428532446015E-2</v>
      </c>
      <c r="T2678" s="20">
        <v>12</v>
      </c>
      <c r="U2678" s="17">
        <v>3</v>
      </c>
      <c r="V2678" s="17">
        <v>36</v>
      </c>
    </row>
    <row r="2679" spans="1:22" x14ac:dyDescent="0.2">
      <c r="A2679" t="s">
        <v>6131</v>
      </c>
      <c r="B2679" t="s">
        <v>5862</v>
      </c>
      <c r="C2679" t="s">
        <v>5863</v>
      </c>
      <c r="D2679" t="s">
        <v>6101</v>
      </c>
      <c r="E2679" s="10" t="s">
        <v>6132</v>
      </c>
      <c r="F2679" s="10"/>
      <c r="G2679" s="10"/>
      <c r="H2679" s="10" t="s">
        <v>6132</v>
      </c>
      <c r="I2679" s="14">
        <v>59420.764389402466</v>
      </c>
      <c r="J2679" s="19">
        <v>0</v>
      </c>
      <c r="K2679" s="19">
        <v>0.38965987522986928</v>
      </c>
      <c r="L2679" s="19">
        <v>0.61034012477013078</v>
      </c>
      <c r="M2679" s="20">
        <v>1</v>
      </c>
      <c r="N2679" s="19">
        <v>0</v>
      </c>
      <c r="O2679" s="19">
        <v>0.16792153157356696</v>
      </c>
      <c r="P2679" s="19">
        <v>0.22173834365630232</v>
      </c>
      <c r="Q2679" s="19">
        <v>0.32443931381100716</v>
      </c>
      <c r="R2679" s="19">
        <v>0.25295488110720132</v>
      </c>
      <c r="S2679" s="19">
        <v>3.2945929851922212E-2</v>
      </c>
      <c r="T2679" s="20">
        <v>13</v>
      </c>
      <c r="U2679" s="17">
        <v>3</v>
      </c>
      <c r="V2679" s="17">
        <v>36</v>
      </c>
    </row>
    <row r="2680" spans="1:22" x14ac:dyDescent="0.2">
      <c r="A2680" t="s">
        <v>6133</v>
      </c>
      <c r="B2680" t="s">
        <v>5862</v>
      </c>
      <c r="C2680" t="s">
        <v>5863</v>
      </c>
      <c r="D2680" t="s">
        <v>6101</v>
      </c>
      <c r="E2680" s="10" t="s">
        <v>6134</v>
      </c>
      <c r="F2680" s="10"/>
      <c r="G2680" s="10"/>
      <c r="H2680" s="10" t="s">
        <v>6134</v>
      </c>
      <c r="I2680" s="14">
        <v>61530.076114028227</v>
      </c>
      <c r="J2680" s="19">
        <v>0</v>
      </c>
      <c r="K2680" s="19">
        <v>0.50716804932216564</v>
      </c>
      <c r="L2680" s="19">
        <v>0.49283195067783447</v>
      </c>
      <c r="M2680" s="20">
        <v>2</v>
      </c>
      <c r="N2680" s="19">
        <v>0.14322113541497652</v>
      </c>
      <c r="O2680" s="19">
        <v>9.6119593676567458E-2</v>
      </c>
      <c r="P2680" s="19">
        <v>0.26782732023062156</v>
      </c>
      <c r="Q2680" s="19">
        <v>0.14873355559544185</v>
      </c>
      <c r="R2680" s="19">
        <v>0.27698776119617113</v>
      </c>
      <c r="S2680" s="19">
        <v>6.7110633886221502E-2</v>
      </c>
      <c r="T2680" s="20">
        <v>23</v>
      </c>
      <c r="U2680" s="17">
        <v>3</v>
      </c>
      <c r="V2680" s="17">
        <v>36</v>
      </c>
    </row>
    <row r="2681" spans="1:22" x14ac:dyDescent="0.2">
      <c r="A2681" t="s">
        <v>6135</v>
      </c>
      <c r="B2681" t="s">
        <v>5862</v>
      </c>
      <c r="C2681" t="s">
        <v>5863</v>
      </c>
      <c r="D2681" t="s">
        <v>6101</v>
      </c>
      <c r="E2681" s="10" t="s">
        <v>6136</v>
      </c>
      <c r="F2681" s="10"/>
      <c r="G2681" s="10"/>
      <c r="H2681" s="10" t="s">
        <v>6136</v>
      </c>
      <c r="I2681" s="14">
        <v>28817.096157588996</v>
      </c>
      <c r="J2681" s="19">
        <v>0</v>
      </c>
      <c r="K2681" s="19">
        <v>0.25665031283039447</v>
      </c>
      <c r="L2681" s="19">
        <v>0.74334968716960548</v>
      </c>
      <c r="M2681" s="20">
        <v>1</v>
      </c>
      <c r="N2681" s="19">
        <v>0</v>
      </c>
      <c r="O2681" s="19">
        <v>0.25665031283039447</v>
      </c>
      <c r="P2681" s="19">
        <v>0</v>
      </c>
      <c r="Q2681" s="19">
        <v>0.37244926293375386</v>
      </c>
      <c r="R2681" s="19">
        <v>0.31465870635526005</v>
      </c>
      <c r="S2681" s="19">
        <v>5.6241717880591603E-2</v>
      </c>
      <c r="T2681" s="20">
        <v>13</v>
      </c>
      <c r="U2681" s="17">
        <v>3</v>
      </c>
      <c r="V2681" s="17">
        <v>36</v>
      </c>
    </row>
    <row r="2682" spans="1:22" x14ac:dyDescent="0.2">
      <c r="A2682" t="s">
        <v>6137</v>
      </c>
      <c r="B2682" t="s">
        <v>5862</v>
      </c>
      <c r="C2682" t="s">
        <v>5863</v>
      </c>
      <c r="D2682" t="s">
        <v>6138</v>
      </c>
      <c r="E2682" s="10" t="s">
        <v>6139</v>
      </c>
      <c r="F2682" s="10"/>
      <c r="G2682" s="10"/>
      <c r="H2682" s="10" t="s">
        <v>6139</v>
      </c>
      <c r="I2682" s="14">
        <v>24812.748401833</v>
      </c>
      <c r="J2682" s="19">
        <v>0</v>
      </c>
      <c r="K2682" s="19">
        <v>0.26783223888713281</v>
      </c>
      <c r="L2682" s="19">
        <v>0.73216776111286719</v>
      </c>
      <c r="M2682" s="20">
        <v>1</v>
      </c>
      <c r="N2682" s="19">
        <v>0</v>
      </c>
      <c r="O2682" s="19">
        <v>0.26783223888713281</v>
      </c>
      <c r="P2682" s="19">
        <v>0</v>
      </c>
      <c r="Q2682" s="19">
        <v>0</v>
      </c>
      <c r="R2682" s="19">
        <v>0.56270073528300846</v>
      </c>
      <c r="S2682" s="19">
        <v>0.1694670258298587</v>
      </c>
      <c r="T2682" s="20">
        <v>12</v>
      </c>
      <c r="U2682" s="17">
        <v>3</v>
      </c>
      <c r="V2682" s="17">
        <v>36</v>
      </c>
    </row>
    <row r="2683" spans="1:22" x14ac:dyDescent="0.2">
      <c r="A2683" t="s">
        <v>6140</v>
      </c>
      <c r="B2683" t="s">
        <v>5862</v>
      </c>
      <c r="C2683" t="s">
        <v>5863</v>
      </c>
      <c r="D2683" t="s">
        <v>6138</v>
      </c>
      <c r="E2683" s="10" t="s">
        <v>6141</v>
      </c>
      <c r="F2683" s="10"/>
      <c r="G2683" s="10"/>
      <c r="H2683" s="10" t="s">
        <v>6141</v>
      </c>
      <c r="I2683" s="14">
        <v>68013.590716457926</v>
      </c>
      <c r="J2683" s="19">
        <v>0</v>
      </c>
      <c r="K2683" s="19">
        <v>0.49755153090014576</v>
      </c>
      <c r="L2683" s="19">
        <v>0.5024484690998543</v>
      </c>
      <c r="M2683" s="20">
        <v>1</v>
      </c>
      <c r="N2683" s="19">
        <v>0.16014332944979326</v>
      </c>
      <c r="O2683" s="19">
        <v>0.10568063106482786</v>
      </c>
      <c r="P2683" s="19">
        <v>0.23172757038552461</v>
      </c>
      <c r="Q2683" s="19">
        <v>1.234684183509451E-2</v>
      </c>
      <c r="R2683" s="19">
        <v>0.39171339483073381</v>
      </c>
      <c r="S2683" s="19">
        <v>9.8388232434025932E-2</v>
      </c>
      <c r="T2683" s="20">
        <v>12</v>
      </c>
      <c r="U2683" s="17">
        <v>3</v>
      </c>
      <c r="V2683" s="17">
        <v>36</v>
      </c>
    </row>
    <row r="2684" spans="1:22" x14ac:dyDescent="0.2">
      <c r="A2684" t="s">
        <v>6142</v>
      </c>
      <c r="B2684" t="s">
        <v>5862</v>
      </c>
      <c r="C2684" t="s">
        <v>5863</v>
      </c>
      <c r="D2684" t="s">
        <v>6138</v>
      </c>
      <c r="E2684" s="10" t="s">
        <v>6143</v>
      </c>
      <c r="F2684" s="10"/>
      <c r="G2684" s="10"/>
      <c r="H2684" s="10" t="s">
        <v>6143</v>
      </c>
      <c r="I2684" s="14">
        <v>191289.31008002011</v>
      </c>
      <c r="J2684" s="19">
        <v>0.30975722244676496</v>
      </c>
      <c r="K2684" s="19">
        <v>0.38988571521548854</v>
      </c>
      <c r="L2684" s="19">
        <v>0.30035706233774656</v>
      </c>
      <c r="M2684" s="20">
        <v>2</v>
      </c>
      <c r="N2684" s="19">
        <v>5.7901726464801878E-2</v>
      </c>
      <c r="O2684" s="19">
        <v>0</v>
      </c>
      <c r="P2684" s="19">
        <v>0.33198398875068669</v>
      </c>
      <c r="Q2684" s="19">
        <v>3.0481934722550175E-2</v>
      </c>
      <c r="R2684" s="19">
        <v>0.24681488297841808</v>
      </c>
      <c r="S2684" s="19">
        <v>2.3060244636778252E-2</v>
      </c>
      <c r="T2684" s="20">
        <v>23</v>
      </c>
      <c r="U2684" s="17">
        <v>3</v>
      </c>
      <c r="V2684" s="17">
        <v>36</v>
      </c>
    </row>
    <row r="2685" spans="1:22" x14ac:dyDescent="0.2">
      <c r="A2685" t="s">
        <v>6144</v>
      </c>
      <c r="B2685" t="s">
        <v>5862</v>
      </c>
      <c r="C2685" t="s">
        <v>5863</v>
      </c>
      <c r="D2685" t="s">
        <v>6138</v>
      </c>
      <c r="E2685" s="10" t="s">
        <v>6145</v>
      </c>
      <c r="F2685" s="10"/>
      <c r="G2685" s="10"/>
      <c r="H2685" s="10" t="s">
        <v>6145</v>
      </c>
      <c r="I2685" s="14">
        <v>41697.049253106125</v>
      </c>
      <c r="J2685" s="19">
        <v>0</v>
      </c>
      <c r="K2685" s="19">
        <v>0</v>
      </c>
      <c r="L2685" s="19">
        <v>1</v>
      </c>
      <c r="M2685" s="20">
        <v>1</v>
      </c>
      <c r="N2685" s="19">
        <v>0</v>
      </c>
      <c r="O2685" s="19">
        <v>0</v>
      </c>
      <c r="P2685" s="19">
        <v>0</v>
      </c>
      <c r="Q2685" s="19">
        <v>0.21388881156434364</v>
      </c>
      <c r="R2685" s="19">
        <v>0.57759454814384625</v>
      </c>
      <c r="S2685" s="19">
        <v>0.20851664029180997</v>
      </c>
      <c r="T2685" s="20">
        <v>12</v>
      </c>
      <c r="U2685" s="17">
        <v>3</v>
      </c>
      <c r="V2685" s="17">
        <v>36</v>
      </c>
    </row>
    <row r="2686" spans="1:22" x14ac:dyDescent="0.2">
      <c r="A2686" t="s">
        <v>6146</v>
      </c>
      <c r="B2686" t="s">
        <v>5862</v>
      </c>
      <c r="C2686" t="s">
        <v>5863</v>
      </c>
      <c r="D2686" t="s">
        <v>6138</v>
      </c>
      <c r="E2686" s="10" t="s">
        <v>6147</v>
      </c>
      <c r="F2686" s="10"/>
      <c r="G2686" s="10"/>
      <c r="H2686" s="10" t="s">
        <v>6147</v>
      </c>
      <c r="I2686" s="14">
        <v>20069.939869700931</v>
      </c>
      <c r="J2686" s="19">
        <v>0</v>
      </c>
      <c r="K2686" s="19">
        <v>0</v>
      </c>
      <c r="L2686" s="19">
        <v>1</v>
      </c>
      <c r="M2686" s="20">
        <v>1</v>
      </c>
      <c r="N2686" s="19">
        <v>0</v>
      </c>
      <c r="O2686" s="19">
        <v>0</v>
      </c>
      <c r="P2686" s="19">
        <v>0</v>
      </c>
      <c r="Q2686" s="19">
        <v>5.0934052014416857E-2</v>
      </c>
      <c r="R2686" s="19">
        <v>0.69660737462221012</v>
      </c>
      <c r="S2686" s="19">
        <v>0.25245857336337313</v>
      </c>
      <c r="T2686" s="20">
        <v>12</v>
      </c>
      <c r="U2686" s="17">
        <v>3</v>
      </c>
      <c r="V2686" s="17">
        <v>36</v>
      </c>
    </row>
    <row r="2687" spans="1:22" x14ac:dyDescent="0.2">
      <c r="A2687" t="s">
        <v>6148</v>
      </c>
      <c r="B2687" t="s">
        <v>5862</v>
      </c>
      <c r="C2687" t="s">
        <v>5863</v>
      </c>
      <c r="D2687" t="s">
        <v>6138</v>
      </c>
      <c r="E2687" s="10" t="s">
        <v>6149</v>
      </c>
      <c r="F2687" s="10"/>
      <c r="G2687" s="10"/>
      <c r="H2687" s="10" t="s">
        <v>6149</v>
      </c>
      <c r="I2687" s="14">
        <v>64659.235674543073</v>
      </c>
      <c r="J2687" s="19">
        <v>0</v>
      </c>
      <c r="K2687" s="19">
        <v>0.13632682258460033</v>
      </c>
      <c r="L2687" s="19">
        <v>0.86367317741539973</v>
      </c>
      <c r="M2687" s="20">
        <v>1</v>
      </c>
      <c r="N2687" s="19">
        <v>0</v>
      </c>
      <c r="O2687" s="19">
        <v>0.13632682258460033</v>
      </c>
      <c r="P2687" s="19">
        <v>0</v>
      </c>
      <c r="Q2687" s="19">
        <v>3.3211536904095389E-2</v>
      </c>
      <c r="R2687" s="19">
        <v>0.69102980194200803</v>
      </c>
      <c r="S2687" s="19">
        <v>0.13943183856929625</v>
      </c>
      <c r="T2687" s="20">
        <v>12</v>
      </c>
      <c r="U2687" s="17">
        <v>3</v>
      </c>
      <c r="V2687" s="17">
        <v>36</v>
      </c>
    </row>
    <row r="2688" spans="1:22" x14ac:dyDescent="0.2">
      <c r="A2688" t="s">
        <v>6150</v>
      </c>
      <c r="B2688" t="s">
        <v>5862</v>
      </c>
      <c r="C2688" t="s">
        <v>5863</v>
      </c>
      <c r="D2688" t="s">
        <v>6138</v>
      </c>
      <c r="E2688" s="10" t="s">
        <v>6151</v>
      </c>
      <c r="F2688" s="10"/>
      <c r="G2688" s="10"/>
      <c r="H2688" s="10" t="s">
        <v>6151</v>
      </c>
      <c r="I2688" s="14">
        <v>65260.331263008295</v>
      </c>
      <c r="J2688" s="19">
        <v>0</v>
      </c>
      <c r="K2688" s="19">
        <v>0</v>
      </c>
      <c r="L2688" s="19">
        <v>1</v>
      </c>
      <c r="M2688" s="20">
        <v>1</v>
      </c>
      <c r="N2688" s="19">
        <v>0</v>
      </c>
      <c r="O2688" s="19">
        <v>0</v>
      </c>
      <c r="P2688" s="19">
        <v>0</v>
      </c>
      <c r="Q2688" s="19">
        <v>0.15329539749618989</v>
      </c>
      <c r="R2688" s="19">
        <v>0.63316803630469554</v>
      </c>
      <c r="S2688" s="19">
        <v>0.21353656619911451</v>
      </c>
      <c r="T2688" s="20">
        <v>12</v>
      </c>
      <c r="U2688" s="17">
        <v>3</v>
      </c>
      <c r="V2688" s="17">
        <v>36</v>
      </c>
    </row>
    <row r="2689" spans="1:22" x14ac:dyDescent="0.2">
      <c r="A2689" t="s">
        <v>6152</v>
      </c>
      <c r="B2689" t="s">
        <v>5862</v>
      </c>
      <c r="C2689" t="s">
        <v>5863</v>
      </c>
      <c r="D2689" t="s">
        <v>6138</v>
      </c>
      <c r="E2689" s="10" t="s">
        <v>6153</v>
      </c>
      <c r="F2689" s="10"/>
      <c r="G2689" s="10"/>
      <c r="H2689" s="10" t="s">
        <v>6153</v>
      </c>
      <c r="I2689" s="14">
        <v>22022.164319814183</v>
      </c>
      <c r="J2689" s="19">
        <v>0</v>
      </c>
      <c r="K2689" s="19">
        <v>0</v>
      </c>
      <c r="L2689" s="19">
        <v>1</v>
      </c>
      <c r="M2689" s="20">
        <v>1</v>
      </c>
      <c r="N2689" s="19">
        <v>0</v>
      </c>
      <c r="O2689" s="19">
        <v>0</v>
      </c>
      <c r="P2689" s="19">
        <v>0</v>
      </c>
      <c r="Q2689" s="19">
        <v>0.23827584209956995</v>
      </c>
      <c r="R2689" s="19">
        <v>0.62055413865725384</v>
      </c>
      <c r="S2689" s="19">
        <v>0.14117001924317626</v>
      </c>
      <c r="T2689" s="20">
        <v>12</v>
      </c>
      <c r="U2689" s="17">
        <v>3</v>
      </c>
      <c r="V2689" s="17">
        <v>36</v>
      </c>
    </row>
    <row r="2690" spans="1:22" x14ac:dyDescent="0.2">
      <c r="A2690" t="s">
        <v>6154</v>
      </c>
      <c r="B2690" t="s">
        <v>5862</v>
      </c>
      <c r="C2690" t="s">
        <v>5863</v>
      </c>
      <c r="D2690" t="s">
        <v>6155</v>
      </c>
      <c r="E2690" s="10" t="s">
        <v>6156</v>
      </c>
      <c r="F2690" s="10"/>
      <c r="G2690" s="10"/>
      <c r="H2690" s="10" t="s">
        <v>6156</v>
      </c>
      <c r="I2690" s="14">
        <v>54168.376600177842</v>
      </c>
      <c r="J2690" s="19">
        <v>0</v>
      </c>
      <c r="K2690" s="19">
        <v>0.26922814960378727</v>
      </c>
      <c r="L2690" s="19">
        <v>0.73077185039621273</v>
      </c>
      <c r="M2690" s="20">
        <v>1</v>
      </c>
      <c r="N2690" s="19">
        <v>0</v>
      </c>
      <c r="O2690" s="19">
        <v>0.26922814960378727</v>
      </c>
      <c r="P2690" s="19">
        <v>0</v>
      </c>
      <c r="Q2690" s="19">
        <v>0.51609816524674423</v>
      </c>
      <c r="R2690" s="19">
        <v>0.17674162563126536</v>
      </c>
      <c r="S2690" s="19">
        <v>3.7932059518203144E-2</v>
      </c>
      <c r="T2690" s="20">
        <v>13</v>
      </c>
      <c r="U2690" s="17">
        <v>3</v>
      </c>
      <c r="V2690" s="17">
        <v>36</v>
      </c>
    </row>
    <row r="2691" spans="1:22" x14ac:dyDescent="0.2">
      <c r="A2691" t="s">
        <v>6157</v>
      </c>
      <c r="B2691" t="s">
        <v>5862</v>
      </c>
      <c r="C2691" t="s">
        <v>5863</v>
      </c>
      <c r="D2691" t="s">
        <v>6155</v>
      </c>
      <c r="E2691" s="10" t="s">
        <v>6158</v>
      </c>
      <c r="F2691" s="10"/>
      <c r="G2691" s="10"/>
      <c r="H2691" s="10" t="s">
        <v>6158</v>
      </c>
      <c r="I2691" s="14">
        <v>21453.408959278604</v>
      </c>
      <c r="J2691" s="19">
        <v>0</v>
      </c>
      <c r="K2691" s="19">
        <v>0</v>
      </c>
      <c r="L2691" s="19">
        <v>1</v>
      </c>
      <c r="M2691" s="20">
        <v>1</v>
      </c>
      <c r="N2691" s="19">
        <v>0</v>
      </c>
      <c r="O2691" s="19">
        <v>0</v>
      </c>
      <c r="P2691" s="19">
        <v>0</v>
      </c>
      <c r="Q2691" s="19">
        <v>0.61480395308739033</v>
      </c>
      <c r="R2691" s="19">
        <v>0.30648132349035739</v>
      </c>
      <c r="S2691" s="19">
        <v>7.8714723422252247E-2</v>
      </c>
      <c r="T2691" s="20">
        <v>13</v>
      </c>
      <c r="U2691" s="17">
        <v>3</v>
      </c>
      <c r="V2691" s="17">
        <v>36</v>
      </c>
    </row>
    <row r="2692" spans="1:22" x14ac:dyDescent="0.2">
      <c r="A2692" t="s">
        <v>6159</v>
      </c>
      <c r="B2692" t="s">
        <v>5862</v>
      </c>
      <c r="C2692" t="s">
        <v>5863</v>
      </c>
      <c r="D2692" t="s">
        <v>6155</v>
      </c>
      <c r="E2692" s="10" t="s">
        <v>6160</v>
      </c>
      <c r="F2692" s="10"/>
      <c r="G2692" s="10"/>
      <c r="H2692" s="10" t="s">
        <v>6160</v>
      </c>
      <c r="I2692" s="14">
        <v>16982.574418302975</v>
      </c>
      <c r="J2692" s="19">
        <v>0</v>
      </c>
      <c r="K2692" s="19">
        <v>0</v>
      </c>
      <c r="L2692" s="19">
        <v>1</v>
      </c>
      <c r="M2692" s="20">
        <v>1</v>
      </c>
      <c r="N2692" s="19">
        <v>0</v>
      </c>
      <c r="O2692" s="19">
        <v>0</v>
      </c>
      <c r="P2692" s="19">
        <v>0</v>
      </c>
      <c r="Q2692" s="19">
        <v>0.61845107360480267</v>
      </c>
      <c r="R2692" s="19">
        <v>0.31666177237123483</v>
      </c>
      <c r="S2692" s="19">
        <v>6.4887154023962515E-2</v>
      </c>
      <c r="T2692" s="20">
        <v>13</v>
      </c>
      <c r="U2692" s="17">
        <v>3</v>
      </c>
      <c r="V2692" s="17">
        <v>36</v>
      </c>
    </row>
    <row r="2693" spans="1:22" x14ac:dyDescent="0.2">
      <c r="A2693" t="s">
        <v>6161</v>
      </c>
      <c r="B2693" t="s">
        <v>5862</v>
      </c>
      <c r="C2693" t="s">
        <v>5863</v>
      </c>
      <c r="D2693" t="s">
        <v>6155</v>
      </c>
      <c r="E2693" s="10" t="s">
        <v>6162</v>
      </c>
      <c r="F2693" s="10"/>
      <c r="G2693" s="10"/>
      <c r="H2693" s="10" t="s">
        <v>6162</v>
      </c>
      <c r="I2693" s="14">
        <v>18418.482566428254</v>
      </c>
      <c r="J2693" s="19">
        <v>0</v>
      </c>
      <c r="K2693" s="19">
        <v>3.0489312210252861E-2</v>
      </c>
      <c r="L2693" s="19">
        <v>0.96951068778974714</v>
      </c>
      <c r="M2693" s="20">
        <v>1</v>
      </c>
      <c r="N2693" s="19">
        <v>0</v>
      </c>
      <c r="O2693" s="19">
        <v>3.0489312210252861E-2</v>
      </c>
      <c r="P2693" s="19">
        <v>0</v>
      </c>
      <c r="Q2693" s="19">
        <v>0.50658087822415376</v>
      </c>
      <c r="R2693" s="19">
        <v>0.42010341935534867</v>
      </c>
      <c r="S2693" s="19">
        <v>4.2826390210244654E-2</v>
      </c>
      <c r="T2693" s="20">
        <v>13</v>
      </c>
      <c r="U2693" s="17">
        <v>3</v>
      </c>
      <c r="V2693" s="17">
        <v>36</v>
      </c>
    </row>
    <row r="2694" spans="1:22" x14ac:dyDescent="0.2">
      <c r="A2694" t="s">
        <v>6163</v>
      </c>
      <c r="B2694" t="s">
        <v>5862</v>
      </c>
      <c r="C2694" t="s">
        <v>5863</v>
      </c>
      <c r="D2694" t="s">
        <v>6155</v>
      </c>
      <c r="E2694" s="10" t="s">
        <v>6164</v>
      </c>
      <c r="F2694" s="10"/>
      <c r="G2694" s="10"/>
      <c r="H2694" s="10" t="s">
        <v>6164</v>
      </c>
      <c r="I2694" s="14">
        <v>22098.405158500424</v>
      </c>
      <c r="J2694" s="19">
        <v>0</v>
      </c>
      <c r="K2694" s="19">
        <v>0</v>
      </c>
      <c r="L2694" s="19">
        <v>1</v>
      </c>
      <c r="M2694" s="20">
        <v>1</v>
      </c>
      <c r="N2694" s="19">
        <v>0</v>
      </c>
      <c r="O2694" s="19">
        <v>0</v>
      </c>
      <c r="P2694" s="19">
        <v>0</v>
      </c>
      <c r="Q2694" s="19">
        <v>0.64908540626129174</v>
      </c>
      <c r="R2694" s="19">
        <v>0.28884615051091245</v>
      </c>
      <c r="S2694" s="19">
        <v>6.2068443227795582E-2</v>
      </c>
      <c r="T2694" s="20">
        <v>13</v>
      </c>
      <c r="U2694" s="17">
        <v>3</v>
      </c>
      <c r="V2694" s="17">
        <v>36</v>
      </c>
    </row>
    <row r="2695" spans="1:22" x14ac:dyDescent="0.2">
      <c r="A2695" t="s">
        <v>6165</v>
      </c>
      <c r="B2695" t="s">
        <v>5862</v>
      </c>
      <c r="C2695" t="s">
        <v>5863</v>
      </c>
      <c r="D2695" t="s">
        <v>6155</v>
      </c>
      <c r="E2695" s="10" t="s">
        <v>6166</v>
      </c>
      <c r="F2695" s="10"/>
      <c r="G2695" s="10"/>
      <c r="H2695" s="10" t="s">
        <v>6166</v>
      </c>
      <c r="I2695" s="14">
        <v>16849.956614298513</v>
      </c>
      <c r="J2695" s="19">
        <v>0</v>
      </c>
      <c r="K2695" s="19">
        <v>0</v>
      </c>
      <c r="L2695" s="19">
        <v>1</v>
      </c>
      <c r="M2695" s="20">
        <v>1</v>
      </c>
      <c r="N2695" s="19">
        <v>0</v>
      </c>
      <c r="O2695" s="19">
        <v>0</v>
      </c>
      <c r="P2695" s="19">
        <v>0</v>
      </c>
      <c r="Q2695" s="19">
        <v>0.55806163648706697</v>
      </c>
      <c r="R2695" s="19">
        <v>0.36569501480818412</v>
      </c>
      <c r="S2695" s="19">
        <v>7.6243348704748873E-2</v>
      </c>
      <c r="T2695" s="20">
        <v>13</v>
      </c>
      <c r="U2695" s="17">
        <v>3</v>
      </c>
      <c r="V2695" s="17">
        <v>36</v>
      </c>
    </row>
    <row r="2696" spans="1:22" x14ac:dyDescent="0.2">
      <c r="A2696" t="s">
        <v>6167</v>
      </c>
      <c r="B2696" t="s">
        <v>5862</v>
      </c>
      <c r="C2696" t="s">
        <v>5863</v>
      </c>
      <c r="D2696" t="s">
        <v>6155</v>
      </c>
      <c r="E2696" s="10" t="s">
        <v>6168</v>
      </c>
      <c r="F2696" s="10"/>
      <c r="G2696" s="10"/>
      <c r="H2696" s="10" t="s">
        <v>6168</v>
      </c>
      <c r="I2696" s="14">
        <v>48353.689823787776</v>
      </c>
      <c r="J2696" s="19">
        <v>0</v>
      </c>
      <c r="K2696" s="19">
        <v>0.20112465876893718</v>
      </c>
      <c r="L2696" s="19">
        <v>0.79887534123106296</v>
      </c>
      <c r="M2696" s="20">
        <v>1</v>
      </c>
      <c r="N2696" s="19">
        <v>0</v>
      </c>
      <c r="O2696" s="19">
        <v>0.20112465876893718</v>
      </c>
      <c r="P2696" s="19">
        <v>0</v>
      </c>
      <c r="Q2696" s="19">
        <v>0.55153830491643185</v>
      </c>
      <c r="R2696" s="19">
        <v>0.20695773603156623</v>
      </c>
      <c r="S2696" s="19">
        <v>4.0379300283064766E-2</v>
      </c>
      <c r="T2696" s="20">
        <v>13</v>
      </c>
      <c r="U2696" s="17">
        <v>3</v>
      </c>
      <c r="V2696" s="17">
        <v>36</v>
      </c>
    </row>
    <row r="2697" spans="1:22" x14ac:dyDescent="0.2">
      <c r="A2697" t="s">
        <v>6169</v>
      </c>
      <c r="B2697" t="s">
        <v>5862</v>
      </c>
      <c r="C2697" t="s">
        <v>5863</v>
      </c>
      <c r="D2697" t="s">
        <v>6155</v>
      </c>
      <c r="E2697" s="10" t="s">
        <v>6170</v>
      </c>
      <c r="F2697" s="10"/>
      <c r="G2697" s="10"/>
      <c r="H2697" s="10" t="s">
        <v>6170</v>
      </c>
      <c r="I2697" s="14">
        <v>51806.288319247309</v>
      </c>
      <c r="J2697" s="19">
        <v>0</v>
      </c>
      <c r="K2697" s="19">
        <v>0.29281868222024732</v>
      </c>
      <c r="L2697" s="19">
        <v>0.70718131777975268</v>
      </c>
      <c r="M2697" s="20">
        <v>1</v>
      </c>
      <c r="N2697" s="19">
        <v>0.13582377517560051</v>
      </c>
      <c r="O2697" s="19">
        <v>0.1097769587201488</v>
      </c>
      <c r="P2697" s="19">
        <v>4.7217948324498028E-2</v>
      </c>
      <c r="Q2697" s="19">
        <v>0.4770806440004508</v>
      </c>
      <c r="R2697" s="19">
        <v>0.18855862483034252</v>
      </c>
      <c r="S2697" s="19">
        <v>4.154204894895934E-2</v>
      </c>
      <c r="T2697" s="20">
        <v>13</v>
      </c>
      <c r="U2697" s="17">
        <v>3</v>
      </c>
      <c r="V2697" s="17">
        <v>36</v>
      </c>
    </row>
    <row r="2698" spans="1:22" x14ac:dyDescent="0.2">
      <c r="A2698" t="s">
        <v>6171</v>
      </c>
      <c r="B2698" t="s">
        <v>5862</v>
      </c>
      <c r="C2698" t="s">
        <v>5863</v>
      </c>
      <c r="D2698" t="s">
        <v>6155</v>
      </c>
      <c r="E2698" s="10" t="s">
        <v>6172</v>
      </c>
      <c r="F2698" s="10"/>
      <c r="G2698" s="10"/>
      <c r="H2698" s="10" t="s">
        <v>6172</v>
      </c>
      <c r="I2698" s="14">
        <v>25232.302157944301</v>
      </c>
      <c r="J2698" s="19">
        <v>0</v>
      </c>
      <c r="K2698" s="19">
        <v>0.4544162274208392</v>
      </c>
      <c r="L2698" s="19">
        <v>0.5455837725791608</v>
      </c>
      <c r="M2698" s="20">
        <v>1</v>
      </c>
      <c r="N2698" s="19">
        <v>0</v>
      </c>
      <c r="O2698" s="19">
        <v>0.4544162274208392</v>
      </c>
      <c r="P2698" s="19">
        <v>0</v>
      </c>
      <c r="Q2698" s="19">
        <v>0.27478130638377624</v>
      </c>
      <c r="R2698" s="19">
        <v>0.20869653546338351</v>
      </c>
      <c r="S2698" s="19">
        <v>6.2105930732001061E-2</v>
      </c>
      <c r="T2698" s="20">
        <v>13</v>
      </c>
      <c r="U2698" s="17">
        <v>3</v>
      </c>
      <c r="V2698" s="17">
        <v>36</v>
      </c>
    </row>
    <row r="2699" spans="1:22" x14ac:dyDescent="0.2">
      <c r="A2699" t="s">
        <v>6173</v>
      </c>
      <c r="B2699" t="s">
        <v>5862</v>
      </c>
      <c r="C2699" t="s">
        <v>5863</v>
      </c>
      <c r="D2699" t="s">
        <v>6155</v>
      </c>
      <c r="E2699" s="10" t="s">
        <v>6174</v>
      </c>
      <c r="F2699" s="10"/>
      <c r="G2699" s="10"/>
      <c r="H2699" s="10" t="s">
        <v>6174</v>
      </c>
      <c r="I2699" s="14">
        <v>73895.364936604863</v>
      </c>
      <c r="J2699" s="19">
        <v>0</v>
      </c>
      <c r="K2699" s="19">
        <v>0.15314782350413578</v>
      </c>
      <c r="L2699" s="19">
        <v>0.8468521764958642</v>
      </c>
      <c r="M2699" s="20">
        <v>1</v>
      </c>
      <c r="N2699" s="19">
        <v>7.8859861377798213E-2</v>
      </c>
      <c r="O2699" s="19">
        <v>0</v>
      </c>
      <c r="P2699" s="19">
        <v>7.4287962126337578E-2</v>
      </c>
      <c r="Q2699" s="19">
        <v>0.52318149130142322</v>
      </c>
      <c r="R2699" s="19">
        <v>0.25435944267035854</v>
      </c>
      <c r="S2699" s="19">
        <v>6.9311242524082481E-2</v>
      </c>
      <c r="T2699" s="20">
        <v>13</v>
      </c>
      <c r="U2699" s="17">
        <v>3</v>
      </c>
      <c r="V2699" s="17">
        <v>36</v>
      </c>
    </row>
    <row r="2700" spans="1:22" x14ac:dyDescent="0.2">
      <c r="A2700" t="s">
        <v>6175</v>
      </c>
      <c r="B2700" t="s">
        <v>5862</v>
      </c>
      <c r="C2700" t="s">
        <v>5863</v>
      </c>
      <c r="D2700" t="s">
        <v>6155</v>
      </c>
      <c r="E2700" s="10" t="s">
        <v>6176</v>
      </c>
      <c r="F2700" s="10"/>
      <c r="G2700" s="10"/>
      <c r="H2700" s="10" t="s">
        <v>6176</v>
      </c>
      <c r="I2700" s="14">
        <v>162415.52074240684</v>
      </c>
      <c r="J2700" s="19">
        <v>0.39630230332928146</v>
      </c>
      <c r="K2700" s="19">
        <v>0.16366022875955516</v>
      </c>
      <c r="L2700" s="19">
        <v>0.44003746791116344</v>
      </c>
      <c r="M2700" s="20">
        <v>2</v>
      </c>
      <c r="N2700" s="19">
        <v>0</v>
      </c>
      <c r="O2700" s="19">
        <v>4.0047726224651976E-2</v>
      </c>
      <c r="P2700" s="19">
        <v>0.12361250253490318</v>
      </c>
      <c r="Q2700" s="19">
        <v>0.24602718431194456</v>
      </c>
      <c r="R2700" s="19">
        <v>0.16257035201727438</v>
      </c>
      <c r="S2700" s="19">
        <v>3.1439931581944511E-2</v>
      </c>
      <c r="T2700" s="20">
        <v>22</v>
      </c>
      <c r="U2700" s="17">
        <v>3</v>
      </c>
      <c r="V2700" s="17">
        <v>36</v>
      </c>
    </row>
    <row r="2701" spans="1:22" x14ac:dyDescent="0.2">
      <c r="A2701" t="s">
        <v>6177</v>
      </c>
      <c r="B2701" t="s">
        <v>5862</v>
      </c>
      <c r="C2701" t="s">
        <v>5863</v>
      </c>
      <c r="D2701" t="s">
        <v>6155</v>
      </c>
      <c r="E2701" s="10" t="s">
        <v>6178</v>
      </c>
      <c r="F2701" s="10"/>
      <c r="G2701" s="10"/>
      <c r="H2701" s="10" t="s">
        <v>6178</v>
      </c>
      <c r="I2701" s="14">
        <v>40731.0015863796</v>
      </c>
      <c r="J2701" s="19">
        <v>0</v>
      </c>
      <c r="K2701" s="19">
        <v>0.31852725795624021</v>
      </c>
      <c r="L2701" s="19">
        <v>0.68147274204375974</v>
      </c>
      <c r="M2701" s="20">
        <v>1</v>
      </c>
      <c r="N2701" s="19">
        <v>0</v>
      </c>
      <c r="O2701" s="19">
        <v>0.28717593939030572</v>
      </c>
      <c r="P2701" s="19">
        <v>3.1351318565934469E-2</v>
      </c>
      <c r="Q2701" s="19">
        <v>0.45799782156217017</v>
      </c>
      <c r="R2701" s="19">
        <v>0.18095703441499775</v>
      </c>
      <c r="S2701" s="19">
        <v>4.2517886066591855E-2</v>
      </c>
      <c r="T2701" s="20">
        <v>13</v>
      </c>
      <c r="U2701" s="17">
        <v>3</v>
      </c>
      <c r="V2701" s="17">
        <v>36</v>
      </c>
    </row>
    <row r="2702" spans="1:22" x14ac:dyDescent="0.2">
      <c r="A2702" t="s">
        <v>6179</v>
      </c>
      <c r="B2702" t="s">
        <v>5862</v>
      </c>
      <c r="C2702" t="s">
        <v>5863</v>
      </c>
      <c r="D2702" t="s">
        <v>6155</v>
      </c>
      <c r="E2702" s="10" t="s">
        <v>6180</v>
      </c>
      <c r="F2702" s="10"/>
      <c r="G2702" s="10"/>
      <c r="H2702" s="10" t="s">
        <v>6180</v>
      </c>
      <c r="I2702" s="14">
        <v>44642.924552171025</v>
      </c>
      <c r="J2702" s="19">
        <v>0</v>
      </c>
      <c r="K2702" s="19">
        <v>0.17345599172457107</v>
      </c>
      <c r="L2702" s="19">
        <v>0.82654400827542895</v>
      </c>
      <c r="M2702" s="20">
        <v>1</v>
      </c>
      <c r="N2702" s="19">
        <v>0</v>
      </c>
      <c r="O2702" s="19">
        <v>0.17345599172457107</v>
      </c>
      <c r="P2702" s="19">
        <v>0</v>
      </c>
      <c r="Q2702" s="19">
        <v>0.47543926141771603</v>
      </c>
      <c r="R2702" s="19">
        <v>0.29046935845820876</v>
      </c>
      <c r="S2702" s="19">
        <v>6.063538839950413E-2</v>
      </c>
      <c r="T2702" s="20">
        <v>13</v>
      </c>
      <c r="U2702" s="17">
        <v>3</v>
      </c>
      <c r="V2702" s="17">
        <v>36</v>
      </c>
    </row>
    <row r="2703" spans="1:22" x14ac:dyDescent="0.2">
      <c r="A2703" t="s">
        <v>6181</v>
      </c>
      <c r="B2703" t="s">
        <v>5862</v>
      </c>
      <c r="C2703" t="s">
        <v>5863</v>
      </c>
      <c r="D2703" t="s">
        <v>6155</v>
      </c>
      <c r="E2703" s="10" t="s">
        <v>6182</v>
      </c>
      <c r="F2703" s="10"/>
      <c r="G2703" s="10"/>
      <c r="H2703" s="10" t="s">
        <v>6182</v>
      </c>
      <c r="I2703" s="14">
        <v>11029.65501009929</v>
      </c>
      <c r="J2703" s="19">
        <v>0</v>
      </c>
      <c r="K2703" s="19">
        <v>0</v>
      </c>
      <c r="L2703" s="19">
        <v>1</v>
      </c>
      <c r="M2703" s="20">
        <v>1</v>
      </c>
      <c r="N2703" s="19">
        <v>0</v>
      </c>
      <c r="O2703" s="19">
        <v>0</v>
      </c>
      <c r="P2703" s="19">
        <v>0</v>
      </c>
      <c r="Q2703" s="19">
        <v>0.61370025943940421</v>
      </c>
      <c r="R2703" s="19">
        <v>0.3155110091453765</v>
      </c>
      <c r="S2703" s="19">
        <v>7.0788731415219269E-2</v>
      </c>
      <c r="T2703" s="20">
        <v>13</v>
      </c>
      <c r="U2703" s="17">
        <v>3</v>
      </c>
      <c r="V2703" s="17">
        <v>36</v>
      </c>
    </row>
    <row r="2704" spans="1:22" x14ac:dyDescent="0.2">
      <c r="A2704" t="s">
        <v>6183</v>
      </c>
      <c r="B2704" t="s">
        <v>5862</v>
      </c>
      <c r="C2704" t="s">
        <v>5863</v>
      </c>
      <c r="D2704" t="s">
        <v>6155</v>
      </c>
      <c r="E2704" s="10" t="s">
        <v>6184</v>
      </c>
      <c r="F2704" s="10"/>
      <c r="G2704" s="10"/>
      <c r="H2704" s="10" t="s">
        <v>6184</v>
      </c>
      <c r="I2704" s="14">
        <v>45915.067336703418</v>
      </c>
      <c r="J2704" s="19">
        <v>0</v>
      </c>
      <c r="K2704" s="19">
        <v>0.25376474241627062</v>
      </c>
      <c r="L2704" s="19">
        <v>0.74623525758372944</v>
      </c>
      <c r="M2704" s="20">
        <v>1</v>
      </c>
      <c r="N2704" s="19">
        <v>0</v>
      </c>
      <c r="O2704" s="19">
        <v>0.25376474241627062</v>
      </c>
      <c r="P2704" s="19">
        <v>0</v>
      </c>
      <c r="Q2704" s="19">
        <v>0.44912881989276815</v>
      </c>
      <c r="R2704" s="19">
        <v>0.25244113716343686</v>
      </c>
      <c r="S2704" s="19">
        <v>4.4665300527524369E-2</v>
      </c>
      <c r="T2704" s="20">
        <v>13</v>
      </c>
      <c r="U2704" s="17">
        <v>3</v>
      </c>
      <c r="V2704" s="17">
        <v>36</v>
      </c>
    </row>
    <row r="2705" spans="1:22" x14ac:dyDescent="0.2">
      <c r="A2705" t="s">
        <v>6185</v>
      </c>
      <c r="B2705" t="s">
        <v>5862</v>
      </c>
      <c r="C2705" t="s">
        <v>5863</v>
      </c>
      <c r="D2705" t="s">
        <v>6155</v>
      </c>
      <c r="E2705" s="10" t="s">
        <v>6186</v>
      </c>
      <c r="F2705" s="10"/>
      <c r="G2705" s="10"/>
      <c r="H2705" s="10" t="s">
        <v>6186</v>
      </c>
      <c r="I2705" s="14">
        <v>67266.785474828212</v>
      </c>
      <c r="J2705" s="19">
        <v>0</v>
      </c>
      <c r="K2705" s="19">
        <v>0.35934405512206369</v>
      </c>
      <c r="L2705" s="19">
        <v>0.64065594487793631</v>
      </c>
      <c r="M2705" s="20">
        <v>1</v>
      </c>
      <c r="N2705" s="19">
        <v>0.2091239074494379</v>
      </c>
      <c r="O2705" s="19">
        <v>1.1128662724138001E-2</v>
      </c>
      <c r="P2705" s="19">
        <v>0.1390914849484878</v>
      </c>
      <c r="Q2705" s="19">
        <v>0.35950192844839785</v>
      </c>
      <c r="R2705" s="19">
        <v>0.24877022458820125</v>
      </c>
      <c r="S2705" s="19">
        <v>3.2383791841337189E-2</v>
      </c>
      <c r="T2705" s="20">
        <v>13</v>
      </c>
      <c r="U2705" s="17">
        <v>3</v>
      </c>
      <c r="V2705" s="17">
        <v>36</v>
      </c>
    </row>
    <row r="2706" spans="1:22" x14ac:dyDescent="0.2">
      <c r="A2706" t="s">
        <v>6187</v>
      </c>
      <c r="B2706" t="s">
        <v>5862</v>
      </c>
      <c r="C2706" t="s">
        <v>5863</v>
      </c>
      <c r="D2706" t="s">
        <v>6155</v>
      </c>
      <c r="E2706" s="10" t="s">
        <v>6188</v>
      </c>
      <c r="F2706" s="10"/>
      <c r="G2706" s="10"/>
      <c r="H2706" s="10" t="s">
        <v>6188</v>
      </c>
      <c r="I2706" s="14">
        <v>25118.871770830476</v>
      </c>
      <c r="J2706" s="19">
        <v>0</v>
      </c>
      <c r="K2706" s="19">
        <v>0.2857475222632937</v>
      </c>
      <c r="L2706" s="19">
        <v>0.7142524777367063</v>
      </c>
      <c r="M2706" s="20">
        <v>1</v>
      </c>
      <c r="N2706" s="19">
        <v>0.25042180142033793</v>
      </c>
      <c r="O2706" s="19">
        <v>0</v>
      </c>
      <c r="P2706" s="19">
        <v>3.5325720842955752E-2</v>
      </c>
      <c r="Q2706" s="19">
        <v>0.36706135736772749</v>
      </c>
      <c r="R2706" s="19">
        <v>0.296829119844366</v>
      </c>
      <c r="S2706" s="19">
        <v>5.0362000524612788E-2</v>
      </c>
      <c r="T2706" s="20">
        <v>13</v>
      </c>
      <c r="U2706" s="17">
        <v>3</v>
      </c>
      <c r="V2706" s="17">
        <v>36</v>
      </c>
    </row>
    <row r="2707" spans="1:22" x14ac:dyDescent="0.2">
      <c r="A2707" t="s">
        <v>6189</v>
      </c>
      <c r="B2707" t="s">
        <v>5862</v>
      </c>
      <c r="C2707" t="s">
        <v>5863</v>
      </c>
      <c r="D2707" t="s">
        <v>6155</v>
      </c>
      <c r="E2707" s="10" t="s">
        <v>6190</v>
      </c>
      <c r="F2707" s="10"/>
      <c r="G2707" s="10"/>
      <c r="H2707" s="10" t="s">
        <v>6190</v>
      </c>
      <c r="I2707" s="14">
        <v>144030.5161826344</v>
      </c>
      <c r="J2707" s="19">
        <v>0</v>
      </c>
      <c r="K2707" s="19">
        <v>0.39938893976843626</v>
      </c>
      <c r="L2707" s="19">
        <v>0.60061106023156374</v>
      </c>
      <c r="M2707" s="20">
        <v>1</v>
      </c>
      <c r="N2707" s="19">
        <v>7.7803643397242328E-2</v>
      </c>
      <c r="O2707" s="19">
        <v>0.12966754070458311</v>
      </c>
      <c r="P2707" s="19">
        <v>0.19191775566661079</v>
      </c>
      <c r="Q2707" s="19">
        <v>0.40071788154639981</v>
      </c>
      <c r="R2707" s="19">
        <v>0.17163657891856834</v>
      </c>
      <c r="S2707" s="19">
        <v>2.8256599766595607E-2</v>
      </c>
      <c r="T2707" s="20">
        <v>13</v>
      </c>
      <c r="U2707" s="17">
        <v>3</v>
      </c>
      <c r="V2707" s="17">
        <v>36</v>
      </c>
    </row>
    <row r="2708" spans="1:22" x14ac:dyDescent="0.2">
      <c r="A2708" t="s">
        <v>6191</v>
      </c>
      <c r="B2708" t="s">
        <v>5862</v>
      </c>
      <c r="C2708" t="s">
        <v>5863</v>
      </c>
      <c r="D2708" t="s">
        <v>6192</v>
      </c>
      <c r="E2708" s="10" t="s">
        <v>6193</v>
      </c>
      <c r="F2708" s="10"/>
      <c r="G2708" s="10"/>
      <c r="H2708" s="10" t="s">
        <v>6193</v>
      </c>
      <c r="I2708" s="14">
        <v>28257.026990571758</v>
      </c>
      <c r="J2708" s="19">
        <v>0</v>
      </c>
      <c r="K2708" s="19">
        <v>0</v>
      </c>
      <c r="L2708" s="19">
        <v>1</v>
      </c>
      <c r="M2708" s="20">
        <v>1</v>
      </c>
      <c r="N2708" s="19">
        <v>0</v>
      </c>
      <c r="O2708" s="19">
        <v>0</v>
      </c>
      <c r="P2708" s="19">
        <v>0</v>
      </c>
      <c r="Q2708" s="19">
        <v>0.41818844636133579</v>
      </c>
      <c r="R2708" s="19">
        <v>0.50601530290654617</v>
      </c>
      <c r="S2708" s="19">
        <v>7.5796250732118015E-2</v>
      </c>
      <c r="T2708" s="20">
        <v>12</v>
      </c>
      <c r="U2708" s="17">
        <v>3</v>
      </c>
      <c r="V2708" s="17">
        <v>36</v>
      </c>
    </row>
    <row r="2709" spans="1:22" x14ac:dyDescent="0.2">
      <c r="A2709" t="s">
        <v>6194</v>
      </c>
      <c r="B2709" t="s">
        <v>5862</v>
      </c>
      <c r="C2709" t="s">
        <v>5863</v>
      </c>
      <c r="D2709" t="s">
        <v>6192</v>
      </c>
      <c r="E2709" s="10" t="s">
        <v>6195</v>
      </c>
      <c r="F2709" s="10"/>
      <c r="G2709" s="10"/>
      <c r="H2709" s="10" t="s">
        <v>6195</v>
      </c>
      <c r="I2709" s="14">
        <v>31005.985082862899</v>
      </c>
      <c r="J2709" s="19">
        <v>0</v>
      </c>
      <c r="K2709" s="19">
        <v>0.30419085733627976</v>
      </c>
      <c r="L2709" s="19">
        <v>0.69580914266372029</v>
      </c>
      <c r="M2709" s="20">
        <v>1</v>
      </c>
      <c r="N2709" s="19">
        <v>0</v>
      </c>
      <c r="O2709" s="19">
        <v>0.30419085733627976</v>
      </c>
      <c r="P2709" s="19">
        <v>0</v>
      </c>
      <c r="Q2709" s="19">
        <v>0.20930217985080574</v>
      </c>
      <c r="R2709" s="19">
        <v>0.44929025541037482</v>
      </c>
      <c r="S2709" s="19">
        <v>3.7216707402539705E-2</v>
      </c>
      <c r="T2709" s="20">
        <v>12</v>
      </c>
      <c r="U2709" s="17">
        <v>3</v>
      </c>
      <c r="V2709" s="17">
        <v>36</v>
      </c>
    </row>
    <row r="2710" spans="1:22" x14ac:dyDescent="0.2">
      <c r="A2710" t="s">
        <v>6196</v>
      </c>
      <c r="B2710" t="s">
        <v>5862</v>
      </c>
      <c r="C2710" t="s">
        <v>5863</v>
      </c>
      <c r="D2710" t="s">
        <v>6192</v>
      </c>
      <c r="E2710" s="10" t="s">
        <v>6197</v>
      </c>
      <c r="F2710" s="10"/>
      <c r="G2710" s="10"/>
      <c r="H2710" s="10" t="s">
        <v>6197</v>
      </c>
      <c r="I2710" s="14">
        <v>124264.43955865595</v>
      </c>
      <c r="J2710" s="19">
        <v>0</v>
      </c>
      <c r="K2710" s="19">
        <v>0.30868196240073231</v>
      </c>
      <c r="L2710" s="19">
        <v>0.69131803759926769</v>
      </c>
      <c r="M2710" s="20">
        <v>1</v>
      </c>
      <c r="N2710" s="19">
        <v>8.830172664561009E-2</v>
      </c>
      <c r="O2710" s="19">
        <v>0.14158787974608059</v>
      </c>
      <c r="P2710" s="19">
        <v>7.8792356009041636E-2</v>
      </c>
      <c r="Q2710" s="19">
        <v>0.12932950698493925</v>
      </c>
      <c r="R2710" s="19">
        <v>0.50422265461374649</v>
      </c>
      <c r="S2710" s="19">
        <v>5.776587600058198E-2</v>
      </c>
      <c r="T2710" s="20">
        <v>12</v>
      </c>
      <c r="U2710" s="17">
        <v>3</v>
      </c>
      <c r="V2710" s="17">
        <v>36</v>
      </c>
    </row>
    <row r="2711" spans="1:22" x14ac:dyDescent="0.2">
      <c r="A2711" t="s">
        <v>6198</v>
      </c>
      <c r="B2711" t="s">
        <v>5862</v>
      </c>
      <c r="C2711" t="s">
        <v>5863</v>
      </c>
      <c r="D2711" t="s">
        <v>6192</v>
      </c>
      <c r="E2711" s="10" t="s">
        <v>6199</v>
      </c>
      <c r="F2711" s="10"/>
      <c r="G2711" s="10"/>
      <c r="H2711" s="10" t="s">
        <v>6199</v>
      </c>
      <c r="I2711" s="14">
        <v>94436.084964323571</v>
      </c>
      <c r="J2711" s="19">
        <v>0</v>
      </c>
      <c r="K2711" s="19">
        <v>0.34109215777648855</v>
      </c>
      <c r="L2711" s="19">
        <v>0.65890784222351129</v>
      </c>
      <c r="M2711" s="20">
        <v>1</v>
      </c>
      <c r="N2711" s="19">
        <v>0.11925826361719133</v>
      </c>
      <c r="O2711" s="19">
        <v>6.0978441041344755E-2</v>
      </c>
      <c r="P2711" s="19">
        <v>0.16085545311795246</v>
      </c>
      <c r="Q2711" s="19">
        <v>0.16371025034918779</v>
      </c>
      <c r="R2711" s="19">
        <v>0.4447485274298783</v>
      </c>
      <c r="S2711" s="19">
        <v>5.0449064444445219E-2</v>
      </c>
      <c r="T2711" s="20">
        <v>12</v>
      </c>
      <c r="U2711" s="17">
        <v>3</v>
      </c>
      <c r="V2711" s="17">
        <v>36</v>
      </c>
    </row>
    <row r="2712" spans="1:22" x14ac:dyDescent="0.2">
      <c r="A2712" t="s">
        <v>6200</v>
      </c>
      <c r="B2712" t="s">
        <v>5862</v>
      </c>
      <c r="C2712" t="s">
        <v>5863</v>
      </c>
      <c r="D2712" t="s">
        <v>6192</v>
      </c>
      <c r="E2712" s="10" t="s">
        <v>6201</v>
      </c>
      <c r="F2712" s="10"/>
      <c r="G2712" s="10"/>
      <c r="H2712" s="10" t="s">
        <v>6201</v>
      </c>
      <c r="I2712" s="14">
        <v>69899.016109308228</v>
      </c>
      <c r="J2712" s="19">
        <v>0</v>
      </c>
      <c r="K2712" s="19">
        <v>0.32346834145108055</v>
      </c>
      <c r="L2712" s="19">
        <v>0.6765316585489195</v>
      </c>
      <c r="M2712" s="20">
        <v>1</v>
      </c>
      <c r="N2712" s="19">
        <v>0.1062868295237637</v>
      </c>
      <c r="O2712" s="19">
        <v>9.6245760399247315E-2</v>
      </c>
      <c r="P2712" s="19">
        <v>0.12093575152806953</v>
      </c>
      <c r="Q2712" s="19">
        <v>0.20485865769753039</v>
      </c>
      <c r="R2712" s="19">
        <v>0.41354979572446926</v>
      </c>
      <c r="S2712" s="19">
        <v>5.8123205126919757E-2</v>
      </c>
      <c r="T2712" s="20">
        <v>12</v>
      </c>
      <c r="U2712" s="17">
        <v>3</v>
      </c>
      <c r="V2712" s="17">
        <v>36</v>
      </c>
    </row>
    <row r="2713" spans="1:22" x14ac:dyDescent="0.2">
      <c r="A2713" t="s">
        <v>6202</v>
      </c>
      <c r="B2713" t="s">
        <v>5862</v>
      </c>
      <c r="C2713" t="s">
        <v>5863</v>
      </c>
      <c r="D2713" t="s">
        <v>6192</v>
      </c>
      <c r="E2713" s="10" t="s">
        <v>6203</v>
      </c>
      <c r="F2713" s="10"/>
      <c r="G2713" s="10"/>
      <c r="H2713" s="10" t="s">
        <v>6203</v>
      </c>
      <c r="I2713" s="14">
        <v>45137.346088425489</v>
      </c>
      <c r="J2713" s="19">
        <v>0</v>
      </c>
      <c r="K2713" s="19">
        <v>0.21303960556524015</v>
      </c>
      <c r="L2713" s="19">
        <v>0.78696039443475985</v>
      </c>
      <c r="M2713" s="20">
        <v>1</v>
      </c>
      <c r="N2713" s="19">
        <v>0</v>
      </c>
      <c r="O2713" s="19">
        <v>0.21303960556524015</v>
      </c>
      <c r="P2713" s="19">
        <v>0</v>
      </c>
      <c r="Q2713" s="19">
        <v>0.25541382250372185</v>
      </c>
      <c r="R2713" s="19">
        <v>0.46667357942669663</v>
      </c>
      <c r="S2713" s="19">
        <v>6.4872992504341379E-2</v>
      </c>
      <c r="T2713" s="20">
        <v>12</v>
      </c>
      <c r="U2713" s="17">
        <v>3</v>
      </c>
      <c r="V2713" s="17">
        <v>36</v>
      </c>
    </row>
    <row r="2714" spans="1:22" x14ac:dyDescent="0.2">
      <c r="A2714" t="s">
        <v>6204</v>
      </c>
      <c r="B2714" t="s">
        <v>5862</v>
      </c>
      <c r="C2714" t="s">
        <v>5863</v>
      </c>
      <c r="D2714" t="s">
        <v>6192</v>
      </c>
      <c r="E2714" s="10" t="s">
        <v>6205</v>
      </c>
      <c r="F2714" s="10"/>
      <c r="G2714" s="10"/>
      <c r="H2714" s="10" t="s">
        <v>6205</v>
      </c>
      <c r="I2714" s="14">
        <v>261390.69545776164</v>
      </c>
      <c r="J2714" s="19">
        <v>0.29983829511303234</v>
      </c>
      <c r="K2714" s="19">
        <v>0.31555501972703881</v>
      </c>
      <c r="L2714" s="19">
        <v>0.38460668515992885</v>
      </c>
      <c r="M2714" s="20">
        <v>2</v>
      </c>
      <c r="N2714" s="19">
        <v>0</v>
      </c>
      <c r="O2714" s="19">
        <v>5.9471020685365784E-2</v>
      </c>
      <c r="P2714" s="19">
        <v>0.25608399904167306</v>
      </c>
      <c r="Q2714" s="19">
        <v>7.3151343397917137E-2</v>
      </c>
      <c r="R2714" s="19">
        <v>0.28156534525571958</v>
      </c>
      <c r="S2714" s="19">
        <v>2.9889996506292107E-2</v>
      </c>
      <c r="T2714" s="20">
        <v>22</v>
      </c>
      <c r="U2714" s="17">
        <v>3</v>
      </c>
      <c r="V2714" s="17">
        <v>36</v>
      </c>
    </row>
    <row r="2715" spans="1:22" x14ac:dyDescent="0.2">
      <c r="A2715" t="s">
        <v>6206</v>
      </c>
      <c r="B2715" t="s">
        <v>5862</v>
      </c>
      <c r="C2715" t="s">
        <v>5863</v>
      </c>
      <c r="D2715" t="s">
        <v>6192</v>
      </c>
      <c r="E2715" s="10" t="s">
        <v>6207</v>
      </c>
      <c r="F2715" s="10"/>
      <c r="G2715" s="10"/>
      <c r="H2715" s="10" t="s">
        <v>6207</v>
      </c>
      <c r="I2715" s="14">
        <v>35979.710919262143</v>
      </c>
      <c r="J2715" s="19">
        <v>0</v>
      </c>
      <c r="K2715" s="19">
        <v>0</v>
      </c>
      <c r="L2715" s="19">
        <v>1</v>
      </c>
      <c r="M2715" s="20">
        <v>1</v>
      </c>
      <c r="N2715" s="19">
        <v>0</v>
      </c>
      <c r="O2715" s="19">
        <v>0</v>
      </c>
      <c r="P2715" s="19">
        <v>0</v>
      </c>
      <c r="Q2715" s="19">
        <v>0.33533336820419007</v>
      </c>
      <c r="R2715" s="19">
        <v>0.5767216158996834</v>
      </c>
      <c r="S2715" s="19">
        <v>8.794501589612648E-2</v>
      </c>
      <c r="T2715" s="20">
        <v>12</v>
      </c>
      <c r="U2715" s="17">
        <v>3</v>
      </c>
      <c r="V2715" s="17">
        <v>36</v>
      </c>
    </row>
    <row r="2716" spans="1:22" x14ac:dyDescent="0.2">
      <c r="A2716" t="s">
        <v>6208</v>
      </c>
      <c r="B2716" t="s">
        <v>5862</v>
      </c>
      <c r="C2716" t="s">
        <v>5863</v>
      </c>
      <c r="D2716" t="s">
        <v>6192</v>
      </c>
      <c r="E2716" s="10" t="s">
        <v>6209</v>
      </c>
      <c r="F2716" s="10"/>
      <c r="G2716" s="10"/>
      <c r="H2716" s="10" t="s">
        <v>6209</v>
      </c>
      <c r="I2716" s="14">
        <v>75964.912292877445</v>
      </c>
      <c r="J2716" s="19">
        <v>0</v>
      </c>
      <c r="K2716" s="19">
        <v>0.28243491334166115</v>
      </c>
      <c r="L2716" s="19">
        <v>0.71756508665833896</v>
      </c>
      <c r="M2716" s="20">
        <v>1</v>
      </c>
      <c r="N2716" s="19">
        <v>0.25744671351156789</v>
      </c>
      <c r="O2716" s="19">
        <v>0</v>
      </c>
      <c r="P2716" s="19">
        <v>2.4988199830093306E-2</v>
      </c>
      <c r="Q2716" s="19">
        <v>0.17615507399434652</v>
      </c>
      <c r="R2716" s="19">
        <v>0.46289765631104279</v>
      </c>
      <c r="S2716" s="19">
        <v>7.8512356352949494E-2</v>
      </c>
      <c r="T2716" s="20">
        <v>12</v>
      </c>
      <c r="U2716" s="17">
        <v>3</v>
      </c>
      <c r="V2716" s="17">
        <v>36</v>
      </c>
    </row>
    <row r="2717" spans="1:22" x14ac:dyDescent="0.2">
      <c r="A2717" t="s">
        <v>6210</v>
      </c>
      <c r="B2717" t="s">
        <v>5862</v>
      </c>
      <c r="C2717" t="s">
        <v>5863</v>
      </c>
      <c r="D2717" t="s">
        <v>6192</v>
      </c>
      <c r="E2717" s="10" t="s">
        <v>6211</v>
      </c>
      <c r="F2717" s="10"/>
      <c r="G2717" s="10"/>
      <c r="H2717" s="10" t="s">
        <v>6211</v>
      </c>
      <c r="I2717" s="14">
        <v>57418.25802651421</v>
      </c>
      <c r="J2717" s="19">
        <v>0</v>
      </c>
      <c r="K2717" s="19">
        <v>0.16151530024410646</v>
      </c>
      <c r="L2717" s="19">
        <v>0.83848469975589357</v>
      </c>
      <c r="M2717" s="20">
        <v>1</v>
      </c>
      <c r="N2717" s="19">
        <v>9.1921308008138566E-2</v>
      </c>
      <c r="O2717" s="19">
        <v>0</v>
      </c>
      <c r="P2717" s="19">
        <v>6.9593992235967878E-2</v>
      </c>
      <c r="Q2717" s="19">
        <v>0.48934161149891575</v>
      </c>
      <c r="R2717" s="19">
        <v>0.29637675480678927</v>
      </c>
      <c r="S2717" s="19">
        <v>5.2766333450188392E-2</v>
      </c>
      <c r="T2717" s="20">
        <v>13</v>
      </c>
      <c r="U2717" s="17">
        <v>3</v>
      </c>
      <c r="V2717" s="17">
        <v>36</v>
      </c>
    </row>
    <row r="2718" spans="1:22" x14ac:dyDescent="0.2">
      <c r="A2718" t="s">
        <v>6212</v>
      </c>
      <c r="B2718" t="s">
        <v>5862</v>
      </c>
      <c r="C2718" t="s">
        <v>5863</v>
      </c>
      <c r="D2718" t="s">
        <v>6192</v>
      </c>
      <c r="E2718" s="10" t="s">
        <v>6213</v>
      </c>
      <c r="F2718" s="10"/>
      <c r="G2718" s="10"/>
      <c r="H2718" s="10" t="s">
        <v>6213</v>
      </c>
      <c r="I2718" s="14">
        <v>30277.547390738968</v>
      </c>
      <c r="J2718" s="19">
        <v>0</v>
      </c>
      <c r="K2718" s="19">
        <v>0</v>
      </c>
      <c r="L2718" s="19">
        <v>1</v>
      </c>
      <c r="M2718" s="20">
        <v>1</v>
      </c>
      <c r="N2718" s="19">
        <v>0</v>
      </c>
      <c r="O2718" s="19">
        <v>0</v>
      </c>
      <c r="P2718" s="19">
        <v>0</v>
      </c>
      <c r="Q2718" s="19">
        <v>0.61802240809758746</v>
      </c>
      <c r="R2718" s="19">
        <v>0.32836062135470512</v>
      </c>
      <c r="S2718" s="19">
        <v>5.3616970547707393E-2</v>
      </c>
      <c r="T2718" s="20">
        <v>13</v>
      </c>
      <c r="U2718" s="17">
        <v>3</v>
      </c>
      <c r="V2718" s="17">
        <v>36</v>
      </c>
    </row>
    <row r="2719" spans="1:22" x14ac:dyDescent="0.2">
      <c r="A2719" t="s">
        <v>6214</v>
      </c>
      <c r="B2719" t="s">
        <v>5862</v>
      </c>
      <c r="C2719" t="s">
        <v>5863</v>
      </c>
      <c r="D2719" t="s">
        <v>6215</v>
      </c>
      <c r="E2719" s="10" t="s">
        <v>6216</v>
      </c>
      <c r="F2719" s="10"/>
      <c r="G2719" s="10"/>
      <c r="H2719" s="10" t="s">
        <v>6216</v>
      </c>
      <c r="I2719" s="14">
        <v>54131.941267397488</v>
      </c>
      <c r="J2719" s="19">
        <v>0</v>
      </c>
      <c r="K2719" s="19">
        <v>0.12607509607740128</v>
      </c>
      <c r="L2719" s="19">
        <v>0.87392490392259869</v>
      </c>
      <c r="M2719" s="20">
        <v>1</v>
      </c>
      <c r="N2719" s="19">
        <v>0</v>
      </c>
      <c r="O2719" s="19">
        <v>0.12607509607740128</v>
      </c>
      <c r="P2719" s="19">
        <v>0</v>
      </c>
      <c r="Q2719" s="19">
        <v>0.16198738624265868</v>
      </c>
      <c r="R2719" s="19">
        <v>0.55620474740351422</v>
      </c>
      <c r="S2719" s="19">
        <v>0.15573277027642579</v>
      </c>
      <c r="T2719" s="20">
        <v>12</v>
      </c>
      <c r="U2719" s="17">
        <v>3</v>
      </c>
      <c r="V2719" s="17">
        <v>36</v>
      </c>
    </row>
    <row r="2720" spans="1:22" x14ac:dyDescent="0.2">
      <c r="A2720" t="s">
        <v>6217</v>
      </c>
      <c r="B2720" t="s">
        <v>5862</v>
      </c>
      <c r="C2720" t="s">
        <v>5863</v>
      </c>
      <c r="D2720" t="s">
        <v>6215</v>
      </c>
      <c r="E2720" s="10" t="s">
        <v>6218</v>
      </c>
      <c r="F2720" s="10"/>
      <c r="G2720" s="10"/>
      <c r="H2720" s="10" t="s">
        <v>6218</v>
      </c>
      <c r="I2720" s="14">
        <v>31719.932240945516</v>
      </c>
      <c r="J2720" s="19">
        <v>0</v>
      </c>
      <c r="K2720" s="19">
        <v>0</v>
      </c>
      <c r="L2720" s="19">
        <v>1</v>
      </c>
      <c r="M2720" s="20">
        <v>1</v>
      </c>
      <c r="N2720" s="19">
        <v>0</v>
      </c>
      <c r="O2720" s="19">
        <v>0</v>
      </c>
      <c r="P2720" s="19">
        <v>0</v>
      </c>
      <c r="Q2720" s="19">
        <v>0.11086482532590122</v>
      </c>
      <c r="R2720" s="19">
        <v>0.75646076913679317</v>
      </c>
      <c r="S2720" s="19">
        <v>0.13267440553730572</v>
      </c>
      <c r="T2720" s="20">
        <v>12</v>
      </c>
      <c r="U2720" s="17">
        <v>3</v>
      </c>
      <c r="V2720" s="17">
        <v>36</v>
      </c>
    </row>
    <row r="2721" spans="1:22" x14ac:dyDescent="0.2">
      <c r="A2721" t="s">
        <v>6219</v>
      </c>
      <c r="B2721" t="s">
        <v>5862</v>
      </c>
      <c r="C2721" t="s">
        <v>5863</v>
      </c>
      <c r="D2721" t="s">
        <v>6215</v>
      </c>
      <c r="E2721" s="10" t="s">
        <v>6220</v>
      </c>
      <c r="F2721" s="10"/>
      <c r="G2721" s="10"/>
      <c r="H2721" s="10" t="s">
        <v>6220</v>
      </c>
      <c r="I2721" s="14">
        <v>32340.666991089238</v>
      </c>
      <c r="J2721" s="19">
        <v>0</v>
      </c>
      <c r="K2721" s="19">
        <v>1.6431625180849688E-6</v>
      </c>
      <c r="L2721" s="19">
        <v>0.99999835683748184</v>
      </c>
      <c r="M2721" s="20">
        <v>1</v>
      </c>
      <c r="N2721" s="19">
        <v>0</v>
      </c>
      <c r="O2721" s="19">
        <v>1.6431625180849688E-6</v>
      </c>
      <c r="P2721" s="19">
        <v>0</v>
      </c>
      <c r="Q2721" s="19">
        <v>0.29509886607345404</v>
      </c>
      <c r="R2721" s="19">
        <v>0.59541413288807732</v>
      </c>
      <c r="S2721" s="19">
        <v>0.10948535787595051</v>
      </c>
      <c r="T2721" s="20">
        <v>12</v>
      </c>
      <c r="U2721" s="17">
        <v>3</v>
      </c>
      <c r="V2721" s="17">
        <v>36</v>
      </c>
    </row>
    <row r="2722" spans="1:22" x14ac:dyDescent="0.2">
      <c r="A2722" t="s">
        <v>6221</v>
      </c>
      <c r="B2722" t="s">
        <v>5862</v>
      </c>
      <c r="C2722" t="s">
        <v>5863</v>
      </c>
      <c r="D2722" t="s">
        <v>6215</v>
      </c>
      <c r="E2722" s="10" t="s">
        <v>6222</v>
      </c>
      <c r="F2722" s="10"/>
      <c r="G2722" s="10"/>
      <c r="H2722" s="10" t="s">
        <v>6222</v>
      </c>
      <c r="I2722" s="14">
        <v>54167.7967948562</v>
      </c>
      <c r="J2722" s="19">
        <v>0</v>
      </c>
      <c r="K2722" s="19">
        <v>0</v>
      </c>
      <c r="L2722" s="19">
        <v>1</v>
      </c>
      <c r="M2722" s="20">
        <v>1</v>
      </c>
      <c r="N2722" s="19">
        <v>0</v>
      </c>
      <c r="O2722" s="19">
        <v>0</v>
      </c>
      <c r="P2722" s="19">
        <v>0</v>
      </c>
      <c r="Q2722" s="19">
        <v>7.7681903136278901E-2</v>
      </c>
      <c r="R2722" s="19">
        <v>0.74375326186895874</v>
      </c>
      <c r="S2722" s="19">
        <v>0.17856483499476236</v>
      </c>
      <c r="T2722" s="20">
        <v>12</v>
      </c>
      <c r="U2722" s="17">
        <v>3</v>
      </c>
      <c r="V2722" s="17">
        <v>36</v>
      </c>
    </row>
    <row r="2723" spans="1:22" x14ac:dyDescent="0.2">
      <c r="A2723" t="s">
        <v>6223</v>
      </c>
      <c r="B2723" t="s">
        <v>5862</v>
      </c>
      <c r="C2723" t="s">
        <v>5863</v>
      </c>
      <c r="D2723" t="s">
        <v>6215</v>
      </c>
      <c r="E2723" s="10" t="s">
        <v>6224</v>
      </c>
      <c r="F2723" s="10"/>
      <c r="G2723" s="10"/>
      <c r="H2723" s="10" t="s">
        <v>6224</v>
      </c>
      <c r="I2723" s="14">
        <v>160522.54075880116</v>
      </c>
      <c r="J2723" s="19">
        <v>0.45020129598492614</v>
      </c>
      <c r="K2723" s="19">
        <v>0.21582906809734578</v>
      </c>
      <c r="L2723" s="19">
        <v>0.33396963591772805</v>
      </c>
      <c r="M2723" s="20">
        <v>2</v>
      </c>
      <c r="N2723" s="19">
        <v>0</v>
      </c>
      <c r="O2723" s="19">
        <v>0</v>
      </c>
      <c r="P2723" s="19">
        <v>0.21582906809734578</v>
      </c>
      <c r="Q2723" s="19">
        <v>3.2823673537059256E-2</v>
      </c>
      <c r="R2723" s="19">
        <v>0.26208159578060902</v>
      </c>
      <c r="S2723" s="19">
        <v>3.9064366600059776E-2</v>
      </c>
      <c r="T2723" s="20">
        <v>23</v>
      </c>
      <c r="U2723" s="17">
        <v>3</v>
      </c>
      <c r="V2723" s="17">
        <v>36</v>
      </c>
    </row>
    <row r="2724" spans="1:22" x14ac:dyDescent="0.2">
      <c r="A2724" t="s">
        <v>6225</v>
      </c>
      <c r="B2724" t="s">
        <v>5862</v>
      </c>
      <c r="C2724" t="s">
        <v>5863</v>
      </c>
      <c r="D2724" t="s">
        <v>6215</v>
      </c>
      <c r="E2724" s="10" t="s">
        <v>6226</v>
      </c>
      <c r="F2724" s="10"/>
      <c r="G2724" s="10"/>
      <c r="H2724" s="10" t="s">
        <v>6226</v>
      </c>
      <c r="I2724" s="14">
        <v>27783.002900226973</v>
      </c>
      <c r="J2724" s="19">
        <v>0</v>
      </c>
      <c r="K2724" s="19">
        <v>0</v>
      </c>
      <c r="L2724" s="19">
        <v>1</v>
      </c>
      <c r="M2724" s="20">
        <v>1</v>
      </c>
      <c r="N2724" s="19">
        <v>0</v>
      </c>
      <c r="O2724" s="19">
        <v>0</v>
      </c>
      <c r="P2724" s="19">
        <v>0</v>
      </c>
      <c r="Q2724" s="19">
        <v>0.12738659197402877</v>
      </c>
      <c r="R2724" s="19">
        <v>0.74238037723010752</v>
      </c>
      <c r="S2724" s="19">
        <v>0.13023303079586376</v>
      </c>
      <c r="T2724" s="20">
        <v>12</v>
      </c>
      <c r="U2724" s="17">
        <v>3</v>
      </c>
      <c r="V2724" s="17">
        <v>36</v>
      </c>
    </row>
    <row r="2725" spans="1:22" x14ac:dyDescent="0.2">
      <c r="A2725" t="s">
        <v>6227</v>
      </c>
      <c r="B2725" t="s">
        <v>5862</v>
      </c>
      <c r="C2725" t="s">
        <v>5863</v>
      </c>
      <c r="D2725" t="s">
        <v>6215</v>
      </c>
      <c r="E2725" s="10" t="s">
        <v>6228</v>
      </c>
      <c r="F2725" s="10"/>
      <c r="G2725" s="10"/>
      <c r="H2725" s="10" t="s">
        <v>6228</v>
      </c>
      <c r="I2725" s="14">
        <v>54072.628906484933</v>
      </c>
      <c r="J2725" s="19">
        <v>0</v>
      </c>
      <c r="K2725" s="19">
        <v>0.36067988640889798</v>
      </c>
      <c r="L2725" s="19">
        <v>0.63932011359110186</v>
      </c>
      <c r="M2725" s="20">
        <v>1</v>
      </c>
      <c r="N2725" s="19">
        <v>0</v>
      </c>
      <c r="O2725" s="19">
        <v>0.36067988640889798</v>
      </c>
      <c r="P2725" s="19">
        <v>0</v>
      </c>
      <c r="Q2725" s="19">
        <v>0.19780283824188283</v>
      </c>
      <c r="R2725" s="19">
        <v>0.39881072360346226</v>
      </c>
      <c r="S2725" s="19">
        <v>4.270655174575682E-2</v>
      </c>
      <c r="T2725" s="20">
        <v>12</v>
      </c>
      <c r="U2725" s="17">
        <v>3</v>
      </c>
      <c r="V2725" s="17">
        <v>36</v>
      </c>
    </row>
    <row r="2726" spans="1:22" x14ac:dyDescent="0.2">
      <c r="A2726" t="s">
        <v>6229</v>
      </c>
      <c r="B2726" t="s">
        <v>5862</v>
      </c>
      <c r="C2726" t="s">
        <v>5863</v>
      </c>
      <c r="D2726" t="s">
        <v>6215</v>
      </c>
      <c r="E2726" s="10" t="s">
        <v>6230</v>
      </c>
      <c r="F2726" s="10"/>
      <c r="G2726" s="10"/>
      <c r="H2726" s="10" t="s">
        <v>6230</v>
      </c>
      <c r="I2726" s="14">
        <v>43281.697063868633</v>
      </c>
      <c r="J2726" s="19">
        <v>0</v>
      </c>
      <c r="K2726" s="19">
        <v>0</v>
      </c>
      <c r="L2726" s="19">
        <v>1</v>
      </c>
      <c r="M2726" s="20">
        <v>1</v>
      </c>
      <c r="N2726" s="19">
        <v>0</v>
      </c>
      <c r="O2726" s="19">
        <v>0</v>
      </c>
      <c r="P2726" s="19">
        <v>0</v>
      </c>
      <c r="Q2726" s="19">
        <v>7.8105521882412127E-2</v>
      </c>
      <c r="R2726" s="19">
        <v>0.73070583913496534</v>
      </c>
      <c r="S2726" s="19">
        <v>0.19118863898262267</v>
      </c>
      <c r="T2726" s="20">
        <v>12</v>
      </c>
      <c r="U2726" s="17">
        <v>3</v>
      </c>
      <c r="V2726" s="17">
        <v>36</v>
      </c>
    </row>
    <row r="2727" spans="1:22" x14ac:dyDescent="0.2">
      <c r="A2727" t="s">
        <v>6231</v>
      </c>
      <c r="B2727" t="s">
        <v>5862</v>
      </c>
      <c r="C2727" t="s">
        <v>5863</v>
      </c>
      <c r="D2727" t="s">
        <v>6215</v>
      </c>
      <c r="E2727" s="10" t="s">
        <v>6232</v>
      </c>
      <c r="F2727" s="10"/>
      <c r="G2727" s="10"/>
      <c r="H2727" s="10" t="s">
        <v>6232</v>
      </c>
      <c r="I2727" s="14">
        <v>31521.951962137598</v>
      </c>
      <c r="J2727" s="19">
        <v>0</v>
      </c>
      <c r="K2727" s="19">
        <v>0.47314757975319216</v>
      </c>
      <c r="L2727" s="19">
        <v>0.52685242024680767</v>
      </c>
      <c r="M2727" s="20">
        <v>1</v>
      </c>
      <c r="N2727" s="19">
        <v>0.2955865534860313</v>
      </c>
      <c r="O2727" s="19">
        <v>0</v>
      </c>
      <c r="P2727" s="19">
        <v>0.17756102626716089</v>
      </c>
      <c r="Q2727" s="19">
        <v>0.13390668885778267</v>
      </c>
      <c r="R2727" s="19">
        <v>0.32246312462281662</v>
      </c>
      <c r="S2727" s="19">
        <v>7.0482606766208405E-2</v>
      </c>
      <c r="T2727" s="20">
        <v>12</v>
      </c>
      <c r="U2727" s="17">
        <v>3</v>
      </c>
      <c r="V2727" s="17">
        <v>36</v>
      </c>
    </row>
    <row r="2728" spans="1:22" x14ac:dyDescent="0.2">
      <c r="A2728" t="s">
        <v>6233</v>
      </c>
      <c r="B2728" t="s">
        <v>5862</v>
      </c>
      <c r="C2728" t="s">
        <v>5863</v>
      </c>
      <c r="D2728" t="s">
        <v>6215</v>
      </c>
      <c r="E2728" s="10" t="s">
        <v>6234</v>
      </c>
      <c r="F2728" s="10"/>
      <c r="G2728" s="10"/>
      <c r="H2728" s="10" t="s">
        <v>6234</v>
      </c>
      <c r="I2728" s="14">
        <v>21616.884044943377</v>
      </c>
      <c r="J2728" s="19">
        <v>0</v>
      </c>
      <c r="K2728" s="19">
        <v>0</v>
      </c>
      <c r="L2728" s="19">
        <v>1</v>
      </c>
      <c r="M2728" s="20">
        <v>1</v>
      </c>
      <c r="N2728" s="19">
        <v>0</v>
      </c>
      <c r="O2728" s="19">
        <v>0</v>
      </c>
      <c r="P2728" s="19">
        <v>0</v>
      </c>
      <c r="Q2728" s="19">
        <v>0.13458337804295689</v>
      </c>
      <c r="R2728" s="19">
        <v>0.67754376080130096</v>
      </c>
      <c r="S2728" s="19">
        <v>0.1878728611557422</v>
      </c>
      <c r="T2728" s="20">
        <v>12</v>
      </c>
      <c r="U2728" s="17">
        <v>3</v>
      </c>
      <c r="V2728" s="17">
        <v>36</v>
      </c>
    </row>
    <row r="2729" spans="1:22" x14ac:dyDescent="0.2">
      <c r="A2729" t="s">
        <v>6235</v>
      </c>
      <c r="B2729" t="s">
        <v>5862</v>
      </c>
      <c r="C2729" t="s">
        <v>5863</v>
      </c>
      <c r="D2729" t="s">
        <v>6215</v>
      </c>
      <c r="E2729" s="10" t="s">
        <v>6236</v>
      </c>
      <c r="F2729" s="10"/>
      <c r="G2729" s="10"/>
      <c r="H2729" s="10" t="s">
        <v>6236</v>
      </c>
      <c r="I2729" s="14">
        <v>135675.26255779376</v>
      </c>
      <c r="J2729" s="19">
        <v>0</v>
      </c>
      <c r="K2729" s="19">
        <v>0.67589444605687732</v>
      </c>
      <c r="L2729" s="19">
        <v>0.32410555394312274</v>
      </c>
      <c r="M2729" s="20">
        <v>2</v>
      </c>
      <c r="N2729" s="19">
        <v>0.18709562763480733</v>
      </c>
      <c r="O2729" s="19">
        <v>7.5871926832901476E-2</v>
      </c>
      <c r="P2729" s="19">
        <v>0.41292689158916845</v>
      </c>
      <c r="Q2729" s="19">
        <v>7.3322869923472922E-2</v>
      </c>
      <c r="R2729" s="19">
        <v>0.24079685361917819</v>
      </c>
      <c r="S2729" s="19">
        <v>9.9858304004715997E-3</v>
      </c>
      <c r="T2729" s="20">
        <v>23</v>
      </c>
      <c r="U2729" s="17">
        <v>3</v>
      </c>
      <c r="V2729" s="17">
        <v>36</v>
      </c>
    </row>
    <row r="2730" spans="1:22" x14ac:dyDescent="0.2">
      <c r="A2730" t="s">
        <v>6237</v>
      </c>
      <c r="B2730" t="s">
        <v>5862</v>
      </c>
      <c r="C2730" t="s">
        <v>5863</v>
      </c>
      <c r="D2730" t="s">
        <v>6215</v>
      </c>
      <c r="E2730" s="10" t="s">
        <v>6238</v>
      </c>
      <c r="F2730" s="10"/>
      <c r="G2730" s="10"/>
      <c r="H2730" s="10" t="s">
        <v>6238</v>
      </c>
      <c r="I2730" s="14">
        <v>104173.86499622837</v>
      </c>
      <c r="J2730" s="19">
        <v>1.9688659152854095E-2</v>
      </c>
      <c r="K2730" s="19">
        <v>0.59072248847167697</v>
      </c>
      <c r="L2730" s="19">
        <v>0.38958885237546881</v>
      </c>
      <c r="M2730" s="20">
        <v>2</v>
      </c>
      <c r="N2730" s="19">
        <v>0.20851146143678725</v>
      </c>
      <c r="O2730" s="19">
        <v>0</v>
      </c>
      <c r="P2730" s="19">
        <v>0.38221102703488985</v>
      </c>
      <c r="Q2730" s="19">
        <v>3.6456148735478422E-2</v>
      </c>
      <c r="R2730" s="19">
        <v>0.3192787818884692</v>
      </c>
      <c r="S2730" s="19">
        <v>3.3853921751521181E-2</v>
      </c>
      <c r="T2730" s="20">
        <v>23</v>
      </c>
      <c r="U2730" s="17">
        <v>3</v>
      </c>
      <c r="V2730" s="17">
        <v>36</v>
      </c>
    </row>
    <row r="2731" spans="1:22" x14ac:dyDescent="0.2">
      <c r="A2731" t="s">
        <v>6239</v>
      </c>
      <c r="B2731" t="s">
        <v>5862</v>
      </c>
      <c r="C2731" t="s">
        <v>5863</v>
      </c>
      <c r="D2731" t="s">
        <v>6215</v>
      </c>
      <c r="E2731" s="10" t="s">
        <v>6240</v>
      </c>
      <c r="F2731" s="10"/>
      <c r="G2731" s="10"/>
      <c r="H2731" s="10" t="s">
        <v>6240</v>
      </c>
      <c r="I2731" s="14">
        <v>43864.212210045895</v>
      </c>
      <c r="J2731" s="19">
        <v>0</v>
      </c>
      <c r="K2731" s="19">
        <v>0</v>
      </c>
      <c r="L2731" s="19">
        <v>1</v>
      </c>
      <c r="M2731" s="20">
        <v>1</v>
      </c>
      <c r="N2731" s="19">
        <v>0</v>
      </c>
      <c r="O2731" s="19">
        <v>0</v>
      </c>
      <c r="P2731" s="19">
        <v>0</v>
      </c>
      <c r="Q2731" s="19">
        <v>0.19931219684702633</v>
      </c>
      <c r="R2731" s="19">
        <v>0.66933959315706693</v>
      </c>
      <c r="S2731" s="19">
        <v>0.13134820999590674</v>
      </c>
      <c r="T2731" s="20">
        <v>12</v>
      </c>
      <c r="U2731" s="17">
        <v>3</v>
      </c>
      <c r="V2731" s="17">
        <v>36</v>
      </c>
    </row>
    <row r="2732" spans="1:22" x14ac:dyDescent="0.2">
      <c r="A2732" t="s">
        <v>6241</v>
      </c>
      <c r="B2732" t="s">
        <v>5862</v>
      </c>
      <c r="C2732" t="s">
        <v>5863</v>
      </c>
      <c r="D2732" t="s">
        <v>6242</v>
      </c>
      <c r="E2732" s="10" t="s">
        <v>6243</v>
      </c>
      <c r="F2732" s="10"/>
      <c r="G2732" s="10"/>
      <c r="H2732" s="10" t="s">
        <v>6243</v>
      </c>
      <c r="I2732" s="14">
        <v>69555.149720747489</v>
      </c>
      <c r="J2732" s="19">
        <v>0</v>
      </c>
      <c r="K2732" s="19">
        <v>0.32127705314474136</v>
      </c>
      <c r="L2732" s="19">
        <v>0.67872294685525858</v>
      </c>
      <c r="M2732" s="20">
        <v>1</v>
      </c>
      <c r="N2732" s="19">
        <v>7.4462401442163526E-2</v>
      </c>
      <c r="O2732" s="19">
        <v>0.13348012353408234</v>
      </c>
      <c r="P2732" s="19">
        <v>0.11333452816849551</v>
      </c>
      <c r="Q2732" s="19">
        <v>0.46992106991749427</v>
      </c>
      <c r="R2732" s="19">
        <v>0.1689494780185537</v>
      </c>
      <c r="S2732" s="19">
        <v>3.9852398919210621E-2</v>
      </c>
      <c r="T2732" s="20">
        <v>13</v>
      </c>
      <c r="U2732" s="17">
        <v>3</v>
      </c>
      <c r="V2732" s="17">
        <v>36</v>
      </c>
    </row>
    <row r="2733" spans="1:22" x14ac:dyDescent="0.2">
      <c r="A2733" t="s">
        <v>6244</v>
      </c>
      <c r="B2733" t="s">
        <v>5862</v>
      </c>
      <c r="C2733" t="s">
        <v>5863</v>
      </c>
      <c r="D2733" t="s">
        <v>6242</v>
      </c>
      <c r="E2733" s="10" t="s">
        <v>6245</v>
      </c>
      <c r="F2733" s="10"/>
      <c r="G2733" s="10"/>
      <c r="H2733" s="10" t="s">
        <v>6245</v>
      </c>
      <c r="I2733" s="14">
        <v>95134.695222087903</v>
      </c>
      <c r="J2733" s="19">
        <v>0</v>
      </c>
      <c r="K2733" s="19">
        <v>0.50301053926209482</v>
      </c>
      <c r="L2733" s="19">
        <v>0.49698946073790529</v>
      </c>
      <c r="M2733" s="20">
        <v>2</v>
      </c>
      <c r="N2733" s="19">
        <v>0.26018357745400061</v>
      </c>
      <c r="O2733" s="19">
        <v>0</v>
      </c>
      <c r="P2733" s="19">
        <v>0.24282696180809421</v>
      </c>
      <c r="Q2733" s="19">
        <v>0.29955050219138146</v>
      </c>
      <c r="R2733" s="19">
        <v>0.1676471508312122</v>
      </c>
      <c r="S2733" s="19">
        <v>2.9791807715311494E-2</v>
      </c>
      <c r="T2733" s="20">
        <v>23</v>
      </c>
      <c r="U2733" s="17">
        <v>3</v>
      </c>
      <c r="V2733" s="17">
        <v>36</v>
      </c>
    </row>
    <row r="2734" spans="1:22" x14ac:dyDescent="0.2">
      <c r="A2734" t="s">
        <v>6246</v>
      </c>
      <c r="B2734" t="s">
        <v>5862</v>
      </c>
      <c r="C2734" t="s">
        <v>5863</v>
      </c>
      <c r="D2734" t="s">
        <v>6242</v>
      </c>
      <c r="E2734" s="10" t="s">
        <v>6247</v>
      </c>
      <c r="F2734" s="10"/>
      <c r="G2734" s="10"/>
      <c r="H2734" s="10" t="s">
        <v>6247</v>
      </c>
      <c r="I2734" s="14">
        <v>46172.646794728236</v>
      </c>
      <c r="J2734" s="19">
        <v>0</v>
      </c>
      <c r="K2734" s="19">
        <v>0.31347410026537142</v>
      </c>
      <c r="L2734" s="19">
        <v>0.68652589973462863</v>
      </c>
      <c r="M2734" s="20">
        <v>1</v>
      </c>
      <c r="N2734" s="19">
        <v>0.23733220799486249</v>
      </c>
      <c r="O2734" s="19">
        <v>9.5343720430942653E-3</v>
      </c>
      <c r="P2734" s="19">
        <v>6.6607520227414646E-2</v>
      </c>
      <c r="Q2734" s="19">
        <v>0.41205037481853241</v>
      </c>
      <c r="R2734" s="19">
        <v>0.24330248640519317</v>
      </c>
      <c r="S2734" s="19">
        <v>3.1173038510903021E-2</v>
      </c>
      <c r="T2734" s="20">
        <v>13</v>
      </c>
      <c r="U2734" s="17">
        <v>3</v>
      </c>
      <c r="V2734" s="17">
        <v>36</v>
      </c>
    </row>
    <row r="2735" spans="1:22" x14ac:dyDescent="0.2">
      <c r="A2735" t="s">
        <v>6248</v>
      </c>
      <c r="B2735" t="s">
        <v>5862</v>
      </c>
      <c r="C2735" t="s">
        <v>5863</v>
      </c>
      <c r="D2735" t="s">
        <v>6242</v>
      </c>
      <c r="E2735" s="10" t="s">
        <v>6249</v>
      </c>
      <c r="F2735" s="10"/>
      <c r="G2735" s="10"/>
      <c r="H2735" s="10" t="s">
        <v>6249</v>
      </c>
      <c r="I2735" s="14">
        <v>115227.64178905636</v>
      </c>
      <c r="J2735" s="19">
        <v>0</v>
      </c>
      <c r="K2735" s="19">
        <v>0.50355739633517116</v>
      </c>
      <c r="L2735" s="19">
        <v>0.49644260366482884</v>
      </c>
      <c r="M2735" s="20">
        <v>2</v>
      </c>
      <c r="N2735" s="19">
        <v>0.27328026915867853</v>
      </c>
      <c r="O2735" s="19">
        <v>7.188372405779328E-2</v>
      </c>
      <c r="P2735" s="19">
        <v>0.15839340311869934</v>
      </c>
      <c r="Q2735" s="19">
        <v>0.28685636238841866</v>
      </c>
      <c r="R2735" s="19">
        <v>0.1819604825857446</v>
      </c>
      <c r="S2735" s="19">
        <v>2.7625758690665567E-2</v>
      </c>
      <c r="T2735" s="20">
        <v>23</v>
      </c>
      <c r="U2735" s="17">
        <v>3</v>
      </c>
      <c r="V2735" s="17">
        <v>36</v>
      </c>
    </row>
    <row r="2736" spans="1:22" x14ac:dyDescent="0.2">
      <c r="A2736" t="s">
        <v>6250</v>
      </c>
      <c r="B2736" t="s">
        <v>5862</v>
      </c>
      <c r="C2736" t="s">
        <v>5863</v>
      </c>
      <c r="D2736" t="s">
        <v>6242</v>
      </c>
      <c r="E2736" s="10" t="s">
        <v>6251</v>
      </c>
      <c r="F2736" s="10"/>
      <c r="G2736" s="10"/>
      <c r="H2736" s="10" t="s">
        <v>6251</v>
      </c>
      <c r="I2736" s="14">
        <v>29206.383591705933</v>
      </c>
      <c r="J2736" s="19">
        <v>0</v>
      </c>
      <c r="K2736" s="19">
        <v>0.31966348026714747</v>
      </c>
      <c r="L2736" s="19">
        <v>0.68033651973285258</v>
      </c>
      <c r="M2736" s="20">
        <v>1</v>
      </c>
      <c r="N2736" s="19">
        <v>0</v>
      </c>
      <c r="O2736" s="19">
        <v>0.31966348026714747</v>
      </c>
      <c r="P2736" s="19">
        <v>0</v>
      </c>
      <c r="Q2736" s="19">
        <v>0.38138931372404927</v>
      </c>
      <c r="R2736" s="19">
        <v>0.25404787015041047</v>
      </c>
      <c r="S2736" s="19">
        <v>4.4899335858392807E-2</v>
      </c>
      <c r="T2736" s="20">
        <v>13</v>
      </c>
      <c r="U2736" s="17">
        <v>3</v>
      </c>
      <c r="V2736" s="17">
        <v>36</v>
      </c>
    </row>
    <row r="2737" spans="1:22" x14ac:dyDescent="0.2">
      <c r="A2737" t="s">
        <v>6252</v>
      </c>
      <c r="B2737" t="s">
        <v>5862</v>
      </c>
      <c r="C2737" t="s">
        <v>5863</v>
      </c>
      <c r="D2737" t="s">
        <v>6242</v>
      </c>
      <c r="E2737" s="10" t="s">
        <v>6253</v>
      </c>
      <c r="F2737" s="10"/>
      <c r="G2737" s="10"/>
      <c r="H2737" s="10" t="s">
        <v>6253</v>
      </c>
      <c r="I2737" s="14">
        <v>23839.078517146409</v>
      </c>
      <c r="J2737" s="19">
        <v>0</v>
      </c>
      <c r="K2737" s="19">
        <v>0</v>
      </c>
      <c r="L2737" s="19">
        <v>1</v>
      </c>
      <c r="M2737" s="20">
        <v>1</v>
      </c>
      <c r="N2737" s="19">
        <v>0</v>
      </c>
      <c r="O2737" s="19">
        <v>0</v>
      </c>
      <c r="P2737" s="19">
        <v>0</v>
      </c>
      <c r="Q2737" s="19">
        <v>0.64514783129017728</v>
      </c>
      <c r="R2737" s="19">
        <v>0.29807725835745036</v>
      </c>
      <c r="S2737" s="19">
        <v>5.6774910352372386E-2</v>
      </c>
      <c r="T2737" s="20">
        <v>13</v>
      </c>
      <c r="U2737" s="17">
        <v>3</v>
      </c>
      <c r="V2737" s="17">
        <v>36</v>
      </c>
    </row>
    <row r="2738" spans="1:22" x14ac:dyDescent="0.2">
      <c r="A2738" t="s">
        <v>6254</v>
      </c>
      <c r="B2738" t="s">
        <v>5862</v>
      </c>
      <c r="C2738" t="s">
        <v>5863</v>
      </c>
      <c r="D2738" t="s">
        <v>6242</v>
      </c>
      <c r="E2738" s="10" t="s">
        <v>6255</v>
      </c>
      <c r="F2738" s="10"/>
      <c r="G2738" s="10"/>
      <c r="H2738" s="10" t="s">
        <v>6255</v>
      </c>
      <c r="I2738" s="14">
        <v>23698.948644510005</v>
      </c>
      <c r="J2738" s="19">
        <v>0</v>
      </c>
      <c r="K2738" s="19">
        <v>9.8094080070754673E-4</v>
      </c>
      <c r="L2738" s="19">
        <v>0.99901905919929246</v>
      </c>
      <c r="M2738" s="20">
        <v>1</v>
      </c>
      <c r="N2738" s="19">
        <v>0</v>
      </c>
      <c r="O2738" s="19">
        <v>0</v>
      </c>
      <c r="P2738" s="19">
        <v>9.8094080070754673E-4</v>
      </c>
      <c r="Q2738" s="19">
        <v>0.50958756345269973</v>
      </c>
      <c r="R2738" s="19">
        <v>0.42778280076417163</v>
      </c>
      <c r="S2738" s="19">
        <v>6.1648694982421037E-2</v>
      </c>
      <c r="T2738" s="20">
        <v>13</v>
      </c>
      <c r="U2738" s="17">
        <v>3</v>
      </c>
      <c r="V2738" s="17">
        <v>36</v>
      </c>
    </row>
    <row r="2739" spans="1:22" x14ac:dyDescent="0.2">
      <c r="A2739" t="s">
        <v>6256</v>
      </c>
      <c r="B2739" t="s">
        <v>5862</v>
      </c>
      <c r="C2739" t="s">
        <v>5863</v>
      </c>
      <c r="D2739" t="s">
        <v>6242</v>
      </c>
      <c r="E2739" s="10" t="s">
        <v>6257</v>
      </c>
      <c r="F2739" s="10"/>
      <c r="G2739" s="10"/>
      <c r="H2739" s="10" t="s">
        <v>6257</v>
      </c>
      <c r="I2739" s="14">
        <v>30386.134204810951</v>
      </c>
      <c r="J2739" s="19">
        <v>0</v>
      </c>
      <c r="K2739" s="19">
        <v>0.20818839291964059</v>
      </c>
      <c r="L2739" s="19">
        <v>0.79181160708035947</v>
      </c>
      <c r="M2739" s="20">
        <v>1</v>
      </c>
      <c r="N2739" s="19">
        <v>0</v>
      </c>
      <c r="O2739" s="19">
        <v>0.20818839291964059</v>
      </c>
      <c r="P2739" s="19">
        <v>0</v>
      </c>
      <c r="Q2739" s="19">
        <v>0.62963720296680148</v>
      </c>
      <c r="R2739" s="19">
        <v>0.13736834414420043</v>
      </c>
      <c r="S2739" s="19">
        <v>2.4806059969357516E-2</v>
      </c>
      <c r="T2739" s="20">
        <v>13</v>
      </c>
      <c r="U2739" s="17">
        <v>3</v>
      </c>
      <c r="V2739" s="17">
        <v>36</v>
      </c>
    </row>
    <row r="2740" spans="1:22" x14ac:dyDescent="0.2">
      <c r="A2740" t="s">
        <v>6258</v>
      </c>
      <c r="B2740" t="s">
        <v>5862</v>
      </c>
      <c r="C2740" t="s">
        <v>5863</v>
      </c>
      <c r="D2740" t="s">
        <v>6242</v>
      </c>
      <c r="E2740" s="10" t="s">
        <v>6259</v>
      </c>
      <c r="F2740" s="10"/>
      <c r="G2740" s="10"/>
      <c r="H2740" s="10" t="s">
        <v>6259</v>
      </c>
      <c r="I2740" s="14">
        <v>21699.981866230723</v>
      </c>
      <c r="J2740" s="19">
        <v>0</v>
      </c>
      <c r="K2740" s="19">
        <v>0.23175014335284072</v>
      </c>
      <c r="L2740" s="19">
        <v>0.76824985664715928</v>
      </c>
      <c r="M2740" s="20">
        <v>1</v>
      </c>
      <c r="N2740" s="19">
        <v>0</v>
      </c>
      <c r="O2740" s="19">
        <v>0.23175014335284072</v>
      </c>
      <c r="P2740" s="19">
        <v>0</v>
      </c>
      <c r="Q2740" s="19">
        <v>0.56871342641792644</v>
      </c>
      <c r="R2740" s="19">
        <v>0.16499991213147736</v>
      </c>
      <c r="S2740" s="19">
        <v>3.4536518097755479E-2</v>
      </c>
      <c r="T2740" s="20">
        <v>13</v>
      </c>
      <c r="U2740" s="17">
        <v>3</v>
      </c>
      <c r="V2740" s="17">
        <v>36</v>
      </c>
    </row>
    <row r="2741" spans="1:22" x14ac:dyDescent="0.2">
      <c r="A2741" t="s">
        <v>6260</v>
      </c>
      <c r="B2741" t="s">
        <v>5862</v>
      </c>
      <c r="C2741" t="s">
        <v>5863</v>
      </c>
      <c r="D2741" t="s">
        <v>6242</v>
      </c>
      <c r="E2741" s="10" t="s">
        <v>6261</v>
      </c>
      <c r="F2741" s="10"/>
      <c r="G2741" s="10"/>
      <c r="H2741" s="10" t="s">
        <v>6261</v>
      </c>
      <c r="I2741" s="14">
        <v>33528.824689278379</v>
      </c>
      <c r="J2741" s="19">
        <v>0</v>
      </c>
      <c r="K2741" s="19">
        <v>0.28267522928254235</v>
      </c>
      <c r="L2741" s="19">
        <v>0.71732477071745782</v>
      </c>
      <c r="M2741" s="20">
        <v>1</v>
      </c>
      <c r="N2741" s="19">
        <v>0</v>
      </c>
      <c r="O2741" s="19">
        <v>0.28267522928254235</v>
      </c>
      <c r="P2741" s="19">
        <v>0</v>
      </c>
      <c r="Q2741" s="19">
        <v>0.41687189808867364</v>
      </c>
      <c r="R2741" s="19">
        <v>0.2482262516976195</v>
      </c>
      <c r="S2741" s="19">
        <v>5.2226620931164487E-2</v>
      </c>
      <c r="T2741" s="20">
        <v>13</v>
      </c>
      <c r="U2741" s="17">
        <v>3</v>
      </c>
      <c r="V2741" s="17">
        <v>36</v>
      </c>
    </row>
    <row r="2742" spans="1:22" x14ac:dyDescent="0.2">
      <c r="A2742" t="s">
        <v>6262</v>
      </c>
      <c r="B2742" t="s">
        <v>5862</v>
      </c>
      <c r="C2742" t="s">
        <v>5863</v>
      </c>
      <c r="D2742" t="s">
        <v>6242</v>
      </c>
      <c r="E2742" s="10" t="s">
        <v>6263</v>
      </c>
      <c r="F2742" s="10"/>
      <c r="G2742" s="10"/>
      <c r="H2742" s="10" t="s">
        <v>6263</v>
      </c>
      <c r="I2742" s="14">
        <v>70051.64804713428</v>
      </c>
      <c r="J2742" s="19">
        <v>0</v>
      </c>
      <c r="K2742" s="19">
        <v>0.26515272686858876</v>
      </c>
      <c r="L2742" s="19">
        <v>0.73484727313141118</v>
      </c>
      <c r="M2742" s="20">
        <v>1</v>
      </c>
      <c r="N2742" s="19">
        <v>0.20841719432165826</v>
      </c>
      <c r="O2742" s="19">
        <v>0</v>
      </c>
      <c r="P2742" s="19">
        <v>5.6735532546930527E-2</v>
      </c>
      <c r="Q2742" s="19">
        <v>0.54305449837106234</v>
      </c>
      <c r="R2742" s="19">
        <v>0.15631767488165935</v>
      </c>
      <c r="S2742" s="19">
        <v>3.5475099878689562E-2</v>
      </c>
      <c r="T2742" s="20">
        <v>13</v>
      </c>
      <c r="U2742" s="17">
        <v>3</v>
      </c>
      <c r="V2742" s="17">
        <v>36</v>
      </c>
    </row>
    <row r="2743" spans="1:22" x14ac:dyDescent="0.2">
      <c r="A2743" t="s">
        <v>6264</v>
      </c>
      <c r="B2743" t="s">
        <v>5862</v>
      </c>
      <c r="C2743" t="s">
        <v>5863</v>
      </c>
      <c r="D2743" t="s">
        <v>6242</v>
      </c>
      <c r="E2743" s="10" t="s">
        <v>6265</v>
      </c>
      <c r="F2743" s="10"/>
      <c r="G2743" s="10"/>
      <c r="H2743" s="10" t="s">
        <v>6265</v>
      </c>
      <c r="I2743" s="14">
        <v>68377.684282841859</v>
      </c>
      <c r="J2743" s="19">
        <v>0</v>
      </c>
      <c r="K2743" s="19">
        <v>0.18313273515755313</v>
      </c>
      <c r="L2743" s="19">
        <v>0.81686726484244687</v>
      </c>
      <c r="M2743" s="20">
        <v>1</v>
      </c>
      <c r="N2743" s="19">
        <v>0.10026213556213988</v>
      </c>
      <c r="O2743" s="19">
        <v>0</v>
      </c>
      <c r="P2743" s="19">
        <v>8.2870599595413236E-2</v>
      </c>
      <c r="Q2743" s="19">
        <v>0.50268516324301526</v>
      </c>
      <c r="R2743" s="19">
        <v>0.2660465421424103</v>
      </c>
      <c r="S2743" s="19">
        <v>4.8135559457021256E-2</v>
      </c>
      <c r="T2743" s="20">
        <v>13</v>
      </c>
      <c r="U2743" s="17">
        <v>3</v>
      </c>
      <c r="V2743" s="17">
        <v>36</v>
      </c>
    </row>
    <row r="2744" spans="1:22" x14ac:dyDescent="0.2">
      <c r="A2744" t="s">
        <v>6266</v>
      </c>
      <c r="B2744" t="s">
        <v>5862</v>
      </c>
      <c r="C2744" t="s">
        <v>5863</v>
      </c>
      <c r="D2744" t="s">
        <v>6242</v>
      </c>
      <c r="E2744" s="10" t="s">
        <v>6267</v>
      </c>
      <c r="F2744" s="10"/>
      <c r="G2744" s="10"/>
      <c r="H2744" s="10" t="s">
        <v>6267</v>
      </c>
      <c r="I2744" s="14">
        <v>473735.52009057812</v>
      </c>
      <c r="J2744" s="19">
        <v>0.59287468844825364</v>
      </c>
      <c r="K2744" s="19">
        <v>0.21081200615998447</v>
      </c>
      <c r="L2744" s="19">
        <v>0.19631330539176189</v>
      </c>
      <c r="M2744" s="20">
        <v>3</v>
      </c>
      <c r="N2744" s="19">
        <v>3.1157795378769674E-2</v>
      </c>
      <c r="O2744" s="19">
        <v>1.8746987952799703E-2</v>
      </c>
      <c r="P2744" s="19">
        <v>0.1609072228284151</v>
      </c>
      <c r="Q2744" s="19">
        <v>9.0620111309132972E-2</v>
      </c>
      <c r="R2744" s="19">
        <v>9.2050234674420903E-2</v>
      </c>
      <c r="S2744" s="19">
        <v>1.3642959408208026E-2</v>
      </c>
      <c r="T2744" s="20">
        <v>30</v>
      </c>
      <c r="U2744" s="17">
        <v>3</v>
      </c>
      <c r="V2744" s="17">
        <v>36</v>
      </c>
    </row>
    <row r="2745" spans="1:22" x14ac:dyDescent="0.2">
      <c r="A2745" t="s">
        <v>6268</v>
      </c>
      <c r="B2745" t="s">
        <v>5862</v>
      </c>
      <c r="C2745" t="s">
        <v>5863</v>
      </c>
      <c r="D2745" t="s">
        <v>6242</v>
      </c>
      <c r="E2745" s="10" t="s">
        <v>6269</v>
      </c>
      <c r="F2745" s="10"/>
      <c r="G2745" s="10"/>
      <c r="H2745" s="10" t="s">
        <v>6269</v>
      </c>
      <c r="I2745" s="14">
        <v>102191.63151580724</v>
      </c>
      <c r="J2745" s="19">
        <v>0</v>
      </c>
      <c r="K2745" s="19">
        <v>0.2736343427863176</v>
      </c>
      <c r="L2745" s="19">
        <v>0.7263656572136824</v>
      </c>
      <c r="M2745" s="20">
        <v>1</v>
      </c>
      <c r="N2745" s="19">
        <v>0</v>
      </c>
      <c r="O2745" s="19">
        <v>0.2736343427863176</v>
      </c>
      <c r="P2745" s="19">
        <v>0</v>
      </c>
      <c r="Q2745" s="19">
        <v>0.438342310151002</v>
      </c>
      <c r="R2745" s="19">
        <v>0.24619179372784136</v>
      </c>
      <c r="S2745" s="19">
        <v>4.1831553334839039E-2</v>
      </c>
      <c r="T2745" s="20">
        <v>13</v>
      </c>
      <c r="U2745" s="17">
        <v>3</v>
      </c>
      <c r="V2745" s="17">
        <v>36</v>
      </c>
    </row>
    <row r="2746" spans="1:22" x14ac:dyDescent="0.2">
      <c r="A2746" t="s">
        <v>6270</v>
      </c>
      <c r="B2746" t="s">
        <v>5862</v>
      </c>
      <c r="C2746" t="s">
        <v>5863</v>
      </c>
      <c r="D2746" t="s">
        <v>6242</v>
      </c>
      <c r="E2746" s="10" t="s">
        <v>6271</v>
      </c>
      <c r="F2746" s="10"/>
      <c r="G2746" s="10"/>
      <c r="H2746" s="10" t="s">
        <v>6271</v>
      </c>
      <c r="I2746" s="14">
        <v>83954.678113995818</v>
      </c>
      <c r="J2746" s="19">
        <v>0</v>
      </c>
      <c r="K2746" s="19">
        <v>0.3233258819196832</v>
      </c>
      <c r="L2746" s="19">
        <v>0.67667411808031686</v>
      </c>
      <c r="M2746" s="20">
        <v>1</v>
      </c>
      <c r="N2746" s="19">
        <v>8.799233717554801E-2</v>
      </c>
      <c r="O2746" s="19">
        <v>8.481866439566807E-2</v>
      </c>
      <c r="P2746" s="19">
        <v>0.15051488034846711</v>
      </c>
      <c r="Q2746" s="19">
        <v>0.41512454541729399</v>
      </c>
      <c r="R2746" s="19">
        <v>0.22847105963627495</v>
      </c>
      <c r="S2746" s="19">
        <v>3.3078513026747872E-2</v>
      </c>
      <c r="T2746" s="20">
        <v>13</v>
      </c>
      <c r="U2746" s="17">
        <v>3</v>
      </c>
      <c r="V2746" s="17">
        <v>36</v>
      </c>
    </row>
    <row r="2747" spans="1:22" x14ac:dyDescent="0.2">
      <c r="A2747" t="s">
        <v>6272</v>
      </c>
      <c r="B2747" t="s">
        <v>5862</v>
      </c>
      <c r="C2747" t="s">
        <v>5863</v>
      </c>
      <c r="D2747" t="s">
        <v>6242</v>
      </c>
      <c r="E2747" s="10" t="s">
        <v>6273</v>
      </c>
      <c r="F2747" s="10"/>
      <c r="G2747" s="10"/>
      <c r="H2747" s="10" t="s">
        <v>6273</v>
      </c>
      <c r="I2747" s="14">
        <v>71447.861501550069</v>
      </c>
      <c r="J2747" s="19">
        <v>0</v>
      </c>
      <c r="K2747" s="19">
        <v>0.19128325107856067</v>
      </c>
      <c r="L2747" s="19">
        <v>0.8087167489214393</v>
      </c>
      <c r="M2747" s="20">
        <v>1</v>
      </c>
      <c r="N2747" s="19">
        <v>0.11515002497886577</v>
      </c>
      <c r="O2747" s="19">
        <v>0</v>
      </c>
      <c r="P2747" s="19">
        <v>7.6133226099694917E-2</v>
      </c>
      <c r="Q2747" s="19">
        <v>0.40243066596271454</v>
      </c>
      <c r="R2747" s="19">
        <v>0.36926615683496194</v>
      </c>
      <c r="S2747" s="19">
        <v>3.7019926123762821E-2</v>
      </c>
      <c r="T2747" s="20">
        <v>13</v>
      </c>
      <c r="U2747" s="17">
        <v>3</v>
      </c>
      <c r="V2747" s="17">
        <v>36</v>
      </c>
    </row>
    <row r="2748" spans="1:22" x14ac:dyDescent="0.2">
      <c r="A2748" t="s">
        <v>6274</v>
      </c>
      <c r="B2748" t="s">
        <v>5862</v>
      </c>
      <c r="C2748" t="s">
        <v>5863</v>
      </c>
      <c r="D2748" t="s">
        <v>6242</v>
      </c>
      <c r="E2748" s="10" t="s">
        <v>6275</v>
      </c>
      <c r="F2748" s="10"/>
      <c r="G2748" s="10"/>
      <c r="H2748" s="10" t="s">
        <v>6275</v>
      </c>
      <c r="I2748" s="14">
        <v>82035.289527701563</v>
      </c>
      <c r="J2748" s="19">
        <v>0</v>
      </c>
      <c r="K2748" s="19">
        <v>0.35642055031410902</v>
      </c>
      <c r="L2748" s="19">
        <v>0.64357944968589098</v>
      </c>
      <c r="M2748" s="20">
        <v>1</v>
      </c>
      <c r="N2748" s="19">
        <v>0.19556808975480447</v>
      </c>
      <c r="O2748" s="19">
        <v>0</v>
      </c>
      <c r="P2748" s="19">
        <v>0.16085246055930455</v>
      </c>
      <c r="Q2748" s="19">
        <v>0.38026987098967246</v>
      </c>
      <c r="R2748" s="19">
        <v>0.22947967302338257</v>
      </c>
      <c r="S2748" s="19">
        <v>3.382990567283594E-2</v>
      </c>
      <c r="T2748" s="20">
        <v>13</v>
      </c>
      <c r="U2748" s="17">
        <v>3</v>
      </c>
      <c r="V2748" s="17">
        <v>36</v>
      </c>
    </row>
    <row r="2749" spans="1:22" x14ac:dyDescent="0.2">
      <c r="A2749" t="s">
        <v>6276</v>
      </c>
      <c r="B2749" t="s">
        <v>5862</v>
      </c>
      <c r="C2749" t="s">
        <v>5863</v>
      </c>
      <c r="D2749" t="s">
        <v>6242</v>
      </c>
      <c r="E2749" s="10" t="s">
        <v>6277</v>
      </c>
      <c r="F2749" s="10"/>
      <c r="G2749" s="10"/>
      <c r="H2749" s="10" t="s">
        <v>6277</v>
      </c>
      <c r="I2749" s="14">
        <v>31554.381254628883</v>
      </c>
      <c r="J2749" s="19">
        <v>0</v>
      </c>
      <c r="K2749" s="19">
        <v>7.4221161363692155E-4</v>
      </c>
      <c r="L2749" s="19">
        <v>0.99925778838636303</v>
      </c>
      <c r="M2749" s="20">
        <v>1</v>
      </c>
      <c r="N2749" s="19">
        <v>0</v>
      </c>
      <c r="O2749" s="19">
        <v>0</v>
      </c>
      <c r="P2749" s="19">
        <v>7.4221161363692155E-4</v>
      </c>
      <c r="Q2749" s="19">
        <v>0.76368897880222797</v>
      </c>
      <c r="R2749" s="19">
        <v>0.186983527093665</v>
      </c>
      <c r="S2749" s="19">
        <v>4.8585282490470054E-2</v>
      </c>
      <c r="T2749" s="20">
        <v>13</v>
      </c>
      <c r="U2749" s="17">
        <v>3</v>
      </c>
      <c r="V2749" s="17">
        <v>36</v>
      </c>
    </row>
    <row r="2750" spans="1:22" x14ac:dyDescent="0.2">
      <c r="A2750" t="s">
        <v>6278</v>
      </c>
      <c r="B2750" t="s">
        <v>5862</v>
      </c>
      <c r="C2750" t="s">
        <v>5863</v>
      </c>
      <c r="D2750" t="s">
        <v>6242</v>
      </c>
      <c r="E2750" s="10" t="s">
        <v>6279</v>
      </c>
      <c r="F2750" s="10"/>
      <c r="G2750" s="10"/>
      <c r="H2750" s="10" t="s">
        <v>6279</v>
      </c>
      <c r="I2750" s="14">
        <v>68794.243085980881</v>
      </c>
      <c r="J2750" s="19">
        <v>0</v>
      </c>
      <c r="K2750" s="19">
        <v>0.25149082282718865</v>
      </c>
      <c r="L2750" s="19">
        <v>0.7485091771728114</v>
      </c>
      <c r="M2750" s="20">
        <v>1</v>
      </c>
      <c r="N2750" s="19">
        <v>0.13954972477198385</v>
      </c>
      <c r="O2750" s="19">
        <v>0</v>
      </c>
      <c r="P2750" s="19">
        <v>0.11194109805520483</v>
      </c>
      <c r="Q2750" s="19">
        <v>0.4853110738236876</v>
      </c>
      <c r="R2750" s="19">
        <v>0.23379205711922077</v>
      </c>
      <c r="S2750" s="19">
        <v>2.9406046229902946E-2</v>
      </c>
      <c r="T2750" s="20">
        <v>13</v>
      </c>
      <c r="U2750" s="17">
        <v>3</v>
      </c>
      <c r="V2750" s="17">
        <v>36</v>
      </c>
    </row>
    <row r="2751" spans="1:22" x14ac:dyDescent="0.2">
      <c r="A2751" t="s">
        <v>6280</v>
      </c>
      <c r="B2751" t="s">
        <v>5862</v>
      </c>
      <c r="C2751" t="s">
        <v>5863</v>
      </c>
      <c r="D2751" t="s">
        <v>6242</v>
      </c>
      <c r="E2751" s="10" t="s">
        <v>6281</v>
      </c>
      <c r="F2751" s="10"/>
      <c r="G2751" s="10"/>
      <c r="H2751" s="10" t="s">
        <v>6281</v>
      </c>
      <c r="I2751" s="14">
        <v>19999.466003987473</v>
      </c>
      <c r="J2751" s="19">
        <v>0</v>
      </c>
      <c r="K2751" s="19">
        <v>0</v>
      </c>
      <c r="L2751" s="19">
        <v>1</v>
      </c>
      <c r="M2751" s="20">
        <v>1</v>
      </c>
      <c r="N2751" s="19">
        <v>0</v>
      </c>
      <c r="O2751" s="19">
        <v>0</v>
      </c>
      <c r="P2751" s="19">
        <v>0</v>
      </c>
      <c r="Q2751" s="19">
        <v>0.48364635233286696</v>
      </c>
      <c r="R2751" s="19">
        <v>0.45597020339160899</v>
      </c>
      <c r="S2751" s="19">
        <v>6.038344427552407E-2</v>
      </c>
      <c r="T2751" s="20">
        <v>13</v>
      </c>
      <c r="U2751" s="17">
        <v>3</v>
      </c>
      <c r="V2751" s="17">
        <v>36</v>
      </c>
    </row>
    <row r="2752" spans="1:22" x14ac:dyDescent="0.2">
      <c r="A2752" t="s">
        <v>6282</v>
      </c>
      <c r="B2752" t="s">
        <v>5862</v>
      </c>
      <c r="C2752" t="s">
        <v>5863</v>
      </c>
      <c r="D2752" t="s">
        <v>6242</v>
      </c>
      <c r="E2752" s="10" t="s">
        <v>6283</v>
      </c>
      <c r="F2752" s="10"/>
      <c r="G2752" s="10"/>
      <c r="H2752" s="10" t="s">
        <v>6283</v>
      </c>
      <c r="I2752" s="14">
        <v>18252.064907775959</v>
      </c>
      <c r="J2752" s="19">
        <v>0</v>
      </c>
      <c r="K2752" s="19">
        <v>0</v>
      </c>
      <c r="L2752" s="19">
        <v>1</v>
      </c>
      <c r="M2752" s="20">
        <v>1</v>
      </c>
      <c r="N2752" s="19">
        <v>0</v>
      </c>
      <c r="O2752" s="19">
        <v>0</v>
      </c>
      <c r="P2752" s="19">
        <v>0</v>
      </c>
      <c r="Q2752" s="19">
        <v>0.6740256122401096</v>
      </c>
      <c r="R2752" s="19">
        <v>0.26590534700802138</v>
      </c>
      <c r="S2752" s="19">
        <v>6.0069040751869029E-2</v>
      </c>
      <c r="T2752" s="20">
        <v>13</v>
      </c>
      <c r="U2752" s="17">
        <v>3</v>
      </c>
      <c r="V2752" s="17">
        <v>36</v>
      </c>
    </row>
    <row r="2753" spans="1:22" x14ac:dyDescent="0.2">
      <c r="A2753" t="s">
        <v>6284</v>
      </c>
      <c r="B2753" t="s">
        <v>5862</v>
      </c>
      <c r="C2753" t="s">
        <v>5863</v>
      </c>
      <c r="D2753" t="s">
        <v>6242</v>
      </c>
      <c r="E2753" s="10" t="s">
        <v>6285</v>
      </c>
      <c r="F2753" s="10"/>
      <c r="G2753" s="10"/>
      <c r="H2753" s="10" t="s">
        <v>6285</v>
      </c>
      <c r="I2753" s="14">
        <v>70668.948547505541</v>
      </c>
      <c r="J2753" s="19">
        <v>0</v>
      </c>
      <c r="K2753" s="19">
        <v>0.27969262970027975</v>
      </c>
      <c r="L2753" s="19">
        <v>0.72030737029972025</v>
      </c>
      <c r="M2753" s="20">
        <v>1</v>
      </c>
      <c r="N2753" s="19">
        <v>0</v>
      </c>
      <c r="O2753" s="19">
        <v>0.27969262970027975</v>
      </c>
      <c r="P2753" s="19">
        <v>0</v>
      </c>
      <c r="Q2753" s="19">
        <v>0.4691642521538365</v>
      </c>
      <c r="R2753" s="19">
        <v>0.21511639663893084</v>
      </c>
      <c r="S2753" s="19">
        <v>3.6026721506952901E-2</v>
      </c>
      <c r="T2753" s="20">
        <v>13</v>
      </c>
      <c r="U2753" s="17">
        <v>3</v>
      </c>
      <c r="V2753" s="17">
        <v>36</v>
      </c>
    </row>
    <row r="2754" spans="1:22" x14ac:dyDescent="0.2">
      <c r="A2754" t="s">
        <v>6286</v>
      </c>
      <c r="B2754" t="s">
        <v>5862</v>
      </c>
      <c r="C2754" t="s">
        <v>5863</v>
      </c>
      <c r="D2754" t="s">
        <v>6242</v>
      </c>
      <c r="E2754" s="10" t="s">
        <v>6287</v>
      </c>
      <c r="F2754" s="10"/>
      <c r="G2754" s="10"/>
      <c r="H2754" s="10" t="s">
        <v>6287</v>
      </c>
      <c r="I2754" s="14">
        <v>39213.248953310074</v>
      </c>
      <c r="J2754" s="19">
        <v>0</v>
      </c>
      <c r="K2754" s="19">
        <v>0.2932019294262172</v>
      </c>
      <c r="L2754" s="19">
        <v>0.70679807057378286</v>
      </c>
      <c r="M2754" s="20">
        <v>1</v>
      </c>
      <c r="N2754" s="19">
        <v>0</v>
      </c>
      <c r="O2754" s="19">
        <v>0.2932019294262172</v>
      </c>
      <c r="P2754" s="19">
        <v>0</v>
      </c>
      <c r="Q2754" s="19">
        <v>0.38189641798882151</v>
      </c>
      <c r="R2754" s="19">
        <v>0.26342972092566136</v>
      </c>
      <c r="S2754" s="19">
        <v>6.1471931659299955E-2</v>
      </c>
      <c r="T2754" s="20">
        <v>13</v>
      </c>
      <c r="U2754" s="17">
        <v>3</v>
      </c>
      <c r="V2754" s="17">
        <v>36</v>
      </c>
    </row>
    <row r="2755" spans="1:22" x14ac:dyDescent="0.2">
      <c r="A2755" t="s">
        <v>6288</v>
      </c>
      <c r="B2755" t="s">
        <v>5862</v>
      </c>
      <c r="C2755" t="s">
        <v>5863</v>
      </c>
      <c r="D2755" t="s">
        <v>6242</v>
      </c>
      <c r="E2755" s="10" t="s">
        <v>6289</v>
      </c>
      <c r="F2755" s="10"/>
      <c r="G2755" s="10"/>
      <c r="H2755" s="10" t="s">
        <v>6289</v>
      </c>
      <c r="I2755" s="14">
        <v>39124.99501523166</v>
      </c>
      <c r="J2755" s="19">
        <v>0</v>
      </c>
      <c r="K2755" s="19">
        <v>0.16144144284646145</v>
      </c>
      <c r="L2755" s="19">
        <v>0.83855855715353855</v>
      </c>
      <c r="M2755" s="20">
        <v>1</v>
      </c>
      <c r="N2755" s="19">
        <v>0</v>
      </c>
      <c r="O2755" s="19">
        <v>0.16144144284646145</v>
      </c>
      <c r="P2755" s="19">
        <v>0</v>
      </c>
      <c r="Q2755" s="19">
        <v>0.50545183215109424</v>
      </c>
      <c r="R2755" s="19">
        <v>0.28076274536556411</v>
      </c>
      <c r="S2755" s="19">
        <v>5.23439796368802E-2</v>
      </c>
      <c r="T2755" s="20">
        <v>13</v>
      </c>
      <c r="U2755" s="17">
        <v>3</v>
      </c>
      <c r="V2755" s="17">
        <v>36</v>
      </c>
    </row>
    <row r="2756" spans="1:22" x14ac:dyDescent="0.2">
      <c r="A2756" t="s">
        <v>6290</v>
      </c>
      <c r="B2756" t="s">
        <v>5862</v>
      </c>
      <c r="C2756" t="s">
        <v>5863</v>
      </c>
      <c r="D2756" t="s">
        <v>6242</v>
      </c>
      <c r="E2756" s="10" t="s">
        <v>6291</v>
      </c>
      <c r="F2756" s="10"/>
      <c r="G2756" s="10"/>
      <c r="H2756" s="10" t="s">
        <v>6291</v>
      </c>
      <c r="I2756" s="14">
        <v>26689.575560772322</v>
      </c>
      <c r="J2756" s="19">
        <v>0</v>
      </c>
      <c r="K2756" s="19">
        <v>0.21546722783723513</v>
      </c>
      <c r="L2756" s="19">
        <v>0.78453277216276485</v>
      </c>
      <c r="M2756" s="20">
        <v>1</v>
      </c>
      <c r="N2756" s="19">
        <v>0</v>
      </c>
      <c r="O2756" s="19">
        <v>0.21546722783723513</v>
      </c>
      <c r="P2756" s="19">
        <v>0</v>
      </c>
      <c r="Q2756" s="19">
        <v>0.44508986801842315</v>
      </c>
      <c r="R2756" s="19">
        <v>0.29975261738052261</v>
      </c>
      <c r="S2756" s="19">
        <v>3.9690286763819256E-2</v>
      </c>
      <c r="T2756" s="20">
        <v>13</v>
      </c>
      <c r="U2756" s="17">
        <v>3</v>
      </c>
      <c r="V2756" s="17">
        <v>36</v>
      </c>
    </row>
    <row r="2757" spans="1:22" x14ac:dyDescent="0.2">
      <c r="A2757" t="s">
        <v>6292</v>
      </c>
      <c r="B2757" t="s">
        <v>5862</v>
      </c>
      <c r="C2757" t="s">
        <v>5863</v>
      </c>
      <c r="D2757" t="s">
        <v>6242</v>
      </c>
      <c r="E2757" s="10" t="s">
        <v>6293</v>
      </c>
      <c r="F2757" s="10"/>
      <c r="G2757" s="10"/>
      <c r="H2757" s="10" t="s">
        <v>6293</v>
      </c>
      <c r="I2757" s="14">
        <v>15086.583820663393</v>
      </c>
      <c r="J2757" s="19">
        <v>0</v>
      </c>
      <c r="K2757" s="19">
        <v>0.49804584214981518</v>
      </c>
      <c r="L2757" s="19">
        <v>0.50195415785018471</v>
      </c>
      <c r="M2757" s="20">
        <v>1</v>
      </c>
      <c r="N2757" s="19">
        <v>0</v>
      </c>
      <c r="O2757" s="19">
        <v>0.49804584214981518</v>
      </c>
      <c r="P2757" s="19">
        <v>0</v>
      </c>
      <c r="Q2757" s="19">
        <v>0.28331861980953554</v>
      </c>
      <c r="R2757" s="19">
        <v>0.18862544761524147</v>
      </c>
      <c r="S2757" s="19">
        <v>3.0010090425407816E-2</v>
      </c>
      <c r="T2757" s="20">
        <v>13</v>
      </c>
      <c r="U2757" s="17">
        <v>3</v>
      </c>
      <c r="V2757" s="17">
        <v>36</v>
      </c>
    </row>
    <row r="2758" spans="1:22" x14ac:dyDescent="0.2">
      <c r="A2758" t="s">
        <v>6294</v>
      </c>
      <c r="B2758" t="s">
        <v>5862</v>
      </c>
      <c r="C2758" t="s">
        <v>5863</v>
      </c>
      <c r="D2758" t="s">
        <v>6295</v>
      </c>
      <c r="E2758" s="10" t="s">
        <v>6296</v>
      </c>
      <c r="F2758" s="10"/>
      <c r="G2758" s="10"/>
      <c r="H2758" s="10" t="s">
        <v>6296</v>
      </c>
      <c r="I2758" s="14">
        <v>46918.060405646451</v>
      </c>
      <c r="J2758" s="19">
        <v>0</v>
      </c>
      <c r="K2758" s="19">
        <v>0.21195255931698781</v>
      </c>
      <c r="L2758" s="19">
        <v>0.78804744068301213</v>
      </c>
      <c r="M2758" s="20">
        <v>1</v>
      </c>
      <c r="N2758" s="19">
        <v>0.13239437830082562</v>
      </c>
      <c r="O2758" s="19">
        <v>0</v>
      </c>
      <c r="P2758" s="19">
        <v>7.9558181016162202E-2</v>
      </c>
      <c r="Q2758" s="19">
        <v>0.11461769119310485</v>
      </c>
      <c r="R2758" s="19">
        <v>0.55554015524559142</v>
      </c>
      <c r="S2758" s="19">
        <v>0.117889594244316</v>
      </c>
      <c r="T2758" s="20">
        <v>12</v>
      </c>
      <c r="U2758" s="17">
        <v>3</v>
      </c>
      <c r="V2758" s="17">
        <v>36</v>
      </c>
    </row>
    <row r="2759" spans="1:22" x14ac:dyDescent="0.2">
      <c r="A2759" t="s">
        <v>6297</v>
      </c>
      <c r="B2759" t="s">
        <v>5862</v>
      </c>
      <c r="C2759" t="s">
        <v>5863</v>
      </c>
      <c r="D2759" t="s">
        <v>6295</v>
      </c>
      <c r="E2759" s="10" t="s">
        <v>6298</v>
      </c>
      <c r="F2759" s="10"/>
      <c r="G2759" s="10"/>
      <c r="H2759" s="10" t="s">
        <v>6298</v>
      </c>
      <c r="I2759" s="14">
        <v>40878.762636823812</v>
      </c>
      <c r="J2759" s="19">
        <v>0</v>
      </c>
      <c r="K2759" s="19">
        <v>0.13952971064833833</v>
      </c>
      <c r="L2759" s="19">
        <v>0.8604702893516617</v>
      </c>
      <c r="M2759" s="20">
        <v>1</v>
      </c>
      <c r="N2759" s="19">
        <v>0</v>
      </c>
      <c r="O2759" s="19">
        <v>0.13952971064833833</v>
      </c>
      <c r="P2759" s="19">
        <v>0</v>
      </c>
      <c r="Q2759" s="19">
        <v>3.3613821260085115E-2</v>
      </c>
      <c r="R2759" s="19">
        <v>0.6568276317814572</v>
      </c>
      <c r="S2759" s="19">
        <v>0.17002883631011934</v>
      </c>
      <c r="T2759" s="20">
        <v>12</v>
      </c>
      <c r="U2759" s="17">
        <v>3</v>
      </c>
      <c r="V2759" s="17">
        <v>36</v>
      </c>
    </row>
    <row r="2760" spans="1:22" x14ac:dyDescent="0.2">
      <c r="A2760" t="s">
        <v>6299</v>
      </c>
      <c r="B2760" t="s">
        <v>5862</v>
      </c>
      <c r="C2760" t="s">
        <v>5863</v>
      </c>
      <c r="D2760" t="s">
        <v>6295</v>
      </c>
      <c r="E2760" s="10" t="s">
        <v>6300</v>
      </c>
      <c r="F2760" s="10"/>
      <c r="G2760" s="10"/>
      <c r="H2760" s="10" t="s">
        <v>6300</v>
      </c>
      <c r="I2760" s="14">
        <v>58409.964705264196</v>
      </c>
      <c r="J2760" s="19">
        <v>0</v>
      </c>
      <c r="K2760" s="19">
        <v>0.11670695400754397</v>
      </c>
      <c r="L2760" s="19">
        <v>0.88329304599245584</v>
      </c>
      <c r="M2760" s="20">
        <v>1</v>
      </c>
      <c r="N2760" s="19">
        <v>0</v>
      </c>
      <c r="O2760" s="19">
        <v>0.11670695400754397</v>
      </c>
      <c r="P2760" s="19">
        <v>0</v>
      </c>
      <c r="Q2760" s="19">
        <v>0.19728744636906637</v>
      </c>
      <c r="R2760" s="19">
        <v>0.58123898604614499</v>
      </c>
      <c r="S2760" s="19">
        <v>0.10476661357724464</v>
      </c>
      <c r="T2760" s="20">
        <v>12</v>
      </c>
      <c r="U2760" s="17">
        <v>3</v>
      </c>
      <c r="V2760" s="17">
        <v>36</v>
      </c>
    </row>
    <row r="2761" spans="1:22" x14ac:dyDescent="0.2">
      <c r="A2761" t="s">
        <v>6301</v>
      </c>
      <c r="B2761" t="s">
        <v>5862</v>
      </c>
      <c r="C2761" t="s">
        <v>5863</v>
      </c>
      <c r="D2761" t="s">
        <v>6295</v>
      </c>
      <c r="E2761" s="10" t="s">
        <v>6302</v>
      </c>
      <c r="F2761" s="10"/>
      <c r="G2761" s="10"/>
      <c r="H2761" s="10" t="s">
        <v>6302</v>
      </c>
      <c r="I2761" s="14">
        <v>24491.928296678932</v>
      </c>
      <c r="J2761" s="19">
        <v>0</v>
      </c>
      <c r="K2761" s="19">
        <v>0.36803746585772013</v>
      </c>
      <c r="L2761" s="19">
        <v>0.63196253414227987</v>
      </c>
      <c r="M2761" s="20">
        <v>1</v>
      </c>
      <c r="N2761" s="19">
        <v>0</v>
      </c>
      <c r="O2761" s="19">
        <v>0.36803746585772013</v>
      </c>
      <c r="P2761" s="19">
        <v>0</v>
      </c>
      <c r="Q2761" s="19">
        <v>7.537261838862408E-2</v>
      </c>
      <c r="R2761" s="19">
        <v>0.48124935327033497</v>
      </c>
      <c r="S2761" s="19">
        <v>7.5340562483320855E-2</v>
      </c>
      <c r="T2761" s="20">
        <v>12</v>
      </c>
      <c r="U2761" s="17">
        <v>3</v>
      </c>
      <c r="V2761" s="17">
        <v>36</v>
      </c>
    </row>
    <row r="2762" spans="1:22" x14ac:dyDescent="0.2">
      <c r="A2762" t="s">
        <v>6303</v>
      </c>
      <c r="B2762" t="s">
        <v>5862</v>
      </c>
      <c r="C2762" t="s">
        <v>5863</v>
      </c>
      <c r="D2762" t="s">
        <v>6295</v>
      </c>
      <c r="E2762" s="10" t="s">
        <v>6304</v>
      </c>
      <c r="F2762" s="10"/>
      <c r="G2762" s="10"/>
      <c r="H2762" s="10" t="s">
        <v>6304</v>
      </c>
      <c r="I2762" s="14">
        <v>17982.230039213784</v>
      </c>
      <c r="J2762" s="19">
        <v>0</v>
      </c>
      <c r="K2762" s="19">
        <v>0</v>
      </c>
      <c r="L2762" s="19">
        <v>1</v>
      </c>
      <c r="M2762" s="20">
        <v>1</v>
      </c>
      <c r="N2762" s="19">
        <v>0</v>
      </c>
      <c r="O2762" s="19">
        <v>0</v>
      </c>
      <c r="P2762" s="19">
        <v>0</v>
      </c>
      <c r="Q2762" s="19">
        <v>0.2580905339104389</v>
      </c>
      <c r="R2762" s="19">
        <v>0.573525209243956</v>
      </c>
      <c r="S2762" s="19">
        <v>0.1683842568456051</v>
      </c>
      <c r="T2762" s="20">
        <v>12</v>
      </c>
      <c r="U2762" s="17">
        <v>3</v>
      </c>
      <c r="V2762" s="17">
        <v>36</v>
      </c>
    </row>
    <row r="2763" spans="1:22" x14ac:dyDescent="0.2">
      <c r="A2763" t="s">
        <v>6305</v>
      </c>
      <c r="B2763" t="s">
        <v>5862</v>
      </c>
      <c r="C2763" t="s">
        <v>5863</v>
      </c>
      <c r="D2763" t="s">
        <v>6295</v>
      </c>
      <c r="E2763" s="10" t="s">
        <v>6306</v>
      </c>
      <c r="F2763" s="10"/>
      <c r="G2763" s="10"/>
      <c r="H2763" s="10" t="s">
        <v>6306</v>
      </c>
      <c r="I2763" s="14">
        <v>83740.405759404879</v>
      </c>
      <c r="J2763" s="19">
        <v>0</v>
      </c>
      <c r="K2763" s="19">
        <v>0.66117858040128719</v>
      </c>
      <c r="L2763" s="19">
        <v>0.33882141959871281</v>
      </c>
      <c r="M2763" s="20">
        <v>2</v>
      </c>
      <c r="N2763" s="19">
        <v>0.40564615085979072</v>
      </c>
      <c r="O2763" s="19">
        <v>0.1257313919919284</v>
      </c>
      <c r="P2763" s="19">
        <v>0.12980103754956807</v>
      </c>
      <c r="Q2763" s="19">
        <v>3.1558440827489875E-2</v>
      </c>
      <c r="R2763" s="19">
        <v>0.26051104882325438</v>
      </c>
      <c r="S2763" s="19">
        <v>4.6751929947968555E-2</v>
      </c>
      <c r="T2763" s="20">
        <v>23</v>
      </c>
      <c r="U2763" s="17">
        <v>3</v>
      </c>
      <c r="V2763" s="17">
        <v>36</v>
      </c>
    </row>
    <row r="2764" spans="1:22" x14ac:dyDescent="0.2">
      <c r="A2764" t="s">
        <v>6307</v>
      </c>
      <c r="B2764" t="s">
        <v>5862</v>
      </c>
      <c r="C2764" t="s">
        <v>5863</v>
      </c>
      <c r="D2764" t="s">
        <v>6295</v>
      </c>
      <c r="E2764" s="10" t="s">
        <v>6308</v>
      </c>
      <c r="F2764" s="10"/>
      <c r="G2764" s="10"/>
      <c r="H2764" s="10" t="s">
        <v>6308</v>
      </c>
      <c r="I2764" s="14">
        <v>49565.553363431711</v>
      </c>
      <c r="J2764" s="19">
        <v>0</v>
      </c>
      <c r="K2764" s="19">
        <v>0.33753083601545986</v>
      </c>
      <c r="L2764" s="19">
        <v>0.66246916398454014</v>
      </c>
      <c r="M2764" s="20">
        <v>1</v>
      </c>
      <c r="N2764" s="19">
        <v>0</v>
      </c>
      <c r="O2764" s="19">
        <v>0.33753083601545986</v>
      </c>
      <c r="P2764" s="19">
        <v>0</v>
      </c>
      <c r="Q2764" s="19">
        <v>6.4241862830560811E-2</v>
      </c>
      <c r="R2764" s="19">
        <v>0.53973256874050146</v>
      </c>
      <c r="S2764" s="19">
        <v>5.8494732413477767E-2</v>
      </c>
      <c r="T2764" s="20">
        <v>12</v>
      </c>
      <c r="U2764" s="17">
        <v>3</v>
      </c>
      <c r="V2764" s="17">
        <v>36</v>
      </c>
    </row>
    <row r="2765" spans="1:22" x14ac:dyDescent="0.2">
      <c r="A2765" t="s">
        <v>6309</v>
      </c>
      <c r="B2765" t="s">
        <v>5862</v>
      </c>
      <c r="C2765" t="s">
        <v>5863</v>
      </c>
      <c r="D2765" t="s">
        <v>6295</v>
      </c>
      <c r="E2765" s="10" t="s">
        <v>6310</v>
      </c>
      <c r="F2765" s="10"/>
      <c r="G2765" s="10"/>
      <c r="H2765" s="10" t="s">
        <v>6310</v>
      </c>
      <c r="I2765" s="14">
        <v>31887.218127747765</v>
      </c>
      <c r="J2765" s="19">
        <v>0</v>
      </c>
      <c r="K2765" s="19">
        <v>0</v>
      </c>
      <c r="L2765" s="19">
        <v>1</v>
      </c>
      <c r="M2765" s="20">
        <v>1</v>
      </c>
      <c r="N2765" s="19">
        <v>0</v>
      </c>
      <c r="O2765" s="19">
        <v>0</v>
      </c>
      <c r="P2765" s="19">
        <v>0</v>
      </c>
      <c r="Q2765" s="19">
        <v>0.24123485714961573</v>
      </c>
      <c r="R2765" s="19">
        <v>0.64172941966288377</v>
      </c>
      <c r="S2765" s="19">
        <v>0.11703572318750048</v>
      </c>
      <c r="T2765" s="20">
        <v>12</v>
      </c>
      <c r="U2765" s="17">
        <v>3</v>
      </c>
      <c r="V2765" s="17">
        <v>36</v>
      </c>
    </row>
    <row r="2766" spans="1:22" x14ac:dyDescent="0.2">
      <c r="A2766" t="s">
        <v>6311</v>
      </c>
      <c r="B2766" t="s">
        <v>5862</v>
      </c>
      <c r="C2766" t="s">
        <v>5863</v>
      </c>
      <c r="D2766" t="s">
        <v>6312</v>
      </c>
      <c r="E2766" s="10" t="s">
        <v>6313</v>
      </c>
      <c r="F2766" s="10"/>
      <c r="G2766" s="10"/>
      <c r="H2766" s="10" t="s">
        <v>6313</v>
      </c>
      <c r="I2766" s="14">
        <v>35549.229707158171</v>
      </c>
      <c r="J2766" s="19">
        <v>0</v>
      </c>
      <c r="K2766" s="19">
        <v>0.25661776594814018</v>
      </c>
      <c r="L2766" s="19">
        <v>0.74338223405185966</v>
      </c>
      <c r="M2766" s="20">
        <v>1</v>
      </c>
      <c r="N2766" s="19">
        <v>0</v>
      </c>
      <c r="O2766" s="19">
        <v>0.25661776594814018</v>
      </c>
      <c r="P2766" s="19">
        <v>0</v>
      </c>
      <c r="Q2766" s="19">
        <v>0.36906158438446762</v>
      </c>
      <c r="R2766" s="19">
        <v>0.29461363385381273</v>
      </c>
      <c r="S2766" s="19">
        <v>7.9707015813579474E-2</v>
      </c>
      <c r="T2766" s="20">
        <v>13</v>
      </c>
      <c r="U2766" s="17">
        <v>3</v>
      </c>
      <c r="V2766" s="17">
        <v>36</v>
      </c>
    </row>
    <row r="2767" spans="1:22" x14ac:dyDescent="0.2">
      <c r="A2767" t="s">
        <v>6314</v>
      </c>
      <c r="B2767" t="s">
        <v>5862</v>
      </c>
      <c r="C2767" t="s">
        <v>5863</v>
      </c>
      <c r="D2767" t="s">
        <v>6312</v>
      </c>
      <c r="E2767" s="10" t="s">
        <v>6315</v>
      </c>
      <c r="F2767" s="10"/>
      <c r="G2767" s="10"/>
      <c r="H2767" s="10" t="s">
        <v>6315</v>
      </c>
      <c r="I2767" s="14">
        <v>64211.12692043744</v>
      </c>
      <c r="J2767" s="19">
        <v>0</v>
      </c>
      <c r="K2767" s="19">
        <v>0.66239654890119148</v>
      </c>
      <c r="L2767" s="19">
        <v>0.33760345109880857</v>
      </c>
      <c r="M2767" s="20">
        <v>2</v>
      </c>
      <c r="N2767" s="19">
        <v>0</v>
      </c>
      <c r="O2767" s="19">
        <v>0.1081275821176447</v>
      </c>
      <c r="P2767" s="19">
        <v>0.55426896678354676</v>
      </c>
      <c r="Q2767" s="19">
        <v>7.5197595812001292E-2</v>
      </c>
      <c r="R2767" s="19">
        <v>0.22263749233899352</v>
      </c>
      <c r="S2767" s="19">
        <v>3.9768362947813746E-2</v>
      </c>
      <c r="T2767" s="20">
        <v>21</v>
      </c>
      <c r="U2767" s="17">
        <v>3</v>
      </c>
      <c r="V2767" s="17">
        <v>36</v>
      </c>
    </row>
    <row r="2768" spans="1:22" x14ac:dyDescent="0.2">
      <c r="A2768" t="s">
        <v>6316</v>
      </c>
      <c r="B2768" t="s">
        <v>5862</v>
      </c>
      <c r="C2768" t="s">
        <v>5863</v>
      </c>
      <c r="D2768" t="s">
        <v>6312</v>
      </c>
      <c r="E2768" s="10" t="s">
        <v>6317</v>
      </c>
      <c r="F2768" s="10"/>
      <c r="G2768" s="10"/>
      <c r="H2768" s="10" t="s">
        <v>6317</v>
      </c>
      <c r="I2768" s="14">
        <v>81195.086913615</v>
      </c>
      <c r="J2768" s="19">
        <v>0</v>
      </c>
      <c r="K2768" s="19">
        <v>0.70920103686314251</v>
      </c>
      <c r="L2768" s="19">
        <v>0.29079896313685744</v>
      </c>
      <c r="M2768" s="20">
        <v>2</v>
      </c>
      <c r="N2768" s="19">
        <v>0.2021756974238017</v>
      </c>
      <c r="O2768" s="19">
        <v>6.525565088524786E-2</v>
      </c>
      <c r="P2768" s="19">
        <v>0.44176968855409299</v>
      </c>
      <c r="Q2768" s="19">
        <v>8.180571936653791E-2</v>
      </c>
      <c r="R2768" s="19">
        <v>0.17894255544962243</v>
      </c>
      <c r="S2768" s="19">
        <v>3.00506883206971E-2</v>
      </c>
      <c r="T2768" s="20">
        <v>23</v>
      </c>
      <c r="U2768" s="17">
        <v>3</v>
      </c>
      <c r="V2768" s="17">
        <v>36</v>
      </c>
    </row>
    <row r="2769" spans="1:22" x14ac:dyDescent="0.2">
      <c r="A2769" t="s">
        <v>6318</v>
      </c>
      <c r="B2769" t="s">
        <v>5862</v>
      </c>
      <c r="C2769" t="s">
        <v>5863</v>
      </c>
      <c r="D2769" t="s">
        <v>6312</v>
      </c>
      <c r="E2769" s="10" t="s">
        <v>6319</v>
      </c>
      <c r="F2769" s="10"/>
      <c r="G2769" s="10"/>
      <c r="H2769" s="10" t="s">
        <v>6319</v>
      </c>
      <c r="I2769" s="14">
        <v>31240.922466453863</v>
      </c>
      <c r="J2769" s="19">
        <v>0</v>
      </c>
      <c r="K2769" s="19">
        <v>0.40562247605919877</v>
      </c>
      <c r="L2769" s="19">
        <v>0.59437752394080134</v>
      </c>
      <c r="M2769" s="20">
        <v>1</v>
      </c>
      <c r="N2769" s="19">
        <v>0</v>
      </c>
      <c r="O2769" s="19">
        <v>0.40562247605919877</v>
      </c>
      <c r="P2769" s="19">
        <v>0</v>
      </c>
      <c r="Q2769" s="19">
        <v>6.8457224086822421E-2</v>
      </c>
      <c r="R2769" s="19">
        <v>0.41548128364028847</v>
      </c>
      <c r="S2769" s="19">
        <v>0.11043901621369037</v>
      </c>
      <c r="T2769" s="20">
        <v>12</v>
      </c>
      <c r="U2769" s="17">
        <v>3</v>
      </c>
      <c r="V2769" s="17">
        <v>36</v>
      </c>
    </row>
    <row r="2770" spans="1:22" x14ac:dyDescent="0.2">
      <c r="A2770" t="s">
        <v>6320</v>
      </c>
      <c r="B2770" t="s">
        <v>5862</v>
      </c>
      <c r="C2770" t="s">
        <v>5863</v>
      </c>
      <c r="D2770" t="s">
        <v>6312</v>
      </c>
      <c r="E2770" s="10" t="s">
        <v>6321</v>
      </c>
      <c r="F2770" s="10"/>
      <c r="G2770" s="10"/>
      <c r="H2770" s="10" t="s">
        <v>6321</v>
      </c>
      <c r="I2770" s="14">
        <v>14109.024931634776</v>
      </c>
      <c r="J2770" s="19">
        <v>0</v>
      </c>
      <c r="K2770" s="19">
        <v>0</v>
      </c>
      <c r="L2770" s="19">
        <v>1</v>
      </c>
      <c r="M2770" s="20">
        <v>1</v>
      </c>
      <c r="N2770" s="19">
        <v>0</v>
      </c>
      <c r="O2770" s="19">
        <v>0</v>
      </c>
      <c r="P2770" s="19">
        <v>0</v>
      </c>
      <c r="Q2770" s="19">
        <v>0.49225312345572847</v>
      </c>
      <c r="R2770" s="19">
        <v>0.40926072132340763</v>
      </c>
      <c r="S2770" s="19">
        <v>9.8486155220863875E-2</v>
      </c>
      <c r="T2770" s="20">
        <v>13</v>
      </c>
      <c r="U2770" s="17">
        <v>3</v>
      </c>
      <c r="V2770" s="17">
        <v>36</v>
      </c>
    </row>
    <row r="2771" spans="1:22" x14ac:dyDescent="0.2">
      <c r="A2771" t="s">
        <v>6322</v>
      </c>
      <c r="B2771" t="s">
        <v>5862</v>
      </c>
      <c r="C2771" t="s">
        <v>5863</v>
      </c>
      <c r="D2771" t="s">
        <v>6312</v>
      </c>
      <c r="E2771" s="10" t="s">
        <v>6323</v>
      </c>
      <c r="F2771" s="10"/>
      <c r="G2771" s="10"/>
      <c r="H2771" s="10" t="s">
        <v>6323</v>
      </c>
      <c r="I2771" s="14">
        <v>52592.964375980424</v>
      </c>
      <c r="J2771" s="19">
        <v>0</v>
      </c>
      <c r="K2771" s="19">
        <v>0.35194288074965085</v>
      </c>
      <c r="L2771" s="19">
        <v>0.64805711925034926</v>
      </c>
      <c r="M2771" s="20">
        <v>1</v>
      </c>
      <c r="N2771" s="19">
        <v>0</v>
      </c>
      <c r="O2771" s="19">
        <v>0.30609616087246472</v>
      </c>
      <c r="P2771" s="19">
        <v>4.5846719877186165E-2</v>
      </c>
      <c r="Q2771" s="19">
        <v>0.11421055029893411</v>
      </c>
      <c r="R2771" s="19">
        <v>0.44987252206291212</v>
      </c>
      <c r="S2771" s="19">
        <v>8.3974046888503059E-2</v>
      </c>
      <c r="T2771" s="20">
        <v>12</v>
      </c>
      <c r="U2771" s="17">
        <v>3</v>
      </c>
      <c r="V2771" s="17">
        <v>36</v>
      </c>
    </row>
    <row r="2772" spans="1:22" x14ac:dyDescent="0.2">
      <c r="A2772" t="s">
        <v>6324</v>
      </c>
      <c r="B2772" t="s">
        <v>5862</v>
      </c>
      <c r="C2772" t="s">
        <v>5863</v>
      </c>
      <c r="D2772" t="s">
        <v>6312</v>
      </c>
      <c r="E2772" s="10" t="s">
        <v>6325</v>
      </c>
      <c r="F2772" s="10"/>
      <c r="G2772" s="10"/>
      <c r="H2772" s="10" t="s">
        <v>6325</v>
      </c>
      <c r="I2772" s="14">
        <v>298292.08448983775</v>
      </c>
      <c r="J2772" s="19">
        <v>0.59151962807939407</v>
      </c>
      <c r="K2772" s="19">
        <v>0.25628360318426807</v>
      </c>
      <c r="L2772" s="19">
        <v>0.15219676873633789</v>
      </c>
      <c r="M2772" s="20">
        <v>3</v>
      </c>
      <c r="N2772" s="19">
        <v>3.3109535264314698E-2</v>
      </c>
      <c r="O2772" s="19">
        <v>2.448076062650072E-2</v>
      </c>
      <c r="P2772" s="19">
        <v>0.19869330729345266</v>
      </c>
      <c r="Q2772" s="19">
        <v>2.3860133747842197E-2</v>
      </c>
      <c r="R2772" s="19">
        <v>0.11160088268210419</v>
      </c>
      <c r="S2772" s="19">
        <v>1.6735752306391519E-2</v>
      </c>
      <c r="T2772" s="20">
        <v>30</v>
      </c>
      <c r="U2772" s="17">
        <v>3</v>
      </c>
      <c r="V2772" s="17">
        <v>36</v>
      </c>
    </row>
    <row r="2773" spans="1:22" x14ac:dyDescent="0.2">
      <c r="A2773" t="s">
        <v>6326</v>
      </c>
      <c r="B2773" t="s">
        <v>5862</v>
      </c>
      <c r="C2773" t="s">
        <v>5863</v>
      </c>
      <c r="D2773" t="s">
        <v>6312</v>
      </c>
      <c r="E2773" s="10" t="s">
        <v>6327</v>
      </c>
      <c r="F2773" s="10"/>
      <c r="G2773" s="10"/>
      <c r="H2773" s="10" t="s">
        <v>6327</v>
      </c>
      <c r="I2773" s="14">
        <v>28097.836211334914</v>
      </c>
      <c r="J2773" s="19">
        <v>0</v>
      </c>
      <c r="K2773" s="19">
        <v>0</v>
      </c>
      <c r="L2773" s="19">
        <v>1</v>
      </c>
      <c r="M2773" s="20">
        <v>1</v>
      </c>
      <c r="N2773" s="19">
        <v>0</v>
      </c>
      <c r="O2773" s="19">
        <v>0</v>
      </c>
      <c r="P2773" s="19">
        <v>0</v>
      </c>
      <c r="Q2773" s="19">
        <v>0.47601657812259807</v>
      </c>
      <c r="R2773" s="19">
        <v>0.44468549364091281</v>
      </c>
      <c r="S2773" s="19">
        <v>7.9297928236489082E-2</v>
      </c>
      <c r="T2773" s="20">
        <v>13</v>
      </c>
      <c r="U2773" s="17">
        <v>3</v>
      </c>
      <c r="V2773" s="17">
        <v>36</v>
      </c>
    </row>
    <row r="2774" spans="1:22" x14ac:dyDescent="0.2">
      <c r="A2774" t="s">
        <v>6328</v>
      </c>
      <c r="B2774" t="s">
        <v>5862</v>
      </c>
      <c r="C2774" t="s">
        <v>5863</v>
      </c>
      <c r="D2774" t="s">
        <v>6312</v>
      </c>
      <c r="E2774" s="10" t="s">
        <v>6329</v>
      </c>
      <c r="F2774" s="10"/>
      <c r="G2774" s="10"/>
      <c r="H2774" s="10" t="s">
        <v>6329</v>
      </c>
      <c r="I2774" s="14">
        <v>48937.536357179284</v>
      </c>
      <c r="J2774" s="19">
        <v>0</v>
      </c>
      <c r="K2774" s="19">
        <v>0.37012980937405093</v>
      </c>
      <c r="L2774" s="19">
        <v>0.62987019062594896</v>
      </c>
      <c r="M2774" s="20">
        <v>1</v>
      </c>
      <c r="N2774" s="19">
        <v>0.20392567286294813</v>
      </c>
      <c r="O2774" s="19">
        <v>0</v>
      </c>
      <c r="P2774" s="19">
        <v>0.16620413651110283</v>
      </c>
      <c r="Q2774" s="19">
        <v>0.27072759925469086</v>
      </c>
      <c r="R2774" s="19">
        <v>0.30667461145270186</v>
      </c>
      <c r="S2774" s="19">
        <v>5.2467979918556333E-2</v>
      </c>
      <c r="T2774" s="20">
        <v>12</v>
      </c>
      <c r="U2774" s="17">
        <v>3</v>
      </c>
      <c r="V2774" s="17">
        <v>36</v>
      </c>
    </row>
    <row r="2775" spans="1:22" x14ac:dyDescent="0.2">
      <c r="A2775" t="s">
        <v>6330</v>
      </c>
      <c r="B2775" t="s">
        <v>5862</v>
      </c>
      <c r="C2775" t="s">
        <v>5863</v>
      </c>
      <c r="D2775" t="s">
        <v>6312</v>
      </c>
      <c r="E2775" s="10" t="s">
        <v>6331</v>
      </c>
      <c r="F2775" s="10"/>
      <c r="G2775" s="10"/>
      <c r="H2775" s="10" t="s">
        <v>6331</v>
      </c>
      <c r="I2775" s="14">
        <v>27462.164765089747</v>
      </c>
      <c r="J2775" s="19">
        <v>0</v>
      </c>
      <c r="K2775" s="19">
        <v>0.18346125532959565</v>
      </c>
      <c r="L2775" s="19">
        <v>0.81653874467040455</v>
      </c>
      <c r="M2775" s="20">
        <v>1</v>
      </c>
      <c r="N2775" s="19">
        <v>0</v>
      </c>
      <c r="O2775" s="19">
        <v>0.18346125532959565</v>
      </c>
      <c r="P2775" s="19">
        <v>0</v>
      </c>
      <c r="Q2775" s="19">
        <v>0.24227848649855355</v>
      </c>
      <c r="R2775" s="19">
        <v>0.47378780162460032</v>
      </c>
      <c r="S2775" s="19">
        <v>0.10047245654725058</v>
      </c>
      <c r="T2775" s="20">
        <v>12</v>
      </c>
      <c r="U2775" s="17">
        <v>3</v>
      </c>
      <c r="V2775" s="17">
        <v>36</v>
      </c>
    </row>
    <row r="2776" spans="1:22" x14ac:dyDescent="0.2">
      <c r="A2776" t="s">
        <v>6332</v>
      </c>
      <c r="B2776" t="s">
        <v>5862</v>
      </c>
      <c r="C2776" t="s">
        <v>5863</v>
      </c>
      <c r="D2776" t="s">
        <v>6312</v>
      </c>
      <c r="E2776" s="10" t="s">
        <v>6333</v>
      </c>
      <c r="F2776" s="10"/>
      <c r="G2776" s="10"/>
      <c r="H2776" s="10" t="s">
        <v>6333</v>
      </c>
      <c r="I2776" s="14">
        <v>23290.072808850557</v>
      </c>
      <c r="J2776" s="19">
        <v>0</v>
      </c>
      <c r="K2776" s="19">
        <v>0.31510126176186432</v>
      </c>
      <c r="L2776" s="19">
        <v>0.68489873823813563</v>
      </c>
      <c r="M2776" s="20">
        <v>1</v>
      </c>
      <c r="N2776" s="19">
        <v>0</v>
      </c>
      <c r="O2776" s="19">
        <v>0.31510126176186432</v>
      </c>
      <c r="P2776" s="19">
        <v>0</v>
      </c>
      <c r="Q2776" s="19">
        <v>0.32208034509503458</v>
      </c>
      <c r="R2776" s="19">
        <v>0.27294093789642621</v>
      </c>
      <c r="S2776" s="19">
        <v>8.987745524667487E-2</v>
      </c>
      <c r="T2776" s="20">
        <v>13</v>
      </c>
      <c r="U2776" s="17">
        <v>3</v>
      </c>
      <c r="V2776" s="17">
        <v>36</v>
      </c>
    </row>
    <row r="2777" spans="1:22" x14ac:dyDescent="0.2">
      <c r="A2777" t="s">
        <v>6334</v>
      </c>
      <c r="B2777" t="s">
        <v>5862</v>
      </c>
      <c r="C2777" t="s">
        <v>5863</v>
      </c>
      <c r="D2777" t="s">
        <v>6312</v>
      </c>
      <c r="E2777" s="10" t="s">
        <v>6335</v>
      </c>
      <c r="F2777" s="10"/>
      <c r="G2777" s="10"/>
      <c r="H2777" s="10" t="s">
        <v>6335</v>
      </c>
      <c r="I2777" s="14">
        <v>51606.435370421503</v>
      </c>
      <c r="J2777" s="19">
        <v>0</v>
      </c>
      <c r="K2777" s="19">
        <v>0.28692130008709027</v>
      </c>
      <c r="L2777" s="19">
        <v>0.71307869991290973</v>
      </c>
      <c r="M2777" s="20">
        <v>1</v>
      </c>
      <c r="N2777" s="19">
        <v>0</v>
      </c>
      <c r="O2777" s="19">
        <v>0.28692130008709027</v>
      </c>
      <c r="P2777" s="19">
        <v>0</v>
      </c>
      <c r="Q2777" s="19">
        <v>0.20199842328893924</v>
      </c>
      <c r="R2777" s="19">
        <v>0.443437887068373</v>
      </c>
      <c r="S2777" s="19">
        <v>6.7642389555597537E-2</v>
      </c>
      <c r="T2777" s="20">
        <v>12</v>
      </c>
      <c r="U2777" s="17">
        <v>3</v>
      </c>
      <c r="V2777" s="17">
        <v>36</v>
      </c>
    </row>
    <row r="2778" spans="1:22" x14ac:dyDescent="0.2">
      <c r="A2778" t="s">
        <v>6336</v>
      </c>
      <c r="B2778" t="s">
        <v>5862</v>
      </c>
      <c r="C2778" t="s">
        <v>5863</v>
      </c>
      <c r="D2778" t="s">
        <v>6312</v>
      </c>
      <c r="E2778" s="10" t="s">
        <v>6337</v>
      </c>
      <c r="F2778" s="10"/>
      <c r="G2778" s="10"/>
      <c r="H2778" s="10" t="s">
        <v>6337</v>
      </c>
      <c r="I2778" s="14">
        <v>38837.073590202257</v>
      </c>
      <c r="J2778" s="19">
        <v>0</v>
      </c>
      <c r="K2778" s="19">
        <v>0</v>
      </c>
      <c r="L2778" s="19">
        <v>1</v>
      </c>
      <c r="M2778" s="20">
        <v>1</v>
      </c>
      <c r="N2778" s="19">
        <v>0</v>
      </c>
      <c r="O2778" s="19">
        <v>0</v>
      </c>
      <c r="P2778" s="19">
        <v>0</v>
      </c>
      <c r="Q2778" s="19">
        <v>0.49023298916696645</v>
      </c>
      <c r="R2778" s="19">
        <v>0.44981265405932647</v>
      </c>
      <c r="S2778" s="19">
        <v>5.9954356773707099E-2</v>
      </c>
      <c r="T2778" s="20">
        <v>13</v>
      </c>
      <c r="U2778" s="17">
        <v>3</v>
      </c>
      <c r="V2778" s="17">
        <v>36</v>
      </c>
    </row>
    <row r="2779" spans="1:22" x14ac:dyDescent="0.2">
      <c r="A2779" t="s">
        <v>6338</v>
      </c>
      <c r="B2779" t="s">
        <v>5862</v>
      </c>
      <c r="C2779" t="s">
        <v>5863</v>
      </c>
      <c r="D2779" t="s">
        <v>6339</v>
      </c>
      <c r="E2779" s="10" t="s">
        <v>6340</v>
      </c>
      <c r="F2779" s="10"/>
      <c r="G2779" s="10"/>
      <c r="H2779" s="10" t="s">
        <v>6340</v>
      </c>
      <c r="I2779" s="14">
        <v>41364.632069787476</v>
      </c>
      <c r="J2779" s="19">
        <v>0</v>
      </c>
      <c r="K2779" s="19">
        <v>0.52027967475587444</v>
      </c>
      <c r="L2779" s="19">
        <v>0.47972032524412561</v>
      </c>
      <c r="M2779" s="20">
        <v>2</v>
      </c>
      <c r="N2779" s="19">
        <v>0</v>
      </c>
      <c r="O2779" s="19">
        <v>0.47941409515710304</v>
      </c>
      <c r="P2779" s="19">
        <v>4.086557959877133E-2</v>
      </c>
      <c r="Q2779" s="19">
        <v>0.11263590627502183</v>
      </c>
      <c r="R2779" s="19">
        <v>0.30806408236013127</v>
      </c>
      <c r="S2779" s="19">
        <v>5.9020336608972504E-2</v>
      </c>
      <c r="T2779" s="20">
        <v>22</v>
      </c>
      <c r="U2779" s="17">
        <v>3</v>
      </c>
      <c r="V2779" s="17">
        <v>36</v>
      </c>
    </row>
    <row r="2780" spans="1:22" x14ac:dyDescent="0.2">
      <c r="A2780" t="s">
        <v>6341</v>
      </c>
      <c r="B2780" t="s">
        <v>5862</v>
      </c>
      <c r="C2780" t="s">
        <v>5863</v>
      </c>
      <c r="D2780" t="s">
        <v>6339</v>
      </c>
      <c r="E2780" s="10" t="s">
        <v>6342</v>
      </c>
      <c r="F2780" s="10"/>
      <c r="G2780" s="10"/>
      <c r="H2780" s="10" t="s">
        <v>6342</v>
      </c>
      <c r="I2780" s="14">
        <v>23806.867109876592</v>
      </c>
      <c r="J2780" s="19">
        <v>0</v>
      </c>
      <c r="K2780" s="19">
        <v>0.73976312207760719</v>
      </c>
      <c r="L2780" s="19">
        <v>0.26023687792239281</v>
      </c>
      <c r="M2780" s="20">
        <v>2</v>
      </c>
      <c r="N2780" s="19">
        <v>0</v>
      </c>
      <c r="O2780" s="19">
        <v>0.25070242757153804</v>
      </c>
      <c r="P2780" s="19">
        <v>0.48906069450606909</v>
      </c>
      <c r="Q2780" s="19">
        <v>4.1325159152332765E-2</v>
      </c>
      <c r="R2780" s="19">
        <v>0.20001918838011226</v>
      </c>
      <c r="S2780" s="19">
        <v>1.889253038994779E-2</v>
      </c>
      <c r="T2780" s="20">
        <v>22</v>
      </c>
      <c r="U2780" s="17">
        <v>3</v>
      </c>
      <c r="V2780" s="17">
        <v>36</v>
      </c>
    </row>
    <row r="2781" spans="1:22" x14ac:dyDescent="0.2">
      <c r="A2781" t="s">
        <v>6343</v>
      </c>
      <c r="B2781" t="s">
        <v>5862</v>
      </c>
      <c r="C2781" t="s">
        <v>5863</v>
      </c>
      <c r="D2781" t="s">
        <v>6339</v>
      </c>
      <c r="E2781" s="10" t="s">
        <v>6344</v>
      </c>
      <c r="F2781" s="10"/>
      <c r="G2781" s="10"/>
      <c r="H2781" s="10" t="s">
        <v>6344</v>
      </c>
      <c r="I2781" s="14">
        <v>26410.660654979758</v>
      </c>
      <c r="J2781" s="19">
        <v>0</v>
      </c>
      <c r="K2781" s="19">
        <v>0.8770526769395397</v>
      </c>
      <c r="L2781" s="19">
        <v>0.12294732306046029</v>
      </c>
      <c r="M2781" s="20">
        <v>2</v>
      </c>
      <c r="N2781" s="19">
        <v>0</v>
      </c>
      <c r="O2781" s="19">
        <v>0</v>
      </c>
      <c r="P2781" s="19">
        <v>0.8770526769395397</v>
      </c>
      <c r="Q2781" s="19">
        <v>0</v>
      </c>
      <c r="R2781" s="19">
        <v>0.11745766552277917</v>
      </c>
      <c r="S2781" s="19">
        <v>5.4896575376810986E-3</v>
      </c>
      <c r="T2781" s="20">
        <v>21</v>
      </c>
      <c r="U2781" s="17">
        <v>3</v>
      </c>
      <c r="V2781" s="17">
        <v>36</v>
      </c>
    </row>
    <row r="2782" spans="1:22" x14ac:dyDescent="0.2">
      <c r="A2782" t="s">
        <v>6345</v>
      </c>
      <c r="B2782" t="s">
        <v>5862</v>
      </c>
      <c r="C2782" t="s">
        <v>5863</v>
      </c>
      <c r="D2782" t="s">
        <v>6339</v>
      </c>
      <c r="E2782" s="10" t="s">
        <v>6346</v>
      </c>
      <c r="F2782" s="10"/>
      <c r="G2782" s="10"/>
      <c r="H2782" s="10" t="s">
        <v>6346</v>
      </c>
      <c r="I2782" s="14">
        <v>58368.879391995259</v>
      </c>
      <c r="J2782" s="19">
        <v>0</v>
      </c>
      <c r="K2782" s="19">
        <v>0.2325503772921379</v>
      </c>
      <c r="L2782" s="19">
        <v>0.76744962270786199</v>
      </c>
      <c r="M2782" s="20">
        <v>1</v>
      </c>
      <c r="N2782" s="19">
        <v>0</v>
      </c>
      <c r="O2782" s="19">
        <v>0.2325503772921379</v>
      </c>
      <c r="P2782" s="19">
        <v>0</v>
      </c>
      <c r="Q2782" s="19">
        <v>0.28516940043862715</v>
      </c>
      <c r="R2782" s="19">
        <v>0.3533991741719969</v>
      </c>
      <c r="S2782" s="19">
        <v>0.12888104809723805</v>
      </c>
      <c r="T2782" s="20">
        <v>12</v>
      </c>
      <c r="U2782" s="17">
        <v>3</v>
      </c>
      <c r="V2782" s="17">
        <v>36</v>
      </c>
    </row>
    <row r="2783" spans="1:22" x14ac:dyDescent="0.2">
      <c r="A2783" t="s">
        <v>6347</v>
      </c>
      <c r="B2783" t="s">
        <v>5862</v>
      </c>
      <c r="C2783" t="s">
        <v>5863</v>
      </c>
      <c r="D2783" t="s">
        <v>6339</v>
      </c>
      <c r="E2783" s="10" t="s">
        <v>6323</v>
      </c>
      <c r="F2783" s="10"/>
      <c r="G2783" s="10"/>
      <c r="H2783" s="10" t="s">
        <v>6323</v>
      </c>
      <c r="I2783" s="14">
        <v>57742.721800881671</v>
      </c>
      <c r="J2783" s="19">
        <v>0</v>
      </c>
      <c r="K2783" s="19">
        <v>0.74302880952493933</v>
      </c>
      <c r="L2783" s="19">
        <v>0.25697119047506067</v>
      </c>
      <c r="M2783" s="20">
        <v>2</v>
      </c>
      <c r="N2783" s="19">
        <v>0</v>
      </c>
      <c r="O2783" s="19">
        <v>0.74302880952493933</v>
      </c>
      <c r="P2783" s="19">
        <v>0</v>
      </c>
      <c r="Q2783" s="19">
        <v>0</v>
      </c>
      <c r="R2783" s="19">
        <v>0.2214757875920603</v>
      </c>
      <c r="S2783" s="19">
        <v>3.5495402883000376E-2</v>
      </c>
      <c r="T2783" s="20">
        <v>22</v>
      </c>
      <c r="U2783" s="17">
        <v>3</v>
      </c>
      <c r="V2783" s="17">
        <v>36</v>
      </c>
    </row>
    <row r="2784" spans="1:22" x14ac:dyDescent="0.2">
      <c r="A2784" t="s">
        <v>6348</v>
      </c>
      <c r="B2784" t="s">
        <v>5862</v>
      </c>
      <c r="C2784" t="s">
        <v>5863</v>
      </c>
      <c r="D2784" t="s">
        <v>6339</v>
      </c>
      <c r="E2784" s="10" t="s">
        <v>6349</v>
      </c>
      <c r="F2784" s="10"/>
      <c r="G2784" s="10"/>
      <c r="H2784" s="10" t="s">
        <v>6349</v>
      </c>
      <c r="I2784" s="14">
        <v>183288.55424284213</v>
      </c>
      <c r="J2784" s="19">
        <v>0</v>
      </c>
      <c r="K2784" s="19">
        <v>0.87611691209056641</v>
      </c>
      <c r="L2784" s="19">
        <v>0.12388308790943353</v>
      </c>
      <c r="M2784" s="20">
        <v>2</v>
      </c>
      <c r="N2784" s="19">
        <v>0.44556423989123523</v>
      </c>
      <c r="O2784" s="19">
        <v>4.1489634049675416E-4</v>
      </c>
      <c r="P2784" s="19">
        <v>0.4301377758588345</v>
      </c>
      <c r="Q2784" s="19">
        <v>1.4176049970652306E-2</v>
      </c>
      <c r="R2784" s="19">
        <v>9.9494084750404652E-2</v>
      </c>
      <c r="S2784" s="19">
        <v>1.0212953188376584E-2</v>
      </c>
      <c r="T2784" s="20">
        <v>23</v>
      </c>
      <c r="U2784" s="17">
        <v>3</v>
      </c>
      <c r="V2784" s="17">
        <v>36</v>
      </c>
    </row>
    <row r="2785" spans="1:22" x14ac:dyDescent="0.2">
      <c r="A2785" t="s">
        <v>6350</v>
      </c>
      <c r="B2785" t="s">
        <v>5862</v>
      </c>
      <c r="C2785" t="s">
        <v>5863</v>
      </c>
      <c r="D2785" t="s">
        <v>6339</v>
      </c>
      <c r="E2785" s="10" t="s">
        <v>6351</v>
      </c>
      <c r="F2785" s="10"/>
      <c r="G2785" s="10"/>
      <c r="H2785" s="10" t="s">
        <v>6351</v>
      </c>
      <c r="I2785" s="14">
        <v>81803.695760410163</v>
      </c>
      <c r="J2785" s="19">
        <v>0</v>
      </c>
      <c r="K2785" s="19">
        <v>0.79052250285093073</v>
      </c>
      <c r="L2785" s="19">
        <v>0.20947749714906924</v>
      </c>
      <c r="M2785" s="20">
        <v>2</v>
      </c>
      <c r="N2785" s="19">
        <v>7.7192436030790346E-2</v>
      </c>
      <c r="O2785" s="19">
        <v>0</v>
      </c>
      <c r="P2785" s="19">
        <v>0.71333006682014044</v>
      </c>
      <c r="Q2785" s="19">
        <v>1.4827809146783241E-2</v>
      </c>
      <c r="R2785" s="19">
        <v>0.17562771393252385</v>
      </c>
      <c r="S2785" s="19">
        <v>1.9021974069762099E-2</v>
      </c>
      <c r="T2785" s="20">
        <v>21</v>
      </c>
      <c r="U2785" s="17">
        <v>3</v>
      </c>
      <c r="V2785" s="17">
        <v>36</v>
      </c>
    </row>
    <row r="2786" spans="1:22" x14ac:dyDescent="0.2">
      <c r="A2786" t="s">
        <v>6352</v>
      </c>
      <c r="B2786" t="s">
        <v>5862</v>
      </c>
      <c r="C2786" t="s">
        <v>5863</v>
      </c>
      <c r="D2786" t="s">
        <v>6339</v>
      </c>
      <c r="E2786" s="10" t="s">
        <v>6353</v>
      </c>
      <c r="F2786" s="10"/>
      <c r="G2786" s="10"/>
      <c r="H2786" s="10" t="s">
        <v>6353</v>
      </c>
      <c r="I2786" s="14">
        <v>16890.855104135349</v>
      </c>
      <c r="J2786" s="19">
        <v>0</v>
      </c>
      <c r="K2786" s="19">
        <v>0.33703595121866159</v>
      </c>
      <c r="L2786" s="19">
        <v>0.6629640487813383</v>
      </c>
      <c r="M2786" s="20">
        <v>1</v>
      </c>
      <c r="N2786" s="19">
        <v>0</v>
      </c>
      <c r="O2786" s="19">
        <v>0.33703595121866159</v>
      </c>
      <c r="P2786" s="19">
        <v>0</v>
      </c>
      <c r="Q2786" s="19">
        <v>0.10133714980232968</v>
      </c>
      <c r="R2786" s="19">
        <v>0.46863991673510469</v>
      </c>
      <c r="S2786" s="19">
        <v>9.2986982243903948E-2</v>
      </c>
      <c r="T2786" s="20">
        <v>12</v>
      </c>
      <c r="U2786" s="17">
        <v>3</v>
      </c>
      <c r="V2786" s="17">
        <v>36</v>
      </c>
    </row>
    <row r="2787" spans="1:22" x14ac:dyDescent="0.2">
      <c r="A2787" t="s">
        <v>6354</v>
      </c>
      <c r="B2787" t="s">
        <v>5862</v>
      </c>
      <c r="C2787" t="s">
        <v>5863</v>
      </c>
      <c r="D2787" t="s">
        <v>6355</v>
      </c>
      <c r="E2787" s="10" t="s">
        <v>6356</v>
      </c>
      <c r="F2787" s="10"/>
      <c r="G2787" s="10"/>
      <c r="H2787" s="10" t="s">
        <v>6356</v>
      </c>
      <c r="I2787" s="14">
        <v>87526.675319588961</v>
      </c>
      <c r="J2787" s="19">
        <v>0</v>
      </c>
      <c r="K2787" s="19">
        <v>0.44016332484616183</v>
      </c>
      <c r="L2787" s="19">
        <v>0.55983667515383839</v>
      </c>
      <c r="M2787" s="20">
        <v>1</v>
      </c>
      <c r="N2787" s="19">
        <v>0.23959749219863855</v>
      </c>
      <c r="O2787" s="19">
        <v>0.11611159441100098</v>
      </c>
      <c r="P2787" s="19">
        <v>8.4454238236522289E-2</v>
      </c>
      <c r="Q2787" s="19">
        <v>0.35801127590313636</v>
      </c>
      <c r="R2787" s="19">
        <v>0.15385038301285203</v>
      </c>
      <c r="S2787" s="19">
        <v>4.797501623784993E-2</v>
      </c>
      <c r="T2787" s="20">
        <v>13</v>
      </c>
      <c r="U2787" s="17">
        <v>3</v>
      </c>
      <c r="V2787" s="17">
        <v>36</v>
      </c>
    </row>
    <row r="2788" spans="1:22" x14ac:dyDescent="0.2">
      <c r="A2788" t="s">
        <v>6357</v>
      </c>
      <c r="B2788" t="s">
        <v>5862</v>
      </c>
      <c r="C2788" t="s">
        <v>5863</v>
      </c>
      <c r="D2788" t="s">
        <v>6355</v>
      </c>
      <c r="E2788" s="10" t="s">
        <v>6358</v>
      </c>
      <c r="F2788" s="10"/>
      <c r="G2788" s="10"/>
      <c r="H2788" s="10" t="s">
        <v>6358</v>
      </c>
      <c r="I2788" s="14">
        <v>36271.832814355148</v>
      </c>
      <c r="J2788" s="19">
        <v>0</v>
      </c>
      <c r="K2788" s="19">
        <v>0.19036925992314746</v>
      </c>
      <c r="L2788" s="19">
        <v>0.80963074007685254</v>
      </c>
      <c r="M2788" s="20">
        <v>1</v>
      </c>
      <c r="N2788" s="19">
        <v>0</v>
      </c>
      <c r="O2788" s="19">
        <v>0.19036925992314746</v>
      </c>
      <c r="P2788" s="19">
        <v>0</v>
      </c>
      <c r="Q2788" s="19">
        <v>5.253545240685082E-2</v>
      </c>
      <c r="R2788" s="19">
        <v>0.63688291503479355</v>
      </c>
      <c r="S2788" s="19">
        <v>0.12021237263520813</v>
      </c>
      <c r="T2788" s="20">
        <v>12</v>
      </c>
      <c r="U2788" s="17">
        <v>3</v>
      </c>
      <c r="V2788" s="17">
        <v>36</v>
      </c>
    </row>
    <row r="2789" spans="1:22" x14ac:dyDescent="0.2">
      <c r="A2789" t="s">
        <v>6359</v>
      </c>
      <c r="B2789" t="s">
        <v>5862</v>
      </c>
      <c r="C2789" t="s">
        <v>5863</v>
      </c>
      <c r="D2789" t="s">
        <v>6355</v>
      </c>
      <c r="E2789" s="10" t="s">
        <v>6360</v>
      </c>
      <c r="F2789" s="10"/>
      <c r="G2789" s="10"/>
      <c r="H2789" s="10" t="s">
        <v>6360</v>
      </c>
      <c r="I2789" s="14">
        <v>26162.753951234976</v>
      </c>
      <c r="J2789" s="19">
        <v>0</v>
      </c>
      <c r="K2789" s="19">
        <v>0</v>
      </c>
      <c r="L2789" s="19">
        <v>1</v>
      </c>
      <c r="M2789" s="20">
        <v>1</v>
      </c>
      <c r="N2789" s="19">
        <v>0</v>
      </c>
      <c r="O2789" s="19">
        <v>0</v>
      </c>
      <c r="P2789" s="19">
        <v>0</v>
      </c>
      <c r="Q2789" s="19">
        <v>0.57372562760536505</v>
      </c>
      <c r="R2789" s="19">
        <v>0.35205354654199905</v>
      </c>
      <c r="S2789" s="19">
        <v>7.4220825852635897E-2</v>
      </c>
      <c r="T2789" s="20">
        <v>13</v>
      </c>
      <c r="U2789" s="17">
        <v>3</v>
      </c>
      <c r="V2789" s="17">
        <v>36</v>
      </c>
    </row>
    <row r="2790" spans="1:22" x14ac:dyDescent="0.2">
      <c r="A2790" t="s">
        <v>6361</v>
      </c>
      <c r="B2790" t="s">
        <v>5862</v>
      </c>
      <c r="C2790" t="s">
        <v>5863</v>
      </c>
      <c r="D2790" t="s">
        <v>6355</v>
      </c>
      <c r="E2790" s="10" t="s">
        <v>6362</v>
      </c>
      <c r="F2790" s="10"/>
      <c r="G2790" s="10"/>
      <c r="H2790" s="10" t="s">
        <v>6362</v>
      </c>
      <c r="I2790" s="14">
        <v>16179.881982339546</v>
      </c>
      <c r="J2790" s="19">
        <v>0</v>
      </c>
      <c r="K2790" s="19">
        <v>0</v>
      </c>
      <c r="L2790" s="19">
        <v>1</v>
      </c>
      <c r="M2790" s="20">
        <v>1</v>
      </c>
      <c r="N2790" s="19">
        <v>0</v>
      </c>
      <c r="O2790" s="19">
        <v>0</v>
      </c>
      <c r="P2790" s="19">
        <v>0</v>
      </c>
      <c r="Q2790" s="19">
        <v>0.33969087931341296</v>
      </c>
      <c r="R2790" s="19">
        <v>0.53709837654319148</v>
      </c>
      <c r="S2790" s="19">
        <v>0.12321074414339557</v>
      </c>
      <c r="T2790" s="20">
        <v>12</v>
      </c>
      <c r="U2790" s="17">
        <v>3</v>
      </c>
      <c r="V2790" s="17">
        <v>36</v>
      </c>
    </row>
    <row r="2791" spans="1:22" x14ac:dyDescent="0.2">
      <c r="A2791" t="s">
        <v>6363</v>
      </c>
      <c r="B2791" t="s">
        <v>5862</v>
      </c>
      <c r="C2791" t="s">
        <v>5863</v>
      </c>
      <c r="D2791" t="s">
        <v>6355</v>
      </c>
      <c r="E2791" s="10" t="s">
        <v>6364</v>
      </c>
      <c r="F2791" s="10"/>
      <c r="G2791" s="10"/>
      <c r="H2791" s="10" t="s">
        <v>6364</v>
      </c>
      <c r="I2791" s="14">
        <v>163885.10159388417</v>
      </c>
      <c r="J2791" s="19">
        <v>0.32970078913095596</v>
      </c>
      <c r="K2791" s="19">
        <v>0.33563539396974101</v>
      </c>
      <c r="L2791" s="19">
        <v>0.33466381689930308</v>
      </c>
      <c r="M2791" s="20">
        <v>2</v>
      </c>
      <c r="N2791" s="19">
        <v>9.7371516334297484E-2</v>
      </c>
      <c r="O2791" s="19">
        <v>0</v>
      </c>
      <c r="P2791" s="19">
        <v>0.23826387763544349</v>
      </c>
      <c r="Q2791" s="19">
        <v>0.13989855468749421</v>
      </c>
      <c r="R2791" s="19">
        <v>0.14823115122768446</v>
      </c>
      <c r="S2791" s="19">
        <v>4.6534110984124383E-2</v>
      </c>
      <c r="T2791" s="20">
        <v>23</v>
      </c>
      <c r="U2791" s="17">
        <v>3</v>
      </c>
      <c r="V2791" s="17">
        <v>36</v>
      </c>
    </row>
    <row r="2792" spans="1:22" x14ac:dyDescent="0.2">
      <c r="A2792" t="s">
        <v>6365</v>
      </c>
      <c r="B2792" t="s">
        <v>5862</v>
      </c>
      <c r="C2792" t="s">
        <v>5863</v>
      </c>
      <c r="D2792" t="s">
        <v>6355</v>
      </c>
      <c r="E2792" s="10" t="s">
        <v>6366</v>
      </c>
      <c r="F2792" s="10"/>
      <c r="G2792" s="10"/>
      <c r="H2792" s="10" t="s">
        <v>6366</v>
      </c>
      <c r="I2792" s="14">
        <v>36816.142432597233</v>
      </c>
      <c r="J2792" s="19">
        <v>0</v>
      </c>
      <c r="K2792" s="19">
        <v>0.45334853733588382</v>
      </c>
      <c r="L2792" s="19">
        <v>0.54665146266411613</v>
      </c>
      <c r="M2792" s="20">
        <v>1</v>
      </c>
      <c r="N2792" s="19">
        <v>0.32792079706380822</v>
      </c>
      <c r="O2792" s="19">
        <v>0</v>
      </c>
      <c r="P2792" s="19">
        <v>0.12542774027207559</v>
      </c>
      <c r="Q2792" s="19">
        <v>0.3221975386412021</v>
      </c>
      <c r="R2792" s="19">
        <v>0.15109873313977115</v>
      </c>
      <c r="S2792" s="19">
        <v>7.3355190883142907E-2</v>
      </c>
      <c r="T2792" s="20">
        <v>13</v>
      </c>
      <c r="U2792" s="17">
        <v>3</v>
      </c>
      <c r="V2792" s="17">
        <v>36</v>
      </c>
    </row>
    <row r="2793" spans="1:22" x14ac:dyDescent="0.2">
      <c r="A2793" t="s">
        <v>6367</v>
      </c>
      <c r="B2793" t="s">
        <v>5862</v>
      </c>
      <c r="C2793" t="s">
        <v>5863</v>
      </c>
      <c r="D2793" t="s">
        <v>6355</v>
      </c>
      <c r="E2793" s="10" t="s">
        <v>6368</v>
      </c>
      <c r="F2793" s="10"/>
      <c r="G2793" s="10"/>
      <c r="H2793" s="10" t="s">
        <v>6368</v>
      </c>
      <c r="I2793" s="14">
        <v>7922.4885986766312</v>
      </c>
      <c r="J2793" s="19">
        <v>0</v>
      </c>
      <c r="K2793" s="19">
        <v>0</v>
      </c>
      <c r="L2793" s="19">
        <v>1</v>
      </c>
      <c r="M2793" s="20">
        <v>1</v>
      </c>
      <c r="N2793" s="19">
        <v>0</v>
      </c>
      <c r="O2793" s="19">
        <v>0</v>
      </c>
      <c r="P2793" s="19">
        <v>0</v>
      </c>
      <c r="Q2793" s="19">
        <v>8.3301214153412032E-2</v>
      </c>
      <c r="R2793" s="19">
        <v>0.71369729276735316</v>
      </c>
      <c r="S2793" s="19">
        <v>0.20300149307923476</v>
      </c>
      <c r="T2793" s="20">
        <v>12</v>
      </c>
      <c r="U2793" s="17">
        <v>3</v>
      </c>
      <c r="V2793" s="17">
        <v>36</v>
      </c>
    </row>
    <row r="2794" spans="1:22" x14ac:dyDescent="0.2">
      <c r="A2794" t="s">
        <v>6369</v>
      </c>
      <c r="B2794" t="s">
        <v>5862</v>
      </c>
      <c r="C2794" t="s">
        <v>5863</v>
      </c>
      <c r="D2794" t="s">
        <v>6355</v>
      </c>
      <c r="E2794" s="10" t="s">
        <v>6370</v>
      </c>
      <c r="F2794" s="10"/>
      <c r="G2794" s="10"/>
      <c r="H2794" s="10" t="s">
        <v>6370</v>
      </c>
      <c r="I2794" s="14">
        <v>36292.527338047512</v>
      </c>
      <c r="J2794" s="19">
        <v>0</v>
      </c>
      <c r="K2794" s="19">
        <v>0.15084179724333002</v>
      </c>
      <c r="L2794" s="19">
        <v>0.84915820275666998</v>
      </c>
      <c r="M2794" s="20">
        <v>1</v>
      </c>
      <c r="N2794" s="19">
        <v>0</v>
      </c>
      <c r="O2794" s="19">
        <v>0.15084179724333002</v>
      </c>
      <c r="P2794" s="19">
        <v>0</v>
      </c>
      <c r="Q2794" s="19">
        <v>0.42744204750862069</v>
      </c>
      <c r="R2794" s="19">
        <v>0.30562333191853303</v>
      </c>
      <c r="S2794" s="19">
        <v>0.11609282332951626</v>
      </c>
      <c r="T2794" s="20">
        <v>13</v>
      </c>
      <c r="U2794" s="17">
        <v>3</v>
      </c>
      <c r="V2794" s="17">
        <v>36</v>
      </c>
    </row>
    <row r="2795" spans="1:22" x14ac:dyDescent="0.2">
      <c r="A2795" t="s">
        <v>6371</v>
      </c>
      <c r="B2795" t="s">
        <v>5862</v>
      </c>
      <c r="C2795" t="s">
        <v>5863</v>
      </c>
      <c r="D2795" t="s">
        <v>6355</v>
      </c>
      <c r="E2795" s="10" t="s">
        <v>6372</v>
      </c>
      <c r="F2795" s="10"/>
      <c r="G2795" s="10"/>
      <c r="H2795" s="10" t="s">
        <v>6372</v>
      </c>
      <c r="I2795" s="14">
        <v>28349.607115873136</v>
      </c>
      <c r="J2795" s="19">
        <v>0</v>
      </c>
      <c r="K2795" s="19">
        <v>0</v>
      </c>
      <c r="L2795" s="19">
        <v>1</v>
      </c>
      <c r="M2795" s="20">
        <v>1</v>
      </c>
      <c r="N2795" s="19">
        <v>0</v>
      </c>
      <c r="O2795" s="19">
        <v>0</v>
      </c>
      <c r="P2795" s="19">
        <v>0</v>
      </c>
      <c r="Q2795" s="19">
        <v>0.55624371950006168</v>
      </c>
      <c r="R2795" s="19">
        <v>0.36709748279480336</v>
      </c>
      <c r="S2795" s="19">
        <v>7.6658797705134965E-2</v>
      </c>
      <c r="T2795" s="20">
        <v>13</v>
      </c>
      <c r="U2795" s="17">
        <v>3</v>
      </c>
      <c r="V2795" s="17">
        <v>36</v>
      </c>
    </row>
    <row r="2796" spans="1:22" x14ac:dyDescent="0.2">
      <c r="A2796" t="s">
        <v>6373</v>
      </c>
      <c r="B2796" t="s">
        <v>5862</v>
      </c>
      <c r="C2796" t="s">
        <v>5863</v>
      </c>
      <c r="D2796" t="s">
        <v>6355</v>
      </c>
      <c r="E2796" s="10" t="s">
        <v>6374</v>
      </c>
      <c r="F2796" s="10"/>
      <c r="G2796" s="10"/>
      <c r="H2796" s="10" t="s">
        <v>6374</v>
      </c>
      <c r="I2796" s="14">
        <v>25436.061035945077</v>
      </c>
      <c r="J2796" s="19">
        <v>0</v>
      </c>
      <c r="K2796" s="19">
        <v>0</v>
      </c>
      <c r="L2796" s="19">
        <v>1</v>
      </c>
      <c r="M2796" s="20">
        <v>1</v>
      </c>
      <c r="N2796" s="19">
        <v>0</v>
      </c>
      <c r="O2796" s="19">
        <v>0</v>
      </c>
      <c r="P2796" s="19">
        <v>0</v>
      </c>
      <c r="Q2796" s="19">
        <v>0.32743335994694428</v>
      </c>
      <c r="R2796" s="19">
        <v>0.52811114921570435</v>
      </c>
      <c r="S2796" s="19">
        <v>0.14445549083735151</v>
      </c>
      <c r="T2796" s="20">
        <v>12</v>
      </c>
      <c r="U2796" s="17">
        <v>3</v>
      </c>
      <c r="V2796" s="17">
        <v>36</v>
      </c>
    </row>
    <row r="2797" spans="1:22" x14ac:dyDescent="0.2">
      <c r="A2797" t="s">
        <v>6375</v>
      </c>
      <c r="B2797" t="s">
        <v>5862</v>
      </c>
      <c r="C2797" t="s">
        <v>5863</v>
      </c>
      <c r="D2797" t="s">
        <v>6355</v>
      </c>
      <c r="E2797" s="10" t="s">
        <v>6376</v>
      </c>
      <c r="F2797" s="10"/>
      <c r="G2797" s="10"/>
      <c r="H2797" s="10" t="s">
        <v>6376</v>
      </c>
      <c r="I2797" s="14">
        <v>15917.172059069157</v>
      </c>
      <c r="J2797" s="19">
        <v>0</v>
      </c>
      <c r="K2797" s="19">
        <v>0</v>
      </c>
      <c r="L2797" s="19">
        <v>1</v>
      </c>
      <c r="M2797" s="20">
        <v>1</v>
      </c>
      <c r="N2797" s="19">
        <v>0</v>
      </c>
      <c r="O2797" s="19">
        <v>0</v>
      </c>
      <c r="P2797" s="19">
        <v>0</v>
      </c>
      <c r="Q2797" s="19">
        <v>0.39234787646486047</v>
      </c>
      <c r="R2797" s="19">
        <v>0.46854888737847344</v>
      </c>
      <c r="S2797" s="19">
        <v>0.13910323615666592</v>
      </c>
      <c r="T2797" s="20">
        <v>12</v>
      </c>
      <c r="U2797" s="17">
        <v>3</v>
      </c>
      <c r="V2797" s="17">
        <v>36</v>
      </c>
    </row>
    <row r="2798" spans="1:22" x14ac:dyDescent="0.2">
      <c r="A2798" t="s">
        <v>6377</v>
      </c>
      <c r="B2798" t="s">
        <v>5862</v>
      </c>
      <c r="C2798" t="s">
        <v>5863</v>
      </c>
      <c r="D2798" t="s">
        <v>6355</v>
      </c>
      <c r="E2798" s="10" t="s">
        <v>6378</v>
      </c>
      <c r="F2798" s="10"/>
      <c r="G2798" s="10"/>
      <c r="H2798" s="10" t="s">
        <v>6378</v>
      </c>
      <c r="I2798" s="14">
        <v>15057.435588911174</v>
      </c>
      <c r="J2798" s="19">
        <v>0</v>
      </c>
      <c r="K2798" s="19">
        <v>0</v>
      </c>
      <c r="L2798" s="19">
        <v>1</v>
      </c>
      <c r="M2798" s="20">
        <v>1</v>
      </c>
      <c r="N2798" s="19">
        <v>0</v>
      </c>
      <c r="O2798" s="19">
        <v>0</v>
      </c>
      <c r="P2798" s="19">
        <v>0</v>
      </c>
      <c r="Q2798" s="19">
        <v>0.26218814987433015</v>
      </c>
      <c r="R2798" s="19">
        <v>0.60352285082129997</v>
      </c>
      <c r="S2798" s="19">
        <v>0.13428899930436999</v>
      </c>
      <c r="T2798" s="20">
        <v>12</v>
      </c>
      <c r="U2798" s="17">
        <v>3</v>
      </c>
      <c r="V2798" s="17">
        <v>36</v>
      </c>
    </row>
    <row r="2799" spans="1:22" x14ac:dyDescent="0.2">
      <c r="A2799" t="s">
        <v>6379</v>
      </c>
      <c r="B2799" t="s">
        <v>5862</v>
      </c>
      <c r="C2799" t="s">
        <v>5863</v>
      </c>
      <c r="D2799" t="s">
        <v>6355</v>
      </c>
      <c r="E2799" s="10" t="s">
        <v>6380</v>
      </c>
      <c r="F2799" s="10"/>
      <c r="G2799" s="10"/>
      <c r="H2799" s="10" t="s">
        <v>6380</v>
      </c>
      <c r="I2799" s="14">
        <v>19431.602114147041</v>
      </c>
      <c r="J2799" s="19">
        <v>0</v>
      </c>
      <c r="K2799" s="19">
        <v>0</v>
      </c>
      <c r="L2799" s="19">
        <v>1</v>
      </c>
      <c r="M2799" s="20">
        <v>1</v>
      </c>
      <c r="N2799" s="19">
        <v>0</v>
      </c>
      <c r="O2799" s="19">
        <v>0</v>
      </c>
      <c r="P2799" s="19">
        <v>0</v>
      </c>
      <c r="Q2799" s="19">
        <v>0.51126905773329578</v>
      </c>
      <c r="R2799" s="19">
        <v>0.40965358803672941</v>
      </c>
      <c r="S2799" s="19">
        <v>7.9077354229974847E-2</v>
      </c>
      <c r="T2799" s="20">
        <v>13</v>
      </c>
      <c r="U2799" s="17">
        <v>3</v>
      </c>
      <c r="V2799" s="17">
        <v>36</v>
      </c>
    </row>
    <row r="2800" spans="1:22" x14ac:dyDescent="0.2">
      <c r="A2800" t="s">
        <v>6381</v>
      </c>
      <c r="B2800" t="s">
        <v>5862</v>
      </c>
      <c r="C2800" t="s">
        <v>5863</v>
      </c>
      <c r="D2800" t="s">
        <v>6355</v>
      </c>
      <c r="E2800" s="10" t="s">
        <v>6382</v>
      </c>
      <c r="F2800" s="10"/>
      <c r="G2800" s="10"/>
      <c r="H2800" s="10" t="s">
        <v>6382</v>
      </c>
      <c r="I2800" s="14">
        <v>79656.737315330887</v>
      </c>
      <c r="J2800" s="19">
        <v>0</v>
      </c>
      <c r="K2800" s="19">
        <v>0.27918234005760556</v>
      </c>
      <c r="L2800" s="19">
        <v>0.72081765994239466</v>
      </c>
      <c r="M2800" s="20">
        <v>1</v>
      </c>
      <c r="N2800" s="19">
        <v>0.15060785455239747</v>
      </c>
      <c r="O2800" s="19">
        <v>0</v>
      </c>
      <c r="P2800" s="19">
        <v>0.12857448550520809</v>
      </c>
      <c r="Q2800" s="19">
        <v>0.3722356379594649</v>
      </c>
      <c r="R2800" s="19">
        <v>0.27381739184025783</v>
      </c>
      <c r="S2800" s="19">
        <v>7.4764630142671651E-2</v>
      </c>
      <c r="T2800" s="20">
        <v>13</v>
      </c>
      <c r="U2800" s="17">
        <v>3</v>
      </c>
      <c r="V2800" s="17">
        <v>36</v>
      </c>
    </row>
    <row r="2801" spans="1:22" x14ac:dyDescent="0.2">
      <c r="A2801" t="s">
        <v>6383</v>
      </c>
      <c r="B2801" t="s">
        <v>5862</v>
      </c>
      <c r="C2801" t="s">
        <v>5863</v>
      </c>
      <c r="D2801" t="s">
        <v>6384</v>
      </c>
      <c r="E2801" s="10" t="s">
        <v>6385</v>
      </c>
      <c r="F2801" s="10"/>
      <c r="G2801" s="10"/>
      <c r="H2801" s="10" t="s">
        <v>6385</v>
      </c>
      <c r="I2801" s="14">
        <v>83527.365334382746</v>
      </c>
      <c r="J2801" s="19">
        <v>0</v>
      </c>
      <c r="K2801" s="19">
        <v>0.48551013644967783</v>
      </c>
      <c r="L2801" s="19">
        <v>0.51448986355032222</v>
      </c>
      <c r="M2801" s="20">
        <v>1</v>
      </c>
      <c r="N2801" s="19">
        <v>0.29984700026572669</v>
      </c>
      <c r="O2801" s="19">
        <v>4.0270801508952491E-3</v>
      </c>
      <c r="P2801" s="19">
        <v>0.18163605603305591</v>
      </c>
      <c r="Q2801" s="19">
        <v>0.20533642276564326</v>
      </c>
      <c r="R2801" s="19">
        <v>0.27255512719176567</v>
      </c>
      <c r="S2801" s="19">
        <v>3.659831359291324E-2</v>
      </c>
      <c r="T2801" s="20">
        <v>12</v>
      </c>
      <c r="U2801" s="17">
        <v>3</v>
      </c>
      <c r="V2801" s="17">
        <v>36</v>
      </c>
    </row>
    <row r="2802" spans="1:22" x14ac:dyDescent="0.2">
      <c r="A2802" t="s">
        <v>6386</v>
      </c>
      <c r="B2802" t="s">
        <v>5862</v>
      </c>
      <c r="C2802" t="s">
        <v>5863</v>
      </c>
      <c r="D2802" t="s">
        <v>6384</v>
      </c>
      <c r="E2802" s="10" t="s">
        <v>6387</v>
      </c>
      <c r="F2802" s="10"/>
      <c r="G2802" s="10"/>
      <c r="H2802" s="10" t="s">
        <v>6387</v>
      </c>
      <c r="I2802" s="14">
        <v>82960.587106871651</v>
      </c>
      <c r="J2802" s="19">
        <v>0</v>
      </c>
      <c r="K2802" s="19">
        <v>0.30265538033477557</v>
      </c>
      <c r="L2802" s="19">
        <v>0.69734461966522443</v>
      </c>
      <c r="M2802" s="20">
        <v>1</v>
      </c>
      <c r="N2802" s="19">
        <v>0.11376611261245217</v>
      </c>
      <c r="O2802" s="19">
        <v>6.446109004165225E-2</v>
      </c>
      <c r="P2802" s="19">
        <v>0.12442817768067116</v>
      </c>
      <c r="Q2802" s="19">
        <v>0.13485551715811098</v>
      </c>
      <c r="R2802" s="19">
        <v>0.45226071754291891</v>
      </c>
      <c r="S2802" s="19">
        <v>0.11022838496419453</v>
      </c>
      <c r="T2802" s="20">
        <v>12</v>
      </c>
      <c r="U2802" s="17">
        <v>3</v>
      </c>
      <c r="V2802" s="17">
        <v>36</v>
      </c>
    </row>
    <row r="2803" spans="1:22" x14ac:dyDescent="0.2">
      <c r="A2803" t="s">
        <v>6388</v>
      </c>
      <c r="B2803" t="s">
        <v>5862</v>
      </c>
      <c r="C2803" t="s">
        <v>5863</v>
      </c>
      <c r="D2803" t="s">
        <v>6384</v>
      </c>
      <c r="E2803" s="10" t="s">
        <v>6389</v>
      </c>
      <c r="F2803" s="10"/>
      <c r="G2803" s="10"/>
      <c r="H2803" s="10" t="s">
        <v>6389</v>
      </c>
      <c r="I2803" s="14">
        <v>22398.359530077316</v>
      </c>
      <c r="J2803" s="19">
        <v>0</v>
      </c>
      <c r="K2803" s="19">
        <v>0.23455768369321567</v>
      </c>
      <c r="L2803" s="19">
        <v>0.76544231630678428</v>
      </c>
      <c r="M2803" s="20">
        <v>1</v>
      </c>
      <c r="N2803" s="19">
        <v>0</v>
      </c>
      <c r="O2803" s="19">
        <v>0.23455768369321567</v>
      </c>
      <c r="P2803" s="19">
        <v>0</v>
      </c>
      <c r="Q2803" s="19">
        <v>0.20681418846654392</v>
      </c>
      <c r="R2803" s="19">
        <v>0.463496861852358</v>
      </c>
      <c r="S2803" s="19">
        <v>9.5131265987882421E-2</v>
      </c>
      <c r="T2803" s="20">
        <v>12</v>
      </c>
      <c r="U2803" s="17">
        <v>3</v>
      </c>
      <c r="V2803" s="17">
        <v>36</v>
      </c>
    </row>
    <row r="2804" spans="1:22" x14ac:dyDescent="0.2">
      <c r="A2804" t="s">
        <v>6390</v>
      </c>
      <c r="B2804" t="s">
        <v>5862</v>
      </c>
      <c r="C2804" t="s">
        <v>5863</v>
      </c>
      <c r="D2804" t="s">
        <v>6384</v>
      </c>
      <c r="E2804" s="10" t="s">
        <v>6391</v>
      </c>
      <c r="F2804" s="10"/>
      <c r="G2804" s="10"/>
      <c r="H2804" s="10" t="s">
        <v>6391</v>
      </c>
      <c r="I2804" s="14">
        <v>83922.343912593438</v>
      </c>
      <c r="J2804" s="19">
        <v>0</v>
      </c>
      <c r="K2804" s="19">
        <v>0.28895270691410119</v>
      </c>
      <c r="L2804" s="19">
        <v>0.71104729308589887</v>
      </c>
      <c r="M2804" s="20">
        <v>1</v>
      </c>
      <c r="N2804" s="19">
        <v>0.2318547153654823</v>
      </c>
      <c r="O2804" s="19">
        <v>0</v>
      </c>
      <c r="P2804" s="19">
        <v>5.7097991548618915E-2</v>
      </c>
      <c r="Q2804" s="19">
        <v>0.33763539545787852</v>
      </c>
      <c r="R2804" s="19">
        <v>0.34080448330370122</v>
      </c>
      <c r="S2804" s="19">
        <v>3.2607414324319031E-2</v>
      </c>
      <c r="T2804" s="20">
        <v>12</v>
      </c>
      <c r="U2804" s="17">
        <v>3</v>
      </c>
      <c r="V2804" s="17">
        <v>36</v>
      </c>
    </row>
    <row r="2805" spans="1:22" x14ac:dyDescent="0.2">
      <c r="A2805" t="s">
        <v>6392</v>
      </c>
      <c r="B2805" t="s">
        <v>5862</v>
      </c>
      <c r="C2805" t="s">
        <v>5863</v>
      </c>
      <c r="D2805" t="s">
        <v>6384</v>
      </c>
      <c r="E2805" s="10" t="s">
        <v>6393</v>
      </c>
      <c r="F2805" s="10"/>
      <c r="G2805" s="10"/>
      <c r="H2805" s="10" t="s">
        <v>6393</v>
      </c>
      <c r="I2805" s="14">
        <v>23528.494536771203</v>
      </c>
      <c r="J2805" s="19">
        <v>0</v>
      </c>
      <c r="K2805" s="19">
        <v>0</v>
      </c>
      <c r="L2805" s="19">
        <v>1</v>
      </c>
      <c r="M2805" s="20">
        <v>1</v>
      </c>
      <c r="N2805" s="19">
        <v>0</v>
      </c>
      <c r="O2805" s="19">
        <v>0</v>
      </c>
      <c r="P2805" s="19">
        <v>0</v>
      </c>
      <c r="Q2805" s="19">
        <v>0.14779585003453968</v>
      </c>
      <c r="R2805" s="19">
        <v>0.75615928454269909</v>
      </c>
      <c r="S2805" s="19">
        <v>9.6044865422761361E-2</v>
      </c>
      <c r="T2805" s="20">
        <v>12</v>
      </c>
      <c r="U2805" s="17">
        <v>3</v>
      </c>
      <c r="V2805" s="17">
        <v>36</v>
      </c>
    </row>
    <row r="2806" spans="1:22" x14ac:dyDescent="0.2">
      <c r="A2806" t="s">
        <v>6394</v>
      </c>
      <c r="B2806" t="s">
        <v>5862</v>
      </c>
      <c r="C2806" t="s">
        <v>5863</v>
      </c>
      <c r="D2806" t="s">
        <v>6384</v>
      </c>
      <c r="E2806" s="10" t="s">
        <v>6395</v>
      </c>
      <c r="F2806" s="10"/>
      <c r="G2806" s="10"/>
      <c r="H2806" s="10" t="s">
        <v>6395</v>
      </c>
      <c r="I2806" s="14">
        <v>515610.3630831528</v>
      </c>
      <c r="J2806" s="19">
        <v>0.59347739507694175</v>
      </c>
      <c r="K2806" s="19">
        <v>0.33503374633249544</v>
      </c>
      <c r="L2806" s="19">
        <v>7.1488858590562809E-2</v>
      </c>
      <c r="M2806" s="20">
        <v>3</v>
      </c>
      <c r="N2806" s="19">
        <v>9.7263597426432938E-2</v>
      </c>
      <c r="O2806" s="19">
        <v>8.2410601169199283E-3</v>
      </c>
      <c r="P2806" s="19">
        <v>0.22952908878914255</v>
      </c>
      <c r="Q2806" s="19">
        <v>1.8923927203405043E-2</v>
      </c>
      <c r="R2806" s="19">
        <v>4.9827773856383609E-2</v>
      </c>
      <c r="S2806" s="19">
        <v>2.7371575307741677E-3</v>
      </c>
      <c r="T2806" s="20">
        <v>30</v>
      </c>
      <c r="U2806" s="17">
        <v>3</v>
      </c>
      <c r="V2806" s="17">
        <v>36</v>
      </c>
    </row>
    <row r="2807" spans="1:22" x14ac:dyDescent="0.2">
      <c r="A2807" t="s">
        <v>6396</v>
      </c>
      <c r="B2807" t="s">
        <v>5862</v>
      </c>
      <c r="C2807" t="s">
        <v>5863</v>
      </c>
      <c r="D2807" t="s">
        <v>6384</v>
      </c>
      <c r="E2807" s="10" t="s">
        <v>6397</v>
      </c>
      <c r="F2807" s="10"/>
      <c r="G2807" s="10"/>
      <c r="H2807" s="10" t="s">
        <v>6397</v>
      </c>
      <c r="I2807" s="14">
        <v>33424.412470113253</v>
      </c>
      <c r="J2807" s="19">
        <v>0</v>
      </c>
      <c r="K2807" s="19">
        <v>0.18407390069641424</v>
      </c>
      <c r="L2807" s="19">
        <v>0.81592609930358562</v>
      </c>
      <c r="M2807" s="20">
        <v>1</v>
      </c>
      <c r="N2807" s="19">
        <v>0</v>
      </c>
      <c r="O2807" s="19">
        <v>0.18407390069641424</v>
      </c>
      <c r="P2807" s="19">
        <v>0</v>
      </c>
      <c r="Q2807" s="19">
        <v>0.16309713088894745</v>
      </c>
      <c r="R2807" s="19">
        <v>0.52972203149537389</v>
      </c>
      <c r="S2807" s="19">
        <v>0.12310693691926443</v>
      </c>
      <c r="T2807" s="20">
        <v>12</v>
      </c>
      <c r="U2807" s="17">
        <v>3</v>
      </c>
      <c r="V2807" s="17">
        <v>36</v>
      </c>
    </row>
    <row r="2808" spans="1:22" x14ac:dyDescent="0.2">
      <c r="A2808" t="s">
        <v>6398</v>
      </c>
      <c r="B2808" t="s">
        <v>5862</v>
      </c>
      <c r="C2808" t="s">
        <v>5863</v>
      </c>
      <c r="D2808" t="s">
        <v>6384</v>
      </c>
      <c r="E2808" s="10" t="s">
        <v>6399</v>
      </c>
      <c r="F2808" s="10"/>
      <c r="G2808" s="10"/>
      <c r="H2808" s="10" t="s">
        <v>6399</v>
      </c>
      <c r="I2808" s="14">
        <v>56308.850381976576</v>
      </c>
      <c r="J2808" s="19">
        <v>0</v>
      </c>
      <c r="K2808" s="19">
        <v>0.17051009882239032</v>
      </c>
      <c r="L2808" s="19">
        <v>0.82948990117760968</v>
      </c>
      <c r="M2808" s="20">
        <v>1</v>
      </c>
      <c r="N2808" s="19">
        <v>0</v>
      </c>
      <c r="O2808" s="19">
        <v>0.11783962236223439</v>
      </c>
      <c r="P2808" s="19">
        <v>5.2670476460155956E-2</v>
      </c>
      <c r="Q2808" s="19">
        <v>0.20190070792718645</v>
      </c>
      <c r="R2808" s="19">
        <v>0.5415756346489855</v>
      </c>
      <c r="S2808" s="19">
        <v>8.6013558601437709E-2</v>
      </c>
      <c r="T2808" s="20">
        <v>12</v>
      </c>
      <c r="U2808" s="17">
        <v>3</v>
      </c>
      <c r="V2808" s="17">
        <v>36</v>
      </c>
    </row>
    <row r="2809" spans="1:22" x14ac:dyDescent="0.2">
      <c r="A2809" t="s">
        <v>6400</v>
      </c>
      <c r="B2809" t="s">
        <v>5862</v>
      </c>
      <c r="C2809" t="s">
        <v>5863</v>
      </c>
      <c r="D2809" t="s">
        <v>6384</v>
      </c>
      <c r="E2809" s="10" t="s">
        <v>6401</v>
      </c>
      <c r="F2809" s="10"/>
      <c r="G2809" s="10"/>
      <c r="H2809" s="10" t="s">
        <v>6401</v>
      </c>
      <c r="I2809" s="14">
        <v>22227.949481524527</v>
      </c>
      <c r="J2809" s="19">
        <v>0</v>
      </c>
      <c r="K2809" s="19">
        <v>0.34066109731778449</v>
      </c>
      <c r="L2809" s="19">
        <v>0.65933890268221551</v>
      </c>
      <c r="M2809" s="20">
        <v>1</v>
      </c>
      <c r="N2809" s="19">
        <v>0.25501269341004756</v>
      </c>
      <c r="O2809" s="19">
        <v>0</v>
      </c>
      <c r="P2809" s="19">
        <v>8.5648403907736897E-2</v>
      </c>
      <c r="Q2809" s="19">
        <v>0.34314176032611526</v>
      </c>
      <c r="R2809" s="19">
        <v>0.26245783875420808</v>
      </c>
      <c r="S2809" s="19">
        <v>5.3739303601892156E-2</v>
      </c>
      <c r="T2809" s="20">
        <v>13</v>
      </c>
      <c r="U2809" s="17">
        <v>3</v>
      </c>
      <c r="V2809" s="17">
        <v>36</v>
      </c>
    </row>
    <row r="2810" spans="1:22" x14ac:dyDescent="0.2">
      <c r="A2810" t="s">
        <v>6402</v>
      </c>
      <c r="B2810" t="s">
        <v>5862</v>
      </c>
      <c r="C2810" t="s">
        <v>5863</v>
      </c>
      <c r="D2810" t="s">
        <v>6384</v>
      </c>
      <c r="E2810" s="10" t="s">
        <v>6403</v>
      </c>
      <c r="F2810" s="10"/>
      <c r="G2810" s="10"/>
      <c r="H2810" s="10" t="s">
        <v>6403</v>
      </c>
      <c r="I2810" s="14">
        <v>25605.725011433242</v>
      </c>
      <c r="J2810" s="19">
        <v>0</v>
      </c>
      <c r="K2810" s="19">
        <v>0</v>
      </c>
      <c r="L2810" s="19">
        <v>1</v>
      </c>
      <c r="M2810" s="20">
        <v>1</v>
      </c>
      <c r="N2810" s="19">
        <v>0</v>
      </c>
      <c r="O2810" s="19">
        <v>0</v>
      </c>
      <c r="P2810" s="19">
        <v>0</v>
      </c>
      <c r="Q2810" s="19">
        <v>0.34597326205590001</v>
      </c>
      <c r="R2810" s="19">
        <v>0.55307122693971589</v>
      </c>
      <c r="S2810" s="19">
        <v>0.10095551100438416</v>
      </c>
      <c r="T2810" s="20">
        <v>12</v>
      </c>
      <c r="U2810" s="17">
        <v>3</v>
      </c>
      <c r="V2810" s="17">
        <v>36</v>
      </c>
    </row>
    <row r="2811" spans="1:22" x14ac:dyDescent="0.2">
      <c r="A2811" t="s">
        <v>6404</v>
      </c>
      <c r="B2811" t="s">
        <v>5862</v>
      </c>
      <c r="C2811" t="s">
        <v>5863</v>
      </c>
      <c r="D2811" t="s">
        <v>6384</v>
      </c>
      <c r="E2811" s="10" t="s">
        <v>6405</v>
      </c>
      <c r="F2811" s="10"/>
      <c r="G2811" s="10"/>
      <c r="H2811" s="10" t="s">
        <v>6405</v>
      </c>
      <c r="I2811" s="14">
        <v>50305.860400067868</v>
      </c>
      <c r="J2811" s="19">
        <v>0</v>
      </c>
      <c r="K2811" s="19">
        <v>0.62741763074055035</v>
      </c>
      <c r="L2811" s="19">
        <v>0.37258236925944987</v>
      </c>
      <c r="M2811" s="20">
        <v>2</v>
      </c>
      <c r="N2811" s="19">
        <v>8.5295814729851163E-2</v>
      </c>
      <c r="O2811" s="19">
        <v>0.13304904429013312</v>
      </c>
      <c r="P2811" s="19">
        <v>0.40907277172056605</v>
      </c>
      <c r="Q2811" s="19">
        <v>8.8242987509283735E-2</v>
      </c>
      <c r="R2811" s="19">
        <v>0.26412289305589548</v>
      </c>
      <c r="S2811" s="19">
        <v>2.0216488694270552E-2</v>
      </c>
      <c r="T2811" s="20">
        <v>22</v>
      </c>
      <c r="U2811" s="17">
        <v>3</v>
      </c>
      <c r="V2811" s="17">
        <v>36</v>
      </c>
    </row>
    <row r="2812" spans="1:22" x14ac:dyDescent="0.2">
      <c r="A2812" t="s">
        <v>6406</v>
      </c>
      <c r="B2812" t="s">
        <v>5862</v>
      </c>
      <c r="C2812" t="s">
        <v>5863</v>
      </c>
      <c r="D2812" t="s">
        <v>6407</v>
      </c>
      <c r="E2812" s="10" t="s">
        <v>6408</v>
      </c>
      <c r="F2812" s="10"/>
      <c r="G2812" s="10"/>
      <c r="H2812" s="10" t="s">
        <v>6408</v>
      </c>
      <c r="I2812" s="14">
        <v>17329.455267606303</v>
      </c>
      <c r="J2812" s="19">
        <v>0</v>
      </c>
      <c r="K2812" s="19">
        <v>0.31516080888028719</v>
      </c>
      <c r="L2812" s="19">
        <v>0.6848391911197127</v>
      </c>
      <c r="M2812" s="20">
        <v>1</v>
      </c>
      <c r="N2812" s="19">
        <v>0</v>
      </c>
      <c r="O2812" s="19">
        <v>0.31516080888028719</v>
      </c>
      <c r="P2812" s="19">
        <v>0</v>
      </c>
      <c r="Q2812" s="19">
        <v>5.5977735856248226E-2</v>
      </c>
      <c r="R2812" s="19">
        <v>0.48879239848533707</v>
      </c>
      <c r="S2812" s="19">
        <v>0.1400690567781275</v>
      </c>
      <c r="T2812" s="20">
        <v>12</v>
      </c>
      <c r="U2812" s="17">
        <v>3</v>
      </c>
      <c r="V2812" s="17">
        <v>36</v>
      </c>
    </row>
    <row r="2813" spans="1:22" x14ac:dyDescent="0.2">
      <c r="A2813" t="s">
        <v>6409</v>
      </c>
      <c r="B2813" t="s">
        <v>5862</v>
      </c>
      <c r="C2813" t="s">
        <v>5863</v>
      </c>
      <c r="D2813" t="s">
        <v>6407</v>
      </c>
      <c r="E2813" s="10" t="s">
        <v>6410</v>
      </c>
      <c r="F2813" s="10"/>
      <c r="G2813" s="10"/>
      <c r="H2813" s="10" t="s">
        <v>6410</v>
      </c>
      <c r="I2813" s="14">
        <v>26640.139651153237</v>
      </c>
      <c r="J2813" s="19">
        <v>0</v>
      </c>
      <c r="K2813" s="19">
        <v>0.21278347014522969</v>
      </c>
      <c r="L2813" s="19">
        <v>0.78721652985477031</v>
      </c>
      <c r="M2813" s="20">
        <v>1</v>
      </c>
      <c r="N2813" s="19">
        <v>0</v>
      </c>
      <c r="O2813" s="19">
        <v>0.21278347014522969</v>
      </c>
      <c r="P2813" s="19">
        <v>0</v>
      </c>
      <c r="Q2813" s="19">
        <v>0.19507161255884531</v>
      </c>
      <c r="R2813" s="19">
        <v>0.46129404480336472</v>
      </c>
      <c r="S2813" s="19">
        <v>0.13085087249256031</v>
      </c>
      <c r="T2813" s="20">
        <v>12</v>
      </c>
      <c r="U2813" s="17">
        <v>3</v>
      </c>
      <c r="V2813" s="17">
        <v>36</v>
      </c>
    </row>
    <row r="2814" spans="1:22" x14ac:dyDescent="0.2">
      <c r="A2814" t="s">
        <v>6411</v>
      </c>
      <c r="B2814" t="s">
        <v>5862</v>
      </c>
      <c r="C2814" t="s">
        <v>5863</v>
      </c>
      <c r="D2814" t="s">
        <v>6407</v>
      </c>
      <c r="E2814" s="10" t="s">
        <v>6412</v>
      </c>
      <c r="F2814" s="10"/>
      <c r="G2814" s="10"/>
      <c r="H2814" s="10" t="s">
        <v>6412</v>
      </c>
      <c r="I2814" s="14">
        <v>41544.566211064346</v>
      </c>
      <c r="J2814" s="19">
        <v>0</v>
      </c>
      <c r="K2814" s="19">
        <v>0.52611026178425457</v>
      </c>
      <c r="L2814" s="19">
        <v>0.47388973821574537</v>
      </c>
      <c r="M2814" s="20">
        <v>2</v>
      </c>
      <c r="N2814" s="19">
        <v>0.32155534017254833</v>
      </c>
      <c r="O2814" s="19">
        <v>1.0981099969861044E-4</v>
      </c>
      <c r="P2814" s="19">
        <v>0.20444511061200765</v>
      </c>
      <c r="Q2814" s="19">
        <v>2.6370176652945811E-2</v>
      </c>
      <c r="R2814" s="19">
        <v>0.38033711732791786</v>
      </c>
      <c r="S2814" s="19">
        <v>6.7182444234881747E-2</v>
      </c>
      <c r="T2814" s="20">
        <v>23</v>
      </c>
      <c r="U2814" s="17">
        <v>3</v>
      </c>
      <c r="V2814" s="17">
        <v>36</v>
      </c>
    </row>
    <row r="2815" spans="1:22" x14ac:dyDescent="0.2">
      <c r="A2815" t="s">
        <v>6413</v>
      </c>
      <c r="B2815" t="s">
        <v>5862</v>
      </c>
      <c r="C2815" t="s">
        <v>5863</v>
      </c>
      <c r="D2815" t="s">
        <v>6407</v>
      </c>
      <c r="E2815" s="10" t="s">
        <v>6414</v>
      </c>
      <c r="F2815" s="10"/>
      <c r="G2815" s="10"/>
      <c r="H2815" s="10" t="s">
        <v>6414</v>
      </c>
      <c r="I2815" s="14">
        <v>37535.905843587592</v>
      </c>
      <c r="J2815" s="19">
        <v>0</v>
      </c>
      <c r="K2815" s="19">
        <v>0.47705861439035752</v>
      </c>
      <c r="L2815" s="19">
        <v>0.52294138560964254</v>
      </c>
      <c r="M2815" s="20">
        <v>1</v>
      </c>
      <c r="N2815" s="19">
        <v>0.32716767114756551</v>
      </c>
      <c r="O2815" s="19">
        <v>0</v>
      </c>
      <c r="P2815" s="19">
        <v>0.14989094324279198</v>
      </c>
      <c r="Q2815" s="19">
        <v>3.3380826230893709E-2</v>
      </c>
      <c r="R2815" s="19">
        <v>0.40341014404087994</v>
      </c>
      <c r="S2815" s="19">
        <v>8.6150415337868866E-2</v>
      </c>
      <c r="T2815" s="20">
        <v>12</v>
      </c>
      <c r="U2815" s="17">
        <v>3</v>
      </c>
      <c r="V2815" s="17">
        <v>36</v>
      </c>
    </row>
    <row r="2816" spans="1:22" x14ac:dyDescent="0.2">
      <c r="A2816" t="s">
        <v>6415</v>
      </c>
      <c r="B2816" t="s">
        <v>5862</v>
      </c>
      <c r="C2816" t="s">
        <v>5863</v>
      </c>
      <c r="D2816" t="s">
        <v>6407</v>
      </c>
      <c r="E2816" s="10" t="s">
        <v>6416</v>
      </c>
      <c r="F2816" s="10"/>
      <c r="G2816" s="10"/>
      <c r="H2816" s="10" t="s">
        <v>6416</v>
      </c>
      <c r="I2816" s="14">
        <v>22816.505149628967</v>
      </c>
      <c r="J2816" s="19">
        <v>0</v>
      </c>
      <c r="K2816" s="19">
        <v>0.37184469685032684</v>
      </c>
      <c r="L2816" s="19">
        <v>0.62815530314967316</v>
      </c>
      <c r="M2816" s="20">
        <v>1</v>
      </c>
      <c r="N2816" s="19">
        <v>0</v>
      </c>
      <c r="O2816" s="19">
        <v>0.37184469685032684</v>
      </c>
      <c r="P2816" s="19">
        <v>0</v>
      </c>
      <c r="Q2816" s="19">
        <v>3.2764470550767671E-2</v>
      </c>
      <c r="R2816" s="19">
        <v>0.50255424302932183</v>
      </c>
      <c r="S2816" s="19">
        <v>9.2836589569583641E-2</v>
      </c>
      <c r="T2816" s="20">
        <v>12</v>
      </c>
      <c r="U2816" s="17">
        <v>3</v>
      </c>
      <c r="V2816" s="17">
        <v>36</v>
      </c>
    </row>
    <row r="2817" spans="1:22" x14ac:dyDescent="0.2">
      <c r="A2817" t="s">
        <v>6417</v>
      </c>
      <c r="B2817" t="s">
        <v>5862</v>
      </c>
      <c r="C2817" t="s">
        <v>5863</v>
      </c>
      <c r="D2817" t="s">
        <v>6407</v>
      </c>
      <c r="E2817" s="10" t="s">
        <v>6418</v>
      </c>
      <c r="F2817" s="10"/>
      <c r="G2817" s="10"/>
      <c r="H2817" s="10" t="s">
        <v>6418</v>
      </c>
      <c r="I2817" s="14">
        <v>13035.684118667617</v>
      </c>
      <c r="J2817" s="19">
        <v>0</v>
      </c>
      <c r="K2817" s="19">
        <v>0</v>
      </c>
      <c r="L2817" s="19">
        <v>1</v>
      </c>
      <c r="M2817" s="20">
        <v>1</v>
      </c>
      <c r="N2817" s="19">
        <v>0</v>
      </c>
      <c r="O2817" s="19">
        <v>0</v>
      </c>
      <c r="P2817" s="19">
        <v>0</v>
      </c>
      <c r="Q2817" s="19">
        <v>0.18092607700996999</v>
      </c>
      <c r="R2817" s="19">
        <v>0.72979716327518296</v>
      </c>
      <c r="S2817" s="19">
        <v>8.9276759714847054E-2</v>
      </c>
      <c r="T2817" s="20">
        <v>12</v>
      </c>
      <c r="U2817" s="17">
        <v>3</v>
      </c>
      <c r="V2817" s="17">
        <v>36</v>
      </c>
    </row>
    <row r="2818" spans="1:22" x14ac:dyDescent="0.2">
      <c r="A2818" t="s">
        <v>6419</v>
      </c>
      <c r="B2818" t="s">
        <v>5862</v>
      </c>
      <c r="C2818" t="s">
        <v>5863</v>
      </c>
      <c r="D2818" t="s">
        <v>6407</v>
      </c>
      <c r="E2818" s="10" t="s">
        <v>6420</v>
      </c>
      <c r="F2818" s="10"/>
      <c r="G2818" s="10"/>
      <c r="H2818" s="10" t="s">
        <v>6420</v>
      </c>
      <c r="I2818" s="14">
        <v>30847.267735922243</v>
      </c>
      <c r="J2818" s="19">
        <v>0</v>
      </c>
      <c r="K2818" s="19">
        <v>0.16874014678235663</v>
      </c>
      <c r="L2818" s="19">
        <v>0.83125985321764351</v>
      </c>
      <c r="M2818" s="20">
        <v>1</v>
      </c>
      <c r="N2818" s="19">
        <v>0</v>
      </c>
      <c r="O2818" s="19">
        <v>0.16874014678235663</v>
      </c>
      <c r="P2818" s="19">
        <v>0</v>
      </c>
      <c r="Q2818" s="19">
        <v>0.25082651691491642</v>
      </c>
      <c r="R2818" s="19">
        <v>0.48708807887985062</v>
      </c>
      <c r="S2818" s="19">
        <v>9.3345257422876401E-2</v>
      </c>
      <c r="T2818" s="20">
        <v>12</v>
      </c>
      <c r="U2818" s="17">
        <v>3</v>
      </c>
      <c r="V2818" s="17">
        <v>36</v>
      </c>
    </row>
    <row r="2819" spans="1:22" x14ac:dyDescent="0.2">
      <c r="A2819" t="s">
        <v>6421</v>
      </c>
      <c r="B2819" t="s">
        <v>5862</v>
      </c>
      <c r="C2819" t="s">
        <v>5863</v>
      </c>
      <c r="D2819" t="s">
        <v>6422</v>
      </c>
      <c r="E2819" s="10" t="s">
        <v>6423</v>
      </c>
      <c r="F2819" s="10"/>
      <c r="G2819" s="10"/>
      <c r="H2819" s="10" t="s">
        <v>6423</v>
      </c>
      <c r="I2819" s="14">
        <v>77029.928522830363</v>
      </c>
      <c r="J2819" s="19">
        <v>0</v>
      </c>
      <c r="K2819" s="19">
        <v>0.19837749723548537</v>
      </c>
      <c r="L2819" s="19">
        <v>0.80162250276451463</v>
      </c>
      <c r="M2819" s="20">
        <v>1</v>
      </c>
      <c r="N2819" s="19">
        <v>0.11571152150282286</v>
      </c>
      <c r="O2819" s="19">
        <v>0</v>
      </c>
      <c r="P2819" s="19">
        <v>8.2665975732662531E-2</v>
      </c>
      <c r="Q2819" s="19">
        <v>0.39698287938114235</v>
      </c>
      <c r="R2819" s="19">
        <v>0.32267775396267995</v>
      </c>
      <c r="S2819" s="19">
        <v>8.1961869420692279E-2</v>
      </c>
      <c r="T2819" s="20">
        <v>13</v>
      </c>
      <c r="U2819" s="17">
        <v>3</v>
      </c>
      <c r="V2819" s="17">
        <v>36</v>
      </c>
    </row>
    <row r="2820" spans="1:22" x14ac:dyDescent="0.2">
      <c r="A2820" t="s">
        <v>6424</v>
      </c>
      <c r="B2820" t="s">
        <v>5862</v>
      </c>
      <c r="C2820" t="s">
        <v>5863</v>
      </c>
      <c r="D2820" t="s">
        <v>6422</v>
      </c>
      <c r="E2820" s="10" t="s">
        <v>6425</v>
      </c>
      <c r="F2820" s="10"/>
      <c r="G2820" s="10"/>
      <c r="H2820" s="10" t="s">
        <v>6425</v>
      </c>
      <c r="I2820" s="14">
        <v>44413.797538116574</v>
      </c>
      <c r="J2820" s="19">
        <v>0</v>
      </c>
      <c r="K2820" s="19">
        <v>0.19497303073667593</v>
      </c>
      <c r="L2820" s="19">
        <v>0.80502696926332407</v>
      </c>
      <c r="M2820" s="20">
        <v>1</v>
      </c>
      <c r="N2820" s="19">
        <v>0</v>
      </c>
      <c r="O2820" s="19">
        <v>0.19497303073667593</v>
      </c>
      <c r="P2820" s="19">
        <v>0</v>
      </c>
      <c r="Q2820" s="19">
        <v>0.49118190145569468</v>
      </c>
      <c r="R2820" s="19">
        <v>0.27198435434368234</v>
      </c>
      <c r="S2820" s="19">
        <v>4.1860713463947055E-2</v>
      </c>
      <c r="T2820" s="20">
        <v>13</v>
      </c>
      <c r="U2820" s="17">
        <v>3</v>
      </c>
      <c r="V2820" s="17">
        <v>36</v>
      </c>
    </row>
    <row r="2821" spans="1:22" x14ac:dyDescent="0.2">
      <c r="A2821" t="s">
        <v>6426</v>
      </c>
      <c r="B2821" t="s">
        <v>5862</v>
      </c>
      <c r="C2821" t="s">
        <v>5863</v>
      </c>
      <c r="D2821" t="s">
        <v>6422</v>
      </c>
      <c r="E2821" s="10" t="s">
        <v>6427</v>
      </c>
      <c r="F2821" s="10"/>
      <c r="G2821" s="10"/>
      <c r="H2821" s="10" t="s">
        <v>6427</v>
      </c>
      <c r="I2821" s="14">
        <v>17097.043633716414</v>
      </c>
      <c r="J2821" s="19">
        <v>0</v>
      </c>
      <c r="K2821" s="19">
        <v>0</v>
      </c>
      <c r="L2821" s="19">
        <v>1</v>
      </c>
      <c r="M2821" s="20">
        <v>1</v>
      </c>
      <c r="N2821" s="19">
        <v>0</v>
      </c>
      <c r="O2821" s="19">
        <v>0</v>
      </c>
      <c r="P2821" s="19">
        <v>0</v>
      </c>
      <c r="Q2821" s="19">
        <v>0.69761890104139079</v>
      </c>
      <c r="R2821" s="19">
        <v>0.25902659316286974</v>
      </c>
      <c r="S2821" s="19">
        <v>4.3354505795739434E-2</v>
      </c>
      <c r="T2821" s="20">
        <v>13</v>
      </c>
      <c r="U2821" s="17">
        <v>3</v>
      </c>
      <c r="V2821" s="17">
        <v>36</v>
      </c>
    </row>
    <row r="2822" spans="1:22" x14ac:dyDescent="0.2">
      <c r="A2822" t="s">
        <v>6428</v>
      </c>
      <c r="B2822" t="s">
        <v>5862</v>
      </c>
      <c r="C2822" t="s">
        <v>5863</v>
      </c>
      <c r="D2822" t="s">
        <v>6422</v>
      </c>
      <c r="E2822" s="10" t="s">
        <v>6429</v>
      </c>
      <c r="F2822" s="10"/>
      <c r="G2822" s="10"/>
      <c r="H2822" s="10" t="s">
        <v>6429</v>
      </c>
      <c r="I2822" s="14">
        <v>25498.796325489064</v>
      </c>
      <c r="J2822" s="19">
        <v>0</v>
      </c>
      <c r="K2822" s="19">
        <v>0</v>
      </c>
      <c r="L2822" s="19">
        <v>1</v>
      </c>
      <c r="M2822" s="20">
        <v>1</v>
      </c>
      <c r="N2822" s="19">
        <v>0</v>
      </c>
      <c r="O2822" s="19">
        <v>0</v>
      </c>
      <c r="P2822" s="19">
        <v>0</v>
      </c>
      <c r="Q2822" s="19">
        <v>0.49450053689003126</v>
      </c>
      <c r="R2822" s="19">
        <v>0.41592797216784444</v>
      </c>
      <c r="S2822" s="19">
        <v>8.957149094212434E-2</v>
      </c>
      <c r="T2822" s="20">
        <v>13</v>
      </c>
      <c r="U2822" s="17">
        <v>3</v>
      </c>
      <c r="V2822" s="17">
        <v>36</v>
      </c>
    </row>
    <row r="2823" spans="1:22" x14ac:dyDescent="0.2">
      <c r="A2823" t="s">
        <v>6430</v>
      </c>
      <c r="B2823" t="s">
        <v>5862</v>
      </c>
      <c r="C2823" t="s">
        <v>5863</v>
      </c>
      <c r="D2823" t="s">
        <v>6422</v>
      </c>
      <c r="E2823" s="10" t="s">
        <v>6431</v>
      </c>
      <c r="F2823" s="10"/>
      <c r="G2823" s="10"/>
      <c r="H2823" s="10" t="s">
        <v>6431</v>
      </c>
      <c r="I2823" s="14">
        <v>35903.089098798111</v>
      </c>
      <c r="J2823" s="19">
        <v>0</v>
      </c>
      <c r="K2823" s="19">
        <v>0</v>
      </c>
      <c r="L2823" s="19">
        <v>1</v>
      </c>
      <c r="M2823" s="20">
        <v>1</v>
      </c>
      <c r="N2823" s="19">
        <v>0</v>
      </c>
      <c r="O2823" s="19">
        <v>0</v>
      </c>
      <c r="P2823" s="19">
        <v>0</v>
      </c>
      <c r="Q2823" s="19">
        <v>0.66079368733291988</v>
      </c>
      <c r="R2823" s="19">
        <v>0.29374074172120779</v>
      </c>
      <c r="S2823" s="19">
        <v>4.5465570945872363E-2</v>
      </c>
      <c r="T2823" s="20">
        <v>13</v>
      </c>
      <c r="U2823" s="17">
        <v>3</v>
      </c>
      <c r="V2823" s="17">
        <v>36</v>
      </c>
    </row>
    <row r="2824" spans="1:22" x14ac:dyDescent="0.2">
      <c r="A2824" t="s">
        <v>6432</v>
      </c>
      <c r="B2824" t="s">
        <v>5862</v>
      </c>
      <c r="C2824" t="s">
        <v>5863</v>
      </c>
      <c r="D2824" t="s">
        <v>6422</v>
      </c>
      <c r="E2824" s="10" t="s">
        <v>6433</v>
      </c>
      <c r="F2824" s="10"/>
      <c r="G2824" s="10"/>
      <c r="H2824" s="10" t="s">
        <v>6433</v>
      </c>
      <c r="I2824" s="14">
        <v>53034.33772719105</v>
      </c>
      <c r="J2824" s="19">
        <v>0</v>
      </c>
      <c r="K2824" s="19">
        <v>0.25968466824034547</v>
      </c>
      <c r="L2824" s="19">
        <v>0.74031533175965436</v>
      </c>
      <c r="M2824" s="20">
        <v>1</v>
      </c>
      <c r="N2824" s="19">
        <v>0</v>
      </c>
      <c r="O2824" s="19">
        <v>0</v>
      </c>
      <c r="P2824" s="19">
        <v>0.25968466824034547</v>
      </c>
      <c r="Q2824" s="19">
        <v>0.37809894081304252</v>
      </c>
      <c r="R2824" s="19">
        <v>0.3152217854170043</v>
      </c>
      <c r="S2824" s="19">
        <v>4.6994605529607603E-2</v>
      </c>
      <c r="T2824" s="20">
        <v>13</v>
      </c>
      <c r="U2824" s="17">
        <v>3</v>
      </c>
      <c r="V2824" s="17">
        <v>36</v>
      </c>
    </row>
    <row r="2825" spans="1:22" x14ac:dyDescent="0.2">
      <c r="A2825" t="s">
        <v>6434</v>
      </c>
      <c r="B2825" t="s">
        <v>5862</v>
      </c>
      <c r="C2825" t="s">
        <v>5863</v>
      </c>
      <c r="D2825" t="s">
        <v>6422</v>
      </c>
      <c r="E2825" s="10" t="s">
        <v>6435</v>
      </c>
      <c r="F2825" s="10"/>
      <c r="G2825" s="10"/>
      <c r="H2825" s="10" t="s">
        <v>6435</v>
      </c>
      <c r="I2825" s="14">
        <v>85906.51274363033</v>
      </c>
      <c r="J2825" s="19">
        <v>0</v>
      </c>
      <c r="K2825" s="19">
        <v>0.17344677029683406</v>
      </c>
      <c r="L2825" s="19">
        <v>0.82655322970316591</v>
      </c>
      <c r="M2825" s="20">
        <v>1</v>
      </c>
      <c r="N2825" s="19">
        <v>0.11438965492687141</v>
      </c>
      <c r="O2825" s="19">
        <v>0</v>
      </c>
      <c r="P2825" s="19">
        <v>5.9057115369962658E-2</v>
      </c>
      <c r="Q2825" s="19">
        <v>0.49145294975906312</v>
      </c>
      <c r="R2825" s="19">
        <v>0.2803581406091592</v>
      </c>
      <c r="S2825" s="19">
        <v>5.4742139334943658E-2</v>
      </c>
      <c r="T2825" s="20">
        <v>13</v>
      </c>
      <c r="U2825" s="17">
        <v>3</v>
      </c>
      <c r="V2825" s="17">
        <v>36</v>
      </c>
    </row>
    <row r="2826" spans="1:22" x14ac:dyDescent="0.2">
      <c r="A2826" t="s">
        <v>6436</v>
      </c>
      <c r="B2826" t="s">
        <v>5862</v>
      </c>
      <c r="C2826" t="s">
        <v>5863</v>
      </c>
      <c r="D2826" t="s">
        <v>6422</v>
      </c>
      <c r="E2826" s="10" t="s">
        <v>6437</v>
      </c>
      <c r="F2826" s="10"/>
      <c r="G2826" s="10"/>
      <c r="H2826" s="10" t="s">
        <v>6437</v>
      </c>
      <c r="I2826" s="14">
        <v>180403.03168149153</v>
      </c>
      <c r="J2826" s="19">
        <v>0.32445320970616648</v>
      </c>
      <c r="K2826" s="19">
        <v>0.3088448327517363</v>
      </c>
      <c r="L2826" s="19">
        <v>0.36670195754209722</v>
      </c>
      <c r="M2826" s="20">
        <v>2</v>
      </c>
      <c r="N2826" s="19">
        <v>0</v>
      </c>
      <c r="O2826" s="19">
        <v>6.1286611077278404E-2</v>
      </c>
      <c r="P2826" s="19">
        <v>0.2475582216744579</v>
      </c>
      <c r="Q2826" s="19">
        <v>0.21193147454321379</v>
      </c>
      <c r="R2826" s="19">
        <v>0.13139830364485044</v>
      </c>
      <c r="S2826" s="19">
        <v>2.3372179354033008E-2</v>
      </c>
      <c r="T2826" s="20">
        <v>22</v>
      </c>
      <c r="U2826" s="17">
        <v>3</v>
      </c>
      <c r="V2826" s="17">
        <v>36</v>
      </c>
    </row>
    <row r="2827" spans="1:22" x14ac:dyDescent="0.2">
      <c r="A2827" t="s">
        <v>6438</v>
      </c>
      <c r="B2827" t="s">
        <v>5862</v>
      </c>
      <c r="C2827" t="s">
        <v>5863</v>
      </c>
      <c r="D2827" t="s">
        <v>6422</v>
      </c>
      <c r="E2827" s="10" t="s">
        <v>6439</v>
      </c>
      <c r="F2827" s="10"/>
      <c r="G2827" s="10"/>
      <c r="H2827" s="10" t="s">
        <v>6439</v>
      </c>
      <c r="I2827" s="14">
        <v>42738.548322810442</v>
      </c>
      <c r="J2827" s="19">
        <v>0</v>
      </c>
      <c r="K2827" s="19">
        <v>0</v>
      </c>
      <c r="L2827" s="19">
        <v>1</v>
      </c>
      <c r="M2827" s="20">
        <v>1</v>
      </c>
      <c r="N2827" s="19">
        <v>0</v>
      </c>
      <c r="O2827" s="19">
        <v>0</v>
      </c>
      <c r="P2827" s="19">
        <v>0</v>
      </c>
      <c r="Q2827" s="19">
        <v>0.4117294566030395</v>
      </c>
      <c r="R2827" s="19">
        <v>0.50367414283119105</v>
      </c>
      <c r="S2827" s="19">
        <v>8.459640056576942E-2</v>
      </c>
      <c r="T2827" s="20">
        <v>12</v>
      </c>
      <c r="U2827" s="17">
        <v>3</v>
      </c>
      <c r="V2827" s="17">
        <v>36</v>
      </c>
    </row>
    <row r="2828" spans="1:22" x14ac:dyDescent="0.2">
      <c r="A2828" t="s">
        <v>6440</v>
      </c>
      <c r="B2828" t="s">
        <v>5862</v>
      </c>
      <c r="C2828" t="s">
        <v>5863</v>
      </c>
      <c r="D2828" t="s">
        <v>6422</v>
      </c>
      <c r="E2828" s="10" t="s">
        <v>6441</v>
      </c>
      <c r="F2828" s="10"/>
      <c r="G2828" s="10"/>
      <c r="H2828" s="10" t="s">
        <v>6441</v>
      </c>
      <c r="I2828" s="14">
        <v>26222.564008953519</v>
      </c>
      <c r="J2828" s="19">
        <v>0</v>
      </c>
      <c r="K2828" s="19">
        <v>0</v>
      </c>
      <c r="L2828" s="19">
        <v>1</v>
      </c>
      <c r="M2828" s="20">
        <v>1</v>
      </c>
      <c r="N2828" s="19">
        <v>0</v>
      </c>
      <c r="O2828" s="19">
        <v>0</v>
      </c>
      <c r="P2828" s="19">
        <v>0</v>
      </c>
      <c r="Q2828" s="19">
        <v>0.49041342405826238</v>
      </c>
      <c r="R2828" s="19">
        <v>0.45162574132448741</v>
      </c>
      <c r="S2828" s="19">
        <v>5.7960834617250032E-2</v>
      </c>
      <c r="T2828" s="20">
        <v>13</v>
      </c>
      <c r="U2828" s="17">
        <v>3</v>
      </c>
      <c r="V2828" s="17">
        <v>36</v>
      </c>
    </row>
    <row r="2829" spans="1:22" x14ac:dyDescent="0.2">
      <c r="A2829" t="s">
        <v>6442</v>
      </c>
      <c r="B2829" t="s">
        <v>5862</v>
      </c>
      <c r="C2829" t="s">
        <v>5863</v>
      </c>
      <c r="D2829" t="s">
        <v>6422</v>
      </c>
      <c r="E2829" s="10" t="s">
        <v>6443</v>
      </c>
      <c r="F2829" s="10"/>
      <c r="G2829" s="10"/>
      <c r="H2829" s="10" t="s">
        <v>6443</v>
      </c>
      <c r="I2829" s="14">
        <v>61430.255361781339</v>
      </c>
      <c r="J2829" s="19">
        <v>0</v>
      </c>
      <c r="K2829" s="19">
        <v>0.13013691636132299</v>
      </c>
      <c r="L2829" s="19">
        <v>0.86986308363867704</v>
      </c>
      <c r="M2829" s="20">
        <v>1</v>
      </c>
      <c r="N2829" s="19">
        <v>0</v>
      </c>
      <c r="O2829" s="19">
        <v>0.13013691636132299</v>
      </c>
      <c r="P2829" s="19">
        <v>0</v>
      </c>
      <c r="Q2829" s="19">
        <v>0.4758145548082881</v>
      </c>
      <c r="R2829" s="19">
        <v>0.35739649796329326</v>
      </c>
      <c r="S2829" s="19">
        <v>3.665203086709562E-2</v>
      </c>
      <c r="T2829" s="20">
        <v>13</v>
      </c>
      <c r="U2829" s="17">
        <v>3</v>
      </c>
      <c r="V2829" s="17">
        <v>36</v>
      </c>
    </row>
    <row r="2830" spans="1:22" x14ac:dyDescent="0.2">
      <c r="A2830" t="s">
        <v>6444</v>
      </c>
      <c r="B2830" t="s">
        <v>5862</v>
      </c>
      <c r="C2830" t="s">
        <v>5863</v>
      </c>
      <c r="D2830" t="s">
        <v>6422</v>
      </c>
      <c r="E2830" s="10" t="s">
        <v>6445</v>
      </c>
      <c r="F2830" s="10"/>
      <c r="G2830" s="10"/>
      <c r="H2830" s="10" t="s">
        <v>6445</v>
      </c>
      <c r="I2830" s="14">
        <v>81108.351506018429</v>
      </c>
      <c r="J2830" s="19">
        <v>0</v>
      </c>
      <c r="K2830" s="19">
        <v>0.14432488529006723</v>
      </c>
      <c r="L2830" s="19">
        <v>0.85567511470993263</v>
      </c>
      <c r="M2830" s="20">
        <v>1</v>
      </c>
      <c r="N2830" s="19">
        <v>9.0141695981515169E-2</v>
      </c>
      <c r="O2830" s="19">
        <v>0</v>
      </c>
      <c r="P2830" s="19">
        <v>5.4183189308552079E-2</v>
      </c>
      <c r="Q2830" s="19">
        <v>0.44052291570272772</v>
      </c>
      <c r="R2830" s="19">
        <v>0.36071318934442809</v>
      </c>
      <c r="S2830" s="19">
        <v>5.4439009662776976E-2</v>
      </c>
      <c r="T2830" s="20">
        <v>13</v>
      </c>
      <c r="U2830" s="17">
        <v>3</v>
      </c>
      <c r="V2830" s="17">
        <v>36</v>
      </c>
    </row>
    <row r="2831" spans="1:22" x14ac:dyDescent="0.2">
      <c r="A2831" t="s">
        <v>6446</v>
      </c>
      <c r="B2831" t="s">
        <v>5862</v>
      </c>
      <c r="C2831" t="s">
        <v>5863</v>
      </c>
      <c r="D2831" t="s">
        <v>6422</v>
      </c>
      <c r="E2831" s="10" t="s">
        <v>6447</v>
      </c>
      <c r="F2831" s="10"/>
      <c r="G2831" s="10"/>
      <c r="H2831" s="10" t="s">
        <v>6447</v>
      </c>
      <c r="I2831" s="14">
        <v>24631.830340411863</v>
      </c>
      <c r="J2831" s="19">
        <v>0</v>
      </c>
      <c r="K2831" s="19">
        <v>0</v>
      </c>
      <c r="L2831" s="19">
        <v>1</v>
      </c>
      <c r="M2831" s="20">
        <v>1</v>
      </c>
      <c r="N2831" s="19">
        <v>0</v>
      </c>
      <c r="O2831" s="19">
        <v>0</v>
      </c>
      <c r="P2831" s="19">
        <v>0</v>
      </c>
      <c r="Q2831" s="19">
        <v>0.44088482111179972</v>
      </c>
      <c r="R2831" s="19">
        <v>0.51795682186176228</v>
      </c>
      <c r="S2831" s="19">
        <v>4.115835702643799E-2</v>
      </c>
      <c r="T2831" s="20">
        <v>12</v>
      </c>
      <c r="U2831" s="17">
        <v>3</v>
      </c>
      <c r="V2831" s="17">
        <v>36</v>
      </c>
    </row>
    <row r="2832" spans="1:22" x14ac:dyDescent="0.2">
      <c r="A2832" t="s">
        <v>6448</v>
      </c>
      <c r="B2832" t="s">
        <v>5862</v>
      </c>
      <c r="C2832" t="s">
        <v>5863</v>
      </c>
      <c r="D2832" t="s">
        <v>6449</v>
      </c>
      <c r="E2832" s="10" t="s">
        <v>6450</v>
      </c>
      <c r="F2832" s="10"/>
      <c r="G2832" s="10"/>
      <c r="H2832" s="10" t="s">
        <v>6450</v>
      </c>
      <c r="I2832" s="14">
        <v>45848.08038682933</v>
      </c>
      <c r="J2832" s="19">
        <v>0</v>
      </c>
      <c r="K2832" s="19">
        <v>9.9472486570022972E-2</v>
      </c>
      <c r="L2832" s="19">
        <v>0.90052751342997706</v>
      </c>
      <c r="M2832" s="20">
        <v>1</v>
      </c>
      <c r="N2832" s="19">
        <v>0</v>
      </c>
      <c r="O2832" s="19">
        <v>9.9472486570022972E-2</v>
      </c>
      <c r="P2832" s="19">
        <v>0</v>
      </c>
      <c r="Q2832" s="19">
        <v>0.53332746318061741</v>
      </c>
      <c r="R2832" s="19">
        <v>0.30179221406825119</v>
      </c>
      <c r="S2832" s="19">
        <v>6.5407836181108445E-2</v>
      </c>
      <c r="T2832" s="20">
        <v>13</v>
      </c>
      <c r="U2832" s="17">
        <v>3</v>
      </c>
      <c r="V2832" s="17">
        <v>36</v>
      </c>
    </row>
    <row r="2833" spans="1:22" x14ac:dyDescent="0.2">
      <c r="A2833" t="s">
        <v>6451</v>
      </c>
      <c r="B2833" t="s">
        <v>5862</v>
      </c>
      <c r="C2833" t="s">
        <v>5863</v>
      </c>
      <c r="D2833" t="s">
        <v>6449</v>
      </c>
      <c r="E2833" s="10" t="s">
        <v>6452</v>
      </c>
      <c r="F2833" s="10"/>
      <c r="G2833" s="10"/>
      <c r="H2833" s="10" t="s">
        <v>6452</v>
      </c>
      <c r="I2833" s="14">
        <v>37898.882824027911</v>
      </c>
      <c r="J2833" s="19">
        <v>0</v>
      </c>
      <c r="K2833" s="19">
        <v>0</v>
      </c>
      <c r="L2833" s="19">
        <v>1</v>
      </c>
      <c r="M2833" s="20">
        <v>1</v>
      </c>
      <c r="N2833" s="19">
        <v>0</v>
      </c>
      <c r="O2833" s="19">
        <v>0</v>
      </c>
      <c r="P2833" s="19">
        <v>0</v>
      </c>
      <c r="Q2833" s="19">
        <v>0.52493048292138333</v>
      </c>
      <c r="R2833" s="19">
        <v>0.39044187760149629</v>
      </c>
      <c r="S2833" s="19">
        <v>8.4627639477120445E-2</v>
      </c>
      <c r="T2833" s="20">
        <v>13</v>
      </c>
      <c r="U2833" s="17">
        <v>3</v>
      </c>
      <c r="V2833" s="17">
        <v>36</v>
      </c>
    </row>
    <row r="2834" spans="1:22" x14ac:dyDescent="0.2">
      <c r="A2834" t="s">
        <v>6453</v>
      </c>
      <c r="B2834" t="s">
        <v>5862</v>
      </c>
      <c r="C2834" t="s">
        <v>5863</v>
      </c>
      <c r="D2834" t="s">
        <v>6449</v>
      </c>
      <c r="E2834" s="10" t="s">
        <v>6454</v>
      </c>
      <c r="F2834" s="10"/>
      <c r="G2834" s="10"/>
      <c r="H2834" s="10" t="s">
        <v>6454</v>
      </c>
      <c r="I2834" s="14">
        <v>52965.46936441306</v>
      </c>
      <c r="J2834" s="19">
        <v>0</v>
      </c>
      <c r="K2834" s="19">
        <v>0.49418242857632871</v>
      </c>
      <c r="L2834" s="19">
        <v>0.50581757142367134</v>
      </c>
      <c r="M2834" s="20">
        <v>1</v>
      </c>
      <c r="N2834" s="19">
        <v>0</v>
      </c>
      <c r="O2834" s="19">
        <v>0.49418242857632871</v>
      </c>
      <c r="P2834" s="19">
        <v>0</v>
      </c>
      <c r="Q2834" s="19">
        <v>0.21826804228924684</v>
      </c>
      <c r="R2834" s="19">
        <v>0.24706843679953935</v>
      </c>
      <c r="S2834" s="19">
        <v>4.0481092334885109E-2</v>
      </c>
      <c r="T2834" s="20">
        <v>12</v>
      </c>
      <c r="U2834" s="17">
        <v>3</v>
      </c>
      <c r="V2834" s="17">
        <v>36</v>
      </c>
    </row>
    <row r="2835" spans="1:22" x14ac:dyDescent="0.2">
      <c r="A2835" t="s">
        <v>6455</v>
      </c>
      <c r="B2835" t="s">
        <v>5862</v>
      </c>
      <c r="C2835" t="s">
        <v>5863</v>
      </c>
      <c r="D2835" t="s">
        <v>6449</v>
      </c>
      <c r="E2835" s="10" t="s">
        <v>6456</v>
      </c>
      <c r="F2835" s="10"/>
      <c r="G2835" s="10"/>
      <c r="H2835" s="10" t="s">
        <v>6456</v>
      </c>
      <c r="I2835" s="14">
        <v>180245.60884821508</v>
      </c>
      <c r="J2835" s="19">
        <v>0.3813222651887852</v>
      </c>
      <c r="K2835" s="19">
        <v>0.18577352867246449</v>
      </c>
      <c r="L2835" s="19">
        <v>0.4329042061387503</v>
      </c>
      <c r="M2835" s="20">
        <v>2</v>
      </c>
      <c r="N2835" s="19">
        <v>0</v>
      </c>
      <c r="O2835" s="19">
        <v>1.366893479937064E-2</v>
      </c>
      <c r="P2835" s="19">
        <v>0.17210459387309382</v>
      </c>
      <c r="Q2835" s="19">
        <v>0.20003916465938418</v>
      </c>
      <c r="R2835" s="19">
        <v>0.19894688668184554</v>
      </c>
      <c r="S2835" s="19">
        <v>3.3918154797520583E-2</v>
      </c>
      <c r="T2835" s="20">
        <v>22</v>
      </c>
      <c r="U2835" s="17">
        <v>3</v>
      </c>
      <c r="V2835" s="17">
        <v>36</v>
      </c>
    </row>
    <row r="2836" spans="1:22" x14ac:dyDescent="0.2">
      <c r="A2836" t="s">
        <v>6457</v>
      </c>
      <c r="B2836" t="s">
        <v>5862</v>
      </c>
      <c r="C2836" t="s">
        <v>5863</v>
      </c>
      <c r="D2836" t="s">
        <v>6449</v>
      </c>
      <c r="E2836" s="10" t="s">
        <v>6458</v>
      </c>
      <c r="F2836" s="10"/>
      <c r="G2836" s="10"/>
      <c r="H2836" s="10" t="s">
        <v>6458</v>
      </c>
      <c r="I2836" s="14">
        <v>60248.975967034705</v>
      </c>
      <c r="J2836" s="19">
        <v>0</v>
      </c>
      <c r="K2836" s="19">
        <v>0.45609538954326706</v>
      </c>
      <c r="L2836" s="19">
        <v>0.54390461045673288</v>
      </c>
      <c r="M2836" s="20">
        <v>1</v>
      </c>
      <c r="N2836" s="19">
        <v>9.836523223520513E-2</v>
      </c>
      <c r="O2836" s="19">
        <v>0.10283090469272411</v>
      </c>
      <c r="P2836" s="19">
        <v>0.2548992526153378</v>
      </c>
      <c r="Q2836" s="19">
        <v>0.25674811500859296</v>
      </c>
      <c r="R2836" s="19">
        <v>0.24329824692037688</v>
      </c>
      <c r="S2836" s="19">
        <v>4.3858248527763023E-2</v>
      </c>
      <c r="T2836" s="20">
        <v>13</v>
      </c>
      <c r="U2836" s="17">
        <v>3</v>
      </c>
      <c r="V2836" s="17">
        <v>36</v>
      </c>
    </row>
    <row r="2837" spans="1:22" x14ac:dyDescent="0.2">
      <c r="A2837" t="s">
        <v>6459</v>
      </c>
      <c r="B2837" t="s">
        <v>5862</v>
      </c>
      <c r="C2837" t="s">
        <v>5863</v>
      </c>
      <c r="D2837" t="s">
        <v>6449</v>
      </c>
      <c r="E2837" s="10" t="s">
        <v>6460</v>
      </c>
      <c r="F2837" s="10"/>
      <c r="G2837" s="10"/>
      <c r="H2837" s="10" t="s">
        <v>6460</v>
      </c>
      <c r="I2837" s="14">
        <v>24070.324648277252</v>
      </c>
      <c r="J2837" s="19">
        <v>0</v>
      </c>
      <c r="K2837" s="19">
        <v>0.3005238139721953</v>
      </c>
      <c r="L2837" s="19">
        <v>0.6994761860278047</v>
      </c>
      <c r="M2837" s="20">
        <v>1</v>
      </c>
      <c r="N2837" s="19">
        <v>0</v>
      </c>
      <c r="O2837" s="19">
        <v>0.3005238139721953</v>
      </c>
      <c r="P2837" s="19">
        <v>0</v>
      </c>
      <c r="Q2837" s="19">
        <v>0.33128015691017082</v>
      </c>
      <c r="R2837" s="19">
        <v>0.27304417499582401</v>
      </c>
      <c r="S2837" s="19">
        <v>9.515185412180989E-2</v>
      </c>
      <c r="T2837" s="20">
        <v>13</v>
      </c>
      <c r="U2837" s="17">
        <v>3</v>
      </c>
      <c r="V2837" s="17">
        <v>36</v>
      </c>
    </row>
    <row r="2838" spans="1:22" x14ac:dyDescent="0.2">
      <c r="A2838" t="s">
        <v>6461</v>
      </c>
      <c r="B2838" t="s">
        <v>5862</v>
      </c>
      <c r="C2838" t="s">
        <v>5863</v>
      </c>
      <c r="D2838" t="s">
        <v>6449</v>
      </c>
      <c r="E2838" s="10" t="s">
        <v>6462</v>
      </c>
      <c r="F2838" s="10"/>
      <c r="G2838" s="10"/>
      <c r="H2838" s="10" t="s">
        <v>6462</v>
      </c>
      <c r="I2838" s="14">
        <v>21056.324077043682</v>
      </c>
      <c r="J2838" s="19">
        <v>0</v>
      </c>
      <c r="K2838" s="19">
        <v>0.3650328784127731</v>
      </c>
      <c r="L2838" s="19">
        <v>0.6349671215872269</v>
      </c>
      <c r="M2838" s="20">
        <v>1</v>
      </c>
      <c r="N2838" s="19">
        <v>0</v>
      </c>
      <c r="O2838" s="19">
        <v>0</v>
      </c>
      <c r="P2838" s="19">
        <v>0.3650328784127731</v>
      </c>
      <c r="Q2838" s="19">
        <v>0.22583906648130325</v>
      </c>
      <c r="R2838" s="19">
        <v>0.38521052213652512</v>
      </c>
      <c r="S2838" s="19">
        <v>2.391753296939848E-2</v>
      </c>
      <c r="T2838" s="20">
        <v>12</v>
      </c>
      <c r="U2838" s="17">
        <v>3</v>
      </c>
      <c r="V2838" s="17">
        <v>36</v>
      </c>
    </row>
    <row r="2839" spans="1:22" x14ac:dyDescent="0.2">
      <c r="A2839" t="s">
        <v>6463</v>
      </c>
      <c r="B2839" t="s">
        <v>5862</v>
      </c>
      <c r="C2839" t="s">
        <v>5863</v>
      </c>
      <c r="D2839" t="s">
        <v>6464</v>
      </c>
      <c r="E2839" s="10" t="s">
        <v>6465</v>
      </c>
      <c r="F2839" s="10"/>
      <c r="G2839" s="10"/>
      <c r="H2839" s="10" t="s">
        <v>6465</v>
      </c>
      <c r="I2839" s="14">
        <v>62513.46325406502</v>
      </c>
      <c r="J2839" s="19">
        <v>0</v>
      </c>
      <c r="K2839" s="19">
        <v>0.41202213066476784</v>
      </c>
      <c r="L2839" s="19">
        <v>0.58797786933523222</v>
      </c>
      <c r="M2839" s="20">
        <v>1</v>
      </c>
      <c r="N2839" s="19">
        <v>0.10310084782499505</v>
      </c>
      <c r="O2839" s="19">
        <v>0</v>
      </c>
      <c r="P2839" s="19">
        <v>0.30892128283977277</v>
      </c>
      <c r="Q2839" s="19">
        <v>4.9858887380570344E-2</v>
      </c>
      <c r="R2839" s="19">
        <v>0.51466419510777739</v>
      </c>
      <c r="S2839" s="19">
        <v>2.3454786846884405E-2</v>
      </c>
      <c r="T2839" s="20">
        <v>12</v>
      </c>
      <c r="U2839" s="17">
        <v>3</v>
      </c>
      <c r="V2839" s="17">
        <v>36</v>
      </c>
    </row>
    <row r="2840" spans="1:22" x14ac:dyDescent="0.2">
      <c r="A2840" t="s">
        <v>6466</v>
      </c>
      <c r="B2840" t="s">
        <v>5862</v>
      </c>
      <c r="C2840" t="s">
        <v>5863</v>
      </c>
      <c r="D2840" t="s">
        <v>6464</v>
      </c>
      <c r="E2840" s="10" t="s">
        <v>6467</v>
      </c>
      <c r="F2840" s="10"/>
      <c r="G2840" s="10"/>
      <c r="H2840" s="10" t="s">
        <v>6467</v>
      </c>
      <c r="I2840" s="14">
        <v>92710.314757205313</v>
      </c>
      <c r="J2840" s="19">
        <v>0</v>
      </c>
      <c r="K2840" s="19">
        <v>0.4527632830483016</v>
      </c>
      <c r="L2840" s="19">
        <v>0.5472367169516984</v>
      </c>
      <c r="M2840" s="20">
        <v>1</v>
      </c>
      <c r="N2840" s="19">
        <v>0.16561157272038896</v>
      </c>
      <c r="O2840" s="19">
        <v>8.3984111131004513E-2</v>
      </c>
      <c r="P2840" s="19">
        <v>0.20316759919690813</v>
      </c>
      <c r="Q2840" s="19">
        <v>6.2684621852744177E-2</v>
      </c>
      <c r="R2840" s="19">
        <v>0.46000317615368091</v>
      </c>
      <c r="S2840" s="19">
        <v>2.45489189452733E-2</v>
      </c>
      <c r="T2840" s="20">
        <v>12</v>
      </c>
      <c r="U2840" s="17">
        <v>3</v>
      </c>
      <c r="V2840" s="17">
        <v>36</v>
      </c>
    </row>
    <row r="2841" spans="1:22" x14ac:dyDescent="0.2">
      <c r="A2841" t="s">
        <v>6468</v>
      </c>
      <c r="B2841" t="s">
        <v>5862</v>
      </c>
      <c r="C2841" t="s">
        <v>5863</v>
      </c>
      <c r="D2841" t="s">
        <v>6464</v>
      </c>
      <c r="E2841" s="10" t="s">
        <v>6469</v>
      </c>
      <c r="F2841" s="10"/>
      <c r="G2841" s="10"/>
      <c r="H2841" s="10" t="s">
        <v>6469</v>
      </c>
      <c r="I2841" s="14">
        <v>51166.874183192616</v>
      </c>
      <c r="J2841" s="19">
        <v>0</v>
      </c>
      <c r="K2841" s="19">
        <v>0.2065946616113144</v>
      </c>
      <c r="L2841" s="19">
        <v>0.79340533838868565</v>
      </c>
      <c r="M2841" s="20">
        <v>1</v>
      </c>
      <c r="N2841" s="19">
        <v>0</v>
      </c>
      <c r="O2841" s="19">
        <v>0.1880870757380752</v>
      </c>
      <c r="P2841" s="19">
        <v>1.8507585873239179E-2</v>
      </c>
      <c r="Q2841" s="19">
        <v>0.15178334047218961</v>
      </c>
      <c r="R2841" s="19">
        <v>0.57373703455353264</v>
      </c>
      <c r="S2841" s="19">
        <v>6.7884963362963374E-2</v>
      </c>
      <c r="T2841" s="20">
        <v>12</v>
      </c>
      <c r="U2841" s="17">
        <v>3</v>
      </c>
      <c r="V2841" s="17">
        <v>36</v>
      </c>
    </row>
    <row r="2842" spans="1:22" x14ac:dyDescent="0.2">
      <c r="A2842" t="s">
        <v>6470</v>
      </c>
      <c r="B2842" t="s">
        <v>5862</v>
      </c>
      <c r="C2842" t="s">
        <v>5863</v>
      </c>
      <c r="D2842" t="s">
        <v>6464</v>
      </c>
      <c r="E2842" s="10" t="s">
        <v>6471</v>
      </c>
      <c r="F2842" s="10"/>
      <c r="G2842" s="10"/>
      <c r="H2842" s="10" t="s">
        <v>6471</v>
      </c>
      <c r="I2842" s="14">
        <v>24249.022532561095</v>
      </c>
      <c r="J2842" s="19">
        <v>0</v>
      </c>
      <c r="K2842" s="19">
        <v>0.17438848135364618</v>
      </c>
      <c r="L2842" s="19">
        <v>0.82561151864635396</v>
      </c>
      <c r="M2842" s="20">
        <v>1</v>
      </c>
      <c r="N2842" s="19">
        <v>0</v>
      </c>
      <c r="O2842" s="19">
        <v>0</v>
      </c>
      <c r="P2842" s="19">
        <v>0.17438848135364618</v>
      </c>
      <c r="Q2842" s="19">
        <v>0.22321663745365622</v>
      </c>
      <c r="R2842" s="19">
        <v>0.55607260498612199</v>
      </c>
      <c r="S2842" s="19">
        <v>4.6322276206575579E-2</v>
      </c>
      <c r="T2842" s="20">
        <v>12</v>
      </c>
      <c r="U2842" s="17">
        <v>3</v>
      </c>
      <c r="V2842" s="17">
        <v>36</v>
      </c>
    </row>
    <row r="2843" spans="1:22" x14ac:dyDescent="0.2">
      <c r="A2843" t="s">
        <v>6472</v>
      </c>
      <c r="B2843" t="s">
        <v>5862</v>
      </c>
      <c r="C2843" t="s">
        <v>5863</v>
      </c>
      <c r="D2843" t="s">
        <v>6473</v>
      </c>
      <c r="E2843" s="10" t="s">
        <v>6474</v>
      </c>
      <c r="F2843" s="10"/>
      <c r="G2843" s="10"/>
      <c r="H2843" s="10" t="s">
        <v>6474</v>
      </c>
      <c r="I2843" s="14">
        <v>111437.75122029486</v>
      </c>
      <c r="J2843" s="19">
        <v>0</v>
      </c>
      <c r="K2843" s="19">
        <v>0.39315400032788683</v>
      </c>
      <c r="L2843" s="19">
        <v>0.60684599967211317</v>
      </c>
      <c r="M2843" s="20">
        <v>1</v>
      </c>
      <c r="N2843" s="19">
        <v>5.4732933763307304E-2</v>
      </c>
      <c r="O2843" s="19">
        <v>6.2724390740123079E-2</v>
      </c>
      <c r="P2843" s="19">
        <v>0.27569667582445645</v>
      </c>
      <c r="Q2843" s="19">
        <v>0.10155802558061601</v>
      </c>
      <c r="R2843" s="19">
        <v>0.48505359266036241</v>
      </c>
      <c r="S2843" s="19">
        <v>2.023438143113479E-2</v>
      </c>
      <c r="T2843" s="20">
        <v>12</v>
      </c>
      <c r="U2843" s="17">
        <v>3</v>
      </c>
      <c r="V2843" s="17">
        <v>36</v>
      </c>
    </row>
    <row r="2844" spans="1:22" x14ac:dyDescent="0.2">
      <c r="A2844" t="s">
        <v>6475</v>
      </c>
      <c r="B2844" t="s">
        <v>5862</v>
      </c>
      <c r="C2844" t="s">
        <v>5863</v>
      </c>
      <c r="D2844" t="s">
        <v>6473</v>
      </c>
      <c r="E2844" s="10" t="s">
        <v>6476</v>
      </c>
      <c r="F2844" s="10"/>
      <c r="G2844" s="10"/>
      <c r="H2844" s="10" t="s">
        <v>6476</v>
      </c>
      <c r="I2844" s="14">
        <v>56433.914413812687</v>
      </c>
      <c r="J2844" s="19">
        <v>0</v>
      </c>
      <c r="K2844" s="19">
        <v>0.85425466498035507</v>
      </c>
      <c r="L2844" s="19">
        <v>0.1457453350196449</v>
      </c>
      <c r="M2844" s="20">
        <v>2</v>
      </c>
      <c r="N2844" s="19">
        <v>0.10910037170915617</v>
      </c>
      <c r="O2844" s="19">
        <v>1.7082753313228772E-2</v>
      </c>
      <c r="P2844" s="19">
        <v>0.72807153995797014</v>
      </c>
      <c r="Q2844" s="19">
        <v>0</v>
      </c>
      <c r="R2844" s="19">
        <v>0.13633991250594704</v>
      </c>
      <c r="S2844" s="19">
        <v>9.4054225136978517E-3</v>
      </c>
      <c r="T2844" s="20">
        <v>21</v>
      </c>
      <c r="U2844" s="17">
        <v>3</v>
      </c>
      <c r="V2844" s="17">
        <v>36</v>
      </c>
    </row>
    <row r="2845" spans="1:22" x14ac:dyDescent="0.2">
      <c r="A2845" t="s">
        <v>6477</v>
      </c>
      <c r="B2845" t="s">
        <v>5862</v>
      </c>
      <c r="C2845" t="s">
        <v>5863</v>
      </c>
      <c r="D2845" t="s">
        <v>6473</v>
      </c>
      <c r="E2845" s="10" t="s">
        <v>6478</v>
      </c>
      <c r="F2845" s="10"/>
      <c r="G2845" s="10"/>
      <c r="H2845" s="10" t="s">
        <v>6478</v>
      </c>
      <c r="I2845" s="14">
        <v>151589.96193719411</v>
      </c>
      <c r="J2845" s="19">
        <v>0</v>
      </c>
      <c r="K2845" s="19">
        <v>0.66097204657329944</v>
      </c>
      <c r="L2845" s="19">
        <v>0.33902795342670056</v>
      </c>
      <c r="M2845" s="20">
        <v>2</v>
      </c>
      <c r="N2845" s="19">
        <v>8.0092909764188328E-2</v>
      </c>
      <c r="O2845" s="19">
        <v>2.8178647181921139E-2</v>
      </c>
      <c r="P2845" s="19">
        <v>0.55270048962718998</v>
      </c>
      <c r="Q2845" s="19">
        <v>8.7530886453577719E-2</v>
      </c>
      <c r="R2845" s="19">
        <v>0.24350732875076167</v>
      </c>
      <c r="S2845" s="19">
        <v>7.989738222361124E-3</v>
      </c>
      <c r="T2845" s="20">
        <v>21</v>
      </c>
      <c r="U2845" s="17">
        <v>3</v>
      </c>
      <c r="V2845" s="17">
        <v>36</v>
      </c>
    </row>
    <row r="2846" spans="1:22" x14ac:dyDescent="0.2">
      <c r="A2846" t="s">
        <v>6479</v>
      </c>
      <c r="B2846" t="s">
        <v>5862</v>
      </c>
      <c r="C2846" t="s">
        <v>5863</v>
      </c>
      <c r="D2846" t="s">
        <v>6473</v>
      </c>
      <c r="E2846" s="10" t="s">
        <v>6480</v>
      </c>
      <c r="F2846" s="10"/>
      <c r="G2846" s="10"/>
      <c r="H2846" s="10" t="s">
        <v>6480</v>
      </c>
      <c r="I2846" s="14">
        <v>354512.97798585653</v>
      </c>
      <c r="J2846" s="19">
        <v>0.60004312862116449</v>
      </c>
      <c r="K2846" s="19">
        <v>0.34627904498677226</v>
      </c>
      <c r="L2846" s="19">
        <v>5.3677826392063394E-2</v>
      </c>
      <c r="M2846" s="20">
        <v>3</v>
      </c>
      <c r="N2846" s="19">
        <v>7.3809124390368996E-3</v>
      </c>
      <c r="O2846" s="19">
        <v>2.0667693327232884E-2</v>
      </c>
      <c r="P2846" s="19">
        <v>0.31823043922050248</v>
      </c>
      <c r="Q2846" s="19">
        <v>9.5553960065236635E-8</v>
      </c>
      <c r="R2846" s="19">
        <v>5.1797226719878707E-2</v>
      </c>
      <c r="S2846" s="19">
        <v>1.880504118224617E-3</v>
      </c>
      <c r="T2846" s="20">
        <v>30</v>
      </c>
      <c r="U2846" s="17">
        <v>3</v>
      </c>
      <c r="V2846" s="17">
        <v>36</v>
      </c>
    </row>
    <row r="2847" spans="1:22" x14ac:dyDescent="0.2">
      <c r="A2847" t="s">
        <v>6481</v>
      </c>
      <c r="B2847" t="s">
        <v>5862</v>
      </c>
      <c r="C2847" t="s">
        <v>5863</v>
      </c>
      <c r="D2847" t="s">
        <v>6473</v>
      </c>
      <c r="E2847" s="10" t="s">
        <v>6482</v>
      </c>
      <c r="F2847" s="10"/>
      <c r="G2847" s="10"/>
      <c r="H2847" s="10" t="s">
        <v>6482</v>
      </c>
      <c r="I2847" s="14">
        <v>122413.85218347238</v>
      </c>
      <c r="J2847" s="19">
        <v>0</v>
      </c>
      <c r="K2847" s="19">
        <v>0.81925196303034986</v>
      </c>
      <c r="L2847" s="19">
        <v>0.18074803696965006</v>
      </c>
      <c r="M2847" s="20">
        <v>2</v>
      </c>
      <c r="N2847" s="19">
        <v>0.23683646790606355</v>
      </c>
      <c r="O2847" s="19">
        <v>0</v>
      </c>
      <c r="P2847" s="19">
        <v>0.58241549512428625</v>
      </c>
      <c r="Q2847" s="19">
        <v>0</v>
      </c>
      <c r="R2847" s="19">
        <v>0.17754208856671205</v>
      </c>
      <c r="S2847" s="19">
        <v>3.2059484029379848E-3</v>
      </c>
      <c r="T2847" s="20">
        <v>21</v>
      </c>
      <c r="U2847" s="17">
        <v>3</v>
      </c>
      <c r="V2847" s="17">
        <v>36</v>
      </c>
    </row>
    <row r="2848" spans="1:22" x14ac:dyDescent="0.2">
      <c r="A2848" t="s">
        <v>6483</v>
      </c>
      <c r="B2848" t="s">
        <v>5862</v>
      </c>
      <c r="C2848" t="s">
        <v>5863</v>
      </c>
      <c r="D2848" t="s">
        <v>6473</v>
      </c>
      <c r="E2848" s="10" t="s">
        <v>6484</v>
      </c>
      <c r="F2848" s="10"/>
      <c r="G2848" s="10"/>
      <c r="H2848" s="10" t="s">
        <v>6484</v>
      </c>
      <c r="I2848" s="14">
        <v>27311.671438929159</v>
      </c>
      <c r="J2848" s="19">
        <v>0.36999866081868493</v>
      </c>
      <c r="K2848" s="19">
        <v>0.42601822312212573</v>
      </c>
      <c r="L2848" s="19">
        <v>0.20398311605918942</v>
      </c>
      <c r="M2848" s="20">
        <v>2</v>
      </c>
      <c r="N2848" s="19">
        <v>6.7636504973191654E-3</v>
      </c>
      <c r="O2848" s="19">
        <v>0</v>
      </c>
      <c r="P2848" s="19">
        <v>0.41925457262480653</v>
      </c>
      <c r="Q2848" s="19">
        <v>0</v>
      </c>
      <c r="R2848" s="19">
        <v>0.19211093866391496</v>
      </c>
      <c r="S2848" s="19">
        <v>1.1872177395274394E-2</v>
      </c>
      <c r="T2848" s="20">
        <v>23</v>
      </c>
      <c r="U2848" s="17">
        <v>3</v>
      </c>
      <c r="V2848" s="17">
        <v>36</v>
      </c>
    </row>
    <row r="2849" spans="1:22" x14ac:dyDescent="0.2">
      <c r="A2849" t="s">
        <v>6485</v>
      </c>
      <c r="B2849" t="s">
        <v>5862</v>
      </c>
      <c r="C2849" t="s">
        <v>5863</v>
      </c>
      <c r="D2849" t="s">
        <v>6473</v>
      </c>
      <c r="E2849" s="10" t="s">
        <v>6486</v>
      </c>
      <c r="F2849" s="10"/>
      <c r="G2849" s="10"/>
      <c r="H2849" s="10" t="s">
        <v>6486</v>
      </c>
      <c r="I2849" s="14">
        <v>192241.43282126321</v>
      </c>
      <c r="J2849" s="19">
        <v>0.54899105448899888</v>
      </c>
      <c r="K2849" s="19">
        <v>0.37834552779142316</v>
      </c>
      <c r="L2849" s="19">
        <v>7.2663417719577947E-2</v>
      </c>
      <c r="M2849" s="20">
        <v>3</v>
      </c>
      <c r="N2849" s="19">
        <v>0.10249576464231855</v>
      </c>
      <c r="O2849" s="19">
        <v>1.6376894118124538E-3</v>
      </c>
      <c r="P2849" s="19">
        <v>0.27421207373729212</v>
      </c>
      <c r="Q2849" s="19">
        <v>1.2716207582785584E-2</v>
      </c>
      <c r="R2849" s="19">
        <v>5.897471581507046E-2</v>
      </c>
      <c r="S2849" s="19">
        <v>9.7249432172190678E-4</v>
      </c>
      <c r="T2849" s="20">
        <v>30</v>
      </c>
      <c r="U2849" s="17">
        <v>3</v>
      </c>
      <c r="V2849" s="17">
        <v>36</v>
      </c>
    </row>
    <row r="2850" spans="1:22" x14ac:dyDescent="0.2">
      <c r="A2850" t="s">
        <v>6487</v>
      </c>
      <c r="B2850" t="s">
        <v>5862</v>
      </c>
      <c r="C2850" t="s">
        <v>5863</v>
      </c>
      <c r="D2850" t="s">
        <v>6488</v>
      </c>
      <c r="E2850" s="10" t="s">
        <v>6489</v>
      </c>
      <c r="F2850" s="10"/>
      <c r="G2850" s="10"/>
      <c r="H2850" s="10" t="s">
        <v>6489</v>
      </c>
      <c r="I2850" s="14">
        <v>22540.533495964599</v>
      </c>
      <c r="J2850" s="19">
        <v>0</v>
      </c>
      <c r="K2850" s="19">
        <v>0.30645712437046846</v>
      </c>
      <c r="L2850" s="19">
        <v>0.69354287562953143</v>
      </c>
      <c r="M2850" s="20">
        <v>1</v>
      </c>
      <c r="N2850" s="19">
        <v>0</v>
      </c>
      <c r="O2850" s="19">
        <v>0.30645712437046846</v>
      </c>
      <c r="P2850" s="19">
        <v>0</v>
      </c>
      <c r="Q2850" s="19">
        <v>7.7306782140137101E-2</v>
      </c>
      <c r="R2850" s="19">
        <v>0.53424864599228794</v>
      </c>
      <c r="S2850" s="19">
        <v>8.1987447497106514E-2</v>
      </c>
      <c r="T2850" s="20">
        <v>12</v>
      </c>
      <c r="U2850" s="17">
        <v>3</v>
      </c>
      <c r="V2850" s="17">
        <v>36</v>
      </c>
    </row>
    <row r="2851" spans="1:22" x14ac:dyDescent="0.2">
      <c r="A2851" t="s">
        <v>6490</v>
      </c>
      <c r="B2851" t="s">
        <v>5862</v>
      </c>
      <c r="C2851" t="s">
        <v>5863</v>
      </c>
      <c r="D2851" t="s">
        <v>6488</v>
      </c>
      <c r="E2851" s="10" t="s">
        <v>6491</v>
      </c>
      <c r="F2851" s="10"/>
      <c r="G2851" s="10"/>
      <c r="H2851" s="10" t="s">
        <v>6491</v>
      </c>
      <c r="I2851" s="14">
        <v>8749.3379750319291</v>
      </c>
      <c r="J2851" s="19">
        <v>0</v>
      </c>
      <c r="K2851" s="19">
        <v>0</v>
      </c>
      <c r="L2851" s="19">
        <v>1</v>
      </c>
      <c r="M2851" s="20">
        <v>1</v>
      </c>
      <c r="N2851" s="19">
        <v>0</v>
      </c>
      <c r="O2851" s="19">
        <v>0</v>
      </c>
      <c r="P2851" s="19">
        <v>0</v>
      </c>
      <c r="Q2851" s="19">
        <v>0.21396312121310873</v>
      </c>
      <c r="R2851" s="19">
        <v>0.61753755697504376</v>
      </c>
      <c r="S2851" s="19">
        <v>0.16849932181184754</v>
      </c>
      <c r="T2851" s="20">
        <v>12</v>
      </c>
      <c r="U2851" s="17">
        <v>3</v>
      </c>
      <c r="V2851" s="17">
        <v>36</v>
      </c>
    </row>
    <row r="2852" spans="1:22" x14ac:dyDescent="0.2">
      <c r="A2852" t="s">
        <v>6492</v>
      </c>
      <c r="B2852" t="s">
        <v>5862</v>
      </c>
      <c r="C2852" t="s">
        <v>5863</v>
      </c>
      <c r="D2852" t="s">
        <v>6488</v>
      </c>
      <c r="E2852" s="10" t="s">
        <v>6493</v>
      </c>
      <c r="F2852" s="10"/>
      <c r="G2852" s="10"/>
      <c r="H2852" s="10" t="s">
        <v>6493</v>
      </c>
      <c r="I2852" s="14">
        <v>185177.8397446275</v>
      </c>
      <c r="J2852" s="19">
        <v>0.33852210221147738</v>
      </c>
      <c r="K2852" s="19">
        <v>0.23525139587022026</v>
      </c>
      <c r="L2852" s="19">
        <v>0.42622650191830219</v>
      </c>
      <c r="M2852" s="20">
        <v>2</v>
      </c>
      <c r="N2852" s="19">
        <v>0</v>
      </c>
      <c r="O2852" s="19">
        <v>6.1324815286698843E-2</v>
      </c>
      <c r="P2852" s="19">
        <v>0.17392658058352142</v>
      </c>
      <c r="Q2852" s="19">
        <v>0.26460399039568006</v>
      </c>
      <c r="R2852" s="19">
        <v>0.13828130500957245</v>
      </c>
      <c r="S2852" s="19">
        <v>2.3341206513049679E-2</v>
      </c>
      <c r="T2852" s="20">
        <v>22</v>
      </c>
      <c r="U2852" s="17">
        <v>3</v>
      </c>
      <c r="V2852" s="17">
        <v>36</v>
      </c>
    </row>
    <row r="2853" spans="1:22" x14ac:dyDescent="0.2">
      <c r="A2853" t="s">
        <v>6494</v>
      </c>
      <c r="B2853" t="s">
        <v>5862</v>
      </c>
      <c r="C2853" t="s">
        <v>5863</v>
      </c>
      <c r="D2853" t="s">
        <v>6488</v>
      </c>
      <c r="E2853" s="10" t="s">
        <v>6495</v>
      </c>
      <c r="F2853" s="10"/>
      <c r="G2853" s="10"/>
      <c r="H2853" s="10" t="s">
        <v>6495</v>
      </c>
      <c r="I2853" s="14">
        <v>49281.848642187775</v>
      </c>
      <c r="J2853" s="19">
        <v>0</v>
      </c>
      <c r="K2853" s="19">
        <v>0.1465030023416686</v>
      </c>
      <c r="L2853" s="19">
        <v>0.85349699765833131</v>
      </c>
      <c r="M2853" s="20">
        <v>1</v>
      </c>
      <c r="N2853" s="19">
        <v>0</v>
      </c>
      <c r="O2853" s="19">
        <v>0.1465030023416686</v>
      </c>
      <c r="P2853" s="19">
        <v>0</v>
      </c>
      <c r="Q2853" s="19">
        <v>0.36777299969042831</v>
      </c>
      <c r="R2853" s="19">
        <v>0.42797422208897379</v>
      </c>
      <c r="S2853" s="19">
        <v>5.7749775878929301E-2</v>
      </c>
      <c r="T2853" s="20">
        <v>12</v>
      </c>
      <c r="U2853" s="17">
        <v>3</v>
      </c>
      <c r="V2853" s="17">
        <v>36</v>
      </c>
    </row>
    <row r="2854" spans="1:22" x14ac:dyDescent="0.2">
      <c r="A2854" t="s">
        <v>6496</v>
      </c>
      <c r="B2854" t="s">
        <v>5862</v>
      </c>
      <c r="C2854" t="s">
        <v>5863</v>
      </c>
      <c r="D2854" t="s">
        <v>6488</v>
      </c>
      <c r="E2854" s="10" t="s">
        <v>6497</v>
      </c>
      <c r="F2854" s="10"/>
      <c r="G2854" s="10"/>
      <c r="H2854" s="10" t="s">
        <v>6497</v>
      </c>
      <c r="I2854" s="14">
        <v>14361.476881211507</v>
      </c>
      <c r="J2854" s="19">
        <v>0</v>
      </c>
      <c r="K2854" s="19">
        <v>0</v>
      </c>
      <c r="L2854" s="19">
        <v>1</v>
      </c>
      <c r="M2854" s="20">
        <v>1</v>
      </c>
      <c r="N2854" s="19">
        <v>0</v>
      </c>
      <c r="O2854" s="19">
        <v>0</v>
      </c>
      <c r="P2854" s="19">
        <v>0</v>
      </c>
      <c r="Q2854" s="19">
        <v>0.45039338949950797</v>
      </c>
      <c r="R2854" s="19">
        <v>0.43377318298783485</v>
      </c>
      <c r="S2854" s="19">
        <v>0.11583342751265717</v>
      </c>
      <c r="T2854" s="20">
        <v>13</v>
      </c>
      <c r="U2854" s="17">
        <v>3</v>
      </c>
      <c r="V2854" s="17">
        <v>36</v>
      </c>
    </row>
    <row r="2855" spans="1:22" x14ac:dyDescent="0.2">
      <c r="A2855" t="s">
        <v>6498</v>
      </c>
      <c r="B2855" t="s">
        <v>5862</v>
      </c>
      <c r="C2855" t="s">
        <v>5863</v>
      </c>
      <c r="D2855" t="s">
        <v>6488</v>
      </c>
      <c r="E2855" s="10" t="s">
        <v>6499</v>
      </c>
      <c r="F2855" s="10"/>
      <c r="G2855" s="10"/>
      <c r="H2855" s="10" t="s">
        <v>6499</v>
      </c>
      <c r="I2855" s="14">
        <v>30754.445820073131</v>
      </c>
      <c r="J2855" s="19">
        <v>0</v>
      </c>
      <c r="K2855" s="19">
        <v>0</v>
      </c>
      <c r="L2855" s="19">
        <v>1</v>
      </c>
      <c r="M2855" s="20">
        <v>1</v>
      </c>
      <c r="N2855" s="19">
        <v>0</v>
      </c>
      <c r="O2855" s="19">
        <v>0</v>
      </c>
      <c r="P2855" s="19">
        <v>0</v>
      </c>
      <c r="Q2855" s="19">
        <v>0.59947483123699485</v>
      </c>
      <c r="R2855" s="19">
        <v>0.2978133624158491</v>
      </c>
      <c r="S2855" s="19">
        <v>0.10271180634715604</v>
      </c>
      <c r="T2855" s="20">
        <v>13</v>
      </c>
      <c r="U2855" s="17">
        <v>3</v>
      </c>
      <c r="V2855" s="17">
        <v>36</v>
      </c>
    </row>
    <row r="2856" spans="1:22" x14ac:dyDescent="0.2">
      <c r="A2856" t="s">
        <v>6500</v>
      </c>
      <c r="B2856" t="s">
        <v>5862</v>
      </c>
      <c r="C2856" t="s">
        <v>5863</v>
      </c>
      <c r="D2856" t="s">
        <v>6488</v>
      </c>
      <c r="E2856" s="10" t="s">
        <v>6501</v>
      </c>
      <c r="F2856" s="10"/>
      <c r="G2856" s="10"/>
      <c r="H2856" s="10" t="s">
        <v>6501</v>
      </c>
      <c r="I2856" s="14">
        <v>33665.990675710374</v>
      </c>
      <c r="J2856" s="19">
        <v>0</v>
      </c>
      <c r="K2856" s="19">
        <v>0</v>
      </c>
      <c r="L2856" s="19">
        <v>1</v>
      </c>
      <c r="M2856" s="20">
        <v>1</v>
      </c>
      <c r="N2856" s="19">
        <v>0</v>
      </c>
      <c r="O2856" s="19">
        <v>0</v>
      </c>
      <c r="P2856" s="19">
        <v>0</v>
      </c>
      <c r="Q2856" s="19">
        <v>0.44550939192024042</v>
      </c>
      <c r="R2856" s="19">
        <v>0.45140006233438718</v>
      </c>
      <c r="S2856" s="19">
        <v>0.10309054574537233</v>
      </c>
      <c r="T2856" s="20">
        <v>12</v>
      </c>
      <c r="U2856" s="17">
        <v>3</v>
      </c>
      <c r="V2856" s="17">
        <v>36</v>
      </c>
    </row>
    <row r="2857" spans="1:22" x14ac:dyDescent="0.2">
      <c r="A2857" t="s">
        <v>6502</v>
      </c>
      <c r="B2857" t="s">
        <v>5862</v>
      </c>
      <c r="C2857" t="s">
        <v>5863</v>
      </c>
      <c r="D2857" t="s">
        <v>6488</v>
      </c>
      <c r="E2857" s="10" t="s">
        <v>6503</v>
      </c>
      <c r="F2857" s="10"/>
      <c r="G2857" s="10"/>
      <c r="H2857" s="10" t="s">
        <v>6503</v>
      </c>
      <c r="I2857" s="14">
        <v>32548.520274648909</v>
      </c>
      <c r="J2857" s="19">
        <v>0</v>
      </c>
      <c r="K2857" s="19">
        <v>0</v>
      </c>
      <c r="L2857" s="19">
        <v>1</v>
      </c>
      <c r="M2857" s="20">
        <v>1</v>
      </c>
      <c r="N2857" s="19">
        <v>0</v>
      </c>
      <c r="O2857" s="19">
        <v>0</v>
      </c>
      <c r="P2857" s="19">
        <v>0</v>
      </c>
      <c r="Q2857" s="19">
        <v>0.34059371858282328</v>
      </c>
      <c r="R2857" s="19">
        <v>0.53731260128232039</v>
      </c>
      <c r="S2857" s="19">
        <v>0.12209368013485629</v>
      </c>
      <c r="T2857" s="20">
        <v>12</v>
      </c>
      <c r="U2857" s="17">
        <v>3</v>
      </c>
      <c r="V2857" s="17">
        <v>36</v>
      </c>
    </row>
    <row r="2858" spans="1:22" x14ac:dyDescent="0.2">
      <c r="A2858" t="s">
        <v>6504</v>
      </c>
      <c r="B2858" t="s">
        <v>5862</v>
      </c>
      <c r="C2858" t="s">
        <v>5863</v>
      </c>
      <c r="D2858" t="s">
        <v>6488</v>
      </c>
      <c r="E2858" s="10" t="s">
        <v>6505</v>
      </c>
      <c r="F2858" s="10"/>
      <c r="G2858" s="10"/>
      <c r="H2858" s="10" t="s">
        <v>6505</v>
      </c>
      <c r="I2858" s="14">
        <v>28494.571709634271</v>
      </c>
      <c r="J2858" s="19">
        <v>0</v>
      </c>
      <c r="K2858" s="19">
        <v>0.22288392758321149</v>
      </c>
      <c r="L2858" s="19">
        <v>0.77711607241678859</v>
      </c>
      <c r="M2858" s="20">
        <v>1</v>
      </c>
      <c r="N2858" s="19">
        <v>0</v>
      </c>
      <c r="O2858" s="19">
        <v>0.22288392758321149</v>
      </c>
      <c r="P2858" s="19">
        <v>0</v>
      </c>
      <c r="Q2858" s="19">
        <v>0.14500757433145314</v>
      </c>
      <c r="R2858" s="19">
        <v>0.55864248420463092</v>
      </c>
      <c r="S2858" s="19">
        <v>7.3466013880704478E-2</v>
      </c>
      <c r="T2858" s="20">
        <v>12</v>
      </c>
      <c r="U2858" s="17">
        <v>3</v>
      </c>
      <c r="V2858" s="17">
        <v>36</v>
      </c>
    </row>
    <row r="2859" spans="1:22" x14ac:dyDescent="0.2">
      <c r="A2859" t="s">
        <v>6506</v>
      </c>
      <c r="B2859" t="s">
        <v>5862</v>
      </c>
      <c r="C2859" t="s">
        <v>5863</v>
      </c>
      <c r="D2859" t="s">
        <v>6488</v>
      </c>
      <c r="E2859" s="10" t="s">
        <v>6507</v>
      </c>
      <c r="F2859" s="10"/>
      <c r="G2859" s="10"/>
      <c r="H2859" s="10" t="s">
        <v>6507</v>
      </c>
      <c r="I2859" s="14">
        <v>41607.739599652006</v>
      </c>
      <c r="J2859" s="19">
        <v>0</v>
      </c>
      <c r="K2859" s="19">
        <v>0</v>
      </c>
      <c r="L2859" s="19">
        <v>1</v>
      </c>
      <c r="M2859" s="20">
        <v>1</v>
      </c>
      <c r="N2859" s="19">
        <v>0</v>
      </c>
      <c r="O2859" s="19">
        <v>0</v>
      </c>
      <c r="P2859" s="19">
        <v>0</v>
      </c>
      <c r="Q2859" s="19">
        <v>0.5688420701393937</v>
      </c>
      <c r="R2859" s="19">
        <v>0.3565372717237919</v>
      </c>
      <c r="S2859" s="19">
        <v>7.4620658136814427E-2</v>
      </c>
      <c r="T2859" s="20">
        <v>13</v>
      </c>
      <c r="U2859" s="17">
        <v>3</v>
      </c>
      <c r="V2859" s="17">
        <v>36</v>
      </c>
    </row>
    <row r="2860" spans="1:22" x14ac:dyDescent="0.2">
      <c r="A2860" t="s">
        <v>6508</v>
      </c>
      <c r="B2860" t="s">
        <v>5862</v>
      </c>
      <c r="C2860" t="s">
        <v>5863</v>
      </c>
      <c r="D2860" t="s">
        <v>6488</v>
      </c>
      <c r="E2860" s="10" t="s">
        <v>6509</v>
      </c>
      <c r="F2860" s="10"/>
      <c r="G2860" s="10"/>
      <c r="H2860" s="10" t="s">
        <v>6509</v>
      </c>
      <c r="I2860" s="14">
        <v>36020.047528556432</v>
      </c>
      <c r="J2860" s="19">
        <v>0</v>
      </c>
      <c r="K2860" s="19">
        <v>0.12262186796326599</v>
      </c>
      <c r="L2860" s="19">
        <v>0.87737813203673398</v>
      </c>
      <c r="M2860" s="20">
        <v>1</v>
      </c>
      <c r="N2860" s="19">
        <v>0</v>
      </c>
      <c r="O2860" s="19">
        <v>0.12262186796326599</v>
      </c>
      <c r="P2860" s="19">
        <v>0</v>
      </c>
      <c r="Q2860" s="19">
        <v>0.25458040238812052</v>
      </c>
      <c r="R2860" s="19">
        <v>0.54239624904251849</v>
      </c>
      <c r="S2860" s="19">
        <v>8.0401480606094949E-2</v>
      </c>
      <c r="T2860" s="20">
        <v>12</v>
      </c>
      <c r="U2860" s="17">
        <v>3</v>
      </c>
      <c r="V2860" s="17">
        <v>36</v>
      </c>
    </row>
    <row r="2861" spans="1:22" x14ac:dyDescent="0.2">
      <c r="A2861" t="s">
        <v>6510</v>
      </c>
      <c r="B2861" t="s">
        <v>5862</v>
      </c>
      <c r="C2861" t="s">
        <v>5863</v>
      </c>
      <c r="D2861" t="s">
        <v>6488</v>
      </c>
      <c r="E2861" s="10" t="s">
        <v>6511</v>
      </c>
      <c r="F2861" s="10"/>
      <c r="G2861" s="10"/>
      <c r="H2861" s="10" t="s">
        <v>6511</v>
      </c>
      <c r="I2861" s="14">
        <v>54220.119202877395</v>
      </c>
      <c r="J2861" s="19">
        <v>0</v>
      </c>
      <c r="K2861" s="19">
        <v>0.33931284433999404</v>
      </c>
      <c r="L2861" s="19">
        <v>0.66068715566000591</v>
      </c>
      <c r="M2861" s="20">
        <v>1</v>
      </c>
      <c r="N2861" s="19">
        <v>0.23989200763373245</v>
      </c>
      <c r="O2861" s="19">
        <v>0</v>
      </c>
      <c r="P2861" s="19">
        <v>9.9420836706261617E-2</v>
      </c>
      <c r="Q2861" s="19">
        <v>0.27131341757598654</v>
      </c>
      <c r="R2861" s="19">
        <v>0.34630047784277962</v>
      </c>
      <c r="S2861" s="19">
        <v>4.3073260241239787E-2</v>
      </c>
      <c r="T2861" s="20">
        <v>12</v>
      </c>
      <c r="U2861" s="17">
        <v>3</v>
      </c>
      <c r="V2861" s="17">
        <v>36</v>
      </c>
    </row>
    <row r="2862" spans="1:22" x14ac:dyDescent="0.2">
      <c r="A2862" t="s">
        <v>6512</v>
      </c>
      <c r="B2862" t="s">
        <v>5862</v>
      </c>
      <c r="C2862" t="s">
        <v>5863</v>
      </c>
      <c r="D2862" t="s">
        <v>6513</v>
      </c>
      <c r="E2862" s="10" t="s">
        <v>6514</v>
      </c>
      <c r="F2862" s="10"/>
      <c r="G2862" s="10"/>
      <c r="H2862" s="10" t="s">
        <v>6514</v>
      </c>
      <c r="I2862" s="14">
        <v>19763.62751407316</v>
      </c>
      <c r="J2862" s="19">
        <v>0</v>
      </c>
      <c r="K2862" s="19">
        <v>0</v>
      </c>
      <c r="L2862" s="19">
        <v>1</v>
      </c>
      <c r="M2862" s="20">
        <v>1</v>
      </c>
      <c r="N2862" s="19">
        <v>0</v>
      </c>
      <c r="O2862" s="19">
        <v>0</v>
      </c>
      <c r="P2862" s="19">
        <v>0</v>
      </c>
      <c r="Q2862" s="19">
        <v>0.54878699938298392</v>
      </c>
      <c r="R2862" s="19">
        <v>0.39489547527939528</v>
      </c>
      <c r="S2862" s="19">
        <v>5.6317525337620765E-2</v>
      </c>
      <c r="T2862" s="20">
        <v>13</v>
      </c>
      <c r="U2862" s="17">
        <v>3</v>
      </c>
      <c r="V2862" s="17">
        <v>36</v>
      </c>
    </row>
    <row r="2863" spans="1:22" x14ac:dyDescent="0.2">
      <c r="A2863" t="s">
        <v>6515</v>
      </c>
      <c r="B2863" t="s">
        <v>5862</v>
      </c>
      <c r="C2863" t="s">
        <v>5863</v>
      </c>
      <c r="D2863" t="s">
        <v>6513</v>
      </c>
      <c r="E2863" s="10" t="s">
        <v>6516</v>
      </c>
      <c r="F2863" s="10"/>
      <c r="G2863" s="10"/>
      <c r="H2863" s="10" t="s">
        <v>6516</v>
      </c>
      <c r="I2863" s="14">
        <v>77287.260430285241</v>
      </c>
      <c r="J2863" s="19">
        <v>0</v>
      </c>
      <c r="K2863" s="19">
        <v>0.37004084452091401</v>
      </c>
      <c r="L2863" s="19">
        <v>0.62995915547908599</v>
      </c>
      <c r="M2863" s="20">
        <v>1</v>
      </c>
      <c r="N2863" s="19">
        <v>0.17253835486336566</v>
      </c>
      <c r="O2863" s="19">
        <v>0</v>
      </c>
      <c r="P2863" s="19">
        <v>0.19750248965754838</v>
      </c>
      <c r="Q2863" s="19">
        <v>0.28796156719542887</v>
      </c>
      <c r="R2863" s="19">
        <v>0.30630647295659102</v>
      </c>
      <c r="S2863" s="19">
        <v>3.5691115327066106E-2</v>
      </c>
      <c r="T2863" s="20">
        <v>12</v>
      </c>
      <c r="U2863" s="17">
        <v>3</v>
      </c>
      <c r="V2863" s="17">
        <v>36</v>
      </c>
    </row>
    <row r="2864" spans="1:22" x14ac:dyDescent="0.2">
      <c r="A2864" t="s">
        <v>6517</v>
      </c>
      <c r="B2864" t="s">
        <v>5862</v>
      </c>
      <c r="C2864" t="s">
        <v>5863</v>
      </c>
      <c r="D2864" t="s">
        <v>6513</v>
      </c>
      <c r="E2864" s="10" t="s">
        <v>6518</v>
      </c>
      <c r="F2864" s="10"/>
      <c r="G2864" s="10"/>
      <c r="H2864" s="10" t="s">
        <v>6518</v>
      </c>
      <c r="I2864" s="14">
        <v>59347.182134129805</v>
      </c>
      <c r="J2864" s="19">
        <v>0</v>
      </c>
      <c r="K2864" s="19">
        <v>9.8250696378187438E-2</v>
      </c>
      <c r="L2864" s="19">
        <v>0.9017493036218126</v>
      </c>
      <c r="M2864" s="20">
        <v>1</v>
      </c>
      <c r="N2864" s="19">
        <v>0</v>
      </c>
      <c r="O2864" s="19">
        <v>9.8250696378187438E-2</v>
      </c>
      <c r="P2864" s="19">
        <v>0</v>
      </c>
      <c r="Q2864" s="19">
        <v>0.45475796203577262</v>
      </c>
      <c r="R2864" s="19">
        <v>0.39819715719097354</v>
      </c>
      <c r="S2864" s="19">
        <v>4.8794184395066428E-2</v>
      </c>
      <c r="T2864" s="20">
        <v>13</v>
      </c>
      <c r="U2864" s="17">
        <v>3</v>
      </c>
      <c r="V2864" s="17">
        <v>36</v>
      </c>
    </row>
    <row r="2865" spans="1:22" x14ac:dyDescent="0.2">
      <c r="A2865" t="s">
        <v>6519</v>
      </c>
      <c r="B2865" t="s">
        <v>5862</v>
      </c>
      <c r="C2865" t="s">
        <v>5863</v>
      </c>
      <c r="D2865" t="s">
        <v>6513</v>
      </c>
      <c r="E2865" s="10" t="s">
        <v>5916</v>
      </c>
      <c r="F2865" s="10"/>
      <c r="G2865" s="10"/>
      <c r="H2865" s="10" t="s">
        <v>5916</v>
      </c>
      <c r="I2865" s="14">
        <v>6748.5635693518843</v>
      </c>
      <c r="J2865" s="19">
        <v>0</v>
      </c>
      <c r="K2865" s="19">
        <v>1.7501908905919308E-2</v>
      </c>
      <c r="L2865" s="19">
        <v>0.98249809109408082</v>
      </c>
      <c r="M2865" s="20">
        <v>1</v>
      </c>
      <c r="N2865" s="19">
        <v>0</v>
      </c>
      <c r="O2865" s="19">
        <v>1.046085376665809E-3</v>
      </c>
      <c r="P2865" s="19">
        <v>1.6455823529253504E-2</v>
      </c>
      <c r="Q2865" s="19">
        <v>2.5811403902869733E-3</v>
      </c>
      <c r="R2865" s="19">
        <v>0.80375520374606513</v>
      </c>
      <c r="S2865" s="19">
        <v>0.17616174695772868</v>
      </c>
      <c r="T2865" s="20">
        <v>12</v>
      </c>
      <c r="U2865" s="17">
        <v>3</v>
      </c>
      <c r="V2865" s="17">
        <v>36</v>
      </c>
    </row>
    <row r="2866" spans="1:22" x14ac:dyDescent="0.2">
      <c r="A2866" t="s">
        <v>6520</v>
      </c>
      <c r="B2866" t="s">
        <v>5862</v>
      </c>
      <c r="C2866" t="s">
        <v>5863</v>
      </c>
      <c r="D2866" t="s">
        <v>6513</v>
      </c>
      <c r="E2866" s="10" t="s">
        <v>6521</v>
      </c>
      <c r="F2866" s="10"/>
      <c r="G2866" s="10"/>
      <c r="H2866" s="10" t="s">
        <v>6521</v>
      </c>
      <c r="I2866" s="14">
        <v>73542.003574769478</v>
      </c>
      <c r="J2866" s="19">
        <v>0</v>
      </c>
      <c r="K2866" s="19">
        <v>0.38215754360887139</v>
      </c>
      <c r="L2866" s="19">
        <v>0.61784245639112856</v>
      </c>
      <c r="M2866" s="20">
        <v>1</v>
      </c>
      <c r="N2866" s="19">
        <v>0.17713493147542353</v>
      </c>
      <c r="O2866" s="19">
        <v>0.11907670699147203</v>
      </c>
      <c r="P2866" s="19">
        <v>8.5945905141975851E-2</v>
      </c>
      <c r="Q2866" s="19">
        <v>0.23051628769884705</v>
      </c>
      <c r="R2866" s="19">
        <v>0.34687899308809395</v>
      </c>
      <c r="S2866" s="19">
        <v>4.044717560418757E-2</v>
      </c>
      <c r="T2866" s="20">
        <v>12</v>
      </c>
      <c r="U2866" s="17">
        <v>3</v>
      </c>
      <c r="V2866" s="17">
        <v>36</v>
      </c>
    </row>
    <row r="2867" spans="1:22" x14ac:dyDescent="0.2">
      <c r="A2867" t="s">
        <v>6522</v>
      </c>
      <c r="B2867" t="s">
        <v>5862</v>
      </c>
      <c r="C2867" t="s">
        <v>5863</v>
      </c>
      <c r="D2867" t="s">
        <v>6513</v>
      </c>
      <c r="E2867" s="10" t="s">
        <v>6523</v>
      </c>
      <c r="F2867" s="10"/>
      <c r="G2867" s="10"/>
      <c r="H2867" s="10" t="s">
        <v>6523</v>
      </c>
      <c r="I2867" s="14">
        <v>72563.078791006468</v>
      </c>
      <c r="J2867" s="19">
        <v>0</v>
      </c>
      <c r="K2867" s="19">
        <v>0.24970778181366915</v>
      </c>
      <c r="L2867" s="19">
        <v>0.75029221818633085</v>
      </c>
      <c r="M2867" s="20">
        <v>1</v>
      </c>
      <c r="N2867" s="19">
        <v>9.5560030365729534E-2</v>
      </c>
      <c r="O2867" s="19">
        <v>0</v>
      </c>
      <c r="P2867" s="19">
        <v>0.15414775144793963</v>
      </c>
      <c r="Q2867" s="19">
        <v>0.41305009436819012</v>
      </c>
      <c r="R2867" s="19">
        <v>0.29423326051731213</v>
      </c>
      <c r="S2867" s="19">
        <v>4.300886330082862E-2</v>
      </c>
      <c r="T2867" s="20">
        <v>13</v>
      </c>
      <c r="U2867" s="17">
        <v>3</v>
      </c>
      <c r="V2867" s="17">
        <v>36</v>
      </c>
    </row>
    <row r="2868" spans="1:22" x14ac:dyDescent="0.2">
      <c r="A2868" t="s">
        <v>6524</v>
      </c>
      <c r="B2868" t="s">
        <v>5862</v>
      </c>
      <c r="C2868" t="s">
        <v>5863</v>
      </c>
      <c r="D2868" t="s">
        <v>6513</v>
      </c>
      <c r="E2868" s="10" t="s">
        <v>6525</v>
      </c>
      <c r="F2868" s="10"/>
      <c r="G2868" s="10"/>
      <c r="H2868" s="10" t="s">
        <v>6525</v>
      </c>
      <c r="I2868" s="14">
        <v>112565.61578440969</v>
      </c>
      <c r="J2868" s="19">
        <v>0</v>
      </c>
      <c r="K2868" s="19">
        <v>0.14291396813266466</v>
      </c>
      <c r="L2868" s="19">
        <v>0.85708603186733545</v>
      </c>
      <c r="M2868" s="20">
        <v>1</v>
      </c>
      <c r="N2868" s="19">
        <v>7.7001410403277737E-2</v>
      </c>
      <c r="O2868" s="19">
        <v>0</v>
      </c>
      <c r="P2868" s="19">
        <v>6.5912557729386922E-2</v>
      </c>
      <c r="Q2868" s="19">
        <v>0.41741653088821701</v>
      </c>
      <c r="R2868" s="19">
        <v>0.3728891950229854</v>
      </c>
      <c r="S2868" s="19">
        <v>6.6780305956132935E-2</v>
      </c>
      <c r="T2868" s="20">
        <v>13</v>
      </c>
      <c r="U2868" s="17">
        <v>3</v>
      </c>
      <c r="V2868" s="17">
        <v>36</v>
      </c>
    </row>
    <row r="2869" spans="1:22" x14ac:dyDescent="0.2">
      <c r="A2869" t="s">
        <v>6526</v>
      </c>
      <c r="B2869" t="s">
        <v>5862</v>
      </c>
      <c r="C2869" t="s">
        <v>5863</v>
      </c>
      <c r="D2869" t="s">
        <v>6513</v>
      </c>
      <c r="E2869" s="10" t="s">
        <v>6527</v>
      </c>
      <c r="F2869" s="10"/>
      <c r="G2869" s="10"/>
      <c r="H2869" s="10" t="s">
        <v>6527</v>
      </c>
      <c r="I2869" s="14">
        <v>70047.940728659043</v>
      </c>
      <c r="J2869" s="19">
        <v>0</v>
      </c>
      <c r="K2869" s="19">
        <v>0.16405552385044919</v>
      </c>
      <c r="L2869" s="19">
        <v>0.83594447614955092</v>
      </c>
      <c r="M2869" s="20">
        <v>1</v>
      </c>
      <c r="N2869" s="19">
        <v>0</v>
      </c>
      <c r="O2869" s="19">
        <v>0.16405552385044919</v>
      </c>
      <c r="P2869" s="19">
        <v>0</v>
      </c>
      <c r="Q2869" s="19">
        <v>0.49649201376624391</v>
      </c>
      <c r="R2869" s="19">
        <v>0.29373237447959327</v>
      </c>
      <c r="S2869" s="19">
        <v>4.5720087903713645E-2</v>
      </c>
      <c r="T2869" s="20">
        <v>13</v>
      </c>
      <c r="U2869" s="17">
        <v>3</v>
      </c>
      <c r="V2869" s="17">
        <v>36</v>
      </c>
    </row>
    <row r="2870" spans="1:22" x14ac:dyDescent="0.2">
      <c r="A2870" t="s">
        <v>6528</v>
      </c>
      <c r="B2870" t="s">
        <v>5862</v>
      </c>
      <c r="C2870" t="s">
        <v>5863</v>
      </c>
      <c r="D2870" t="s">
        <v>6513</v>
      </c>
      <c r="E2870" s="10" t="s">
        <v>6529</v>
      </c>
      <c r="F2870" s="10"/>
      <c r="G2870" s="10"/>
      <c r="H2870" s="10" t="s">
        <v>6529</v>
      </c>
      <c r="I2870" s="14">
        <v>22333.969745296054</v>
      </c>
      <c r="J2870" s="19">
        <v>0</v>
      </c>
      <c r="K2870" s="19">
        <v>0</v>
      </c>
      <c r="L2870" s="19">
        <v>1</v>
      </c>
      <c r="M2870" s="20">
        <v>1</v>
      </c>
      <c r="N2870" s="19">
        <v>0</v>
      </c>
      <c r="O2870" s="19">
        <v>0</v>
      </c>
      <c r="P2870" s="19">
        <v>0</v>
      </c>
      <c r="Q2870" s="19">
        <v>0.63167526643077998</v>
      </c>
      <c r="R2870" s="19">
        <v>0.31249407977232474</v>
      </c>
      <c r="S2870" s="19">
        <v>5.5830653796895328E-2</v>
      </c>
      <c r="T2870" s="20">
        <v>13</v>
      </c>
      <c r="U2870" s="17">
        <v>3</v>
      </c>
      <c r="V2870" s="17">
        <v>36</v>
      </c>
    </row>
    <row r="2871" spans="1:22" x14ac:dyDescent="0.2">
      <c r="A2871" t="s">
        <v>6530</v>
      </c>
      <c r="B2871" t="s">
        <v>5862</v>
      </c>
      <c r="C2871" t="s">
        <v>5863</v>
      </c>
      <c r="D2871" t="s">
        <v>6513</v>
      </c>
      <c r="E2871" s="10" t="s">
        <v>6531</v>
      </c>
      <c r="F2871" s="10"/>
      <c r="G2871" s="10"/>
      <c r="H2871" s="10" t="s">
        <v>6531</v>
      </c>
      <c r="I2871" s="14">
        <v>28693.822901529256</v>
      </c>
      <c r="J2871" s="19">
        <v>0</v>
      </c>
      <c r="K2871" s="19">
        <v>8.8868829095048507E-2</v>
      </c>
      <c r="L2871" s="19">
        <v>0.91113117090495166</v>
      </c>
      <c r="M2871" s="20">
        <v>1</v>
      </c>
      <c r="N2871" s="19">
        <v>0</v>
      </c>
      <c r="O2871" s="19">
        <v>0</v>
      </c>
      <c r="P2871" s="19">
        <v>8.8868829095048507E-2</v>
      </c>
      <c r="Q2871" s="19">
        <v>0.61540607857925211</v>
      </c>
      <c r="R2871" s="19">
        <v>0.26627382867174293</v>
      </c>
      <c r="S2871" s="19">
        <v>2.9451263653956661E-2</v>
      </c>
      <c r="T2871" s="20">
        <v>13</v>
      </c>
      <c r="U2871" s="17">
        <v>3</v>
      </c>
      <c r="V2871" s="17">
        <v>36</v>
      </c>
    </row>
    <row r="2872" spans="1:22" x14ac:dyDescent="0.2">
      <c r="A2872" t="s">
        <v>6532</v>
      </c>
      <c r="B2872" t="s">
        <v>5862</v>
      </c>
      <c r="C2872" t="s">
        <v>5863</v>
      </c>
      <c r="D2872" t="s">
        <v>6513</v>
      </c>
      <c r="E2872" s="10" t="s">
        <v>6533</v>
      </c>
      <c r="F2872" s="10"/>
      <c r="G2872" s="10"/>
      <c r="H2872" s="10" t="s">
        <v>6533</v>
      </c>
      <c r="I2872" s="14">
        <v>25385.290876812069</v>
      </c>
      <c r="J2872" s="19">
        <v>0</v>
      </c>
      <c r="K2872" s="19">
        <v>0</v>
      </c>
      <c r="L2872" s="19">
        <v>1</v>
      </c>
      <c r="M2872" s="20">
        <v>1</v>
      </c>
      <c r="N2872" s="19">
        <v>0</v>
      </c>
      <c r="O2872" s="19">
        <v>0</v>
      </c>
      <c r="P2872" s="19">
        <v>0</v>
      </c>
      <c r="Q2872" s="19">
        <v>0.6514548809548717</v>
      </c>
      <c r="R2872" s="19">
        <v>0.30770358301732886</v>
      </c>
      <c r="S2872" s="19">
        <v>4.0841536027799399E-2</v>
      </c>
      <c r="T2872" s="20">
        <v>13</v>
      </c>
      <c r="U2872" s="17">
        <v>3</v>
      </c>
      <c r="V2872" s="17">
        <v>36</v>
      </c>
    </row>
    <row r="2873" spans="1:22" x14ac:dyDescent="0.2">
      <c r="A2873" t="s">
        <v>6534</v>
      </c>
      <c r="B2873" t="s">
        <v>5862</v>
      </c>
      <c r="C2873" t="s">
        <v>5863</v>
      </c>
      <c r="D2873" t="s">
        <v>6513</v>
      </c>
      <c r="E2873" s="10" t="s">
        <v>6535</v>
      </c>
      <c r="F2873" s="10"/>
      <c r="G2873" s="10"/>
      <c r="H2873" s="10" t="s">
        <v>6535</v>
      </c>
      <c r="I2873" s="14">
        <v>39406.593466050457</v>
      </c>
      <c r="J2873" s="19">
        <v>0</v>
      </c>
      <c r="K2873" s="19">
        <v>0.31000214726668507</v>
      </c>
      <c r="L2873" s="19">
        <v>0.68999785273331493</v>
      </c>
      <c r="M2873" s="20">
        <v>1</v>
      </c>
      <c r="N2873" s="19">
        <v>0</v>
      </c>
      <c r="O2873" s="19">
        <v>0.31000214726668507</v>
      </c>
      <c r="P2873" s="19">
        <v>0</v>
      </c>
      <c r="Q2873" s="19">
        <v>0.12756981828609901</v>
      </c>
      <c r="R2873" s="19">
        <v>0.50557215878515804</v>
      </c>
      <c r="S2873" s="19">
        <v>5.685587566205786E-2</v>
      </c>
      <c r="T2873" s="20">
        <v>12</v>
      </c>
      <c r="U2873" s="17">
        <v>3</v>
      </c>
      <c r="V2873" s="17">
        <v>36</v>
      </c>
    </row>
    <row r="2874" spans="1:22" x14ac:dyDescent="0.2">
      <c r="A2874" t="s">
        <v>6536</v>
      </c>
      <c r="B2874" t="s">
        <v>5862</v>
      </c>
      <c r="C2874" t="s">
        <v>5863</v>
      </c>
      <c r="D2874" t="s">
        <v>6513</v>
      </c>
      <c r="E2874" s="10" t="s">
        <v>6537</v>
      </c>
      <c r="F2874" s="10"/>
      <c r="G2874" s="10"/>
      <c r="H2874" s="10" t="s">
        <v>6537</v>
      </c>
      <c r="I2874" s="14">
        <v>21873.947104068939</v>
      </c>
      <c r="J2874" s="19">
        <v>0</v>
      </c>
      <c r="K2874" s="19">
        <v>0</v>
      </c>
      <c r="L2874" s="19">
        <v>1</v>
      </c>
      <c r="M2874" s="20">
        <v>1</v>
      </c>
      <c r="N2874" s="19">
        <v>0</v>
      </c>
      <c r="O2874" s="19">
        <v>0</v>
      </c>
      <c r="P2874" s="19">
        <v>0</v>
      </c>
      <c r="Q2874" s="19">
        <v>0.53413767536580781</v>
      </c>
      <c r="R2874" s="19">
        <v>0.42767004844726114</v>
      </c>
      <c r="S2874" s="19">
        <v>3.8192276186931017E-2</v>
      </c>
      <c r="T2874" s="20">
        <v>13</v>
      </c>
      <c r="U2874" s="17">
        <v>3</v>
      </c>
      <c r="V2874" s="17">
        <v>36</v>
      </c>
    </row>
    <row r="2875" spans="1:22" x14ac:dyDescent="0.2">
      <c r="A2875" t="s">
        <v>6538</v>
      </c>
      <c r="B2875" t="s">
        <v>5862</v>
      </c>
      <c r="C2875" t="s">
        <v>5863</v>
      </c>
      <c r="D2875" t="s">
        <v>6513</v>
      </c>
      <c r="E2875" s="10" t="s">
        <v>6539</v>
      </c>
      <c r="F2875" s="10"/>
      <c r="G2875" s="10"/>
      <c r="H2875" s="10" t="s">
        <v>6539</v>
      </c>
      <c r="I2875" s="14">
        <v>20752.2633386323</v>
      </c>
      <c r="J2875" s="19">
        <v>0</v>
      </c>
      <c r="K2875" s="19">
        <v>0</v>
      </c>
      <c r="L2875" s="19">
        <v>1</v>
      </c>
      <c r="M2875" s="20">
        <v>1</v>
      </c>
      <c r="N2875" s="19">
        <v>0</v>
      </c>
      <c r="O2875" s="19">
        <v>0</v>
      </c>
      <c r="P2875" s="19">
        <v>0</v>
      </c>
      <c r="Q2875" s="19">
        <v>0.48793266745900687</v>
      </c>
      <c r="R2875" s="19">
        <v>0.4065743304560317</v>
      </c>
      <c r="S2875" s="19">
        <v>0.10549300208496143</v>
      </c>
      <c r="T2875" s="20">
        <v>13</v>
      </c>
      <c r="U2875" s="17">
        <v>3</v>
      </c>
      <c r="V2875" s="17">
        <v>36</v>
      </c>
    </row>
    <row r="2876" spans="1:22" x14ac:dyDescent="0.2">
      <c r="A2876" t="s">
        <v>6540</v>
      </c>
      <c r="B2876" t="s">
        <v>5862</v>
      </c>
      <c r="C2876" t="s">
        <v>5863</v>
      </c>
      <c r="D2876" t="s">
        <v>6513</v>
      </c>
      <c r="E2876" s="10" t="s">
        <v>6541</v>
      </c>
      <c r="F2876" s="10"/>
      <c r="G2876" s="10"/>
      <c r="H2876" s="10" t="s">
        <v>6541</v>
      </c>
      <c r="I2876" s="14">
        <v>33756.985722018871</v>
      </c>
      <c r="J2876" s="19">
        <v>0</v>
      </c>
      <c r="K2876" s="19">
        <v>0.18231027981547013</v>
      </c>
      <c r="L2876" s="19">
        <v>0.8176897201845299</v>
      </c>
      <c r="M2876" s="20">
        <v>1</v>
      </c>
      <c r="N2876" s="19">
        <v>0</v>
      </c>
      <c r="O2876" s="19">
        <v>0.18231027981547013</v>
      </c>
      <c r="P2876" s="19">
        <v>0</v>
      </c>
      <c r="Q2876" s="19">
        <v>0.52227460517625679</v>
      </c>
      <c r="R2876" s="19">
        <v>0.23930614758052701</v>
      </c>
      <c r="S2876" s="19">
        <v>5.6108967427746084E-2</v>
      </c>
      <c r="T2876" s="20">
        <v>13</v>
      </c>
      <c r="U2876" s="17">
        <v>3</v>
      </c>
      <c r="V2876" s="17">
        <v>36</v>
      </c>
    </row>
    <row r="2877" spans="1:22" x14ac:dyDescent="0.2">
      <c r="A2877" t="s">
        <v>6542</v>
      </c>
      <c r="B2877" t="s">
        <v>5862</v>
      </c>
      <c r="C2877" t="s">
        <v>5863</v>
      </c>
      <c r="D2877" t="s">
        <v>6513</v>
      </c>
      <c r="E2877" s="10" t="s">
        <v>6543</v>
      </c>
      <c r="F2877" s="10"/>
      <c r="G2877" s="10"/>
      <c r="H2877" s="10" t="s">
        <v>6543</v>
      </c>
      <c r="I2877" s="14">
        <v>38682.277605432086</v>
      </c>
      <c r="J2877" s="19">
        <v>0</v>
      </c>
      <c r="K2877" s="19">
        <v>0.21212941274559285</v>
      </c>
      <c r="L2877" s="19">
        <v>0.78787058725440717</v>
      </c>
      <c r="M2877" s="20">
        <v>1</v>
      </c>
      <c r="N2877" s="19">
        <v>0</v>
      </c>
      <c r="O2877" s="19">
        <v>0.21212941274559285</v>
      </c>
      <c r="P2877" s="19">
        <v>0</v>
      </c>
      <c r="Q2877" s="19">
        <v>0.27529045192883295</v>
      </c>
      <c r="R2877" s="19">
        <v>0.45213025983159266</v>
      </c>
      <c r="S2877" s="19">
        <v>6.0449875493981564E-2</v>
      </c>
      <c r="T2877" s="20">
        <v>12</v>
      </c>
      <c r="U2877" s="17">
        <v>3</v>
      </c>
      <c r="V2877" s="17">
        <v>36</v>
      </c>
    </row>
    <row r="2878" spans="1:22" x14ac:dyDescent="0.2">
      <c r="A2878" t="s">
        <v>6544</v>
      </c>
      <c r="B2878" t="s">
        <v>5862</v>
      </c>
      <c r="C2878" t="s">
        <v>5863</v>
      </c>
      <c r="D2878" t="s">
        <v>6513</v>
      </c>
      <c r="E2878" s="10" t="s">
        <v>6545</v>
      </c>
      <c r="F2878" s="10"/>
      <c r="G2878" s="10"/>
      <c r="H2878" s="10" t="s">
        <v>6545</v>
      </c>
      <c r="I2878" s="14">
        <v>28224.538453989197</v>
      </c>
      <c r="J2878" s="19">
        <v>0</v>
      </c>
      <c r="K2878" s="19">
        <v>0.24552298234153164</v>
      </c>
      <c r="L2878" s="19">
        <v>0.75447701765846842</v>
      </c>
      <c r="M2878" s="20">
        <v>1</v>
      </c>
      <c r="N2878" s="19">
        <v>0</v>
      </c>
      <c r="O2878" s="19">
        <v>0</v>
      </c>
      <c r="P2878" s="19">
        <v>0.24552298234153164</v>
      </c>
      <c r="Q2878" s="19">
        <v>0.33417893554749506</v>
      </c>
      <c r="R2878" s="19">
        <v>0.36474398141603925</v>
      </c>
      <c r="S2878" s="19">
        <v>5.5554100694934022E-2</v>
      </c>
      <c r="T2878" s="20">
        <v>12</v>
      </c>
      <c r="U2878" s="17">
        <v>3</v>
      </c>
      <c r="V2878" s="17">
        <v>36</v>
      </c>
    </row>
    <row r="2879" spans="1:22" x14ac:dyDescent="0.2">
      <c r="A2879" t="s">
        <v>6546</v>
      </c>
      <c r="B2879" t="s">
        <v>5862</v>
      </c>
      <c r="C2879" t="s">
        <v>5863</v>
      </c>
      <c r="D2879" t="s">
        <v>6513</v>
      </c>
      <c r="E2879" s="10" t="s">
        <v>6547</v>
      </c>
      <c r="F2879" s="10"/>
      <c r="G2879" s="10"/>
      <c r="H2879" s="10" t="s">
        <v>6547</v>
      </c>
      <c r="I2879" s="14">
        <v>84512.109502098523</v>
      </c>
      <c r="J2879" s="19">
        <v>0</v>
      </c>
      <c r="K2879" s="19">
        <v>0.14605430879615666</v>
      </c>
      <c r="L2879" s="19">
        <v>0.85394569120384334</v>
      </c>
      <c r="M2879" s="20">
        <v>1</v>
      </c>
      <c r="N2879" s="19">
        <v>8.5899636240298657E-2</v>
      </c>
      <c r="O2879" s="19">
        <v>0</v>
      </c>
      <c r="P2879" s="19">
        <v>6.0154672555857998E-2</v>
      </c>
      <c r="Q2879" s="19">
        <v>0.46753234323903881</v>
      </c>
      <c r="R2879" s="19">
        <v>0.33389441024250482</v>
      </c>
      <c r="S2879" s="19">
        <v>5.2518937722299694E-2</v>
      </c>
      <c r="T2879" s="20">
        <v>13</v>
      </c>
      <c r="U2879" s="17">
        <v>3</v>
      </c>
      <c r="V2879" s="17">
        <v>36</v>
      </c>
    </row>
    <row r="2880" spans="1:22" x14ac:dyDescent="0.2">
      <c r="A2880" t="s">
        <v>6548</v>
      </c>
      <c r="B2880" t="s">
        <v>5862</v>
      </c>
      <c r="C2880" t="s">
        <v>5863</v>
      </c>
      <c r="D2880" t="s">
        <v>6513</v>
      </c>
      <c r="E2880" s="10" t="s">
        <v>6549</v>
      </c>
      <c r="F2880" s="10"/>
      <c r="G2880" s="10"/>
      <c r="H2880" s="10" t="s">
        <v>6549</v>
      </c>
      <c r="I2880" s="14">
        <v>72622.630601187004</v>
      </c>
      <c r="J2880" s="19">
        <v>0</v>
      </c>
      <c r="K2880" s="19">
        <v>0.12528635321978274</v>
      </c>
      <c r="L2880" s="19">
        <v>0.87471364678021724</v>
      </c>
      <c r="M2880" s="20">
        <v>1</v>
      </c>
      <c r="N2880" s="19">
        <v>6.9313512955034295E-2</v>
      </c>
      <c r="O2880" s="19">
        <v>2.6921311979017791E-4</v>
      </c>
      <c r="P2880" s="19">
        <v>5.5703627144958273E-2</v>
      </c>
      <c r="Q2880" s="19">
        <v>0.41753483584359719</v>
      </c>
      <c r="R2880" s="19">
        <v>0.41517598682649881</v>
      </c>
      <c r="S2880" s="19">
        <v>4.200282411012124E-2</v>
      </c>
      <c r="T2880" s="20">
        <v>13</v>
      </c>
      <c r="U2880" s="17">
        <v>3</v>
      </c>
      <c r="V2880" s="17">
        <v>36</v>
      </c>
    </row>
    <row r="2881" spans="1:22" x14ac:dyDescent="0.2">
      <c r="A2881" t="s">
        <v>6550</v>
      </c>
      <c r="B2881" t="s">
        <v>5862</v>
      </c>
      <c r="C2881" t="s">
        <v>5863</v>
      </c>
      <c r="D2881" t="s">
        <v>6513</v>
      </c>
      <c r="E2881" s="10" t="s">
        <v>6551</v>
      </c>
      <c r="F2881" s="10"/>
      <c r="G2881" s="10"/>
      <c r="H2881" s="10" t="s">
        <v>6551</v>
      </c>
      <c r="I2881" s="14">
        <v>429247.92945880513</v>
      </c>
      <c r="J2881" s="19">
        <v>0.5273196275506925</v>
      </c>
      <c r="K2881" s="19">
        <v>0.35559041718044326</v>
      </c>
      <c r="L2881" s="19">
        <v>0.11708995526886427</v>
      </c>
      <c r="M2881" s="20">
        <v>3</v>
      </c>
      <c r="N2881" s="19">
        <v>4.1717930692927729E-2</v>
      </c>
      <c r="O2881" s="19">
        <v>1.2632893740311568E-4</v>
      </c>
      <c r="P2881" s="19">
        <v>0.31374615755011243</v>
      </c>
      <c r="Q2881" s="19">
        <v>3.7867921518377569E-2</v>
      </c>
      <c r="R2881" s="19">
        <v>7.2545299048641959E-2</v>
      </c>
      <c r="S2881" s="19">
        <v>6.6767347018447613E-3</v>
      </c>
      <c r="T2881" s="20">
        <v>30</v>
      </c>
      <c r="U2881" s="17">
        <v>3</v>
      </c>
      <c r="V2881" s="17">
        <v>36</v>
      </c>
    </row>
    <row r="2882" spans="1:22" x14ac:dyDescent="0.2">
      <c r="A2882" t="s">
        <v>6552</v>
      </c>
      <c r="B2882" t="s">
        <v>5862</v>
      </c>
      <c r="C2882" t="s">
        <v>5863</v>
      </c>
      <c r="D2882" t="s">
        <v>6513</v>
      </c>
      <c r="E2882" s="10" t="s">
        <v>6553</v>
      </c>
      <c r="F2882" s="10"/>
      <c r="G2882" s="10"/>
      <c r="H2882" s="10" t="s">
        <v>6553</v>
      </c>
      <c r="I2882" s="14">
        <v>23428.211851903703</v>
      </c>
      <c r="J2882" s="19">
        <v>0</v>
      </c>
      <c r="K2882" s="19">
        <v>0.26326516897047225</v>
      </c>
      <c r="L2882" s="19">
        <v>0.73673483102952775</v>
      </c>
      <c r="M2882" s="20">
        <v>1</v>
      </c>
      <c r="N2882" s="19">
        <v>0</v>
      </c>
      <c r="O2882" s="19">
        <v>0.26326516897047225</v>
      </c>
      <c r="P2882" s="19">
        <v>0</v>
      </c>
      <c r="Q2882" s="19">
        <v>0.2320310701357701</v>
      </c>
      <c r="R2882" s="19">
        <v>0.47574046130424685</v>
      </c>
      <c r="S2882" s="19">
        <v>2.8963299589510785E-2</v>
      </c>
      <c r="T2882" s="20">
        <v>12</v>
      </c>
      <c r="U2882" s="17">
        <v>3</v>
      </c>
      <c r="V2882" s="17">
        <v>36</v>
      </c>
    </row>
    <row r="2883" spans="1:22" x14ac:dyDescent="0.2">
      <c r="A2883" t="s">
        <v>6554</v>
      </c>
      <c r="B2883" t="s">
        <v>5862</v>
      </c>
      <c r="C2883" t="s">
        <v>5863</v>
      </c>
      <c r="D2883" t="s">
        <v>6513</v>
      </c>
      <c r="E2883" s="10" t="s">
        <v>6555</v>
      </c>
      <c r="F2883" s="10"/>
      <c r="G2883" s="10"/>
      <c r="H2883" s="10" t="s">
        <v>6555</v>
      </c>
      <c r="I2883" s="14">
        <v>115875.16925180051</v>
      </c>
      <c r="J2883" s="19">
        <v>0</v>
      </c>
      <c r="K2883" s="19">
        <v>0.42720091482809264</v>
      </c>
      <c r="L2883" s="19">
        <v>0.57279908517190736</v>
      </c>
      <c r="M2883" s="20">
        <v>1</v>
      </c>
      <c r="N2883" s="19">
        <v>7.809439270292598E-2</v>
      </c>
      <c r="O2883" s="19">
        <v>0.2867062782181099</v>
      </c>
      <c r="P2883" s="19">
        <v>6.2400243907056813E-2</v>
      </c>
      <c r="Q2883" s="19">
        <v>0.28256108238486255</v>
      </c>
      <c r="R2883" s="19">
        <v>0.26757235087545805</v>
      </c>
      <c r="S2883" s="19">
        <v>2.2665651911586669E-2</v>
      </c>
      <c r="T2883" s="20">
        <v>13</v>
      </c>
      <c r="U2883" s="17">
        <v>3</v>
      </c>
      <c r="V2883" s="17">
        <v>36</v>
      </c>
    </row>
    <row r="2884" spans="1:22" x14ac:dyDescent="0.2">
      <c r="A2884" t="s">
        <v>6556</v>
      </c>
      <c r="B2884" t="s">
        <v>5862</v>
      </c>
      <c r="C2884" t="s">
        <v>5863</v>
      </c>
      <c r="D2884" t="s">
        <v>6513</v>
      </c>
      <c r="E2884" s="10" t="s">
        <v>6557</v>
      </c>
      <c r="F2884" s="10"/>
      <c r="G2884" s="10"/>
      <c r="H2884" s="10" t="s">
        <v>6557</v>
      </c>
      <c r="I2884" s="14">
        <v>69985.335220589535</v>
      </c>
      <c r="J2884" s="19">
        <v>0</v>
      </c>
      <c r="K2884" s="19">
        <v>0.25351712286087724</v>
      </c>
      <c r="L2884" s="19">
        <v>0.74648287713912287</v>
      </c>
      <c r="M2884" s="20">
        <v>1</v>
      </c>
      <c r="N2884" s="19">
        <v>0</v>
      </c>
      <c r="O2884" s="19">
        <v>0.25351712286087724</v>
      </c>
      <c r="P2884" s="19">
        <v>0</v>
      </c>
      <c r="Q2884" s="19">
        <v>0.33524812999338238</v>
      </c>
      <c r="R2884" s="19">
        <v>0.37474201965483406</v>
      </c>
      <c r="S2884" s="19">
        <v>3.6492727490906304E-2</v>
      </c>
      <c r="T2884" s="20">
        <v>12</v>
      </c>
      <c r="U2884" s="17">
        <v>3</v>
      </c>
      <c r="V2884" s="17">
        <v>36</v>
      </c>
    </row>
    <row r="2885" spans="1:22" x14ac:dyDescent="0.2">
      <c r="A2885" t="s">
        <v>6558</v>
      </c>
      <c r="B2885" t="s">
        <v>5862</v>
      </c>
      <c r="C2885" t="s">
        <v>5863</v>
      </c>
      <c r="D2885" t="s">
        <v>6513</v>
      </c>
      <c r="E2885" s="10" t="s">
        <v>6559</v>
      </c>
      <c r="F2885" s="10"/>
      <c r="G2885" s="10"/>
      <c r="H2885" s="10" t="s">
        <v>6559</v>
      </c>
      <c r="I2885" s="14">
        <v>50131.059730401961</v>
      </c>
      <c r="J2885" s="19">
        <v>0</v>
      </c>
      <c r="K2885" s="19">
        <v>0.13642416022003542</v>
      </c>
      <c r="L2885" s="19">
        <v>0.86357583977996455</v>
      </c>
      <c r="M2885" s="20">
        <v>1</v>
      </c>
      <c r="N2885" s="19">
        <v>0</v>
      </c>
      <c r="O2885" s="19">
        <v>0.13642416022003542</v>
      </c>
      <c r="P2885" s="19">
        <v>0</v>
      </c>
      <c r="Q2885" s="19">
        <v>0.50699927994444272</v>
      </c>
      <c r="R2885" s="19">
        <v>0.31758588387933595</v>
      </c>
      <c r="S2885" s="19">
        <v>3.899067595618598E-2</v>
      </c>
      <c r="T2885" s="20">
        <v>13</v>
      </c>
      <c r="U2885" s="17">
        <v>3</v>
      </c>
      <c r="V2885" s="17">
        <v>36</v>
      </c>
    </row>
    <row r="2886" spans="1:22" x14ac:dyDescent="0.2">
      <c r="A2886" t="s">
        <v>6560</v>
      </c>
      <c r="B2886" t="s">
        <v>5862</v>
      </c>
      <c r="C2886" t="s">
        <v>5863</v>
      </c>
      <c r="D2886" t="s">
        <v>6513</v>
      </c>
      <c r="E2886" s="10" t="s">
        <v>6561</v>
      </c>
      <c r="F2886" s="10"/>
      <c r="G2886" s="10"/>
      <c r="H2886" s="10" t="s">
        <v>6561</v>
      </c>
      <c r="I2886" s="14">
        <v>156474.36872829171</v>
      </c>
      <c r="J2886" s="19">
        <v>0</v>
      </c>
      <c r="K2886" s="19">
        <v>0.27043210338907764</v>
      </c>
      <c r="L2886" s="19">
        <v>0.72956789661092225</v>
      </c>
      <c r="M2886" s="20">
        <v>1</v>
      </c>
      <c r="N2886" s="19">
        <v>0.12566307941987523</v>
      </c>
      <c r="O2886" s="19">
        <v>4.2633860505681765E-3</v>
      </c>
      <c r="P2886" s="19">
        <v>0.14050563791863421</v>
      </c>
      <c r="Q2886" s="19">
        <v>0.10639957322038031</v>
      </c>
      <c r="R2886" s="19">
        <v>0.54138431432291068</v>
      </c>
      <c r="S2886" s="19">
        <v>8.1784009067631391E-2</v>
      </c>
      <c r="T2886" s="20">
        <v>12</v>
      </c>
      <c r="U2886" s="17">
        <v>3</v>
      </c>
      <c r="V2886" s="17">
        <v>36</v>
      </c>
    </row>
    <row r="2887" spans="1:22" x14ac:dyDescent="0.2">
      <c r="A2887" t="s">
        <v>6562</v>
      </c>
      <c r="B2887" t="s">
        <v>5862</v>
      </c>
      <c r="C2887" t="s">
        <v>5863</v>
      </c>
      <c r="D2887" t="s">
        <v>6513</v>
      </c>
      <c r="E2887" s="10" t="s">
        <v>6563</v>
      </c>
      <c r="F2887" s="10"/>
      <c r="G2887" s="10"/>
      <c r="H2887" s="10" t="s">
        <v>6563</v>
      </c>
      <c r="I2887" s="14">
        <v>117819.61321980691</v>
      </c>
      <c r="J2887" s="19">
        <v>0</v>
      </c>
      <c r="K2887" s="19">
        <v>0.31724869559583091</v>
      </c>
      <c r="L2887" s="19">
        <v>0.6827513044041692</v>
      </c>
      <c r="M2887" s="20">
        <v>1</v>
      </c>
      <c r="N2887" s="19">
        <v>0.10741305499665486</v>
      </c>
      <c r="O2887" s="19">
        <v>0</v>
      </c>
      <c r="P2887" s="19">
        <v>0.20983564059917606</v>
      </c>
      <c r="Q2887" s="19">
        <v>0.23786345598035999</v>
      </c>
      <c r="R2887" s="19">
        <v>0.40632833134052398</v>
      </c>
      <c r="S2887" s="19">
        <v>3.85595170832852E-2</v>
      </c>
      <c r="T2887" s="20">
        <v>12</v>
      </c>
      <c r="U2887" s="17">
        <v>3</v>
      </c>
      <c r="V2887" s="17">
        <v>36</v>
      </c>
    </row>
    <row r="2888" spans="1:22" x14ac:dyDescent="0.2">
      <c r="A2888" t="s">
        <v>6564</v>
      </c>
      <c r="B2888" t="s">
        <v>5862</v>
      </c>
      <c r="C2888" t="s">
        <v>5863</v>
      </c>
      <c r="D2888" t="s">
        <v>6513</v>
      </c>
      <c r="E2888" s="10" t="s">
        <v>6565</v>
      </c>
      <c r="F2888" s="10"/>
      <c r="G2888" s="10"/>
      <c r="H2888" s="10" t="s">
        <v>6565</v>
      </c>
      <c r="I2888" s="14">
        <v>116275.32494530384</v>
      </c>
      <c r="J2888" s="19">
        <v>0</v>
      </c>
      <c r="K2888" s="19">
        <v>0.51564526030633873</v>
      </c>
      <c r="L2888" s="19">
        <v>0.48435473969366122</v>
      </c>
      <c r="M2888" s="20">
        <v>2</v>
      </c>
      <c r="N2888" s="19">
        <v>0.14556022480009867</v>
      </c>
      <c r="O2888" s="19">
        <v>0.13105325500464893</v>
      </c>
      <c r="P2888" s="19">
        <v>0.23903178050159116</v>
      </c>
      <c r="Q2888" s="19">
        <v>0.19300192439166899</v>
      </c>
      <c r="R2888" s="19">
        <v>0.26125099041588135</v>
      </c>
      <c r="S2888" s="19">
        <v>3.0101824886110892E-2</v>
      </c>
      <c r="T2888" s="20">
        <v>23</v>
      </c>
      <c r="U2888" s="17">
        <v>3</v>
      </c>
      <c r="V2888" s="17">
        <v>36</v>
      </c>
    </row>
    <row r="2889" spans="1:22" x14ac:dyDescent="0.2">
      <c r="A2889" t="s">
        <v>6566</v>
      </c>
      <c r="B2889" t="s">
        <v>5862</v>
      </c>
      <c r="C2889" t="s">
        <v>5863</v>
      </c>
      <c r="D2889" t="s">
        <v>6513</v>
      </c>
      <c r="E2889" s="10" t="s">
        <v>6567</v>
      </c>
      <c r="F2889" s="10"/>
      <c r="G2889" s="10"/>
      <c r="H2889" s="10" t="s">
        <v>6567</v>
      </c>
      <c r="I2889" s="14">
        <v>68324.1945837721</v>
      </c>
      <c r="J2889" s="19">
        <v>0</v>
      </c>
      <c r="K2889" s="19">
        <v>0.16635034114212466</v>
      </c>
      <c r="L2889" s="19">
        <v>0.83364965885787545</v>
      </c>
      <c r="M2889" s="20">
        <v>1</v>
      </c>
      <c r="N2889" s="19">
        <v>9.1948260789909628E-2</v>
      </c>
      <c r="O2889" s="19">
        <v>0</v>
      </c>
      <c r="P2889" s="19">
        <v>7.440208035221503E-2</v>
      </c>
      <c r="Q2889" s="19">
        <v>0.42557557753142117</v>
      </c>
      <c r="R2889" s="19">
        <v>0.37644649057676244</v>
      </c>
      <c r="S2889" s="19">
        <v>3.1627590749691709E-2</v>
      </c>
      <c r="T2889" s="20">
        <v>13</v>
      </c>
      <c r="U2889" s="17">
        <v>3</v>
      </c>
      <c r="V2889" s="17">
        <v>36</v>
      </c>
    </row>
    <row r="2890" spans="1:22" x14ac:dyDescent="0.2">
      <c r="A2890" t="s">
        <v>6568</v>
      </c>
      <c r="B2890" t="s">
        <v>5862</v>
      </c>
      <c r="C2890" t="s">
        <v>5863</v>
      </c>
      <c r="D2890" t="s">
        <v>6513</v>
      </c>
      <c r="E2890" s="10" t="s">
        <v>6569</v>
      </c>
      <c r="F2890" s="10"/>
      <c r="G2890" s="10"/>
      <c r="H2890" s="10" t="s">
        <v>6569</v>
      </c>
      <c r="I2890" s="14">
        <v>107052.91151395673</v>
      </c>
      <c r="J2890" s="19">
        <v>0</v>
      </c>
      <c r="K2890" s="19">
        <v>0.31032014081356557</v>
      </c>
      <c r="L2890" s="19">
        <v>0.68967985918643437</v>
      </c>
      <c r="M2890" s="20">
        <v>1</v>
      </c>
      <c r="N2890" s="19">
        <v>0.11974044801089975</v>
      </c>
      <c r="O2890" s="19">
        <v>9.4052112477068281E-2</v>
      </c>
      <c r="P2890" s="19">
        <v>9.6527580325597551E-2</v>
      </c>
      <c r="Q2890" s="19">
        <v>0.21896833419659054</v>
      </c>
      <c r="R2890" s="19">
        <v>0.40799358955768134</v>
      </c>
      <c r="S2890" s="19">
        <v>6.2717935432162544E-2</v>
      </c>
      <c r="T2890" s="20">
        <v>12</v>
      </c>
      <c r="U2890" s="17">
        <v>3</v>
      </c>
      <c r="V2890" s="17">
        <v>36</v>
      </c>
    </row>
    <row r="2891" spans="1:22" x14ac:dyDescent="0.2">
      <c r="A2891" t="s">
        <v>6570</v>
      </c>
      <c r="B2891" t="s">
        <v>5862</v>
      </c>
      <c r="C2891" t="s">
        <v>5863</v>
      </c>
      <c r="D2891" t="s">
        <v>6513</v>
      </c>
      <c r="E2891" s="10" t="s">
        <v>6571</v>
      </c>
      <c r="F2891" s="10"/>
      <c r="G2891" s="10"/>
      <c r="H2891" s="10" t="s">
        <v>6571</v>
      </c>
      <c r="I2891" s="14">
        <v>57379.451337791979</v>
      </c>
      <c r="J2891" s="19">
        <v>0</v>
      </c>
      <c r="K2891" s="19">
        <v>0.26816153977071866</v>
      </c>
      <c r="L2891" s="19">
        <v>0.73183846022928134</v>
      </c>
      <c r="M2891" s="20">
        <v>1</v>
      </c>
      <c r="N2891" s="19">
        <v>0</v>
      </c>
      <c r="O2891" s="19">
        <v>0.26816153977071866</v>
      </c>
      <c r="P2891" s="19">
        <v>0</v>
      </c>
      <c r="Q2891" s="19">
        <v>0.47112076077589216</v>
      </c>
      <c r="R2891" s="19">
        <v>0.21427084583668615</v>
      </c>
      <c r="S2891" s="19">
        <v>4.644685361670306E-2</v>
      </c>
      <c r="T2891" s="20">
        <v>13</v>
      </c>
      <c r="U2891" s="17">
        <v>3</v>
      </c>
      <c r="V2891" s="17">
        <v>36</v>
      </c>
    </row>
    <row r="2892" spans="1:22" x14ac:dyDescent="0.2">
      <c r="A2892" t="s">
        <v>6572</v>
      </c>
      <c r="B2892" t="s">
        <v>5862</v>
      </c>
      <c r="C2892" t="s">
        <v>5863</v>
      </c>
      <c r="D2892" t="s">
        <v>6513</v>
      </c>
      <c r="E2892" s="10" t="s">
        <v>6573</v>
      </c>
      <c r="F2892" s="10"/>
      <c r="G2892" s="10"/>
      <c r="H2892" s="10" t="s">
        <v>6573</v>
      </c>
      <c r="I2892" s="14">
        <v>67718.513811021578</v>
      </c>
      <c r="J2892" s="19">
        <v>0</v>
      </c>
      <c r="K2892" s="19">
        <v>0.34380492050158878</v>
      </c>
      <c r="L2892" s="19">
        <v>0.65619507949841127</v>
      </c>
      <c r="M2892" s="20">
        <v>1</v>
      </c>
      <c r="N2892" s="19">
        <v>0</v>
      </c>
      <c r="O2892" s="19">
        <v>0.34374048175709571</v>
      </c>
      <c r="P2892" s="19">
        <v>6.4438744493096846E-5</v>
      </c>
      <c r="Q2892" s="19">
        <v>0.17851480435225475</v>
      </c>
      <c r="R2892" s="19">
        <v>0.40435980684289441</v>
      </c>
      <c r="S2892" s="19">
        <v>7.3320468303262054E-2</v>
      </c>
      <c r="T2892" s="20">
        <v>12</v>
      </c>
      <c r="U2892" s="17">
        <v>3</v>
      </c>
      <c r="V2892" s="17">
        <v>36</v>
      </c>
    </row>
    <row r="2893" spans="1:22" x14ac:dyDescent="0.2">
      <c r="A2893" t="s">
        <v>6574</v>
      </c>
      <c r="B2893" t="s">
        <v>5862</v>
      </c>
      <c r="C2893" t="s">
        <v>5863</v>
      </c>
      <c r="D2893" t="s">
        <v>6513</v>
      </c>
      <c r="E2893" s="10" t="s">
        <v>6575</v>
      </c>
      <c r="F2893" s="10"/>
      <c r="G2893" s="10"/>
      <c r="H2893" s="10" t="s">
        <v>6575</v>
      </c>
      <c r="I2893" s="14">
        <v>36982.126004141523</v>
      </c>
      <c r="J2893" s="19">
        <v>0</v>
      </c>
      <c r="K2893" s="19">
        <v>0</v>
      </c>
      <c r="L2893" s="19">
        <v>1</v>
      </c>
      <c r="M2893" s="20">
        <v>1</v>
      </c>
      <c r="N2893" s="19">
        <v>0</v>
      </c>
      <c r="O2893" s="19">
        <v>0</v>
      </c>
      <c r="P2893" s="19">
        <v>0</v>
      </c>
      <c r="Q2893" s="19">
        <v>0.12078342434456672</v>
      </c>
      <c r="R2893" s="19">
        <v>0.72227920167181936</v>
      </c>
      <c r="S2893" s="19">
        <v>0.15693737398361396</v>
      </c>
      <c r="T2893" s="20">
        <v>12</v>
      </c>
      <c r="U2893" s="17">
        <v>3</v>
      </c>
      <c r="V2893" s="17">
        <v>36</v>
      </c>
    </row>
    <row r="2894" spans="1:22" x14ac:dyDescent="0.2">
      <c r="A2894" t="s">
        <v>6576</v>
      </c>
      <c r="B2894" t="s">
        <v>5862</v>
      </c>
      <c r="C2894" t="s">
        <v>5863</v>
      </c>
      <c r="D2894" t="s">
        <v>6577</v>
      </c>
      <c r="E2894" s="10" t="s">
        <v>6578</v>
      </c>
      <c r="F2894" s="10"/>
      <c r="G2894" s="10"/>
      <c r="H2894" s="10" t="s">
        <v>6578</v>
      </c>
      <c r="I2894" s="14">
        <v>69557.036832787329</v>
      </c>
      <c r="J2894" s="19">
        <v>0</v>
      </c>
      <c r="K2894" s="19">
        <v>0.22543576534799112</v>
      </c>
      <c r="L2894" s="19">
        <v>0.77456423465200885</v>
      </c>
      <c r="M2894" s="20">
        <v>1</v>
      </c>
      <c r="N2894" s="19">
        <v>0</v>
      </c>
      <c r="O2894" s="19">
        <v>0</v>
      </c>
      <c r="P2894" s="19">
        <v>0.22543576534799112</v>
      </c>
      <c r="Q2894" s="19">
        <v>0.13307783020714214</v>
      </c>
      <c r="R2894" s="19">
        <v>0.56812376662329589</v>
      </c>
      <c r="S2894" s="19">
        <v>7.3362637821570889E-2</v>
      </c>
      <c r="T2894" s="20">
        <v>12</v>
      </c>
      <c r="U2894" s="17">
        <v>3</v>
      </c>
      <c r="V2894" s="17">
        <v>36</v>
      </c>
    </row>
    <row r="2895" spans="1:22" x14ac:dyDescent="0.2">
      <c r="A2895" t="s">
        <v>6579</v>
      </c>
      <c r="B2895" t="s">
        <v>5862</v>
      </c>
      <c r="C2895" t="s">
        <v>5863</v>
      </c>
      <c r="D2895" t="s">
        <v>6577</v>
      </c>
      <c r="E2895" s="10" t="s">
        <v>6580</v>
      </c>
      <c r="F2895" s="10"/>
      <c r="G2895" s="10"/>
      <c r="H2895" s="10" t="s">
        <v>6580</v>
      </c>
      <c r="I2895" s="14">
        <v>55444.753876831492</v>
      </c>
      <c r="J2895" s="19">
        <v>0</v>
      </c>
      <c r="K2895" s="19">
        <v>0.34732134456563185</v>
      </c>
      <c r="L2895" s="19">
        <v>0.65267865543436832</v>
      </c>
      <c r="M2895" s="20">
        <v>1</v>
      </c>
      <c r="N2895" s="19">
        <v>0.18949823428067453</v>
      </c>
      <c r="O2895" s="19">
        <v>0</v>
      </c>
      <c r="P2895" s="19">
        <v>0.15782311028495735</v>
      </c>
      <c r="Q2895" s="19">
        <v>0.12034965312883382</v>
      </c>
      <c r="R2895" s="19">
        <v>0.48944385043900629</v>
      </c>
      <c r="S2895" s="19">
        <v>4.2885151866528207E-2</v>
      </c>
      <c r="T2895" s="20">
        <v>12</v>
      </c>
      <c r="U2895" s="17">
        <v>3</v>
      </c>
      <c r="V2895" s="17">
        <v>36</v>
      </c>
    </row>
    <row r="2896" spans="1:22" x14ac:dyDescent="0.2">
      <c r="A2896" t="s">
        <v>6581</v>
      </c>
      <c r="B2896" t="s">
        <v>5862</v>
      </c>
      <c r="C2896" t="s">
        <v>5863</v>
      </c>
      <c r="D2896" t="s">
        <v>6577</v>
      </c>
      <c r="E2896" s="10" t="s">
        <v>6582</v>
      </c>
      <c r="F2896" s="10"/>
      <c r="G2896" s="10"/>
      <c r="H2896" s="10" t="s">
        <v>6582</v>
      </c>
      <c r="I2896" s="14">
        <v>13026.173538105213</v>
      </c>
      <c r="J2896" s="19">
        <v>0</v>
      </c>
      <c r="K2896" s="19">
        <v>0</v>
      </c>
      <c r="L2896" s="19">
        <v>1</v>
      </c>
      <c r="M2896" s="20">
        <v>1</v>
      </c>
      <c r="N2896" s="19">
        <v>0</v>
      </c>
      <c r="O2896" s="19">
        <v>0</v>
      </c>
      <c r="P2896" s="19">
        <v>0</v>
      </c>
      <c r="Q2896" s="19">
        <v>0.25263272508928108</v>
      </c>
      <c r="R2896" s="19">
        <v>0.56086657006660789</v>
      </c>
      <c r="S2896" s="19">
        <v>0.18650070484411102</v>
      </c>
      <c r="T2896" s="20">
        <v>12</v>
      </c>
      <c r="U2896" s="17">
        <v>3</v>
      </c>
      <c r="V2896" s="17">
        <v>36</v>
      </c>
    </row>
    <row r="2897" spans="1:22" x14ac:dyDescent="0.2">
      <c r="A2897" t="s">
        <v>6583</v>
      </c>
      <c r="B2897" t="s">
        <v>5862</v>
      </c>
      <c r="C2897" t="s">
        <v>5863</v>
      </c>
      <c r="D2897" t="s">
        <v>6577</v>
      </c>
      <c r="E2897" s="10" t="s">
        <v>6584</v>
      </c>
      <c r="F2897" s="10"/>
      <c r="G2897" s="10"/>
      <c r="H2897" s="10" t="s">
        <v>6584</v>
      </c>
      <c r="I2897" s="14">
        <v>13168.405347382883</v>
      </c>
      <c r="J2897" s="19">
        <v>0</v>
      </c>
      <c r="K2897" s="19">
        <v>0</v>
      </c>
      <c r="L2897" s="19">
        <v>1</v>
      </c>
      <c r="M2897" s="20">
        <v>1</v>
      </c>
      <c r="N2897" s="19">
        <v>0</v>
      </c>
      <c r="O2897" s="19">
        <v>0</v>
      </c>
      <c r="P2897" s="19">
        <v>0</v>
      </c>
      <c r="Q2897" s="19">
        <v>0.6394551601429419</v>
      </c>
      <c r="R2897" s="19">
        <v>0.2792133431588425</v>
      </c>
      <c r="S2897" s="19">
        <v>8.1331496698215655E-2</v>
      </c>
      <c r="T2897" s="20">
        <v>13</v>
      </c>
      <c r="U2897" s="17">
        <v>3</v>
      </c>
      <c r="V2897" s="17">
        <v>36</v>
      </c>
    </row>
    <row r="2898" spans="1:22" x14ac:dyDescent="0.2">
      <c r="A2898" t="s">
        <v>6585</v>
      </c>
      <c r="B2898" t="s">
        <v>5862</v>
      </c>
      <c r="C2898" t="s">
        <v>5863</v>
      </c>
      <c r="D2898" t="s">
        <v>6577</v>
      </c>
      <c r="E2898" s="10" t="s">
        <v>6586</v>
      </c>
      <c r="F2898" s="10"/>
      <c r="G2898" s="10"/>
      <c r="H2898" s="10" t="s">
        <v>6586</v>
      </c>
      <c r="I2898" s="14">
        <v>30311.85958290752</v>
      </c>
      <c r="J2898" s="19">
        <v>0</v>
      </c>
      <c r="K2898" s="19">
        <v>0.47896464733473859</v>
      </c>
      <c r="L2898" s="19">
        <v>0.52103535266526135</v>
      </c>
      <c r="M2898" s="20">
        <v>1</v>
      </c>
      <c r="N2898" s="19">
        <v>0</v>
      </c>
      <c r="O2898" s="19">
        <v>0</v>
      </c>
      <c r="P2898" s="19">
        <v>0.47896464733473859</v>
      </c>
      <c r="Q2898" s="19">
        <v>9.2982691052940436E-2</v>
      </c>
      <c r="R2898" s="19">
        <v>0.38409600186332293</v>
      </c>
      <c r="S2898" s="19">
        <v>4.3956659748998018E-2</v>
      </c>
      <c r="T2898" s="20">
        <v>12</v>
      </c>
      <c r="U2898" s="17">
        <v>3</v>
      </c>
      <c r="V2898" s="17">
        <v>36</v>
      </c>
    </row>
    <row r="2899" spans="1:22" x14ac:dyDescent="0.2">
      <c r="A2899" t="s">
        <v>6587</v>
      </c>
      <c r="B2899" t="s">
        <v>5862</v>
      </c>
      <c r="C2899" t="s">
        <v>5863</v>
      </c>
      <c r="D2899" t="s">
        <v>6577</v>
      </c>
      <c r="E2899" s="10" t="s">
        <v>6588</v>
      </c>
      <c r="F2899" s="10"/>
      <c r="G2899" s="10"/>
      <c r="H2899" s="10" t="s">
        <v>6588</v>
      </c>
      <c r="I2899" s="14">
        <v>26778.168475757935</v>
      </c>
      <c r="J2899" s="19">
        <v>0</v>
      </c>
      <c r="K2899" s="19">
        <v>9.9294757398469078E-3</v>
      </c>
      <c r="L2899" s="19">
        <v>0.99007052426015307</v>
      </c>
      <c r="M2899" s="20">
        <v>1</v>
      </c>
      <c r="N2899" s="19">
        <v>0</v>
      </c>
      <c r="O2899" s="19">
        <v>0</v>
      </c>
      <c r="P2899" s="19">
        <v>9.9294757398469078E-3</v>
      </c>
      <c r="Q2899" s="19">
        <v>0.26976571424935353</v>
      </c>
      <c r="R2899" s="19">
        <v>0.63582764815993542</v>
      </c>
      <c r="S2899" s="19">
        <v>8.4477161850864194E-2</v>
      </c>
      <c r="T2899" s="20">
        <v>12</v>
      </c>
      <c r="U2899" s="17">
        <v>3</v>
      </c>
      <c r="V2899" s="17">
        <v>36</v>
      </c>
    </row>
    <row r="2900" spans="1:22" x14ac:dyDescent="0.2">
      <c r="A2900" t="s">
        <v>6589</v>
      </c>
      <c r="B2900" t="s">
        <v>5862</v>
      </c>
      <c r="C2900" t="s">
        <v>5863</v>
      </c>
      <c r="D2900" t="s">
        <v>6577</v>
      </c>
      <c r="E2900" s="10" t="s">
        <v>6590</v>
      </c>
      <c r="F2900" s="10"/>
      <c r="G2900" s="10"/>
      <c r="H2900" s="10" t="s">
        <v>6590</v>
      </c>
      <c r="I2900" s="14">
        <v>70116.709457046934</v>
      </c>
      <c r="J2900" s="19">
        <v>0</v>
      </c>
      <c r="K2900" s="19">
        <v>0.2140622525049628</v>
      </c>
      <c r="L2900" s="19">
        <v>0.78593774749503742</v>
      </c>
      <c r="M2900" s="20">
        <v>1</v>
      </c>
      <c r="N2900" s="19">
        <v>0.1251601834086169</v>
      </c>
      <c r="O2900" s="19">
        <v>0</v>
      </c>
      <c r="P2900" s="19">
        <v>8.8902069096345904E-2</v>
      </c>
      <c r="Q2900" s="19">
        <v>0.19966240708858779</v>
      </c>
      <c r="R2900" s="19">
        <v>0.51341217728388167</v>
      </c>
      <c r="S2900" s="19">
        <v>7.2863163122567728E-2</v>
      </c>
      <c r="T2900" s="20">
        <v>12</v>
      </c>
      <c r="U2900" s="17">
        <v>3</v>
      </c>
      <c r="V2900" s="17">
        <v>36</v>
      </c>
    </row>
    <row r="2901" spans="1:22" x14ac:dyDescent="0.2">
      <c r="A2901" t="s">
        <v>6591</v>
      </c>
      <c r="B2901" t="s">
        <v>5862</v>
      </c>
      <c r="C2901" t="s">
        <v>5863</v>
      </c>
      <c r="D2901" t="s">
        <v>6577</v>
      </c>
      <c r="E2901" s="10" t="s">
        <v>6592</v>
      </c>
      <c r="F2901" s="10"/>
      <c r="G2901" s="10"/>
      <c r="H2901" s="10" t="s">
        <v>6592</v>
      </c>
      <c r="I2901" s="14">
        <v>38377.050567380153</v>
      </c>
      <c r="J2901" s="19">
        <v>0</v>
      </c>
      <c r="K2901" s="19">
        <v>0</v>
      </c>
      <c r="L2901" s="19">
        <v>1</v>
      </c>
      <c r="M2901" s="20">
        <v>1</v>
      </c>
      <c r="N2901" s="19">
        <v>0</v>
      </c>
      <c r="O2901" s="19">
        <v>0</v>
      </c>
      <c r="P2901" s="19">
        <v>0</v>
      </c>
      <c r="Q2901" s="19">
        <v>0.10721074821235003</v>
      </c>
      <c r="R2901" s="19">
        <v>0.7742323224172577</v>
      </c>
      <c r="S2901" s="19">
        <v>0.11855692937039232</v>
      </c>
      <c r="T2901" s="20">
        <v>12</v>
      </c>
      <c r="U2901" s="17">
        <v>3</v>
      </c>
      <c r="V2901" s="17">
        <v>36</v>
      </c>
    </row>
    <row r="2902" spans="1:22" x14ac:dyDescent="0.2">
      <c r="A2902" t="s">
        <v>6593</v>
      </c>
      <c r="B2902" t="s">
        <v>5862</v>
      </c>
      <c r="C2902" t="s">
        <v>5863</v>
      </c>
      <c r="D2902" t="s">
        <v>6577</v>
      </c>
      <c r="E2902" s="10" t="s">
        <v>6594</v>
      </c>
      <c r="F2902" s="10"/>
      <c r="G2902" s="10"/>
      <c r="H2902" s="10" t="s">
        <v>6594</v>
      </c>
      <c r="I2902" s="14">
        <v>202117.0652392467</v>
      </c>
      <c r="J2902" s="19">
        <v>0.53023531583167582</v>
      </c>
      <c r="K2902" s="19">
        <v>0.22883741388066275</v>
      </c>
      <c r="L2902" s="19">
        <v>0.24092727028766148</v>
      </c>
      <c r="M2902" s="20">
        <v>3</v>
      </c>
      <c r="N2902" s="19">
        <v>3.2684375819634008E-2</v>
      </c>
      <c r="O2902" s="19">
        <v>0</v>
      </c>
      <c r="P2902" s="19">
        <v>0.19615303806102874</v>
      </c>
      <c r="Q2902" s="19">
        <v>4.6058472343721714E-2</v>
      </c>
      <c r="R2902" s="19">
        <v>0.17467309536706169</v>
      </c>
      <c r="S2902" s="19">
        <v>2.0195702576878055E-2</v>
      </c>
      <c r="T2902" s="20">
        <v>30</v>
      </c>
      <c r="U2902" s="17">
        <v>3</v>
      </c>
      <c r="V2902" s="17">
        <v>36</v>
      </c>
    </row>
    <row r="2903" spans="1:22" x14ac:dyDescent="0.2">
      <c r="A2903" t="s">
        <v>6595</v>
      </c>
      <c r="B2903" t="s">
        <v>5862</v>
      </c>
      <c r="C2903" t="s">
        <v>5863</v>
      </c>
      <c r="D2903" t="s">
        <v>6577</v>
      </c>
      <c r="E2903" s="10" t="s">
        <v>6596</v>
      </c>
      <c r="F2903" s="10"/>
      <c r="G2903" s="10"/>
      <c r="H2903" s="10" t="s">
        <v>6596</v>
      </c>
      <c r="I2903" s="14">
        <v>52721.452314392656</v>
      </c>
      <c r="J2903" s="19">
        <v>0</v>
      </c>
      <c r="K2903" s="19">
        <v>0.34554407557075834</v>
      </c>
      <c r="L2903" s="19">
        <v>0.65445592442924183</v>
      </c>
      <c r="M2903" s="20">
        <v>1</v>
      </c>
      <c r="N2903" s="19">
        <v>0.26723887978755245</v>
      </c>
      <c r="O2903" s="19">
        <v>0</v>
      </c>
      <c r="P2903" s="19">
        <v>7.8305195783205911E-2</v>
      </c>
      <c r="Q2903" s="19">
        <v>7.5338207183223163E-2</v>
      </c>
      <c r="R2903" s="19">
        <v>0.46669958821817015</v>
      </c>
      <c r="S2903" s="19">
        <v>0.11241812902784848</v>
      </c>
      <c r="T2903" s="20">
        <v>12</v>
      </c>
      <c r="U2903" s="17">
        <v>3</v>
      </c>
      <c r="V2903" s="17">
        <v>36</v>
      </c>
    </row>
    <row r="2904" spans="1:22" x14ac:dyDescent="0.2">
      <c r="A2904" t="s">
        <v>6597</v>
      </c>
      <c r="B2904" t="s">
        <v>5862</v>
      </c>
      <c r="C2904" t="s">
        <v>5863</v>
      </c>
      <c r="D2904" t="s">
        <v>6577</v>
      </c>
      <c r="E2904" s="10" t="s">
        <v>6598</v>
      </c>
      <c r="F2904" s="10"/>
      <c r="G2904" s="10"/>
      <c r="H2904" s="10" t="s">
        <v>6598</v>
      </c>
      <c r="I2904" s="14">
        <v>53937.071801898535</v>
      </c>
      <c r="J2904" s="19">
        <v>0</v>
      </c>
      <c r="K2904" s="19">
        <v>0.2251753508948503</v>
      </c>
      <c r="L2904" s="19">
        <v>0.77482464910514959</v>
      </c>
      <c r="M2904" s="20">
        <v>1</v>
      </c>
      <c r="N2904" s="19">
        <v>0.14898628727897656</v>
      </c>
      <c r="O2904" s="19">
        <v>0</v>
      </c>
      <c r="P2904" s="19">
        <v>7.6189063615873756E-2</v>
      </c>
      <c r="Q2904" s="19">
        <v>0.26998479883303256</v>
      </c>
      <c r="R2904" s="19">
        <v>0.40834120612171765</v>
      </c>
      <c r="S2904" s="19">
        <v>9.6498644150399507E-2</v>
      </c>
      <c r="T2904" s="20">
        <v>12</v>
      </c>
      <c r="U2904" s="17">
        <v>3</v>
      </c>
      <c r="V2904" s="17">
        <v>36</v>
      </c>
    </row>
    <row r="2905" spans="1:22" x14ac:dyDescent="0.2">
      <c r="A2905" t="s">
        <v>6599</v>
      </c>
      <c r="B2905" t="s">
        <v>5862</v>
      </c>
      <c r="C2905" t="s">
        <v>5863</v>
      </c>
      <c r="D2905" t="s">
        <v>6577</v>
      </c>
      <c r="E2905" s="10" t="s">
        <v>6600</v>
      </c>
      <c r="F2905" s="10"/>
      <c r="G2905" s="10"/>
      <c r="H2905" s="10" t="s">
        <v>6600</v>
      </c>
      <c r="I2905" s="14">
        <v>49447.894468142418</v>
      </c>
      <c r="J2905" s="19">
        <v>0</v>
      </c>
      <c r="K2905" s="19">
        <v>0.26335713307561454</v>
      </c>
      <c r="L2905" s="19">
        <v>0.73664286692438541</v>
      </c>
      <c r="M2905" s="20">
        <v>1</v>
      </c>
      <c r="N2905" s="19">
        <v>0</v>
      </c>
      <c r="O2905" s="19">
        <v>0.26335713307561454</v>
      </c>
      <c r="P2905" s="19">
        <v>0</v>
      </c>
      <c r="Q2905" s="19">
        <v>0.17706027147417794</v>
      </c>
      <c r="R2905" s="19">
        <v>0.47079992726742803</v>
      </c>
      <c r="S2905" s="19">
        <v>8.8782668182779495E-2</v>
      </c>
      <c r="T2905" s="20">
        <v>12</v>
      </c>
      <c r="U2905" s="17">
        <v>3</v>
      </c>
      <c r="V2905" s="17">
        <v>36</v>
      </c>
    </row>
    <row r="2906" spans="1:22" x14ac:dyDescent="0.2">
      <c r="A2906" t="s">
        <v>6601</v>
      </c>
      <c r="B2906" t="s">
        <v>5862</v>
      </c>
      <c r="C2906" t="s">
        <v>5863</v>
      </c>
      <c r="D2906" t="s">
        <v>6577</v>
      </c>
      <c r="E2906" s="10" t="s">
        <v>6602</v>
      </c>
      <c r="F2906" s="10"/>
      <c r="G2906" s="10"/>
      <c r="H2906" s="10" t="s">
        <v>6602</v>
      </c>
      <c r="I2906" s="14">
        <v>33251.827491915901</v>
      </c>
      <c r="J2906" s="19">
        <v>0</v>
      </c>
      <c r="K2906" s="19">
        <v>0.16778132572866891</v>
      </c>
      <c r="L2906" s="19">
        <v>0.832218674271331</v>
      </c>
      <c r="M2906" s="20">
        <v>1</v>
      </c>
      <c r="N2906" s="19">
        <v>0</v>
      </c>
      <c r="O2906" s="19">
        <v>0.16778132572866891</v>
      </c>
      <c r="P2906" s="19">
        <v>0</v>
      </c>
      <c r="Q2906" s="19">
        <v>1.9917542185974815E-2</v>
      </c>
      <c r="R2906" s="19">
        <v>0.65066636575032721</v>
      </c>
      <c r="S2906" s="19">
        <v>0.16163476633502905</v>
      </c>
      <c r="T2906" s="20">
        <v>12</v>
      </c>
      <c r="U2906" s="17">
        <v>3</v>
      </c>
      <c r="V2906" s="17">
        <v>36</v>
      </c>
    </row>
    <row r="2907" spans="1:22" x14ac:dyDescent="0.2">
      <c r="A2907" t="s">
        <v>6603</v>
      </c>
      <c r="B2907" t="s">
        <v>5862</v>
      </c>
      <c r="C2907" t="s">
        <v>5863</v>
      </c>
      <c r="D2907" t="s">
        <v>6577</v>
      </c>
      <c r="E2907" s="10" t="s">
        <v>6604</v>
      </c>
      <c r="F2907" s="10"/>
      <c r="G2907" s="10"/>
      <c r="H2907" s="10" t="s">
        <v>6604</v>
      </c>
      <c r="I2907" s="14">
        <v>97403.32402046537</v>
      </c>
      <c r="J2907" s="19">
        <v>0</v>
      </c>
      <c r="K2907" s="19">
        <v>0.4482006263835232</v>
      </c>
      <c r="L2907" s="19">
        <v>0.55179937361647668</v>
      </c>
      <c r="M2907" s="20">
        <v>1</v>
      </c>
      <c r="N2907" s="19">
        <v>0.18633069259400525</v>
      </c>
      <c r="O2907" s="19">
        <v>0.11608771020152624</v>
      </c>
      <c r="P2907" s="19">
        <v>0.1457822235879917</v>
      </c>
      <c r="Q2907" s="19">
        <v>0.1057557620453871</v>
      </c>
      <c r="R2907" s="19">
        <v>0.37542717483433696</v>
      </c>
      <c r="S2907" s="19">
        <v>7.0616436736752733E-2</v>
      </c>
      <c r="T2907" s="20">
        <v>12</v>
      </c>
      <c r="U2907" s="17">
        <v>3</v>
      </c>
      <c r="V2907" s="17">
        <v>36</v>
      </c>
    </row>
    <row r="2908" spans="1:22" x14ac:dyDescent="0.2">
      <c r="A2908" t="s">
        <v>6605</v>
      </c>
      <c r="B2908" t="s">
        <v>5862</v>
      </c>
      <c r="C2908" t="s">
        <v>5863</v>
      </c>
      <c r="D2908" t="s">
        <v>6577</v>
      </c>
      <c r="E2908" s="10" t="s">
        <v>6606</v>
      </c>
      <c r="F2908" s="10"/>
      <c r="G2908" s="10"/>
      <c r="H2908" s="10" t="s">
        <v>6606</v>
      </c>
      <c r="I2908" s="14">
        <v>53950.280092214234</v>
      </c>
      <c r="J2908" s="19">
        <v>0</v>
      </c>
      <c r="K2908" s="19">
        <v>0.2425369190773024</v>
      </c>
      <c r="L2908" s="19">
        <v>0.75746308092269776</v>
      </c>
      <c r="M2908" s="20">
        <v>1</v>
      </c>
      <c r="N2908" s="19">
        <v>0</v>
      </c>
      <c r="O2908" s="19">
        <v>0.2425369190773024</v>
      </c>
      <c r="P2908" s="19">
        <v>0</v>
      </c>
      <c r="Q2908" s="19">
        <v>0.27139388977955581</v>
      </c>
      <c r="R2908" s="19">
        <v>0.41357786313823774</v>
      </c>
      <c r="S2908" s="19">
        <v>7.2491328004904057E-2</v>
      </c>
      <c r="T2908" s="20">
        <v>12</v>
      </c>
      <c r="U2908" s="17">
        <v>3</v>
      </c>
      <c r="V2908" s="17">
        <v>36</v>
      </c>
    </row>
    <row r="2909" spans="1:22" x14ac:dyDescent="0.2">
      <c r="A2909" t="s">
        <v>6607</v>
      </c>
      <c r="B2909" t="s">
        <v>5862</v>
      </c>
      <c r="C2909" t="s">
        <v>5863</v>
      </c>
      <c r="D2909" t="s">
        <v>6608</v>
      </c>
      <c r="E2909" s="10" t="s">
        <v>6609</v>
      </c>
      <c r="F2909" s="10"/>
      <c r="G2909" s="10"/>
      <c r="H2909" s="10" t="s">
        <v>6609</v>
      </c>
      <c r="I2909" s="14">
        <v>28722.551529686432</v>
      </c>
      <c r="J2909" s="19">
        <v>0</v>
      </c>
      <c r="K2909" s="19">
        <v>0</v>
      </c>
      <c r="L2909" s="19">
        <v>1</v>
      </c>
      <c r="M2909" s="20">
        <v>1</v>
      </c>
      <c r="N2909" s="19">
        <v>0</v>
      </c>
      <c r="O2909" s="19">
        <v>0</v>
      </c>
      <c r="P2909" s="19">
        <v>0</v>
      </c>
      <c r="Q2909" s="19">
        <v>0.11635700458619265</v>
      </c>
      <c r="R2909" s="19">
        <v>0.6875433643954052</v>
      </c>
      <c r="S2909" s="19">
        <v>0.19609963101840214</v>
      </c>
      <c r="T2909" s="20">
        <v>12</v>
      </c>
      <c r="U2909" s="17">
        <v>3</v>
      </c>
      <c r="V2909" s="17">
        <v>36</v>
      </c>
    </row>
    <row r="2910" spans="1:22" x14ac:dyDescent="0.2">
      <c r="A2910" t="s">
        <v>6610</v>
      </c>
      <c r="B2910" t="s">
        <v>5862</v>
      </c>
      <c r="C2910" t="s">
        <v>5863</v>
      </c>
      <c r="D2910" t="s">
        <v>6608</v>
      </c>
      <c r="E2910" s="10" t="s">
        <v>6611</v>
      </c>
      <c r="F2910" s="10"/>
      <c r="G2910" s="10"/>
      <c r="H2910" s="10" t="s">
        <v>6611</v>
      </c>
      <c r="I2910" s="14">
        <v>70803.877585776499</v>
      </c>
      <c r="J2910" s="19">
        <v>0</v>
      </c>
      <c r="K2910" s="19">
        <v>0.21783614448858862</v>
      </c>
      <c r="L2910" s="19">
        <v>0.78216385551141132</v>
      </c>
      <c r="M2910" s="20">
        <v>1</v>
      </c>
      <c r="N2910" s="19">
        <v>0.10645793179329587</v>
      </c>
      <c r="O2910" s="19">
        <v>4.0821479667652281E-2</v>
      </c>
      <c r="P2910" s="19">
        <v>7.055673302764047E-2</v>
      </c>
      <c r="Q2910" s="19">
        <v>0.11186301589092285</v>
      </c>
      <c r="R2910" s="19">
        <v>0.61549546374480379</v>
      </c>
      <c r="S2910" s="19">
        <v>5.4805375875684702E-2</v>
      </c>
      <c r="T2910" s="20">
        <v>12</v>
      </c>
      <c r="U2910" s="17">
        <v>3</v>
      </c>
      <c r="V2910" s="17">
        <v>36</v>
      </c>
    </row>
    <row r="2911" spans="1:22" x14ac:dyDescent="0.2">
      <c r="A2911" t="s">
        <v>6612</v>
      </c>
      <c r="B2911" t="s">
        <v>5862</v>
      </c>
      <c r="C2911" t="s">
        <v>5863</v>
      </c>
      <c r="D2911" t="s">
        <v>6608</v>
      </c>
      <c r="E2911" s="10" t="s">
        <v>5916</v>
      </c>
      <c r="F2911" s="10"/>
      <c r="G2911" s="10"/>
      <c r="H2911" s="10" t="s">
        <v>5916</v>
      </c>
      <c r="I2911" s="14">
        <v>33237.49135435978</v>
      </c>
      <c r="J2911" s="19">
        <v>0</v>
      </c>
      <c r="K2911" s="19">
        <v>0.55039870521908374</v>
      </c>
      <c r="L2911" s="19">
        <v>0.44960129478091626</v>
      </c>
      <c r="M2911" s="20">
        <v>2</v>
      </c>
      <c r="N2911" s="19">
        <v>0</v>
      </c>
      <c r="O2911" s="19">
        <v>0.55039870521908374</v>
      </c>
      <c r="P2911" s="19">
        <v>0</v>
      </c>
      <c r="Q2911" s="19">
        <v>9.5848592936274429E-2</v>
      </c>
      <c r="R2911" s="19">
        <v>0.33199122589834246</v>
      </c>
      <c r="S2911" s="19">
        <v>2.1761475946299392E-2</v>
      </c>
      <c r="T2911" s="20">
        <v>22</v>
      </c>
      <c r="U2911" s="17">
        <v>3</v>
      </c>
      <c r="V2911" s="17">
        <v>36</v>
      </c>
    </row>
    <row r="2912" spans="1:22" x14ac:dyDescent="0.2">
      <c r="A2912" t="s">
        <v>6613</v>
      </c>
      <c r="B2912" t="s">
        <v>5862</v>
      </c>
      <c r="C2912" t="s">
        <v>5863</v>
      </c>
      <c r="D2912" t="s">
        <v>6608</v>
      </c>
      <c r="E2912" s="10" t="s">
        <v>6614</v>
      </c>
      <c r="F2912" s="10"/>
      <c r="G2912" s="10"/>
      <c r="H2912" s="10" t="s">
        <v>6614</v>
      </c>
      <c r="I2912" s="14">
        <v>57578.0619320767</v>
      </c>
      <c r="J2912" s="19">
        <v>0</v>
      </c>
      <c r="K2912" s="19">
        <v>0.30410071561839713</v>
      </c>
      <c r="L2912" s="19">
        <v>0.69589928438160287</v>
      </c>
      <c r="M2912" s="20">
        <v>1</v>
      </c>
      <c r="N2912" s="19">
        <v>0.12436839810747526</v>
      </c>
      <c r="O2912" s="19">
        <v>0</v>
      </c>
      <c r="P2912" s="19">
        <v>0.17973231751092186</v>
      </c>
      <c r="Q2912" s="19">
        <v>0.20793123179715953</v>
      </c>
      <c r="R2912" s="19">
        <v>0.44515918534371607</v>
      </c>
      <c r="S2912" s="19">
        <v>4.2808867240727279E-2</v>
      </c>
      <c r="T2912" s="20">
        <v>12</v>
      </c>
      <c r="U2912" s="17">
        <v>3</v>
      </c>
      <c r="V2912" s="17">
        <v>36</v>
      </c>
    </row>
    <row r="2913" spans="1:22" x14ac:dyDescent="0.2">
      <c r="A2913" t="s">
        <v>6615</v>
      </c>
      <c r="B2913" t="s">
        <v>5862</v>
      </c>
      <c r="C2913" t="s">
        <v>5863</v>
      </c>
      <c r="D2913" t="s">
        <v>6608</v>
      </c>
      <c r="E2913" s="10" t="s">
        <v>6616</v>
      </c>
      <c r="F2913" s="10"/>
      <c r="G2913" s="10"/>
      <c r="H2913" s="10" t="s">
        <v>6616</v>
      </c>
      <c r="I2913" s="14">
        <v>41180.149486216018</v>
      </c>
      <c r="J2913" s="19">
        <v>0</v>
      </c>
      <c r="K2913" s="19">
        <v>0.17786777914464899</v>
      </c>
      <c r="L2913" s="19">
        <v>0.82213222085535098</v>
      </c>
      <c r="M2913" s="20">
        <v>1</v>
      </c>
      <c r="N2913" s="19">
        <v>0</v>
      </c>
      <c r="O2913" s="19">
        <v>0.17786777914464899</v>
      </c>
      <c r="P2913" s="19">
        <v>0</v>
      </c>
      <c r="Q2913" s="19">
        <v>0.20144302033178618</v>
      </c>
      <c r="R2913" s="19">
        <v>0.56338492102859516</v>
      </c>
      <c r="S2913" s="19">
        <v>5.73042794949696E-2</v>
      </c>
      <c r="T2913" s="20">
        <v>12</v>
      </c>
      <c r="U2913" s="17">
        <v>3</v>
      </c>
      <c r="V2913" s="17">
        <v>36</v>
      </c>
    </row>
    <row r="2914" spans="1:22" x14ac:dyDescent="0.2">
      <c r="A2914" t="s">
        <v>6617</v>
      </c>
      <c r="B2914" t="s">
        <v>5862</v>
      </c>
      <c r="C2914" t="s">
        <v>5863</v>
      </c>
      <c r="D2914" t="s">
        <v>6608</v>
      </c>
      <c r="E2914" s="10" t="s">
        <v>6618</v>
      </c>
      <c r="F2914" s="10"/>
      <c r="G2914" s="10"/>
      <c r="H2914" s="10" t="s">
        <v>6618</v>
      </c>
      <c r="I2914" s="14">
        <v>70595.888744205935</v>
      </c>
      <c r="J2914" s="19">
        <v>0</v>
      </c>
      <c r="K2914" s="19">
        <v>0.67811845954297145</v>
      </c>
      <c r="L2914" s="19">
        <v>0.32188154045702855</v>
      </c>
      <c r="M2914" s="20">
        <v>2</v>
      </c>
      <c r="N2914" s="19">
        <v>0</v>
      </c>
      <c r="O2914" s="19">
        <v>0.67811845954297145</v>
      </c>
      <c r="P2914" s="19">
        <v>0</v>
      </c>
      <c r="Q2914" s="19">
        <v>8.6870980786922111E-2</v>
      </c>
      <c r="R2914" s="19">
        <v>0.2183907385513511</v>
      </c>
      <c r="S2914" s="19">
        <v>1.6619821118755335E-2</v>
      </c>
      <c r="T2914" s="20">
        <v>22</v>
      </c>
      <c r="U2914" s="17">
        <v>3</v>
      </c>
      <c r="V2914" s="17">
        <v>36</v>
      </c>
    </row>
    <row r="2915" spans="1:22" x14ac:dyDescent="0.2">
      <c r="A2915" t="s">
        <v>6619</v>
      </c>
      <c r="B2915" t="s">
        <v>5862</v>
      </c>
      <c r="C2915" t="s">
        <v>5863</v>
      </c>
      <c r="D2915" t="s">
        <v>6608</v>
      </c>
      <c r="E2915" s="10" t="s">
        <v>6620</v>
      </c>
      <c r="F2915" s="10"/>
      <c r="G2915" s="10"/>
      <c r="H2915" s="10" t="s">
        <v>6620</v>
      </c>
      <c r="I2915" s="14">
        <v>58906.011001019273</v>
      </c>
      <c r="J2915" s="19">
        <v>0</v>
      </c>
      <c r="K2915" s="19">
        <v>0.29678483309355314</v>
      </c>
      <c r="L2915" s="19">
        <v>0.70321516690644681</v>
      </c>
      <c r="M2915" s="20">
        <v>1</v>
      </c>
      <c r="N2915" s="19">
        <v>0</v>
      </c>
      <c r="O2915" s="19">
        <v>0</v>
      </c>
      <c r="P2915" s="19">
        <v>0.29678483309355314</v>
      </c>
      <c r="Q2915" s="19">
        <v>0.21031373659550043</v>
      </c>
      <c r="R2915" s="19">
        <v>0.45128927821452769</v>
      </c>
      <c r="S2915" s="19">
        <v>4.1612152096418754E-2</v>
      </c>
      <c r="T2915" s="20">
        <v>12</v>
      </c>
      <c r="U2915" s="17">
        <v>3</v>
      </c>
      <c r="V2915" s="17">
        <v>36</v>
      </c>
    </row>
    <row r="2916" spans="1:22" x14ac:dyDescent="0.2">
      <c r="A2916" t="s">
        <v>6621</v>
      </c>
      <c r="B2916" t="s">
        <v>5862</v>
      </c>
      <c r="C2916" t="s">
        <v>5863</v>
      </c>
      <c r="D2916" t="s">
        <v>6608</v>
      </c>
      <c r="E2916" s="10" t="s">
        <v>6622</v>
      </c>
      <c r="F2916" s="10"/>
      <c r="G2916" s="10"/>
      <c r="H2916" s="10" t="s">
        <v>6622</v>
      </c>
      <c r="I2916" s="14">
        <v>26474.805035470989</v>
      </c>
      <c r="J2916" s="19">
        <v>0</v>
      </c>
      <c r="K2916" s="19">
        <v>0.30291921972063152</v>
      </c>
      <c r="L2916" s="19">
        <v>0.69708078027936837</v>
      </c>
      <c r="M2916" s="20">
        <v>1</v>
      </c>
      <c r="N2916" s="19">
        <v>4.1014379194486215E-2</v>
      </c>
      <c r="O2916" s="19">
        <v>0</v>
      </c>
      <c r="P2916" s="19">
        <v>0.26190484052614532</v>
      </c>
      <c r="Q2916" s="19">
        <v>0.11944073667699524</v>
      </c>
      <c r="R2916" s="19">
        <v>0.54239946830161923</v>
      </c>
      <c r="S2916" s="19">
        <v>3.524057530075389E-2</v>
      </c>
      <c r="T2916" s="20">
        <v>12</v>
      </c>
      <c r="U2916" s="17">
        <v>3</v>
      </c>
      <c r="V2916" s="17">
        <v>36</v>
      </c>
    </row>
    <row r="2917" spans="1:22" x14ac:dyDescent="0.2">
      <c r="A2917" t="s">
        <v>6623</v>
      </c>
      <c r="B2917" t="s">
        <v>5862</v>
      </c>
      <c r="C2917" t="s">
        <v>5863</v>
      </c>
      <c r="D2917" t="s">
        <v>6608</v>
      </c>
      <c r="E2917" s="10" t="s">
        <v>6624</v>
      </c>
      <c r="F2917" s="10"/>
      <c r="G2917" s="10"/>
      <c r="H2917" s="10" t="s">
        <v>6624</v>
      </c>
      <c r="I2917" s="14">
        <v>22881.828946312187</v>
      </c>
      <c r="J2917" s="19">
        <v>0</v>
      </c>
      <c r="K2917" s="19">
        <v>0</v>
      </c>
      <c r="L2917" s="19">
        <v>1</v>
      </c>
      <c r="M2917" s="20">
        <v>1</v>
      </c>
      <c r="N2917" s="19">
        <v>0</v>
      </c>
      <c r="O2917" s="19">
        <v>0</v>
      </c>
      <c r="P2917" s="19">
        <v>0</v>
      </c>
      <c r="Q2917" s="19">
        <v>0.19794442286238381</v>
      </c>
      <c r="R2917" s="19">
        <v>0.6848498230909672</v>
      </c>
      <c r="S2917" s="19">
        <v>0.11720575404664907</v>
      </c>
      <c r="T2917" s="20">
        <v>12</v>
      </c>
      <c r="U2917" s="17">
        <v>3</v>
      </c>
      <c r="V2917" s="17">
        <v>36</v>
      </c>
    </row>
    <row r="2918" spans="1:22" x14ac:dyDescent="0.2">
      <c r="A2918" t="s">
        <v>6625</v>
      </c>
      <c r="B2918" t="s">
        <v>5862</v>
      </c>
      <c r="C2918" t="s">
        <v>5863</v>
      </c>
      <c r="D2918" t="s">
        <v>6608</v>
      </c>
      <c r="E2918" s="10" t="s">
        <v>6626</v>
      </c>
      <c r="F2918" s="10"/>
      <c r="G2918" s="10"/>
      <c r="H2918" s="10" t="s">
        <v>6626</v>
      </c>
      <c r="I2918" s="14">
        <v>22012.794628657866</v>
      </c>
      <c r="J2918" s="19">
        <v>0</v>
      </c>
      <c r="K2918" s="19">
        <v>0.46895091110650095</v>
      </c>
      <c r="L2918" s="19">
        <v>0.53104908889349911</v>
      </c>
      <c r="M2918" s="20">
        <v>1</v>
      </c>
      <c r="N2918" s="19">
        <v>0</v>
      </c>
      <c r="O2918" s="19">
        <v>0.46895091110650095</v>
      </c>
      <c r="P2918" s="19">
        <v>0</v>
      </c>
      <c r="Q2918" s="19">
        <v>0</v>
      </c>
      <c r="R2918" s="19">
        <v>0.3959456950776245</v>
      </c>
      <c r="S2918" s="19">
        <v>0.13510339381587458</v>
      </c>
      <c r="T2918" s="20">
        <v>12</v>
      </c>
      <c r="U2918" s="17">
        <v>3</v>
      </c>
      <c r="V2918" s="17">
        <v>36</v>
      </c>
    </row>
    <row r="2919" spans="1:22" x14ac:dyDescent="0.2">
      <c r="A2919" t="s">
        <v>6627</v>
      </c>
      <c r="B2919" t="s">
        <v>5862</v>
      </c>
      <c r="C2919" t="s">
        <v>5863</v>
      </c>
      <c r="D2919" t="s">
        <v>6608</v>
      </c>
      <c r="E2919" s="10" t="s">
        <v>6628</v>
      </c>
      <c r="F2919" s="10"/>
      <c r="G2919" s="10"/>
      <c r="H2919" s="10" t="s">
        <v>6628</v>
      </c>
      <c r="I2919" s="14">
        <v>33044.021889314055</v>
      </c>
      <c r="J2919" s="19">
        <v>0</v>
      </c>
      <c r="K2919" s="19">
        <v>0.32972099432710467</v>
      </c>
      <c r="L2919" s="19">
        <v>0.67027900567289533</v>
      </c>
      <c r="M2919" s="20">
        <v>1</v>
      </c>
      <c r="N2919" s="19">
        <v>0</v>
      </c>
      <c r="O2919" s="19">
        <v>0.32972099432710467</v>
      </c>
      <c r="P2919" s="19">
        <v>0</v>
      </c>
      <c r="Q2919" s="19">
        <v>0.17794268141327402</v>
      </c>
      <c r="R2919" s="19">
        <v>0.46681275842975151</v>
      </c>
      <c r="S2919" s="19">
        <v>2.5523565829869886E-2</v>
      </c>
      <c r="T2919" s="20">
        <v>12</v>
      </c>
      <c r="U2919" s="17">
        <v>3</v>
      </c>
      <c r="V2919" s="17">
        <v>36</v>
      </c>
    </row>
    <row r="2920" spans="1:22" x14ac:dyDescent="0.2">
      <c r="A2920" t="s">
        <v>6629</v>
      </c>
      <c r="B2920" t="s">
        <v>5862</v>
      </c>
      <c r="C2920" t="s">
        <v>5863</v>
      </c>
      <c r="D2920" t="s">
        <v>6608</v>
      </c>
      <c r="E2920" s="10" t="s">
        <v>6630</v>
      </c>
      <c r="F2920" s="10"/>
      <c r="G2920" s="10"/>
      <c r="H2920" s="10" t="s">
        <v>6630</v>
      </c>
      <c r="I2920" s="14">
        <v>258333.17660766141</v>
      </c>
      <c r="J2920" s="19">
        <v>0.58993442263787788</v>
      </c>
      <c r="K2920" s="19">
        <v>0.2277139198535626</v>
      </c>
      <c r="L2920" s="19">
        <v>0.18235165750855947</v>
      </c>
      <c r="M2920" s="20">
        <v>3</v>
      </c>
      <c r="N2920" s="19">
        <v>0</v>
      </c>
      <c r="O2920" s="19">
        <v>3.0806321813090835E-2</v>
      </c>
      <c r="P2920" s="19">
        <v>0.19690759804047175</v>
      </c>
      <c r="Q2920" s="19">
        <v>3.4083764670946294E-2</v>
      </c>
      <c r="R2920" s="19">
        <v>0.14040205589163821</v>
      </c>
      <c r="S2920" s="19">
        <v>7.8658369459749765E-3</v>
      </c>
      <c r="T2920" s="20">
        <v>30</v>
      </c>
      <c r="U2920" s="17">
        <v>3</v>
      </c>
      <c r="V2920" s="17">
        <v>36</v>
      </c>
    </row>
    <row r="2921" spans="1:22" x14ac:dyDescent="0.2">
      <c r="A2921" t="s">
        <v>6631</v>
      </c>
      <c r="B2921" t="s">
        <v>5862</v>
      </c>
      <c r="C2921" t="s">
        <v>5863</v>
      </c>
      <c r="D2921" t="s">
        <v>6608</v>
      </c>
      <c r="E2921" s="10" t="s">
        <v>6632</v>
      </c>
      <c r="F2921" s="10"/>
      <c r="G2921" s="10"/>
      <c r="H2921" s="10" t="s">
        <v>6632</v>
      </c>
      <c r="I2921" s="14">
        <v>23038.132082863707</v>
      </c>
      <c r="J2921" s="19">
        <v>0</v>
      </c>
      <c r="K2921" s="19">
        <v>0</v>
      </c>
      <c r="L2921" s="19">
        <v>1</v>
      </c>
      <c r="M2921" s="20">
        <v>1</v>
      </c>
      <c r="N2921" s="19">
        <v>0</v>
      </c>
      <c r="O2921" s="19">
        <v>0</v>
      </c>
      <c r="P2921" s="19">
        <v>0</v>
      </c>
      <c r="Q2921" s="19">
        <v>0.34309585118774805</v>
      </c>
      <c r="R2921" s="19">
        <v>0.59653658807506194</v>
      </c>
      <c r="S2921" s="19">
        <v>6.0367560737190129E-2</v>
      </c>
      <c r="T2921" s="20">
        <v>12</v>
      </c>
      <c r="U2921" s="17">
        <v>3</v>
      </c>
      <c r="V2921" s="17">
        <v>36</v>
      </c>
    </row>
    <row r="2922" spans="1:22" x14ac:dyDescent="0.2">
      <c r="A2922" t="s">
        <v>6633</v>
      </c>
      <c r="B2922" t="s">
        <v>5862</v>
      </c>
      <c r="C2922" t="s">
        <v>5863</v>
      </c>
      <c r="D2922" t="s">
        <v>6608</v>
      </c>
      <c r="E2922" s="10" t="s">
        <v>6634</v>
      </c>
      <c r="F2922" s="10"/>
      <c r="G2922" s="10"/>
      <c r="H2922" s="10" t="s">
        <v>6634</v>
      </c>
      <c r="I2922" s="14">
        <v>97625.257985302713</v>
      </c>
      <c r="J2922" s="19">
        <v>0</v>
      </c>
      <c r="K2922" s="19">
        <v>0.42155423950920728</v>
      </c>
      <c r="L2922" s="19">
        <v>0.57844576049079266</v>
      </c>
      <c r="M2922" s="20">
        <v>1</v>
      </c>
      <c r="N2922" s="19">
        <v>0.27276489129130177</v>
      </c>
      <c r="O2922" s="19">
        <v>0</v>
      </c>
      <c r="P2922" s="19">
        <v>0.14878934821790557</v>
      </c>
      <c r="Q2922" s="19">
        <v>0.13473111431091372</v>
      </c>
      <c r="R2922" s="19">
        <v>0.41627266369694671</v>
      </c>
      <c r="S2922" s="19">
        <v>2.7441982482932257E-2</v>
      </c>
      <c r="T2922" s="20">
        <v>12</v>
      </c>
      <c r="U2922" s="17">
        <v>3</v>
      </c>
      <c r="V2922" s="17">
        <v>36</v>
      </c>
    </row>
    <row r="2923" spans="1:22" x14ac:dyDescent="0.2">
      <c r="A2923" t="s">
        <v>6635</v>
      </c>
      <c r="B2923" t="s">
        <v>5862</v>
      </c>
      <c r="C2923" t="s">
        <v>5863</v>
      </c>
      <c r="D2923" t="s">
        <v>6608</v>
      </c>
      <c r="E2923" s="10" t="s">
        <v>6636</v>
      </c>
      <c r="F2923" s="10"/>
      <c r="G2923" s="10"/>
      <c r="H2923" s="10" t="s">
        <v>6636</v>
      </c>
      <c r="I2923" s="14">
        <v>23177.089523273055</v>
      </c>
      <c r="J2923" s="19">
        <v>0</v>
      </c>
      <c r="K2923" s="19">
        <v>0.22318595159992169</v>
      </c>
      <c r="L2923" s="19">
        <v>0.77681404840007828</v>
      </c>
      <c r="M2923" s="20">
        <v>1</v>
      </c>
      <c r="N2923" s="19">
        <v>0</v>
      </c>
      <c r="O2923" s="19">
        <v>0.22318595159992169</v>
      </c>
      <c r="P2923" s="19">
        <v>0</v>
      </c>
      <c r="Q2923" s="19">
        <v>0.35792827366938229</v>
      </c>
      <c r="R2923" s="19">
        <v>0.3820487931310923</v>
      </c>
      <c r="S2923" s="19">
        <v>3.6836981599603739E-2</v>
      </c>
      <c r="T2923" s="20">
        <v>12</v>
      </c>
      <c r="U2923" s="17">
        <v>3</v>
      </c>
      <c r="V2923" s="17">
        <v>36</v>
      </c>
    </row>
    <row r="2924" spans="1:22" x14ac:dyDescent="0.2">
      <c r="A2924" t="s">
        <v>6637</v>
      </c>
      <c r="B2924" t="s">
        <v>5862</v>
      </c>
      <c r="C2924" t="s">
        <v>5863</v>
      </c>
      <c r="D2924" t="s">
        <v>6608</v>
      </c>
      <c r="E2924" s="10" t="s">
        <v>6638</v>
      </c>
      <c r="F2924" s="10"/>
      <c r="G2924" s="10"/>
      <c r="H2924" s="10" t="s">
        <v>6638</v>
      </c>
      <c r="I2924" s="14">
        <v>34293.839763435768</v>
      </c>
      <c r="J2924" s="19">
        <v>3.8280132640904603E-3</v>
      </c>
      <c r="K2924" s="19">
        <v>0.58769283548506057</v>
      </c>
      <c r="L2924" s="19">
        <v>0.40847915125084888</v>
      </c>
      <c r="M2924" s="20">
        <v>2</v>
      </c>
      <c r="N2924" s="19">
        <v>0</v>
      </c>
      <c r="O2924" s="19">
        <v>6.883278559956435E-3</v>
      </c>
      <c r="P2924" s="19">
        <v>0.58080955692510416</v>
      </c>
      <c r="Q2924" s="19">
        <v>1.4708391191963172E-2</v>
      </c>
      <c r="R2924" s="19">
        <v>0.38602807096954117</v>
      </c>
      <c r="S2924" s="19">
        <v>7.7426890893446034E-3</v>
      </c>
      <c r="T2924" s="20">
        <v>21</v>
      </c>
      <c r="U2924" s="17">
        <v>3</v>
      </c>
      <c r="V2924" s="17">
        <v>36</v>
      </c>
    </row>
    <row r="2925" spans="1:22" x14ac:dyDescent="0.2">
      <c r="A2925" t="s">
        <v>6639</v>
      </c>
      <c r="B2925" t="s">
        <v>5862</v>
      </c>
      <c r="C2925" t="s">
        <v>5863</v>
      </c>
      <c r="D2925" t="s">
        <v>6608</v>
      </c>
      <c r="E2925" s="10" t="s">
        <v>6640</v>
      </c>
      <c r="F2925" s="10"/>
      <c r="G2925" s="10"/>
      <c r="H2925" s="10" t="s">
        <v>6640</v>
      </c>
      <c r="I2925" s="14">
        <v>29099.499517851513</v>
      </c>
      <c r="J2925" s="19">
        <v>0</v>
      </c>
      <c r="K2925" s="19">
        <v>0.20509469176954168</v>
      </c>
      <c r="L2925" s="19">
        <v>0.79490530823045835</v>
      </c>
      <c r="M2925" s="20">
        <v>1</v>
      </c>
      <c r="N2925" s="19">
        <v>0</v>
      </c>
      <c r="O2925" s="19">
        <v>0.20509469176954168</v>
      </c>
      <c r="P2925" s="19">
        <v>0</v>
      </c>
      <c r="Q2925" s="19">
        <v>0.16490504495139333</v>
      </c>
      <c r="R2925" s="19">
        <v>0.61143360099415989</v>
      </c>
      <c r="S2925" s="19">
        <v>1.8566662284905021E-2</v>
      </c>
      <c r="T2925" s="20">
        <v>12</v>
      </c>
      <c r="U2925" s="17">
        <v>3</v>
      </c>
      <c r="V2925" s="17">
        <v>36</v>
      </c>
    </row>
    <row r="2926" spans="1:22" x14ac:dyDescent="0.2">
      <c r="A2926" t="s">
        <v>6641</v>
      </c>
      <c r="B2926" t="s">
        <v>5862</v>
      </c>
      <c r="C2926" t="s">
        <v>5863</v>
      </c>
      <c r="D2926" t="s">
        <v>6608</v>
      </c>
      <c r="E2926" s="10" t="s">
        <v>6642</v>
      </c>
      <c r="F2926" s="10"/>
      <c r="G2926" s="10"/>
      <c r="H2926" s="10" t="s">
        <v>6642</v>
      </c>
      <c r="I2926" s="14">
        <v>73186.042599086417</v>
      </c>
      <c r="J2926" s="19">
        <v>0</v>
      </c>
      <c r="K2926" s="19">
        <v>0.54606043623418188</v>
      </c>
      <c r="L2926" s="19">
        <v>0.45393956376581818</v>
      </c>
      <c r="M2926" s="20">
        <v>2</v>
      </c>
      <c r="N2926" s="19">
        <v>0</v>
      </c>
      <c r="O2926" s="19">
        <v>0.54606043623418188</v>
      </c>
      <c r="P2926" s="19">
        <v>0</v>
      </c>
      <c r="Q2926" s="19">
        <v>8.2697701197014348E-2</v>
      </c>
      <c r="R2926" s="19">
        <v>0.34821601765915561</v>
      </c>
      <c r="S2926" s="19">
        <v>2.3025844909648197E-2</v>
      </c>
      <c r="T2926" s="20">
        <v>22</v>
      </c>
      <c r="U2926" s="17">
        <v>3</v>
      </c>
      <c r="V2926" s="17">
        <v>36</v>
      </c>
    </row>
    <row r="2927" spans="1:22" x14ac:dyDescent="0.2">
      <c r="A2927" t="s">
        <v>6643</v>
      </c>
      <c r="B2927" t="s">
        <v>5862</v>
      </c>
      <c r="C2927" t="s">
        <v>5863</v>
      </c>
      <c r="D2927" t="s">
        <v>6608</v>
      </c>
      <c r="E2927" s="10" t="s">
        <v>6644</v>
      </c>
      <c r="F2927" s="10"/>
      <c r="G2927" s="10"/>
      <c r="H2927" s="10" t="s">
        <v>6644</v>
      </c>
      <c r="I2927" s="14">
        <v>66577.012793598231</v>
      </c>
      <c r="J2927" s="19">
        <v>0</v>
      </c>
      <c r="K2927" s="19">
        <v>0.30651490591676017</v>
      </c>
      <c r="L2927" s="19">
        <v>0.69348509408323988</v>
      </c>
      <c r="M2927" s="20">
        <v>1</v>
      </c>
      <c r="N2927" s="19">
        <v>0.14234726619497268</v>
      </c>
      <c r="O2927" s="19">
        <v>7.2838095256242547E-2</v>
      </c>
      <c r="P2927" s="19">
        <v>9.1329544465544935E-2</v>
      </c>
      <c r="Q2927" s="19">
        <v>7.6125808417888921E-2</v>
      </c>
      <c r="R2927" s="19">
        <v>0.56508548485013899</v>
      </c>
      <c r="S2927" s="19">
        <v>5.2273800815211921E-2</v>
      </c>
      <c r="T2927" s="20">
        <v>12</v>
      </c>
      <c r="U2927" s="17">
        <v>3</v>
      </c>
      <c r="V2927" s="17">
        <v>36</v>
      </c>
    </row>
    <row r="2928" spans="1:22" x14ac:dyDescent="0.2">
      <c r="A2928" t="s">
        <v>6645</v>
      </c>
      <c r="B2928" t="s">
        <v>5862</v>
      </c>
      <c r="C2928" t="s">
        <v>5863</v>
      </c>
      <c r="D2928" t="s">
        <v>6608</v>
      </c>
      <c r="E2928" s="10" t="s">
        <v>6646</v>
      </c>
      <c r="F2928" s="10"/>
      <c r="G2928" s="10"/>
      <c r="H2928" s="10" t="s">
        <v>6646</v>
      </c>
      <c r="I2928" s="14">
        <v>87344.061065145303</v>
      </c>
      <c r="J2928" s="19">
        <v>0</v>
      </c>
      <c r="K2928" s="19">
        <v>0.41051528733543269</v>
      </c>
      <c r="L2928" s="19">
        <v>0.58948471266456737</v>
      </c>
      <c r="M2928" s="20">
        <v>1</v>
      </c>
      <c r="N2928" s="19">
        <v>0.11717176736400531</v>
      </c>
      <c r="O2928" s="19">
        <v>3.4934354012980894E-3</v>
      </c>
      <c r="P2928" s="19">
        <v>0.28985008457012934</v>
      </c>
      <c r="Q2928" s="19">
        <v>6.4231381616712671E-2</v>
      </c>
      <c r="R2928" s="19">
        <v>0.50025885351881072</v>
      </c>
      <c r="S2928" s="19">
        <v>2.4994477529043942E-2</v>
      </c>
      <c r="T2928" s="20">
        <v>12</v>
      </c>
      <c r="U2928" s="17">
        <v>3</v>
      </c>
      <c r="V2928" s="17">
        <v>36</v>
      </c>
    </row>
    <row r="2929" spans="1:22" x14ac:dyDescent="0.2">
      <c r="A2929" t="s">
        <v>6647</v>
      </c>
      <c r="B2929" t="s">
        <v>5862</v>
      </c>
      <c r="C2929" t="s">
        <v>5863</v>
      </c>
      <c r="D2929" t="s">
        <v>6608</v>
      </c>
      <c r="E2929" s="10" t="s">
        <v>6648</v>
      </c>
      <c r="F2929" s="10"/>
      <c r="G2929" s="10"/>
      <c r="H2929" s="10" t="s">
        <v>6648</v>
      </c>
      <c r="I2929" s="14">
        <v>14158.479691634886</v>
      </c>
      <c r="J2929" s="19">
        <v>0</v>
      </c>
      <c r="K2929" s="19">
        <v>0</v>
      </c>
      <c r="L2929" s="19">
        <v>1</v>
      </c>
      <c r="M2929" s="20">
        <v>1</v>
      </c>
      <c r="N2929" s="19">
        <v>0</v>
      </c>
      <c r="O2929" s="19">
        <v>0</v>
      </c>
      <c r="P2929" s="19">
        <v>0</v>
      </c>
      <c r="Q2929" s="19">
        <v>0.20812423572626523</v>
      </c>
      <c r="R2929" s="19">
        <v>0.68702709641441717</v>
      </c>
      <c r="S2929" s="19">
        <v>0.10484866785931765</v>
      </c>
      <c r="T2929" s="20">
        <v>12</v>
      </c>
      <c r="U2929" s="17">
        <v>3</v>
      </c>
      <c r="V2929" s="17">
        <v>36</v>
      </c>
    </row>
    <row r="2930" spans="1:22" x14ac:dyDescent="0.2">
      <c r="A2930" t="s">
        <v>6649</v>
      </c>
      <c r="B2930" t="s">
        <v>5862</v>
      </c>
      <c r="C2930" t="s">
        <v>5863</v>
      </c>
      <c r="D2930" t="s">
        <v>6608</v>
      </c>
      <c r="E2930" s="10" t="s">
        <v>6650</v>
      </c>
      <c r="F2930" s="10"/>
      <c r="G2930" s="10"/>
      <c r="H2930" s="10" t="s">
        <v>6650</v>
      </c>
      <c r="I2930" s="14">
        <v>122779.37051215301</v>
      </c>
      <c r="J2930" s="19">
        <v>0</v>
      </c>
      <c r="K2930" s="19">
        <v>0.63495233884859192</v>
      </c>
      <c r="L2930" s="19">
        <v>0.36504766115140819</v>
      </c>
      <c r="M2930" s="20">
        <v>2</v>
      </c>
      <c r="N2930" s="19">
        <v>0.41448748189863827</v>
      </c>
      <c r="O2930" s="19">
        <v>4.5495579531922181E-2</v>
      </c>
      <c r="P2930" s="19">
        <v>0.17496927741803148</v>
      </c>
      <c r="Q2930" s="19">
        <v>1.4718661709285936E-2</v>
      </c>
      <c r="R2930" s="19">
        <v>0.30381687955556097</v>
      </c>
      <c r="S2930" s="19">
        <v>4.6512119886561294E-2</v>
      </c>
      <c r="T2930" s="20">
        <v>23</v>
      </c>
      <c r="U2930" s="17">
        <v>3</v>
      </c>
      <c r="V2930" s="17">
        <v>36</v>
      </c>
    </row>
    <row r="2931" spans="1:22" x14ac:dyDescent="0.2">
      <c r="A2931" t="s">
        <v>6651</v>
      </c>
      <c r="B2931" t="s">
        <v>5862</v>
      </c>
      <c r="C2931" t="s">
        <v>5863</v>
      </c>
      <c r="D2931" t="s">
        <v>6608</v>
      </c>
      <c r="E2931" s="10" t="s">
        <v>6652</v>
      </c>
      <c r="F2931" s="10"/>
      <c r="G2931" s="10"/>
      <c r="H2931" s="10" t="s">
        <v>6652</v>
      </c>
      <c r="I2931" s="14">
        <v>53344.722935169237</v>
      </c>
      <c r="J2931" s="19">
        <v>0</v>
      </c>
      <c r="K2931" s="19">
        <v>0.13427478200224904</v>
      </c>
      <c r="L2931" s="19">
        <v>0.86572521799775093</v>
      </c>
      <c r="M2931" s="20">
        <v>1</v>
      </c>
      <c r="N2931" s="19">
        <v>0</v>
      </c>
      <c r="O2931" s="19">
        <v>0.13427478200224904</v>
      </c>
      <c r="P2931" s="19">
        <v>0</v>
      </c>
      <c r="Q2931" s="19">
        <v>8.938910102132222E-2</v>
      </c>
      <c r="R2931" s="19">
        <v>0.67215246351192171</v>
      </c>
      <c r="S2931" s="19">
        <v>0.10418365346450699</v>
      </c>
      <c r="T2931" s="20">
        <v>12</v>
      </c>
      <c r="U2931" s="17">
        <v>3</v>
      </c>
      <c r="V2931" s="17">
        <v>36</v>
      </c>
    </row>
    <row r="2932" spans="1:22" x14ac:dyDescent="0.2">
      <c r="A2932" t="s">
        <v>6653</v>
      </c>
      <c r="B2932" t="s">
        <v>5862</v>
      </c>
      <c r="C2932" t="s">
        <v>5863</v>
      </c>
      <c r="D2932" t="s">
        <v>6654</v>
      </c>
      <c r="E2932" s="10" t="s">
        <v>6655</v>
      </c>
      <c r="F2932" s="10"/>
      <c r="G2932" s="10"/>
      <c r="H2932" s="10" t="s">
        <v>6655</v>
      </c>
      <c r="I2932" s="14">
        <v>10227.200774329714</v>
      </c>
      <c r="J2932" s="19">
        <v>0</v>
      </c>
      <c r="K2932" s="19">
        <v>0</v>
      </c>
      <c r="L2932" s="19">
        <v>1</v>
      </c>
      <c r="M2932" s="20">
        <v>1</v>
      </c>
      <c r="N2932" s="19">
        <v>0</v>
      </c>
      <c r="O2932" s="19">
        <v>0</v>
      </c>
      <c r="P2932" s="19">
        <v>0</v>
      </c>
      <c r="Q2932" s="19">
        <v>0.66309864938737584</v>
      </c>
      <c r="R2932" s="19">
        <v>0.29751070875995356</v>
      </c>
      <c r="S2932" s="19">
        <v>3.9390641852670598E-2</v>
      </c>
      <c r="T2932" s="20">
        <v>13</v>
      </c>
      <c r="U2932" s="17">
        <v>3</v>
      </c>
      <c r="V2932" s="17">
        <v>36</v>
      </c>
    </row>
    <row r="2933" spans="1:22" x14ac:dyDescent="0.2">
      <c r="A2933" t="s">
        <v>6656</v>
      </c>
      <c r="B2933" t="s">
        <v>5862</v>
      </c>
      <c r="C2933" t="s">
        <v>5863</v>
      </c>
      <c r="D2933" t="s">
        <v>6654</v>
      </c>
      <c r="E2933" s="10" t="s">
        <v>6657</v>
      </c>
      <c r="F2933" s="10"/>
      <c r="G2933" s="10"/>
      <c r="H2933" s="10" t="s">
        <v>6657</v>
      </c>
      <c r="I2933" s="14">
        <v>13265.63874452142</v>
      </c>
      <c r="J2933" s="19">
        <v>0</v>
      </c>
      <c r="K2933" s="19">
        <v>0</v>
      </c>
      <c r="L2933" s="19">
        <v>1</v>
      </c>
      <c r="M2933" s="20">
        <v>1</v>
      </c>
      <c r="N2933" s="19">
        <v>0</v>
      </c>
      <c r="O2933" s="19">
        <v>0</v>
      </c>
      <c r="P2933" s="19">
        <v>0</v>
      </c>
      <c r="Q2933" s="19">
        <v>0.23025774983386588</v>
      </c>
      <c r="R2933" s="19">
        <v>0.68636438989526982</v>
      </c>
      <c r="S2933" s="19">
        <v>8.3377860270864274E-2</v>
      </c>
      <c r="T2933" s="20">
        <v>12</v>
      </c>
      <c r="U2933" s="17">
        <v>3</v>
      </c>
      <c r="V2933" s="17">
        <v>36</v>
      </c>
    </row>
    <row r="2934" spans="1:22" x14ac:dyDescent="0.2">
      <c r="A2934" t="s">
        <v>6658</v>
      </c>
      <c r="B2934" t="s">
        <v>5862</v>
      </c>
      <c r="C2934" t="s">
        <v>5863</v>
      </c>
      <c r="D2934" t="s">
        <v>6654</v>
      </c>
      <c r="E2934" s="10" t="s">
        <v>5916</v>
      </c>
      <c r="F2934" s="10"/>
      <c r="G2934" s="10"/>
      <c r="H2934" s="10" t="s">
        <v>5916</v>
      </c>
      <c r="I2934" s="14">
        <v>31550.10689964518</v>
      </c>
      <c r="J2934" s="19">
        <v>0</v>
      </c>
      <c r="K2934" s="19">
        <v>0.18620126347756033</v>
      </c>
      <c r="L2934" s="19">
        <v>0.81379873652243973</v>
      </c>
      <c r="M2934" s="20">
        <v>1</v>
      </c>
      <c r="N2934" s="19">
        <v>0</v>
      </c>
      <c r="O2934" s="19">
        <v>0.18620126347756033</v>
      </c>
      <c r="P2934" s="19">
        <v>0</v>
      </c>
      <c r="Q2934" s="19">
        <v>0.63809342967350258</v>
      </c>
      <c r="R2934" s="19">
        <v>0.15462176842577552</v>
      </c>
      <c r="S2934" s="19">
        <v>2.1083538423161598E-2</v>
      </c>
      <c r="T2934" s="20">
        <v>13</v>
      </c>
      <c r="U2934" s="17">
        <v>3</v>
      </c>
      <c r="V2934" s="17">
        <v>36</v>
      </c>
    </row>
    <row r="2935" spans="1:22" x14ac:dyDescent="0.2">
      <c r="A2935" t="s">
        <v>6659</v>
      </c>
      <c r="B2935" t="s">
        <v>5862</v>
      </c>
      <c r="C2935" t="s">
        <v>5863</v>
      </c>
      <c r="D2935" t="s">
        <v>6654</v>
      </c>
      <c r="E2935" s="10" t="s">
        <v>6660</v>
      </c>
      <c r="F2935" s="10"/>
      <c r="G2935" s="10"/>
      <c r="H2935" s="10" t="s">
        <v>6660</v>
      </c>
      <c r="I2935" s="14">
        <v>24541.157919021323</v>
      </c>
      <c r="J2935" s="19">
        <v>0</v>
      </c>
      <c r="K2935" s="19">
        <v>0.66303203622916029</v>
      </c>
      <c r="L2935" s="19">
        <v>0.33696796377083971</v>
      </c>
      <c r="M2935" s="20">
        <v>2</v>
      </c>
      <c r="N2935" s="19">
        <v>0</v>
      </c>
      <c r="O2935" s="19">
        <v>0.66303203622916029</v>
      </c>
      <c r="P2935" s="19">
        <v>0</v>
      </c>
      <c r="Q2935" s="19">
        <v>0</v>
      </c>
      <c r="R2935" s="19">
        <v>0.28795392137893</v>
      </c>
      <c r="S2935" s="19">
        <v>4.9014042391909728E-2</v>
      </c>
      <c r="T2935" s="20">
        <v>22</v>
      </c>
      <c r="U2935" s="17">
        <v>3</v>
      </c>
      <c r="V2935" s="17">
        <v>36</v>
      </c>
    </row>
    <row r="2936" spans="1:22" x14ac:dyDescent="0.2">
      <c r="A2936" t="s">
        <v>6661</v>
      </c>
      <c r="B2936" t="s">
        <v>5862</v>
      </c>
      <c r="C2936" t="s">
        <v>5863</v>
      </c>
      <c r="D2936" t="s">
        <v>6654</v>
      </c>
      <c r="E2936" s="10" t="s">
        <v>6662</v>
      </c>
      <c r="F2936" s="10"/>
      <c r="G2936" s="10"/>
      <c r="H2936" s="10" t="s">
        <v>6662</v>
      </c>
      <c r="I2936" s="14">
        <v>29620.235865540453</v>
      </c>
      <c r="J2936" s="19">
        <v>0</v>
      </c>
      <c r="K2936" s="19">
        <v>0.48875012678074803</v>
      </c>
      <c r="L2936" s="19">
        <v>0.51124987321925197</v>
      </c>
      <c r="M2936" s="20">
        <v>1</v>
      </c>
      <c r="N2936" s="19">
        <v>0.19510097392060469</v>
      </c>
      <c r="O2936" s="19">
        <v>0</v>
      </c>
      <c r="P2936" s="19">
        <v>0.29364915286014337</v>
      </c>
      <c r="Q2936" s="19">
        <v>0.16779522253008017</v>
      </c>
      <c r="R2936" s="19">
        <v>0.29205996087387753</v>
      </c>
      <c r="S2936" s="19">
        <v>5.1394689815294207E-2</v>
      </c>
      <c r="T2936" s="20">
        <v>12</v>
      </c>
      <c r="U2936" s="17">
        <v>3</v>
      </c>
      <c r="V2936" s="17">
        <v>36</v>
      </c>
    </row>
    <row r="2937" spans="1:22" x14ac:dyDescent="0.2">
      <c r="A2937" t="s">
        <v>6663</v>
      </c>
      <c r="B2937" t="s">
        <v>5862</v>
      </c>
      <c r="C2937" t="s">
        <v>5863</v>
      </c>
      <c r="D2937" t="s">
        <v>6654</v>
      </c>
      <c r="E2937" s="10" t="s">
        <v>6664</v>
      </c>
      <c r="F2937" s="10"/>
      <c r="G2937" s="10"/>
      <c r="H2937" s="10" t="s">
        <v>6664</v>
      </c>
      <c r="I2937" s="14">
        <v>13866.314876392482</v>
      </c>
      <c r="J2937" s="19">
        <v>0</v>
      </c>
      <c r="K2937" s="19">
        <v>0.39582518985086423</v>
      </c>
      <c r="L2937" s="19">
        <v>0.60417481014913599</v>
      </c>
      <c r="M2937" s="20">
        <v>1</v>
      </c>
      <c r="N2937" s="19">
        <v>0</v>
      </c>
      <c r="O2937" s="19">
        <v>0.39582518985086423</v>
      </c>
      <c r="P2937" s="19">
        <v>0</v>
      </c>
      <c r="Q2937" s="19">
        <v>7.5321192514079829E-2</v>
      </c>
      <c r="R2937" s="19">
        <v>0.45546524827258295</v>
      </c>
      <c r="S2937" s="19">
        <v>7.3388369362473199E-2</v>
      </c>
      <c r="T2937" s="20">
        <v>12</v>
      </c>
      <c r="U2937" s="17">
        <v>3</v>
      </c>
      <c r="V2937" s="17">
        <v>36</v>
      </c>
    </row>
    <row r="2938" spans="1:22" x14ac:dyDescent="0.2">
      <c r="A2938" t="s">
        <v>6665</v>
      </c>
      <c r="B2938" t="s">
        <v>5862</v>
      </c>
      <c r="C2938" t="s">
        <v>5863</v>
      </c>
      <c r="D2938" t="s">
        <v>6654</v>
      </c>
      <c r="E2938" s="10" t="s">
        <v>6666</v>
      </c>
      <c r="F2938" s="10"/>
      <c r="G2938" s="10"/>
      <c r="H2938" s="10" t="s">
        <v>6666</v>
      </c>
      <c r="I2938" s="14">
        <v>69048.17428867647</v>
      </c>
      <c r="J2938" s="19">
        <v>0</v>
      </c>
      <c r="K2938" s="19">
        <v>0.72013599100222059</v>
      </c>
      <c r="L2938" s="19">
        <v>0.27986400899777941</v>
      </c>
      <c r="M2938" s="20">
        <v>2</v>
      </c>
      <c r="N2938" s="19">
        <v>0.53817147466987103</v>
      </c>
      <c r="O2938" s="19">
        <v>0</v>
      </c>
      <c r="P2938" s="19">
        <v>0.18196451633234953</v>
      </c>
      <c r="Q2938" s="19">
        <v>0</v>
      </c>
      <c r="R2938" s="19">
        <v>0.23908203382407017</v>
      </c>
      <c r="S2938" s="19">
        <v>4.0781975173709246E-2</v>
      </c>
      <c r="T2938" s="20">
        <v>23</v>
      </c>
      <c r="U2938" s="17">
        <v>3</v>
      </c>
      <c r="V2938" s="17">
        <v>36</v>
      </c>
    </row>
    <row r="2939" spans="1:22" x14ac:dyDescent="0.2">
      <c r="A2939" t="s">
        <v>6667</v>
      </c>
      <c r="B2939" t="s">
        <v>5862</v>
      </c>
      <c r="C2939" t="s">
        <v>5863</v>
      </c>
      <c r="D2939" t="s">
        <v>6654</v>
      </c>
      <c r="E2939" s="10" t="s">
        <v>6668</v>
      </c>
      <c r="F2939" s="10"/>
      <c r="G2939" s="10"/>
      <c r="H2939" s="10" t="s">
        <v>6668</v>
      </c>
      <c r="I2939" s="14">
        <v>14413.217958662659</v>
      </c>
      <c r="J2939" s="19">
        <v>0</v>
      </c>
      <c r="K2939" s="19">
        <v>0.44388943738173287</v>
      </c>
      <c r="L2939" s="19">
        <v>0.55611056261826719</v>
      </c>
      <c r="M2939" s="20">
        <v>1</v>
      </c>
      <c r="N2939" s="19">
        <v>0</v>
      </c>
      <c r="O2939" s="19">
        <v>0.44388943738173287</v>
      </c>
      <c r="P2939" s="19">
        <v>0</v>
      </c>
      <c r="Q2939" s="19">
        <v>6.7150296927985492E-2</v>
      </c>
      <c r="R2939" s="19">
        <v>0.42954081229587115</v>
      </c>
      <c r="S2939" s="19">
        <v>5.9419453394410474E-2</v>
      </c>
      <c r="T2939" s="20">
        <v>12</v>
      </c>
      <c r="U2939" s="17">
        <v>3</v>
      </c>
      <c r="V2939" s="17">
        <v>36</v>
      </c>
    </row>
    <row r="2940" spans="1:22" x14ac:dyDescent="0.2">
      <c r="A2940" t="s">
        <v>6669</v>
      </c>
      <c r="B2940" t="s">
        <v>5862</v>
      </c>
      <c r="C2940" t="s">
        <v>5863</v>
      </c>
      <c r="D2940" t="s">
        <v>6654</v>
      </c>
      <c r="E2940" s="10" t="s">
        <v>6670</v>
      </c>
      <c r="F2940" s="10"/>
      <c r="G2940" s="10"/>
      <c r="H2940" s="10" t="s">
        <v>6670</v>
      </c>
      <c r="I2940" s="14">
        <v>28621.523695535958</v>
      </c>
      <c r="J2940" s="19">
        <v>0</v>
      </c>
      <c r="K2940" s="19">
        <v>0.27582594468599841</v>
      </c>
      <c r="L2940" s="19">
        <v>0.72417405531400159</v>
      </c>
      <c r="M2940" s="20">
        <v>1</v>
      </c>
      <c r="N2940" s="19">
        <v>0</v>
      </c>
      <c r="O2940" s="19">
        <v>0.27582594468599841</v>
      </c>
      <c r="P2940" s="19">
        <v>0</v>
      </c>
      <c r="Q2940" s="19">
        <v>0.255516317727285</v>
      </c>
      <c r="R2940" s="19">
        <v>0.41244839420740775</v>
      </c>
      <c r="S2940" s="19">
        <v>5.6209343379308843E-2</v>
      </c>
      <c r="T2940" s="20">
        <v>12</v>
      </c>
      <c r="U2940" s="17">
        <v>3</v>
      </c>
      <c r="V2940" s="17">
        <v>36</v>
      </c>
    </row>
    <row r="2941" spans="1:22" x14ac:dyDescent="0.2">
      <c r="A2941" t="s">
        <v>6671</v>
      </c>
      <c r="B2941" t="s">
        <v>5862</v>
      </c>
      <c r="C2941" t="s">
        <v>5863</v>
      </c>
      <c r="D2941" t="s">
        <v>6654</v>
      </c>
      <c r="E2941" s="10" t="s">
        <v>6672</v>
      </c>
      <c r="F2941" s="10"/>
      <c r="G2941" s="10"/>
      <c r="H2941" s="10" t="s">
        <v>6672</v>
      </c>
      <c r="I2941" s="14">
        <v>55384.539510616101</v>
      </c>
      <c r="J2941" s="19">
        <v>0</v>
      </c>
      <c r="K2941" s="19">
        <v>0.73807349597343863</v>
      </c>
      <c r="L2941" s="19">
        <v>0.26192650402656131</v>
      </c>
      <c r="M2941" s="20">
        <v>2</v>
      </c>
      <c r="N2941" s="19">
        <v>0.1477326966363752</v>
      </c>
      <c r="O2941" s="19">
        <v>2.3399270348570755E-2</v>
      </c>
      <c r="P2941" s="19">
        <v>0.5669415289884927</v>
      </c>
      <c r="Q2941" s="19">
        <v>5.511407351265378E-2</v>
      </c>
      <c r="R2941" s="19">
        <v>0.17118763629505707</v>
      </c>
      <c r="S2941" s="19">
        <v>3.5624794218850488E-2</v>
      </c>
      <c r="T2941" s="20">
        <v>21</v>
      </c>
      <c r="U2941" s="17">
        <v>3</v>
      </c>
      <c r="V2941" s="17">
        <v>36</v>
      </c>
    </row>
    <row r="2942" spans="1:22" x14ac:dyDescent="0.2">
      <c r="A2942" t="s">
        <v>6673</v>
      </c>
      <c r="B2942" t="s">
        <v>5862</v>
      </c>
      <c r="C2942" t="s">
        <v>5863</v>
      </c>
      <c r="D2942" t="s">
        <v>6654</v>
      </c>
      <c r="E2942" s="10" t="s">
        <v>6674</v>
      </c>
      <c r="F2942" s="10"/>
      <c r="G2942" s="10"/>
      <c r="H2942" s="10" t="s">
        <v>6674</v>
      </c>
      <c r="I2942" s="14">
        <v>13160.967124708928</v>
      </c>
      <c r="J2942" s="19">
        <v>0</v>
      </c>
      <c r="K2942" s="19">
        <v>0.68047931193123012</v>
      </c>
      <c r="L2942" s="19">
        <v>0.31952068806876993</v>
      </c>
      <c r="M2942" s="20">
        <v>2</v>
      </c>
      <c r="N2942" s="19">
        <v>0</v>
      </c>
      <c r="O2942" s="19">
        <v>0.68047931193123012</v>
      </c>
      <c r="P2942" s="19">
        <v>0</v>
      </c>
      <c r="Q2942" s="19">
        <v>0</v>
      </c>
      <c r="R2942" s="19">
        <v>0.27411223087239667</v>
      </c>
      <c r="S2942" s="19">
        <v>4.5408457196373195E-2</v>
      </c>
      <c r="T2942" s="20">
        <v>22</v>
      </c>
      <c r="U2942" s="17">
        <v>3</v>
      </c>
      <c r="V2942" s="17">
        <v>36</v>
      </c>
    </row>
    <row r="2943" spans="1:22" x14ac:dyDescent="0.2">
      <c r="A2943" t="s">
        <v>6675</v>
      </c>
      <c r="B2943" t="s">
        <v>5862</v>
      </c>
      <c r="C2943" t="s">
        <v>5863</v>
      </c>
      <c r="D2943" t="s">
        <v>6654</v>
      </c>
      <c r="E2943" s="10" t="s">
        <v>6676</v>
      </c>
      <c r="F2943" s="10"/>
      <c r="G2943" s="10"/>
      <c r="H2943" s="10" t="s">
        <v>6676</v>
      </c>
      <c r="I2943" s="14">
        <v>9341.090175865218</v>
      </c>
      <c r="J2943" s="19">
        <v>0</v>
      </c>
      <c r="K2943" s="19">
        <v>0</v>
      </c>
      <c r="L2943" s="19">
        <v>1</v>
      </c>
      <c r="M2943" s="20">
        <v>1</v>
      </c>
      <c r="N2943" s="19">
        <v>0</v>
      </c>
      <c r="O2943" s="19">
        <v>0</v>
      </c>
      <c r="P2943" s="19">
        <v>0</v>
      </c>
      <c r="Q2943" s="19">
        <v>0.28480858405796683</v>
      </c>
      <c r="R2943" s="19">
        <v>0.62570249980465786</v>
      </c>
      <c r="S2943" s="19">
        <v>8.9488916137375335E-2</v>
      </c>
      <c r="T2943" s="20">
        <v>12</v>
      </c>
      <c r="U2943" s="17">
        <v>3</v>
      </c>
      <c r="V2943" s="17">
        <v>36</v>
      </c>
    </row>
    <row r="2944" spans="1:22" x14ac:dyDescent="0.2">
      <c r="A2944" t="s">
        <v>6677</v>
      </c>
      <c r="B2944" t="s">
        <v>5862</v>
      </c>
      <c r="C2944" t="s">
        <v>5863</v>
      </c>
      <c r="D2944" t="s">
        <v>6654</v>
      </c>
      <c r="E2944" s="10" t="s">
        <v>6678</v>
      </c>
      <c r="F2944" s="10"/>
      <c r="G2944" s="10"/>
      <c r="H2944" s="10" t="s">
        <v>6678</v>
      </c>
      <c r="I2944" s="14">
        <v>43965.1685334621</v>
      </c>
      <c r="J2944" s="19">
        <v>0</v>
      </c>
      <c r="K2944" s="19">
        <v>0.56319744244002512</v>
      </c>
      <c r="L2944" s="19">
        <v>0.43680255755997488</v>
      </c>
      <c r="M2944" s="20">
        <v>2</v>
      </c>
      <c r="N2944" s="19">
        <v>0.12537438358138894</v>
      </c>
      <c r="O2944" s="19">
        <v>0.1150482585822907</v>
      </c>
      <c r="P2944" s="19">
        <v>0.32277480027634547</v>
      </c>
      <c r="Q2944" s="19">
        <v>0.15615559918109953</v>
      </c>
      <c r="R2944" s="19">
        <v>0.23624259506573461</v>
      </c>
      <c r="S2944" s="19">
        <v>4.4404363313140752E-2</v>
      </c>
      <c r="T2944" s="20">
        <v>23</v>
      </c>
      <c r="U2944" s="17">
        <v>3</v>
      </c>
      <c r="V2944" s="17">
        <v>36</v>
      </c>
    </row>
    <row r="2945" spans="1:22" x14ac:dyDescent="0.2">
      <c r="A2945" t="s">
        <v>6679</v>
      </c>
      <c r="B2945" t="s">
        <v>5862</v>
      </c>
      <c r="C2945" t="s">
        <v>5863</v>
      </c>
      <c r="D2945" t="s">
        <v>6654</v>
      </c>
      <c r="E2945" s="10" t="s">
        <v>6680</v>
      </c>
      <c r="F2945" s="10"/>
      <c r="G2945" s="10"/>
      <c r="H2945" s="10" t="s">
        <v>6680</v>
      </c>
      <c r="I2945" s="14">
        <v>17984.320031095296</v>
      </c>
      <c r="J2945" s="19">
        <v>0</v>
      </c>
      <c r="K2945" s="19">
        <v>0.4107859178623921</v>
      </c>
      <c r="L2945" s="19">
        <v>0.58921408213760784</v>
      </c>
      <c r="M2945" s="20">
        <v>1</v>
      </c>
      <c r="N2945" s="19">
        <v>0</v>
      </c>
      <c r="O2945" s="19">
        <v>0.4107859178623921</v>
      </c>
      <c r="P2945" s="19">
        <v>0</v>
      </c>
      <c r="Q2945" s="19">
        <v>0.20815063864581759</v>
      </c>
      <c r="R2945" s="19">
        <v>0.33899099487693718</v>
      </c>
      <c r="S2945" s="19">
        <v>4.2072448614853139E-2</v>
      </c>
      <c r="T2945" s="20">
        <v>12</v>
      </c>
      <c r="U2945" s="17">
        <v>3</v>
      </c>
      <c r="V2945" s="17">
        <v>36</v>
      </c>
    </row>
    <row r="2946" spans="1:22" x14ac:dyDescent="0.2">
      <c r="A2946" t="s">
        <v>6681</v>
      </c>
      <c r="B2946" t="s">
        <v>5862</v>
      </c>
      <c r="C2946" t="s">
        <v>5863</v>
      </c>
      <c r="D2946" t="s">
        <v>6654</v>
      </c>
      <c r="E2946" s="10" t="s">
        <v>6682</v>
      </c>
      <c r="F2946" s="10"/>
      <c r="G2946" s="10"/>
      <c r="H2946" s="10" t="s">
        <v>6682</v>
      </c>
      <c r="I2946" s="14">
        <v>59912.899255894125</v>
      </c>
      <c r="J2946" s="19">
        <v>0</v>
      </c>
      <c r="K2946" s="19">
        <v>0.4098806399576283</v>
      </c>
      <c r="L2946" s="19">
        <v>0.59011936004237164</v>
      </c>
      <c r="M2946" s="20">
        <v>1</v>
      </c>
      <c r="N2946" s="19">
        <v>8.3949277025264973E-2</v>
      </c>
      <c r="O2946" s="19">
        <v>9.5938276541628453E-2</v>
      </c>
      <c r="P2946" s="19">
        <v>0.22999308639073496</v>
      </c>
      <c r="Q2946" s="19">
        <v>0.15096905342059633</v>
      </c>
      <c r="R2946" s="19">
        <v>0.38128988968281774</v>
      </c>
      <c r="S2946" s="19">
        <v>5.7860416938957507E-2</v>
      </c>
      <c r="T2946" s="20">
        <v>12</v>
      </c>
      <c r="U2946" s="17">
        <v>3</v>
      </c>
      <c r="V2946" s="17">
        <v>36</v>
      </c>
    </row>
    <row r="2947" spans="1:22" x14ac:dyDescent="0.2">
      <c r="A2947" t="s">
        <v>6683</v>
      </c>
      <c r="B2947" t="s">
        <v>5862</v>
      </c>
      <c r="C2947" t="s">
        <v>5863</v>
      </c>
      <c r="D2947" t="s">
        <v>6684</v>
      </c>
      <c r="E2947" s="10" t="s">
        <v>6685</v>
      </c>
      <c r="F2947" s="10"/>
      <c r="G2947" s="10"/>
      <c r="H2947" s="10" t="s">
        <v>6685</v>
      </c>
      <c r="I2947" s="14">
        <v>42296.41826319322</v>
      </c>
      <c r="J2947" s="19">
        <v>0</v>
      </c>
      <c r="K2947" s="19">
        <v>0.67254368789335772</v>
      </c>
      <c r="L2947" s="19">
        <v>0.32745631210664222</v>
      </c>
      <c r="M2947" s="20">
        <v>2</v>
      </c>
      <c r="N2947" s="19">
        <v>0</v>
      </c>
      <c r="O2947" s="19">
        <v>0</v>
      </c>
      <c r="P2947" s="19">
        <v>0.67254368789335772</v>
      </c>
      <c r="Q2947" s="19">
        <v>8.56017609320327E-2</v>
      </c>
      <c r="R2947" s="19">
        <v>0.23261489781082662</v>
      </c>
      <c r="S2947" s="19">
        <v>9.2396533637829452E-3</v>
      </c>
      <c r="T2947" s="20">
        <v>21</v>
      </c>
      <c r="U2947" s="17">
        <v>3</v>
      </c>
      <c r="V2947" s="17">
        <v>36</v>
      </c>
    </row>
    <row r="2948" spans="1:22" x14ac:dyDescent="0.2">
      <c r="A2948" t="s">
        <v>6686</v>
      </c>
      <c r="B2948" t="s">
        <v>5862</v>
      </c>
      <c r="C2948" t="s">
        <v>5863</v>
      </c>
      <c r="D2948" t="s">
        <v>6684</v>
      </c>
      <c r="E2948" s="10" t="s">
        <v>6687</v>
      </c>
      <c r="F2948" s="10"/>
      <c r="G2948" s="10"/>
      <c r="H2948" s="10" t="s">
        <v>6687</v>
      </c>
      <c r="I2948" s="14">
        <v>31240.447042596526</v>
      </c>
      <c r="J2948" s="19">
        <v>0</v>
      </c>
      <c r="K2948" s="19">
        <v>0.68643829587786442</v>
      </c>
      <c r="L2948" s="19">
        <v>0.31356170412213558</v>
      </c>
      <c r="M2948" s="20">
        <v>2</v>
      </c>
      <c r="N2948" s="19">
        <v>0</v>
      </c>
      <c r="O2948" s="19">
        <v>0.68643829587786442</v>
      </c>
      <c r="P2948" s="19">
        <v>0</v>
      </c>
      <c r="Q2948" s="19">
        <v>0.14061751006152637</v>
      </c>
      <c r="R2948" s="19">
        <v>0.15249306850354721</v>
      </c>
      <c r="S2948" s="19">
        <v>2.045112555706198E-2</v>
      </c>
      <c r="T2948" s="20">
        <v>22</v>
      </c>
      <c r="U2948" s="17">
        <v>3</v>
      </c>
      <c r="V2948" s="17">
        <v>36</v>
      </c>
    </row>
    <row r="2949" spans="1:22" x14ac:dyDescent="0.2">
      <c r="A2949" t="s">
        <v>6688</v>
      </c>
      <c r="B2949" t="s">
        <v>5862</v>
      </c>
      <c r="C2949" t="s">
        <v>5863</v>
      </c>
      <c r="D2949" t="s">
        <v>6684</v>
      </c>
      <c r="E2949" s="10" t="s">
        <v>6689</v>
      </c>
      <c r="F2949" s="10"/>
      <c r="G2949" s="10"/>
      <c r="H2949" s="10" t="s">
        <v>6689</v>
      </c>
      <c r="I2949" s="14">
        <v>26204.666016447823</v>
      </c>
      <c r="J2949" s="19">
        <v>0</v>
      </c>
      <c r="K2949" s="19">
        <v>0</v>
      </c>
      <c r="L2949" s="19">
        <v>1</v>
      </c>
      <c r="M2949" s="20">
        <v>1</v>
      </c>
      <c r="N2949" s="19">
        <v>0</v>
      </c>
      <c r="O2949" s="19">
        <v>0</v>
      </c>
      <c r="P2949" s="19">
        <v>0</v>
      </c>
      <c r="Q2949" s="19">
        <v>0.36687830588389708</v>
      </c>
      <c r="R2949" s="19">
        <v>0.57372677005599659</v>
      </c>
      <c r="S2949" s="19">
        <v>5.9394924060106283E-2</v>
      </c>
      <c r="T2949" s="20">
        <v>12</v>
      </c>
      <c r="U2949" s="17">
        <v>3</v>
      </c>
      <c r="V2949" s="17">
        <v>36</v>
      </c>
    </row>
    <row r="2950" spans="1:22" x14ac:dyDescent="0.2">
      <c r="A2950" t="s">
        <v>6690</v>
      </c>
      <c r="B2950" t="s">
        <v>5862</v>
      </c>
      <c r="C2950" t="s">
        <v>5863</v>
      </c>
      <c r="D2950" t="s">
        <v>6684</v>
      </c>
      <c r="E2950" s="10" t="s">
        <v>6691</v>
      </c>
      <c r="F2950" s="10"/>
      <c r="G2950" s="10"/>
      <c r="H2950" s="10" t="s">
        <v>6691</v>
      </c>
      <c r="I2950" s="14">
        <v>93741.119787172414</v>
      </c>
      <c r="J2950" s="19">
        <v>0</v>
      </c>
      <c r="K2950" s="19">
        <v>0.71273532958404251</v>
      </c>
      <c r="L2950" s="19">
        <v>0.28726467041595749</v>
      </c>
      <c r="M2950" s="20">
        <v>2</v>
      </c>
      <c r="N2950" s="19">
        <v>0.47674018544436542</v>
      </c>
      <c r="O2950" s="19">
        <v>5.9576240510301894E-2</v>
      </c>
      <c r="P2950" s="19">
        <v>0.17641890362937523</v>
      </c>
      <c r="Q2950" s="19">
        <v>4.1196675957569803E-2</v>
      </c>
      <c r="R2950" s="19">
        <v>0.23113372360862666</v>
      </c>
      <c r="S2950" s="19">
        <v>1.4934270849760988E-2</v>
      </c>
      <c r="T2950" s="20">
        <v>23</v>
      </c>
      <c r="U2950" s="17">
        <v>3</v>
      </c>
      <c r="V2950" s="17">
        <v>36</v>
      </c>
    </row>
    <row r="2951" spans="1:22" x14ac:dyDescent="0.2">
      <c r="A2951" t="s">
        <v>6692</v>
      </c>
      <c r="B2951" t="s">
        <v>5862</v>
      </c>
      <c r="C2951" t="s">
        <v>5863</v>
      </c>
      <c r="D2951" t="s">
        <v>6684</v>
      </c>
      <c r="E2951" s="10" t="s">
        <v>6693</v>
      </c>
      <c r="F2951" s="10"/>
      <c r="G2951" s="10"/>
      <c r="H2951" s="10" t="s">
        <v>6693</v>
      </c>
      <c r="I2951" s="14">
        <v>75156.017552244477</v>
      </c>
      <c r="J2951" s="19">
        <v>0</v>
      </c>
      <c r="K2951" s="19">
        <v>0.58101554042166892</v>
      </c>
      <c r="L2951" s="19">
        <v>0.41898445957833103</v>
      </c>
      <c r="M2951" s="20">
        <v>2</v>
      </c>
      <c r="N2951" s="19">
        <v>0.18200341889671046</v>
      </c>
      <c r="O2951" s="19">
        <v>8.2852318756101967E-2</v>
      </c>
      <c r="P2951" s="19">
        <v>0.31615980276885647</v>
      </c>
      <c r="Q2951" s="19">
        <v>0.16041748158092903</v>
      </c>
      <c r="R2951" s="19">
        <v>0.23816315238334218</v>
      </c>
      <c r="S2951" s="19">
        <v>2.0403825614059807E-2</v>
      </c>
      <c r="T2951" s="20">
        <v>23</v>
      </c>
      <c r="U2951" s="17">
        <v>3</v>
      </c>
      <c r="V2951" s="17">
        <v>36</v>
      </c>
    </row>
    <row r="2952" spans="1:22" x14ac:dyDescent="0.2">
      <c r="A2952" t="s">
        <v>6694</v>
      </c>
      <c r="B2952" t="s">
        <v>5862</v>
      </c>
      <c r="C2952" t="s">
        <v>5863</v>
      </c>
      <c r="D2952" t="s">
        <v>6684</v>
      </c>
      <c r="E2952" s="10" t="s">
        <v>6695</v>
      </c>
      <c r="F2952" s="10"/>
      <c r="G2952" s="10"/>
      <c r="H2952" s="10" t="s">
        <v>6695</v>
      </c>
      <c r="I2952" s="14">
        <v>55159.176919441205</v>
      </c>
      <c r="J2952" s="19">
        <v>0</v>
      </c>
      <c r="K2952" s="19">
        <v>0.32473157991977036</v>
      </c>
      <c r="L2952" s="19">
        <v>0.67526842008022969</v>
      </c>
      <c r="M2952" s="20">
        <v>1</v>
      </c>
      <c r="N2952" s="19">
        <v>0.13646381588655004</v>
      </c>
      <c r="O2952" s="19">
        <v>7.6509616155607155E-2</v>
      </c>
      <c r="P2952" s="19">
        <v>0.11175814787761316</v>
      </c>
      <c r="Q2952" s="19">
        <v>0.25172045571660373</v>
      </c>
      <c r="R2952" s="19">
        <v>0.39431483283048663</v>
      </c>
      <c r="S2952" s="19">
        <v>2.9233131533139355E-2</v>
      </c>
      <c r="T2952" s="20">
        <v>12</v>
      </c>
      <c r="U2952" s="17">
        <v>3</v>
      </c>
      <c r="V2952" s="17">
        <v>36</v>
      </c>
    </row>
    <row r="2953" spans="1:22" x14ac:dyDescent="0.2">
      <c r="A2953" t="s">
        <v>6696</v>
      </c>
      <c r="B2953" t="s">
        <v>5862</v>
      </c>
      <c r="C2953" t="s">
        <v>5863</v>
      </c>
      <c r="D2953" t="s">
        <v>6684</v>
      </c>
      <c r="E2953" s="10" t="s">
        <v>6697</v>
      </c>
      <c r="F2953" s="10"/>
      <c r="G2953" s="10"/>
      <c r="H2953" s="10" t="s">
        <v>6697</v>
      </c>
      <c r="I2953" s="14">
        <v>24234.113315717783</v>
      </c>
      <c r="J2953" s="19">
        <v>0</v>
      </c>
      <c r="K2953" s="19">
        <v>4.7809093934507482E-2</v>
      </c>
      <c r="L2953" s="19">
        <v>0.95219090606549239</v>
      </c>
      <c r="M2953" s="20">
        <v>1</v>
      </c>
      <c r="N2953" s="19">
        <v>0</v>
      </c>
      <c r="O2953" s="19">
        <v>4.7809093934507482E-2</v>
      </c>
      <c r="P2953" s="19">
        <v>0</v>
      </c>
      <c r="Q2953" s="19">
        <v>0.32628050463302005</v>
      </c>
      <c r="R2953" s="19">
        <v>0.56078350106152441</v>
      </c>
      <c r="S2953" s="19">
        <v>6.5126900370948052E-2</v>
      </c>
      <c r="T2953" s="20">
        <v>12</v>
      </c>
      <c r="U2953" s="17">
        <v>3</v>
      </c>
      <c r="V2953" s="17">
        <v>36</v>
      </c>
    </row>
    <row r="2954" spans="1:22" x14ac:dyDescent="0.2">
      <c r="A2954" t="s">
        <v>6698</v>
      </c>
      <c r="B2954" t="s">
        <v>5862</v>
      </c>
      <c r="C2954" t="s">
        <v>5863</v>
      </c>
      <c r="D2954" t="s">
        <v>6684</v>
      </c>
      <c r="E2954" s="10" t="s">
        <v>6699</v>
      </c>
      <c r="F2954" s="10"/>
      <c r="G2954" s="10"/>
      <c r="H2954" s="10" t="s">
        <v>6699</v>
      </c>
      <c r="I2954" s="14">
        <v>60328.194149476702</v>
      </c>
      <c r="J2954" s="19">
        <v>0.78428145944667749</v>
      </c>
      <c r="K2954" s="19">
        <v>7.1431071333656532E-2</v>
      </c>
      <c r="L2954" s="19">
        <v>0.14428746921966609</v>
      </c>
      <c r="M2954" s="20">
        <v>3</v>
      </c>
      <c r="N2954" s="19">
        <v>0</v>
      </c>
      <c r="O2954" s="19">
        <v>0</v>
      </c>
      <c r="P2954" s="19">
        <v>7.1431071333656532E-2</v>
      </c>
      <c r="Q2954" s="19">
        <v>2.4835381397179387E-2</v>
      </c>
      <c r="R2954" s="19">
        <v>0.10978913194147671</v>
      </c>
      <c r="S2954" s="19">
        <v>9.6629558810100054E-3</v>
      </c>
      <c r="T2954" s="20">
        <v>30</v>
      </c>
      <c r="U2954" s="17">
        <v>3</v>
      </c>
      <c r="V2954" s="17">
        <v>36</v>
      </c>
    </row>
    <row r="2955" spans="1:22" x14ac:dyDescent="0.2">
      <c r="A2955" t="s">
        <v>6700</v>
      </c>
      <c r="B2955" t="s">
        <v>5862</v>
      </c>
      <c r="C2955" t="s">
        <v>5863</v>
      </c>
      <c r="D2955" t="s">
        <v>6684</v>
      </c>
      <c r="E2955" s="10" t="s">
        <v>6701</v>
      </c>
      <c r="F2955" s="10"/>
      <c r="G2955" s="10"/>
      <c r="H2955" s="10" t="s">
        <v>6701</v>
      </c>
      <c r="I2955" s="14">
        <v>19304.214658692945</v>
      </c>
      <c r="J2955" s="19">
        <v>0</v>
      </c>
      <c r="K2955" s="19">
        <v>0</v>
      </c>
      <c r="L2955" s="19">
        <v>1</v>
      </c>
      <c r="M2955" s="20">
        <v>1</v>
      </c>
      <c r="N2955" s="19">
        <v>0</v>
      </c>
      <c r="O2955" s="19">
        <v>0</v>
      </c>
      <c r="P2955" s="19">
        <v>0</v>
      </c>
      <c r="Q2955" s="19">
        <v>0.16357584917620349</v>
      </c>
      <c r="R2955" s="19">
        <v>0.73944512440612886</v>
      </c>
      <c r="S2955" s="19">
        <v>9.6979026417667633E-2</v>
      </c>
      <c r="T2955" s="20">
        <v>12</v>
      </c>
      <c r="U2955" s="17">
        <v>3</v>
      </c>
      <c r="V2955" s="17">
        <v>36</v>
      </c>
    </row>
    <row r="2956" spans="1:22" x14ac:dyDescent="0.2">
      <c r="A2956" t="s">
        <v>6702</v>
      </c>
      <c r="B2956" t="s">
        <v>5862</v>
      </c>
      <c r="C2956" t="s">
        <v>5863</v>
      </c>
      <c r="D2956" t="s">
        <v>6684</v>
      </c>
      <c r="E2956" s="10" t="s">
        <v>6703</v>
      </c>
      <c r="F2956" s="10"/>
      <c r="G2956" s="10"/>
      <c r="H2956" s="10" t="s">
        <v>6703</v>
      </c>
      <c r="I2956" s="14">
        <v>50716.571471033618</v>
      </c>
      <c r="J2956" s="19">
        <v>0</v>
      </c>
      <c r="K2956" s="19">
        <v>0.61217859417646481</v>
      </c>
      <c r="L2956" s="19">
        <v>0.38782140582353519</v>
      </c>
      <c r="M2956" s="20">
        <v>2</v>
      </c>
      <c r="N2956" s="19">
        <v>0.12592710412825764</v>
      </c>
      <c r="O2956" s="19">
        <v>0.39589381014597103</v>
      </c>
      <c r="P2956" s="19">
        <v>9.0357679902236157E-2</v>
      </c>
      <c r="Q2956" s="19">
        <v>0.16463835939875651</v>
      </c>
      <c r="R2956" s="19">
        <v>0.20403420609048442</v>
      </c>
      <c r="S2956" s="19">
        <v>1.9148840334294238E-2</v>
      </c>
      <c r="T2956" s="20">
        <v>22</v>
      </c>
      <c r="U2956" s="17">
        <v>3</v>
      </c>
      <c r="V2956" s="17">
        <v>36</v>
      </c>
    </row>
    <row r="2957" spans="1:22" x14ac:dyDescent="0.2">
      <c r="A2957" t="s">
        <v>6704</v>
      </c>
      <c r="B2957" t="s">
        <v>5862</v>
      </c>
      <c r="C2957" t="s">
        <v>5863</v>
      </c>
      <c r="D2957" t="s">
        <v>6684</v>
      </c>
      <c r="E2957" s="10" t="s">
        <v>6705</v>
      </c>
      <c r="F2957" s="10"/>
      <c r="G2957" s="10"/>
      <c r="H2957" s="10" t="s">
        <v>6705</v>
      </c>
      <c r="I2957" s="14">
        <v>57032.142818867695</v>
      </c>
      <c r="J2957" s="19">
        <v>0</v>
      </c>
      <c r="K2957" s="19">
        <v>0.65206038740889005</v>
      </c>
      <c r="L2957" s="19">
        <v>0.34793961259110995</v>
      </c>
      <c r="M2957" s="20">
        <v>2</v>
      </c>
      <c r="N2957" s="19">
        <v>0.12395308420728614</v>
      </c>
      <c r="O2957" s="19">
        <v>0.15101312639075451</v>
      </c>
      <c r="P2957" s="19">
        <v>0.37709417681084945</v>
      </c>
      <c r="Q2957" s="19">
        <v>9.5595951834630863E-2</v>
      </c>
      <c r="R2957" s="19">
        <v>0.22915935254063266</v>
      </c>
      <c r="S2957" s="19">
        <v>2.318430821584639E-2</v>
      </c>
      <c r="T2957" s="20">
        <v>22</v>
      </c>
      <c r="U2957" s="17">
        <v>3</v>
      </c>
      <c r="V2957" s="17">
        <v>36</v>
      </c>
    </row>
    <row r="2958" spans="1:22" x14ac:dyDescent="0.2">
      <c r="A2958" t="s">
        <v>6706</v>
      </c>
      <c r="B2958" t="s">
        <v>5862</v>
      </c>
      <c r="C2958" t="s">
        <v>5863</v>
      </c>
      <c r="D2958" t="s">
        <v>6684</v>
      </c>
      <c r="E2958" s="10" t="s">
        <v>6707</v>
      </c>
      <c r="F2958" s="10"/>
      <c r="G2958" s="10"/>
      <c r="H2958" s="10" t="s">
        <v>6707</v>
      </c>
      <c r="I2958" s="14">
        <v>40111.819254083093</v>
      </c>
      <c r="J2958" s="19">
        <v>0</v>
      </c>
      <c r="K2958" s="19">
        <v>0.51679196563280083</v>
      </c>
      <c r="L2958" s="19">
        <v>0.48320803436719911</v>
      </c>
      <c r="M2958" s="20">
        <v>2</v>
      </c>
      <c r="N2958" s="19">
        <v>0.13682284682620821</v>
      </c>
      <c r="O2958" s="19">
        <v>0.14027603266871685</v>
      </c>
      <c r="P2958" s="19">
        <v>0.23969308613787579</v>
      </c>
      <c r="Q2958" s="19">
        <v>4.9046358494759378E-2</v>
      </c>
      <c r="R2958" s="19">
        <v>0.40677392909222754</v>
      </c>
      <c r="S2958" s="19">
        <v>2.7387746780212198E-2</v>
      </c>
      <c r="T2958" s="20">
        <v>22</v>
      </c>
      <c r="U2958" s="17">
        <v>3</v>
      </c>
      <c r="V2958" s="17">
        <v>36</v>
      </c>
    </row>
    <row r="2959" spans="1:22" x14ac:dyDescent="0.2">
      <c r="A2959" t="s">
        <v>6708</v>
      </c>
      <c r="B2959" t="s">
        <v>5862</v>
      </c>
      <c r="C2959" t="s">
        <v>5863</v>
      </c>
      <c r="D2959" t="s">
        <v>6684</v>
      </c>
      <c r="E2959" s="10" t="s">
        <v>6709</v>
      </c>
      <c r="F2959" s="10"/>
      <c r="G2959" s="10"/>
      <c r="H2959" s="10" t="s">
        <v>6709</v>
      </c>
      <c r="I2959" s="14">
        <v>37207.51630910486</v>
      </c>
      <c r="J2959" s="19">
        <v>0</v>
      </c>
      <c r="K2959" s="19">
        <v>0.8289586044002244</v>
      </c>
      <c r="L2959" s="19">
        <v>0.1710413955997756</v>
      </c>
      <c r="M2959" s="20">
        <v>2</v>
      </c>
      <c r="N2959" s="19">
        <v>0.13996271987428996</v>
      </c>
      <c r="O2959" s="19">
        <v>0</v>
      </c>
      <c r="P2959" s="19">
        <v>0.68899588452593441</v>
      </c>
      <c r="Q2959" s="19">
        <v>0</v>
      </c>
      <c r="R2959" s="19">
        <v>0.15889865681407864</v>
      </c>
      <c r="S2959" s="19">
        <v>1.2142738785696964E-2</v>
      </c>
      <c r="T2959" s="20">
        <v>21</v>
      </c>
      <c r="U2959" s="17">
        <v>3</v>
      </c>
      <c r="V2959" s="17">
        <v>36</v>
      </c>
    </row>
    <row r="2960" spans="1:22" x14ac:dyDescent="0.2">
      <c r="A2960" t="s">
        <v>6710</v>
      </c>
      <c r="B2960" t="s">
        <v>5862</v>
      </c>
      <c r="C2960" t="s">
        <v>5863</v>
      </c>
      <c r="D2960" t="s">
        <v>6711</v>
      </c>
      <c r="E2960" s="10" t="s">
        <v>6712</v>
      </c>
      <c r="F2960" s="10"/>
      <c r="G2960" s="10"/>
      <c r="H2960" s="10" t="s">
        <v>6712</v>
      </c>
      <c r="I2960" s="14">
        <v>166513.041842242</v>
      </c>
      <c r="J2960" s="19">
        <v>0</v>
      </c>
      <c r="K2960" s="19">
        <v>0.44267896559766673</v>
      </c>
      <c r="L2960" s="19">
        <v>0.55732103440233327</v>
      </c>
      <c r="M2960" s="20">
        <v>1</v>
      </c>
      <c r="N2960" s="19">
        <v>0.16664606701521226</v>
      </c>
      <c r="O2960" s="19">
        <v>9.7157926353649574E-2</v>
      </c>
      <c r="P2960" s="19">
        <v>0.17887497222880491</v>
      </c>
      <c r="Q2960" s="19">
        <v>0.35053818337572085</v>
      </c>
      <c r="R2960" s="19">
        <v>0.16601786650287914</v>
      </c>
      <c r="S2960" s="19">
        <v>4.0764984523733207E-2</v>
      </c>
      <c r="T2960" s="20">
        <v>13</v>
      </c>
      <c r="U2960" s="17">
        <v>3</v>
      </c>
      <c r="V2960" s="17">
        <v>36</v>
      </c>
    </row>
    <row r="2961" spans="1:22" x14ac:dyDescent="0.2">
      <c r="A2961" t="s">
        <v>6713</v>
      </c>
      <c r="B2961" t="s">
        <v>5862</v>
      </c>
      <c r="C2961" t="s">
        <v>5863</v>
      </c>
      <c r="D2961" t="s">
        <v>6711</v>
      </c>
      <c r="E2961" s="10" t="s">
        <v>6714</v>
      </c>
      <c r="F2961" s="10"/>
      <c r="G2961" s="10"/>
      <c r="H2961" s="10" t="s">
        <v>6714</v>
      </c>
      <c r="I2961" s="14">
        <v>84177.050483147847</v>
      </c>
      <c r="J2961" s="19">
        <v>0</v>
      </c>
      <c r="K2961" s="19">
        <v>0.31502593395198908</v>
      </c>
      <c r="L2961" s="19">
        <v>0.68497406604801103</v>
      </c>
      <c r="M2961" s="20">
        <v>1</v>
      </c>
      <c r="N2961" s="19">
        <v>7.3963421005058191E-2</v>
      </c>
      <c r="O2961" s="19">
        <v>0.15841724022097892</v>
      </c>
      <c r="P2961" s="19">
        <v>8.2645272725951915E-2</v>
      </c>
      <c r="Q2961" s="19">
        <v>0.42364050360543909</v>
      </c>
      <c r="R2961" s="19">
        <v>0.21679821354721301</v>
      </c>
      <c r="S2961" s="19">
        <v>4.453534889535888E-2</v>
      </c>
      <c r="T2961" s="20">
        <v>13</v>
      </c>
      <c r="U2961" s="17">
        <v>3</v>
      </c>
      <c r="V2961" s="17">
        <v>36</v>
      </c>
    </row>
    <row r="2962" spans="1:22" x14ac:dyDescent="0.2">
      <c r="A2962" t="s">
        <v>6715</v>
      </c>
      <c r="B2962" t="s">
        <v>5862</v>
      </c>
      <c r="C2962" t="s">
        <v>5863</v>
      </c>
      <c r="D2962" t="s">
        <v>6711</v>
      </c>
      <c r="E2962" s="10" t="s">
        <v>6716</v>
      </c>
      <c r="F2962" s="10"/>
      <c r="G2962" s="10"/>
      <c r="H2962" s="10" t="s">
        <v>6716</v>
      </c>
      <c r="I2962" s="14">
        <v>33714.782572122989</v>
      </c>
      <c r="J2962" s="19">
        <v>0</v>
      </c>
      <c r="K2962" s="19">
        <v>0.33368372617010211</v>
      </c>
      <c r="L2962" s="19">
        <v>0.66631627382989789</v>
      </c>
      <c r="M2962" s="20">
        <v>1</v>
      </c>
      <c r="N2962" s="19">
        <v>0</v>
      </c>
      <c r="O2962" s="19">
        <v>0.33368372617010211</v>
      </c>
      <c r="P2962" s="19">
        <v>0</v>
      </c>
      <c r="Q2962" s="19">
        <v>0.37538459872231172</v>
      </c>
      <c r="R2962" s="19">
        <v>0.24111857267470269</v>
      </c>
      <c r="S2962" s="19">
        <v>4.9813102432883519E-2</v>
      </c>
      <c r="T2962" s="20">
        <v>13</v>
      </c>
      <c r="U2962" s="17">
        <v>3</v>
      </c>
      <c r="V2962" s="17">
        <v>36</v>
      </c>
    </row>
    <row r="2963" spans="1:22" x14ac:dyDescent="0.2">
      <c r="A2963" t="s">
        <v>6717</v>
      </c>
      <c r="B2963" t="s">
        <v>5862</v>
      </c>
      <c r="C2963" t="s">
        <v>5863</v>
      </c>
      <c r="D2963" t="s">
        <v>6711</v>
      </c>
      <c r="E2963" s="10" t="s">
        <v>6718</v>
      </c>
      <c r="F2963" s="10"/>
      <c r="G2963" s="10"/>
      <c r="H2963" s="10" t="s">
        <v>6718</v>
      </c>
      <c r="I2963" s="14">
        <v>82227.198211014271</v>
      </c>
      <c r="J2963" s="19">
        <v>0</v>
      </c>
      <c r="K2963" s="19">
        <v>0.32271666764034967</v>
      </c>
      <c r="L2963" s="19">
        <v>0.67728333235965044</v>
      </c>
      <c r="M2963" s="20">
        <v>1</v>
      </c>
      <c r="N2963" s="19">
        <v>6.6586490836542708E-2</v>
      </c>
      <c r="O2963" s="19">
        <v>0.12107224790158981</v>
      </c>
      <c r="P2963" s="19">
        <v>0.13505792890221716</v>
      </c>
      <c r="Q2963" s="19">
        <v>0.40986866528058064</v>
      </c>
      <c r="R2963" s="19">
        <v>0.22645822912329117</v>
      </c>
      <c r="S2963" s="19">
        <v>4.095643795577851E-2</v>
      </c>
      <c r="T2963" s="20">
        <v>13</v>
      </c>
      <c r="U2963" s="17">
        <v>3</v>
      </c>
      <c r="V2963" s="17">
        <v>36</v>
      </c>
    </row>
    <row r="2964" spans="1:22" x14ac:dyDescent="0.2">
      <c r="A2964" t="s">
        <v>6719</v>
      </c>
      <c r="B2964" t="s">
        <v>5862</v>
      </c>
      <c r="C2964" t="s">
        <v>5863</v>
      </c>
      <c r="D2964" t="s">
        <v>6711</v>
      </c>
      <c r="E2964" s="10" t="s">
        <v>6720</v>
      </c>
      <c r="F2964" s="10"/>
      <c r="G2964" s="10"/>
      <c r="H2964" s="10" t="s">
        <v>6720</v>
      </c>
      <c r="I2964" s="14">
        <v>96011.00221097772</v>
      </c>
      <c r="J2964" s="19">
        <v>0</v>
      </c>
      <c r="K2964" s="19">
        <v>0.19175765293354774</v>
      </c>
      <c r="L2964" s="19">
        <v>0.80824234706645226</v>
      </c>
      <c r="M2964" s="20">
        <v>1</v>
      </c>
      <c r="N2964" s="19">
        <v>8.1229901042916761E-2</v>
      </c>
      <c r="O2964" s="19">
        <v>0</v>
      </c>
      <c r="P2964" s="19">
        <v>0.11052775189063099</v>
      </c>
      <c r="Q2964" s="19">
        <v>0.46094349721003774</v>
      </c>
      <c r="R2964" s="19">
        <v>0.29635711817992044</v>
      </c>
      <c r="S2964" s="19">
        <v>5.0941731676494045E-2</v>
      </c>
      <c r="T2964" s="20">
        <v>13</v>
      </c>
      <c r="U2964" s="17">
        <v>3</v>
      </c>
      <c r="V2964" s="17">
        <v>36</v>
      </c>
    </row>
    <row r="2965" spans="1:22" x14ac:dyDescent="0.2">
      <c r="A2965" t="s">
        <v>6721</v>
      </c>
      <c r="B2965" t="s">
        <v>5862</v>
      </c>
      <c r="C2965" t="s">
        <v>5863</v>
      </c>
      <c r="D2965" t="s">
        <v>6711</v>
      </c>
      <c r="E2965" s="10" t="s">
        <v>6722</v>
      </c>
      <c r="F2965" s="10"/>
      <c r="G2965" s="10"/>
      <c r="H2965" s="10" t="s">
        <v>6722</v>
      </c>
      <c r="I2965" s="14">
        <v>58642.446806204032</v>
      </c>
      <c r="J2965" s="19">
        <v>0</v>
      </c>
      <c r="K2965" s="19">
        <v>0.1138129468975205</v>
      </c>
      <c r="L2965" s="19">
        <v>0.88618705310247958</v>
      </c>
      <c r="M2965" s="20">
        <v>1</v>
      </c>
      <c r="N2965" s="19">
        <v>0</v>
      </c>
      <c r="O2965" s="19">
        <v>0.1138129468975205</v>
      </c>
      <c r="P2965" s="19">
        <v>0</v>
      </c>
      <c r="Q2965" s="19">
        <v>0.56035490462699711</v>
      </c>
      <c r="R2965" s="19">
        <v>0.27032068132679093</v>
      </c>
      <c r="S2965" s="19">
        <v>5.5511467148691589E-2</v>
      </c>
      <c r="T2965" s="20">
        <v>13</v>
      </c>
      <c r="U2965" s="17">
        <v>3</v>
      </c>
      <c r="V2965" s="17">
        <v>36</v>
      </c>
    </row>
    <row r="2966" spans="1:22" x14ac:dyDescent="0.2">
      <c r="A2966" t="s">
        <v>6723</v>
      </c>
      <c r="B2966" t="s">
        <v>5862</v>
      </c>
      <c r="C2966" t="s">
        <v>5863</v>
      </c>
      <c r="D2966" t="s">
        <v>6724</v>
      </c>
      <c r="E2966" s="10" t="s">
        <v>6725</v>
      </c>
      <c r="F2966" s="10"/>
      <c r="G2966" s="10"/>
      <c r="H2966" s="10" t="s">
        <v>6725</v>
      </c>
      <c r="I2966" s="14">
        <v>38907.373127593077</v>
      </c>
      <c r="J2966" s="19">
        <v>0</v>
      </c>
      <c r="K2966" s="19">
        <v>0.15084521966271558</v>
      </c>
      <c r="L2966" s="19">
        <v>0.84915478033728453</v>
      </c>
      <c r="M2966" s="20">
        <v>1</v>
      </c>
      <c r="N2966" s="19">
        <v>0</v>
      </c>
      <c r="O2966" s="19">
        <v>0.15084521966271558</v>
      </c>
      <c r="P2966" s="19">
        <v>0</v>
      </c>
      <c r="Q2966" s="19">
        <v>0.63641048704258341</v>
      </c>
      <c r="R2966" s="19">
        <v>0.18048078834864978</v>
      </c>
      <c r="S2966" s="19">
        <v>3.2263504946051194E-2</v>
      </c>
      <c r="T2966" s="20">
        <v>13</v>
      </c>
      <c r="U2966" s="17">
        <v>3</v>
      </c>
      <c r="V2966" s="17">
        <v>36</v>
      </c>
    </row>
    <row r="2967" spans="1:22" x14ac:dyDescent="0.2">
      <c r="A2967" t="s">
        <v>6726</v>
      </c>
      <c r="B2967" t="s">
        <v>5862</v>
      </c>
      <c r="C2967" t="s">
        <v>5863</v>
      </c>
      <c r="D2967" t="s">
        <v>6724</v>
      </c>
      <c r="E2967" s="10" t="s">
        <v>6727</v>
      </c>
      <c r="F2967" s="10"/>
      <c r="G2967" s="10"/>
      <c r="H2967" s="10" t="s">
        <v>6727</v>
      </c>
      <c r="I2967" s="14">
        <v>11641.395210870076</v>
      </c>
      <c r="J2967" s="19">
        <v>0</v>
      </c>
      <c r="K2967" s="19">
        <v>0</v>
      </c>
      <c r="L2967" s="19">
        <v>1</v>
      </c>
      <c r="M2967" s="20">
        <v>1</v>
      </c>
      <c r="N2967" s="19">
        <v>0</v>
      </c>
      <c r="O2967" s="19">
        <v>0</v>
      </c>
      <c r="P2967" s="19">
        <v>0</v>
      </c>
      <c r="Q2967" s="19">
        <v>0.65875624845634684</v>
      </c>
      <c r="R2967" s="19">
        <v>0.28048707316807181</v>
      </c>
      <c r="S2967" s="19">
        <v>6.0756678375581297E-2</v>
      </c>
      <c r="T2967" s="20">
        <v>13</v>
      </c>
      <c r="U2967" s="17">
        <v>3</v>
      </c>
      <c r="V2967" s="17">
        <v>36</v>
      </c>
    </row>
    <row r="2968" spans="1:22" x14ac:dyDescent="0.2">
      <c r="A2968" t="s">
        <v>6728</v>
      </c>
      <c r="B2968" t="s">
        <v>5862</v>
      </c>
      <c r="C2968" t="s">
        <v>5863</v>
      </c>
      <c r="D2968" t="s">
        <v>6724</v>
      </c>
      <c r="E2968" s="10" t="s">
        <v>6729</v>
      </c>
      <c r="F2968" s="10"/>
      <c r="G2968" s="10"/>
      <c r="H2968" s="10" t="s">
        <v>6729</v>
      </c>
      <c r="I2968" s="14">
        <v>29098.940171474358</v>
      </c>
      <c r="J2968" s="19">
        <v>0</v>
      </c>
      <c r="K2968" s="19">
        <v>3.5731137876101153E-2</v>
      </c>
      <c r="L2968" s="19">
        <v>0.96426886212389873</v>
      </c>
      <c r="M2968" s="20">
        <v>1</v>
      </c>
      <c r="N2968" s="19">
        <v>3.6566282637855232E-3</v>
      </c>
      <c r="O2968" s="19">
        <v>0</v>
      </c>
      <c r="P2968" s="19">
        <v>3.207450961231563E-2</v>
      </c>
      <c r="Q2968" s="19">
        <v>0.66986295127311568</v>
      </c>
      <c r="R2968" s="19">
        <v>0.26006487090897945</v>
      </c>
      <c r="S2968" s="19">
        <v>3.4341039941803701E-2</v>
      </c>
      <c r="T2968" s="20">
        <v>13</v>
      </c>
      <c r="U2968" s="17">
        <v>3</v>
      </c>
      <c r="V2968" s="17">
        <v>36</v>
      </c>
    </row>
    <row r="2969" spans="1:22" x14ac:dyDescent="0.2">
      <c r="A2969" t="s">
        <v>6730</v>
      </c>
      <c r="B2969" t="s">
        <v>5862</v>
      </c>
      <c r="C2969" t="s">
        <v>5863</v>
      </c>
      <c r="D2969" t="s">
        <v>6724</v>
      </c>
      <c r="E2969" s="10" t="s">
        <v>6731</v>
      </c>
      <c r="F2969" s="10"/>
      <c r="G2969" s="10"/>
      <c r="H2969" s="10" t="s">
        <v>6731</v>
      </c>
      <c r="I2969" s="14">
        <v>19779.539433426689</v>
      </c>
      <c r="J2969" s="19">
        <v>0</v>
      </c>
      <c r="K2969" s="19">
        <v>0.26282177866282586</v>
      </c>
      <c r="L2969" s="19">
        <v>0.73717822133717414</v>
      </c>
      <c r="M2969" s="20">
        <v>1</v>
      </c>
      <c r="N2969" s="19">
        <v>0</v>
      </c>
      <c r="O2969" s="19">
        <v>0.26282177866282586</v>
      </c>
      <c r="P2969" s="19">
        <v>0</v>
      </c>
      <c r="Q2969" s="19">
        <v>0.27568560700295247</v>
      </c>
      <c r="R2969" s="19">
        <v>0.3858423242419316</v>
      </c>
      <c r="S2969" s="19">
        <v>7.565029009229006E-2</v>
      </c>
      <c r="T2969" s="20">
        <v>12</v>
      </c>
      <c r="U2969" s="17">
        <v>3</v>
      </c>
      <c r="V2969" s="17">
        <v>36</v>
      </c>
    </row>
    <row r="2970" spans="1:22" x14ac:dyDescent="0.2">
      <c r="A2970" t="s">
        <v>6732</v>
      </c>
      <c r="B2970" t="s">
        <v>5862</v>
      </c>
      <c r="C2970" t="s">
        <v>5863</v>
      </c>
      <c r="D2970" t="s">
        <v>6724</v>
      </c>
      <c r="E2970" s="10" t="s">
        <v>6733</v>
      </c>
      <c r="F2970" s="10"/>
      <c r="G2970" s="10"/>
      <c r="H2970" s="10" t="s">
        <v>6733</v>
      </c>
      <c r="I2970" s="14">
        <v>116556.29380094027</v>
      </c>
      <c r="J2970" s="19">
        <v>0.45311198918061618</v>
      </c>
      <c r="K2970" s="19">
        <v>0.2154814897359682</v>
      </c>
      <c r="L2970" s="19">
        <v>0.33140652108341562</v>
      </c>
      <c r="M2970" s="20">
        <v>2</v>
      </c>
      <c r="N2970" s="19">
        <v>0</v>
      </c>
      <c r="O2970" s="19">
        <v>0</v>
      </c>
      <c r="P2970" s="19">
        <v>0.2154814897359682</v>
      </c>
      <c r="Q2970" s="19">
        <v>8.9492568670948791E-2</v>
      </c>
      <c r="R2970" s="19">
        <v>0.21357817870936127</v>
      </c>
      <c r="S2970" s="19">
        <v>2.8335773703105534E-2</v>
      </c>
      <c r="T2970" s="20">
        <v>23</v>
      </c>
      <c r="U2970" s="17">
        <v>3</v>
      </c>
      <c r="V2970" s="17">
        <v>36</v>
      </c>
    </row>
    <row r="2971" spans="1:22" x14ac:dyDescent="0.2">
      <c r="A2971" t="s">
        <v>6734</v>
      </c>
      <c r="B2971" t="s">
        <v>5862</v>
      </c>
      <c r="C2971" t="s">
        <v>5863</v>
      </c>
      <c r="D2971" t="s">
        <v>6724</v>
      </c>
      <c r="E2971" s="10" t="s">
        <v>6735</v>
      </c>
      <c r="F2971" s="10"/>
      <c r="G2971" s="10"/>
      <c r="H2971" s="10" t="s">
        <v>6735</v>
      </c>
      <c r="I2971" s="14">
        <v>74504.53689503402</v>
      </c>
      <c r="J2971" s="19">
        <v>0</v>
      </c>
      <c r="K2971" s="19">
        <v>0.1970161522338062</v>
      </c>
      <c r="L2971" s="19">
        <v>0.80298384776619391</v>
      </c>
      <c r="M2971" s="20">
        <v>1</v>
      </c>
      <c r="N2971" s="19">
        <v>0.1143674179183848</v>
      </c>
      <c r="O2971" s="19">
        <v>0</v>
      </c>
      <c r="P2971" s="19">
        <v>8.2648734315421371E-2</v>
      </c>
      <c r="Q2971" s="19">
        <v>0.41891879244084917</v>
      </c>
      <c r="R2971" s="19">
        <v>0.32492478601620273</v>
      </c>
      <c r="S2971" s="19">
        <v>5.9140269309141937E-2</v>
      </c>
      <c r="T2971" s="20">
        <v>13</v>
      </c>
      <c r="U2971" s="17">
        <v>3</v>
      </c>
      <c r="V2971" s="17">
        <v>36</v>
      </c>
    </row>
    <row r="2972" spans="1:22" x14ac:dyDescent="0.2">
      <c r="A2972" t="s">
        <v>6736</v>
      </c>
      <c r="B2972" t="s">
        <v>5862</v>
      </c>
      <c r="C2972" t="s">
        <v>5863</v>
      </c>
      <c r="D2972" t="s">
        <v>6724</v>
      </c>
      <c r="E2972" s="10" t="s">
        <v>6737</v>
      </c>
      <c r="F2972" s="10"/>
      <c r="G2972" s="10"/>
      <c r="H2972" s="10" t="s">
        <v>6737</v>
      </c>
      <c r="I2972" s="14">
        <v>17585.401426929049</v>
      </c>
      <c r="J2972" s="19">
        <v>0</v>
      </c>
      <c r="K2972" s="19">
        <v>0.17835102769189262</v>
      </c>
      <c r="L2972" s="19">
        <v>0.82164897230810752</v>
      </c>
      <c r="M2972" s="20">
        <v>1</v>
      </c>
      <c r="N2972" s="19">
        <v>0</v>
      </c>
      <c r="O2972" s="19">
        <v>0.17835102769189262</v>
      </c>
      <c r="P2972" s="19">
        <v>0</v>
      </c>
      <c r="Q2972" s="19">
        <v>0.20204226736087255</v>
      </c>
      <c r="R2972" s="19">
        <v>0.49466574509337274</v>
      </c>
      <c r="S2972" s="19">
        <v>0.12494095985386204</v>
      </c>
      <c r="T2972" s="20">
        <v>12</v>
      </c>
      <c r="U2972" s="17">
        <v>3</v>
      </c>
      <c r="V2972" s="17">
        <v>36</v>
      </c>
    </row>
    <row r="2973" spans="1:22" x14ac:dyDescent="0.2">
      <c r="A2973" t="s">
        <v>6738</v>
      </c>
      <c r="B2973" t="s">
        <v>5862</v>
      </c>
      <c r="C2973" t="s">
        <v>5863</v>
      </c>
      <c r="D2973" t="s">
        <v>6724</v>
      </c>
      <c r="E2973" s="10" t="s">
        <v>6739</v>
      </c>
      <c r="F2973" s="10"/>
      <c r="G2973" s="10"/>
      <c r="H2973" s="10" t="s">
        <v>6739</v>
      </c>
      <c r="I2973" s="14">
        <v>27855.542861316353</v>
      </c>
      <c r="J2973" s="19">
        <v>0.33744547992363005</v>
      </c>
      <c r="K2973" s="19">
        <v>0.28946357345631551</v>
      </c>
      <c r="L2973" s="19">
        <v>0.37309094662005443</v>
      </c>
      <c r="M2973" s="20">
        <v>2</v>
      </c>
      <c r="N2973" s="19">
        <v>0</v>
      </c>
      <c r="O2973" s="19">
        <v>0</v>
      </c>
      <c r="P2973" s="19">
        <v>0.28946357345631551</v>
      </c>
      <c r="Q2973" s="19">
        <v>0.1340341008906141</v>
      </c>
      <c r="R2973" s="19">
        <v>0.2038983869939468</v>
      </c>
      <c r="S2973" s="19">
        <v>3.5158458735493524E-2</v>
      </c>
      <c r="T2973" s="20">
        <v>23</v>
      </c>
      <c r="U2973" s="17">
        <v>3</v>
      </c>
      <c r="V2973" s="17">
        <v>36</v>
      </c>
    </row>
    <row r="2974" spans="1:22" x14ac:dyDescent="0.2">
      <c r="A2974" t="s">
        <v>6740</v>
      </c>
      <c r="B2974" t="s">
        <v>5862</v>
      </c>
      <c r="C2974" t="s">
        <v>5863</v>
      </c>
      <c r="D2974" t="s">
        <v>6724</v>
      </c>
      <c r="E2974" s="10" t="s">
        <v>6741</v>
      </c>
      <c r="F2974" s="10"/>
      <c r="G2974" s="10"/>
      <c r="H2974" s="10" t="s">
        <v>6741</v>
      </c>
      <c r="I2974" s="14">
        <v>71236.778057338786</v>
      </c>
      <c r="J2974" s="19">
        <v>1.7810522714359865E-2</v>
      </c>
      <c r="K2974" s="19">
        <v>0.4587186675532402</v>
      </c>
      <c r="L2974" s="19">
        <v>0.5234708097323999</v>
      </c>
      <c r="M2974" s="20">
        <v>1</v>
      </c>
      <c r="N2974" s="19">
        <v>0.23386641592515903</v>
      </c>
      <c r="O2974" s="19">
        <v>0</v>
      </c>
      <c r="P2974" s="19">
        <v>0.2248522516280812</v>
      </c>
      <c r="Q2974" s="19">
        <v>0.29024739937855448</v>
      </c>
      <c r="R2974" s="19">
        <v>0.19063339348948505</v>
      </c>
      <c r="S2974" s="19">
        <v>4.2590016864360383E-2</v>
      </c>
      <c r="T2974" s="20">
        <v>13</v>
      </c>
      <c r="U2974" s="17">
        <v>3</v>
      </c>
      <c r="V2974" s="17">
        <v>36</v>
      </c>
    </row>
    <row r="2975" spans="1:22" x14ac:dyDescent="0.2">
      <c r="A2975" t="s">
        <v>6742</v>
      </c>
      <c r="B2975" t="s">
        <v>5862</v>
      </c>
      <c r="C2975" t="s">
        <v>5863</v>
      </c>
      <c r="D2975" t="s">
        <v>6743</v>
      </c>
      <c r="E2975" s="10" t="s">
        <v>6744</v>
      </c>
      <c r="F2975" s="10"/>
      <c r="G2975" s="10"/>
      <c r="H2975" s="10" t="s">
        <v>6744</v>
      </c>
      <c r="I2975" s="14">
        <v>309475.60900786892</v>
      </c>
      <c r="J2975" s="19">
        <v>0.94409313459591526</v>
      </c>
      <c r="K2975" s="19">
        <v>5.1184121213563097E-2</v>
      </c>
      <c r="L2975" s="19">
        <v>4.7227441905216333E-3</v>
      </c>
      <c r="M2975" s="20">
        <v>3</v>
      </c>
      <c r="N2975" s="19">
        <v>0</v>
      </c>
      <c r="O2975" s="19">
        <v>0</v>
      </c>
      <c r="P2975" s="19">
        <v>5.1184121213563097E-2</v>
      </c>
      <c r="Q2975" s="19">
        <v>0</v>
      </c>
      <c r="R2975" s="19">
        <v>4.7227441905216333E-3</v>
      </c>
      <c r="S2975" s="19">
        <v>0</v>
      </c>
      <c r="T2975" s="20">
        <v>30</v>
      </c>
      <c r="U2975" s="17">
        <v>3</v>
      </c>
      <c r="V2975" s="17">
        <v>36</v>
      </c>
    </row>
    <row r="2976" spans="1:22" x14ac:dyDescent="0.2">
      <c r="A2976" t="s">
        <v>6745</v>
      </c>
      <c r="B2976" t="s">
        <v>5862</v>
      </c>
      <c r="C2976" t="s">
        <v>5863</v>
      </c>
      <c r="D2976" t="s">
        <v>6743</v>
      </c>
      <c r="E2976" s="10" t="s">
        <v>6746</v>
      </c>
      <c r="F2976" s="10"/>
      <c r="G2976" s="10"/>
      <c r="H2976" s="10" t="s">
        <v>6746</v>
      </c>
      <c r="I2976" s="14">
        <v>195854.96629080083</v>
      </c>
      <c r="J2976" s="19">
        <v>0.96644226736725947</v>
      </c>
      <c r="K2976" s="19">
        <v>3.2085797199098015E-2</v>
      </c>
      <c r="L2976" s="19">
        <v>1.4719354336424728E-3</v>
      </c>
      <c r="M2976" s="20">
        <v>3</v>
      </c>
      <c r="N2976" s="19">
        <v>0</v>
      </c>
      <c r="O2976" s="19">
        <v>0</v>
      </c>
      <c r="P2976" s="19">
        <v>3.2085797199098015E-2</v>
      </c>
      <c r="Q2976" s="19">
        <v>0</v>
      </c>
      <c r="R2976" s="19">
        <v>1.4719354336424728E-3</v>
      </c>
      <c r="S2976" s="19">
        <v>0</v>
      </c>
      <c r="T2976" s="20">
        <v>30</v>
      </c>
      <c r="U2976" s="17">
        <v>3</v>
      </c>
      <c r="V2976" s="17">
        <v>36</v>
      </c>
    </row>
    <row r="2977" spans="1:22" x14ac:dyDescent="0.2">
      <c r="A2977" t="s">
        <v>6747</v>
      </c>
      <c r="B2977" t="s">
        <v>5862</v>
      </c>
      <c r="C2977" t="s">
        <v>5863</v>
      </c>
      <c r="D2977" t="s">
        <v>6743</v>
      </c>
      <c r="E2977" s="10" t="s">
        <v>6748</v>
      </c>
      <c r="F2977" s="10"/>
      <c r="G2977" s="10"/>
      <c r="H2977" s="10" t="s">
        <v>6748</v>
      </c>
      <c r="I2977" s="14">
        <v>131804.31294807326</v>
      </c>
      <c r="J2977" s="19">
        <v>0.84318261116876125</v>
      </c>
      <c r="K2977" s="19">
        <v>0.1315591468644017</v>
      </c>
      <c r="L2977" s="19">
        <v>2.5258241966837049E-2</v>
      </c>
      <c r="M2977" s="20">
        <v>3</v>
      </c>
      <c r="N2977" s="19">
        <v>0</v>
      </c>
      <c r="O2977" s="19">
        <v>0</v>
      </c>
      <c r="P2977" s="19">
        <v>0.1315591468644017</v>
      </c>
      <c r="Q2977" s="19">
        <v>0</v>
      </c>
      <c r="R2977" s="19">
        <v>2.4918384083206409E-2</v>
      </c>
      <c r="S2977" s="19">
        <v>3.3985788363064077E-4</v>
      </c>
      <c r="T2977" s="20">
        <v>30</v>
      </c>
      <c r="U2977" s="17">
        <v>3</v>
      </c>
      <c r="V2977" s="17">
        <v>36</v>
      </c>
    </row>
    <row r="2978" spans="1:22" x14ac:dyDescent="0.2">
      <c r="A2978" t="s">
        <v>6749</v>
      </c>
      <c r="B2978" t="s">
        <v>5862</v>
      </c>
      <c r="C2978" t="s">
        <v>5863</v>
      </c>
      <c r="D2978" t="s">
        <v>6743</v>
      </c>
      <c r="E2978" s="10" t="s">
        <v>6750</v>
      </c>
      <c r="F2978" s="10"/>
      <c r="G2978" s="10"/>
      <c r="H2978" s="10" t="s">
        <v>6750</v>
      </c>
      <c r="I2978" s="14">
        <v>710061.54732745327</v>
      </c>
      <c r="J2978" s="19">
        <v>1</v>
      </c>
      <c r="K2978" s="19">
        <v>0</v>
      </c>
      <c r="L2978" s="19">
        <v>0</v>
      </c>
      <c r="M2978" s="20">
        <v>3</v>
      </c>
      <c r="N2978" s="19">
        <v>0</v>
      </c>
      <c r="O2978" s="19">
        <v>0</v>
      </c>
      <c r="P2978" s="19">
        <v>0</v>
      </c>
      <c r="Q2978" s="19">
        <v>0</v>
      </c>
      <c r="R2978" s="19">
        <v>0</v>
      </c>
      <c r="S2978" s="19">
        <v>0</v>
      </c>
      <c r="T2978" s="20">
        <v>30</v>
      </c>
      <c r="U2978" s="17">
        <v>3</v>
      </c>
      <c r="V2978" s="17">
        <v>36</v>
      </c>
    </row>
    <row r="2979" spans="1:22" x14ac:dyDescent="0.2">
      <c r="A2979" t="s">
        <v>6751</v>
      </c>
      <c r="B2979" t="s">
        <v>5862</v>
      </c>
      <c r="C2979" t="s">
        <v>5863</v>
      </c>
      <c r="D2979" t="s">
        <v>6743</v>
      </c>
      <c r="E2979" s="10" t="s">
        <v>6752</v>
      </c>
      <c r="F2979" s="10"/>
      <c r="G2979" s="10"/>
      <c r="H2979" s="10" t="s">
        <v>6752</v>
      </c>
      <c r="I2979" s="14">
        <v>379949.82632374344</v>
      </c>
      <c r="J2979" s="19">
        <v>0.99461176697491549</v>
      </c>
      <c r="K2979" s="19">
        <v>5.1040704851745963E-3</v>
      </c>
      <c r="L2979" s="19">
        <v>2.8416253990986223E-4</v>
      </c>
      <c r="M2979" s="20">
        <v>3</v>
      </c>
      <c r="N2979" s="19">
        <v>0</v>
      </c>
      <c r="O2979" s="19">
        <v>0</v>
      </c>
      <c r="P2979" s="19">
        <v>5.1040704851745963E-3</v>
      </c>
      <c r="Q2979" s="19">
        <v>0</v>
      </c>
      <c r="R2979" s="19">
        <v>2.8416253990986223E-4</v>
      </c>
      <c r="S2979" s="19">
        <v>0</v>
      </c>
      <c r="T2979" s="20">
        <v>30</v>
      </c>
      <c r="U2979" s="17">
        <v>3</v>
      </c>
      <c r="V2979" s="17">
        <v>36</v>
      </c>
    </row>
    <row r="2980" spans="1:22" x14ac:dyDescent="0.2">
      <c r="A2980" t="s">
        <v>6753</v>
      </c>
      <c r="B2980" t="s">
        <v>5862</v>
      </c>
      <c r="C2980" t="s">
        <v>5863</v>
      </c>
      <c r="D2980" t="s">
        <v>6743</v>
      </c>
      <c r="E2980" s="10" t="s">
        <v>6754</v>
      </c>
      <c r="F2980" s="10"/>
      <c r="G2980" s="10"/>
      <c r="H2980" s="10" t="s">
        <v>6754</v>
      </c>
      <c r="I2980" s="14">
        <v>94509.004836887121</v>
      </c>
      <c r="J2980" s="19">
        <v>0</v>
      </c>
      <c r="K2980" s="19">
        <v>0.83968546731801619</v>
      </c>
      <c r="L2980" s="19">
        <v>0.16031453268198381</v>
      </c>
      <c r="M2980" s="20">
        <v>2</v>
      </c>
      <c r="N2980" s="19">
        <v>0.15836527061770297</v>
      </c>
      <c r="O2980" s="19">
        <v>0</v>
      </c>
      <c r="P2980" s="19">
        <v>0.68132019670031319</v>
      </c>
      <c r="Q2980" s="19">
        <v>1.0814338255983496E-3</v>
      </c>
      <c r="R2980" s="19">
        <v>0.15652859063521785</v>
      </c>
      <c r="S2980" s="19">
        <v>2.7045082211675673E-3</v>
      </c>
      <c r="T2980" s="20">
        <v>21</v>
      </c>
      <c r="U2980" s="17">
        <v>3</v>
      </c>
      <c r="V2980" s="17">
        <v>36</v>
      </c>
    </row>
    <row r="2981" spans="1:22" x14ac:dyDescent="0.2">
      <c r="A2981" t="s">
        <v>6755</v>
      </c>
      <c r="B2981" t="s">
        <v>5862</v>
      </c>
      <c r="C2981" t="s">
        <v>5863</v>
      </c>
      <c r="D2981" t="s">
        <v>6756</v>
      </c>
      <c r="E2981" s="10" t="s">
        <v>6757</v>
      </c>
      <c r="F2981" s="10"/>
      <c r="G2981" s="10"/>
      <c r="H2981" s="10" t="s">
        <v>6757</v>
      </c>
      <c r="I2981" s="14">
        <v>294035.32468776871</v>
      </c>
      <c r="J2981" s="19">
        <v>0.80081976013547229</v>
      </c>
      <c r="K2981" s="19">
        <v>0.12315874924619266</v>
      </c>
      <c r="L2981" s="19">
        <v>7.6021490618335033E-2</v>
      </c>
      <c r="M2981" s="20">
        <v>3</v>
      </c>
      <c r="N2981" s="19">
        <v>0</v>
      </c>
      <c r="O2981" s="19">
        <v>0</v>
      </c>
      <c r="P2981" s="19">
        <v>0.12315874924619266</v>
      </c>
      <c r="Q2981" s="19">
        <v>4.3713860389658224E-3</v>
      </c>
      <c r="R2981" s="19">
        <v>6.9404403591905375E-2</v>
      </c>
      <c r="S2981" s="19">
        <v>2.2457009874638414E-3</v>
      </c>
      <c r="T2981" s="20">
        <v>30</v>
      </c>
      <c r="U2981" s="17">
        <v>3</v>
      </c>
      <c r="V2981" s="17">
        <v>36</v>
      </c>
    </row>
    <row r="2982" spans="1:22" x14ac:dyDescent="0.2">
      <c r="A2982" t="s">
        <v>6758</v>
      </c>
      <c r="B2982" t="s">
        <v>5862</v>
      </c>
      <c r="C2982" t="s">
        <v>5863</v>
      </c>
      <c r="D2982" t="s">
        <v>6756</v>
      </c>
      <c r="E2982" s="10" t="s">
        <v>6759</v>
      </c>
      <c r="F2982" s="10"/>
      <c r="G2982" s="10"/>
      <c r="H2982" s="10" t="s">
        <v>6759</v>
      </c>
      <c r="I2982" s="14">
        <v>474081.27216290263</v>
      </c>
      <c r="J2982" s="19">
        <v>0.82924895049575342</v>
      </c>
      <c r="K2982" s="19">
        <v>0.13061169502195538</v>
      </c>
      <c r="L2982" s="19">
        <v>4.0139354482291223E-2</v>
      </c>
      <c r="M2982" s="20">
        <v>3</v>
      </c>
      <c r="N2982" s="19">
        <v>7.2303259739090996E-5</v>
      </c>
      <c r="O2982" s="19">
        <v>0</v>
      </c>
      <c r="P2982" s="19">
        <v>0.13053939176221629</v>
      </c>
      <c r="Q2982" s="19">
        <v>1.1996576240966457E-2</v>
      </c>
      <c r="R2982" s="19">
        <v>2.6359076303610628E-2</v>
      </c>
      <c r="S2982" s="19">
        <v>1.7837019377141357E-3</v>
      </c>
      <c r="T2982" s="20">
        <v>30</v>
      </c>
      <c r="U2982" s="17">
        <v>3</v>
      </c>
      <c r="V2982" s="17">
        <v>36</v>
      </c>
    </row>
    <row r="2983" spans="1:22" x14ac:dyDescent="0.2">
      <c r="A2983" t="s">
        <v>6760</v>
      </c>
      <c r="B2983" t="s">
        <v>5862</v>
      </c>
      <c r="C2983" t="s">
        <v>5863</v>
      </c>
      <c r="D2983" t="s">
        <v>6756</v>
      </c>
      <c r="E2983" s="10" t="s">
        <v>6761</v>
      </c>
      <c r="F2983" s="10"/>
      <c r="G2983" s="10"/>
      <c r="H2983" s="10" t="s">
        <v>6761</v>
      </c>
      <c r="I2983" s="14">
        <v>83645.460889585564</v>
      </c>
      <c r="J2983" s="19">
        <v>5.0353936122502503E-2</v>
      </c>
      <c r="K2983" s="19">
        <v>0.73223839879615593</v>
      </c>
      <c r="L2983" s="19">
        <v>0.21740766508134141</v>
      </c>
      <c r="M2983" s="20">
        <v>2</v>
      </c>
      <c r="N2983" s="19">
        <v>0.16968197294820561</v>
      </c>
      <c r="O2983" s="19">
        <v>0</v>
      </c>
      <c r="P2983" s="19">
        <v>0.56255642584795029</v>
      </c>
      <c r="Q2983" s="19">
        <v>6.7197273005464063E-3</v>
      </c>
      <c r="R2983" s="19">
        <v>0.20915093454344583</v>
      </c>
      <c r="S2983" s="19">
        <v>1.537003237349197E-3</v>
      </c>
      <c r="T2983" s="20">
        <v>21</v>
      </c>
      <c r="U2983" s="17">
        <v>3</v>
      </c>
      <c r="V2983" s="17">
        <v>36</v>
      </c>
    </row>
    <row r="2984" spans="1:22" x14ac:dyDescent="0.2">
      <c r="A2984" t="s">
        <v>6762</v>
      </c>
      <c r="B2984" t="s">
        <v>5862</v>
      </c>
      <c r="C2984" t="s">
        <v>5863</v>
      </c>
      <c r="D2984" t="s">
        <v>6756</v>
      </c>
      <c r="E2984" s="10" t="s">
        <v>6763</v>
      </c>
      <c r="F2984" s="10"/>
      <c r="G2984" s="10"/>
      <c r="H2984" s="10" t="s">
        <v>6763</v>
      </c>
      <c r="I2984" s="14">
        <v>252865.22605964562</v>
      </c>
      <c r="J2984" s="19">
        <v>0.92606402639042407</v>
      </c>
      <c r="K2984" s="19">
        <v>5.9831799690005391E-2</v>
      </c>
      <c r="L2984" s="19">
        <v>1.410417391957069E-2</v>
      </c>
      <c r="M2984" s="20">
        <v>3</v>
      </c>
      <c r="N2984" s="19">
        <v>4.3844327639690752E-3</v>
      </c>
      <c r="O2984" s="19">
        <v>0</v>
      </c>
      <c r="P2984" s="19">
        <v>5.5447366926036322E-2</v>
      </c>
      <c r="Q2984" s="19">
        <v>0</v>
      </c>
      <c r="R2984" s="19">
        <v>1.3933142680564741E-2</v>
      </c>
      <c r="S2984" s="19">
        <v>1.7103123900595062E-4</v>
      </c>
      <c r="T2984" s="20">
        <v>30</v>
      </c>
      <c r="U2984" s="17">
        <v>3</v>
      </c>
      <c r="V2984" s="17">
        <v>36</v>
      </c>
    </row>
    <row r="2985" spans="1:22" x14ac:dyDescent="0.2">
      <c r="A2985" t="s">
        <v>6764</v>
      </c>
      <c r="B2985" t="s">
        <v>5862</v>
      </c>
      <c r="C2985" t="s">
        <v>5863</v>
      </c>
      <c r="D2985" t="s">
        <v>6756</v>
      </c>
      <c r="E2985" s="10" t="s">
        <v>6765</v>
      </c>
      <c r="F2985" s="10"/>
      <c r="G2985" s="10"/>
      <c r="H2985" s="10" t="s">
        <v>6765</v>
      </c>
      <c r="I2985" s="14">
        <v>157649.32657295861</v>
      </c>
      <c r="J2985" s="19">
        <v>3.3627176343644746E-2</v>
      </c>
      <c r="K2985" s="19">
        <v>0.83613427907968563</v>
      </c>
      <c r="L2985" s="19">
        <v>0.13023854457666961</v>
      </c>
      <c r="M2985" s="20">
        <v>2</v>
      </c>
      <c r="N2985" s="19">
        <v>0</v>
      </c>
      <c r="O2985" s="19">
        <v>0</v>
      </c>
      <c r="P2985" s="19">
        <v>0.83613427907968563</v>
      </c>
      <c r="Q2985" s="19">
        <v>6.9155929682004182E-3</v>
      </c>
      <c r="R2985" s="19">
        <v>0.11973960957614672</v>
      </c>
      <c r="S2985" s="19">
        <v>3.583342032322457E-3</v>
      </c>
      <c r="T2985" s="20">
        <v>21</v>
      </c>
      <c r="U2985" s="17">
        <v>3</v>
      </c>
      <c r="V2985" s="17">
        <v>36</v>
      </c>
    </row>
    <row r="2986" spans="1:22" x14ac:dyDescent="0.2">
      <c r="A2986" t="s">
        <v>6766</v>
      </c>
      <c r="B2986" t="s">
        <v>5862</v>
      </c>
      <c r="C2986" t="s">
        <v>5863</v>
      </c>
      <c r="D2986" t="s">
        <v>6756</v>
      </c>
      <c r="E2986" s="10" t="s">
        <v>6767</v>
      </c>
      <c r="F2986" s="10"/>
      <c r="G2986" s="10"/>
      <c r="H2986" s="10" t="s">
        <v>6767</v>
      </c>
      <c r="I2986" s="14">
        <v>86565.442030555801</v>
      </c>
      <c r="J2986" s="19">
        <v>0.45845687330750223</v>
      </c>
      <c r="K2986" s="19">
        <v>0.45703264321638082</v>
      </c>
      <c r="L2986" s="19">
        <v>8.4510483476116949E-2</v>
      </c>
      <c r="M2986" s="20">
        <v>2</v>
      </c>
      <c r="N2986" s="19">
        <v>0</v>
      </c>
      <c r="O2986" s="19">
        <v>0</v>
      </c>
      <c r="P2986" s="19">
        <v>0.45703264321638082</v>
      </c>
      <c r="Q2986" s="19">
        <v>1.309717632722E-2</v>
      </c>
      <c r="R2986" s="19">
        <v>6.9929814814472968E-2</v>
      </c>
      <c r="S2986" s="19">
        <v>1.483492334423978E-3</v>
      </c>
      <c r="T2986" s="20">
        <v>23</v>
      </c>
      <c r="U2986" s="17">
        <v>3</v>
      </c>
      <c r="V2986" s="17">
        <v>36</v>
      </c>
    </row>
    <row r="2987" spans="1:22" x14ac:dyDescent="0.2">
      <c r="A2987" t="s">
        <v>6768</v>
      </c>
      <c r="B2987" t="s">
        <v>5862</v>
      </c>
      <c r="C2987" t="s">
        <v>5863</v>
      </c>
      <c r="D2987" t="s">
        <v>6756</v>
      </c>
      <c r="E2987" s="10" t="s">
        <v>6769</v>
      </c>
      <c r="F2987" s="10"/>
      <c r="G2987" s="10"/>
      <c r="H2987" s="10" t="s">
        <v>6769</v>
      </c>
      <c r="I2987" s="14">
        <v>417662.56254120736</v>
      </c>
      <c r="J2987" s="19">
        <v>0.90819484382287541</v>
      </c>
      <c r="K2987" s="19">
        <v>8.7331381554877296E-2</v>
      </c>
      <c r="L2987" s="19">
        <v>4.4737746222471668E-3</v>
      </c>
      <c r="M2987" s="20">
        <v>3</v>
      </c>
      <c r="N2987" s="19">
        <v>3.1792746359814605E-2</v>
      </c>
      <c r="O2987" s="19">
        <v>0</v>
      </c>
      <c r="P2987" s="19">
        <v>5.5538635195062691E-2</v>
      </c>
      <c r="Q2987" s="19">
        <v>0</v>
      </c>
      <c r="R2987" s="19">
        <v>4.3469722143853196E-3</v>
      </c>
      <c r="S2987" s="19">
        <v>1.2680240786184756E-4</v>
      </c>
      <c r="T2987" s="20">
        <v>30</v>
      </c>
      <c r="U2987" s="17">
        <v>3</v>
      </c>
      <c r="V2987" s="17">
        <v>36</v>
      </c>
    </row>
    <row r="2988" spans="1:22" x14ac:dyDescent="0.2">
      <c r="A2988" t="s">
        <v>6770</v>
      </c>
      <c r="B2988" t="s">
        <v>5862</v>
      </c>
      <c r="C2988" t="s">
        <v>5863</v>
      </c>
      <c r="D2988" t="s">
        <v>6771</v>
      </c>
      <c r="E2988" s="10" t="s">
        <v>6772</v>
      </c>
      <c r="F2988" s="10"/>
      <c r="G2988" s="10"/>
      <c r="H2988" s="10" t="s">
        <v>6772</v>
      </c>
      <c r="I2988" s="14">
        <v>13595.840575283859</v>
      </c>
      <c r="J2988" s="19">
        <v>0</v>
      </c>
      <c r="K2988" s="19">
        <v>0.51156102924797098</v>
      </c>
      <c r="L2988" s="19">
        <v>0.48843897075202902</v>
      </c>
      <c r="M2988" s="20">
        <v>2</v>
      </c>
      <c r="N2988" s="19">
        <v>0</v>
      </c>
      <c r="O2988" s="19">
        <v>0.47621100380648873</v>
      </c>
      <c r="P2988" s="19">
        <v>3.5350025441482254E-2</v>
      </c>
      <c r="Q2988" s="19">
        <v>0.12936835927446744</v>
      </c>
      <c r="R2988" s="19">
        <v>0.33561246183852816</v>
      </c>
      <c r="S2988" s="19">
        <v>2.3458149639033435E-2</v>
      </c>
      <c r="T2988" s="20">
        <v>22</v>
      </c>
      <c r="U2988" s="17">
        <v>3</v>
      </c>
      <c r="V2988" s="17">
        <v>36</v>
      </c>
    </row>
    <row r="2989" spans="1:22" x14ac:dyDescent="0.2">
      <c r="A2989" t="s">
        <v>6773</v>
      </c>
      <c r="B2989" t="s">
        <v>5862</v>
      </c>
      <c r="C2989" t="s">
        <v>5863</v>
      </c>
      <c r="D2989" t="s">
        <v>6771</v>
      </c>
      <c r="E2989" s="10" t="s">
        <v>6774</v>
      </c>
      <c r="F2989" s="10"/>
      <c r="G2989" s="10"/>
      <c r="H2989" s="10" t="s">
        <v>6774</v>
      </c>
      <c r="I2989" s="14">
        <v>58426.257258853177</v>
      </c>
      <c r="J2989" s="19">
        <v>0</v>
      </c>
      <c r="K2989" s="19">
        <v>0.49453714053000286</v>
      </c>
      <c r="L2989" s="19">
        <v>0.50546285946999703</v>
      </c>
      <c r="M2989" s="20">
        <v>1</v>
      </c>
      <c r="N2989" s="19">
        <v>8.9069320551234427E-2</v>
      </c>
      <c r="O2989" s="19">
        <v>8.3741528787256866E-2</v>
      </c>
      <c r="P2989" s="19">
        <v>0.32172629119151158</v>
      </c>
      <c r="Q2989" s="19">
        <v>0.12567390334058731</v>
      </c>
      <c r="R2989" s="19">
        <v>0.36496337324909883</v>
      </c>
      <c r="S2989" s="19">
        <v>1.4825582880310979E-2</v>
      </c>
      <c r="T2989" s="20">
        <v>12</v>
      </c>
      <c r="U2989" s="17">
        <v>3</v>
      </c>
      <c r="V2989" s="17">
        <v>36</v>
      </c>
    </row>
    <row r="2990" spans="1:22" x14ac:dyDescent="0.2">
      <c r="A2990" t="s">
        <v>6775</v>
      </c>
      <c r="B2990" t="s">
        <v>5862</v>
      </c>
      <c r="C2990" t="s">
        <v>5863</v>
      </c>
      <c r="D2990" t="s">
        <v>6771</v>
      </c>
      <c r="E2990" s="10" t="s">
        <v>6776</v>
      </c>
      <c r="F2990" s="10"/>
      <c r="G2990" s="10"/>
      <c r="H2990" s="10" t="s">
        <v>6776</v>
      </c>
      <c r="I2990" s="14">
        <v>13142.196197857149</v>
      </c>
      <c r="J2990" s="19">
        <v>0</v>
      </c>
      <c r="K2990" s="19">
        <v>0.22368030535322531</v>
      </c>
      <c r="L2990" s="19">
        <v>0.77631969464677464</v>
      </c>
      <c r="M2990" s="20">
        <v>1</v>
      </c>
      <c r="N2990" s="19">
        <v>0</v>
      </c>
      <c r="O2990" s="19">
        <v>0.13147811588476052</v>
      </c>
      <c r="P2990" s="19">
        <v>9.2202189468464785E-2</v>
      </c>
      <c r="Q2990" s="19">
        <v>0.24504918880656168</v>
      </c>
      <c r="R2990" s="19">
        <v>0.50581962739290487</v>
      </c>
      <c r="S2990" s="19">
        <v>2.5450878447308204E-2</v>
      </c>
      <c r="T2990" s="20">
        <v>12</v>
      </c>
      <c r="U2990" s="17">
        <v>3</v>
      </c>
      <c r="V2990" s="17">
        <v>36</v>
      </c>
    </row>
    <row r="2991" spans="1:22" x14ac:dyDescent="0.2">
      <c r="A2991" t="s">
        <v>6777</v>
      </c>
      <c r="B2991" t="s">
        <v>5862</v>
      </c>
      <c r="C2991" t="s">
        <v>5863</v>
      </c>
      <c r="D2991" t="s">
        <v>6771</v>
      </c>
      <c r="E2991" s="10" t="s">
        <v>6778</v>
      </c>
      <c r="F2991" s="10"/>
      <c r="G2991" s="10"/>
      <c r="H2991" s="10" t="s">
        <v>6778</v>
      </c>
      <c r="I2991" s="14">
        <v>9527.9478383399546</v>
      </c>
      <c r="J2991" s="19">
        <v>0</v>
      </c>
      <c r="K2991" s="19">
        <v>8.8699666694144585E-2</v>
      </c>
      <c r="L2991" s="19">
        <v>0.91130033330585536</v>
      </c>
      <c r="M2991" s="20">
        <v>1</v>
      </c>
      <c r="N2991" s="19">
        <v>0</v>
      </c>
      <c r="O2991" s="19">
        <v>0</v>
      </c>
      <c r="P2991" s="19">
        <v>8.8699666694144585E-2</v>
      </c>
      <c r="Q2991" s="19">
        <v>0.21937897883467339</v>
      </c>
      <c r="R2991" s="19">
        <v>0.67534713713117256</v>
      </c>
      <c r="S2991" s="19">
        <v>1.6574217340009523E-2</v>
      </c>
      <c r="T2991" s="20">
        <v>12</v>
      </c>
      <c r="U2991" s="17">
        <v>3</v>
      </c>
      <c r="V2991" s="17">
        <v>36</v>
      </c>
    </row>
    <row r="2992" spans="1:22" x14ac:dyDescent="0.2">
      <c r="A2992" t="s">
        <v>6779</v>
      </c>
      <c r="B2992" t="s">
        <v>5862</v>
      </c>
      <c r="C2992" t="s">
        <v>5863</v>
      </c>
      <c r="D2992" t="s">
        <v>6771</v>
      </c>
      <c r="E2992" s="10" t="s">
        <v>6780</v>
      </c>
      <c r="F2992" s="10"/>
      <c r="G2992" s="10"/>
      <c r="H2992" s="10" t="s">
        <v>6780</v>
      </c>
      <c r="I2992" s="14">
        <v>47760.811906074639</v>
      </c>
      <c r="J2992" s="19">
        <v>0</v>
      </c>
      <c r="K2992" s="19">
        <v>0.65535623969816781</v>
      </c>
      <c r="L2992" s="19">
        <v>0.34464376030183219</v>
      </c>
      <c r="M2992" s="20">
        <v>2</v>
      </c>
      <c r="N2992" s="19">
        <v>9.1919040249526754E-2</v>
      </c>
      <c r="O2992" s="19">
        <v>7.4374711023203191E-3</v>
      </c>
      <c r="P2992" s="19">
        <v>0.55599972834632072</v>
      </c>
      <c r="Q2992" s="19">
        <v>0.13656843576272176</v>
      </c>
      <c r="R2992" s="19">
        <v>0.19821282902049533</v>
      </c>
      <c r="S2992" s="19">
        <v>9.8624955186151445E-3</v>
      </c>
      <c r="T2992" s="20">
        <v>21</v>
      </c>
      <c r="U2992" s="17">
        <v>3</v>
      </c>
      <c r="V2992" s="17">
        <v>36</v>
      </c>
    </row>
    <row r="2993" spans="1:22" x14ac:dyDescent="0.2">
      <c r="A2993" t="s">
        <v>6781</v>
      </c>
      <c r="B2993" t="s">
        <v>5862</v>
      </c>
      <c r="C2993" t="s">
        <v>5863</v>
      </c>
      <c r="D2993" t="s">
        <v>6771</v>
      </c>
      <c r="E2993" s="10" t="s">
        <v>6782</v>
      </c>
      <c r="F2993" s="10"/>
      <c r="G2993" s="10"/>
      <c r="H2993" s="10" t="s">
        <v>6782</v>
      </c>
      <c r="I2993" s="14">
        <v>106134.11692562886</v>
      </c>
      <c r="J2993" s="19">
        <v>0.7704885377020666</v>
      </c>
      <c r="K2993" s="19">
        <v>0.18981421368907983</v>
      </c>
      <c r="L2993" s="19">
        <v>3.9697248608853562E-2</v>
      </c>
      <c r="M2993" s="20">
        <v>3</v>
      </c>
      <c r="N2993" s="19">
        <v>0</v>
      </c>
      <c r="O2993" s="19">
        <v>0</v>
      </c>
      <c r="P2993" s="19">
        <v>0.18981421368907983</v>
      </c>
      <c r="Q2993" s="19">
        <v>0</v>
      </c>
      <c r="R2993" s="19">
        <v>3.8364817543565327E-2</v>
      </c>
      <c r="S2993" s="19">
        <v>1.3324310652882321E-3</v>
      </c>
      <c r="T2993" s="20">
        <v>30</v>
      </c>
      <c r="U2993" s="17">
        <v>3</v>
      </c>
      <c r="V2993" s="17">
        <v>36</v>
      </c>
    </row>
    <row r="2994" spans="1:22" x14ac:dyDescent="0.2">
      <c r="A2994" t="s">
        <v>6783</v>
      </c>
      <c r="B2994" t="s">
        <v>5862</v>
      </c>
      <c r="C2994" t="s">
        <v>5863</v>
      </c>
      <c r="D2994" t="s">
        <v>6771</v>
      </c>
      <c r="E2994" s="10" t="s">
        <v>6784</v>
      </c>
      <c r="F2994" s="10"/>
      <c r="G2994" s="10"/>
      <c r="H2994" s="10" t="s">
        <v>6784</v>
      </c>
      <c r="I2994" s="14">
        <v>66784.367762874113</v>
      </c>
      <c r="J2994" s="19">
        <v>0</v>
      </c>
      <c r="K2994" s="19">
        <v>0.67643595699491954</v>
      </c>
      <c r="L2994" s="19">
        <v>0.32356404300508046</v>
      </c>
      <c r="M2994" s="20">
        <v>2</v>
      </c>
      <c r="N2994" s="19">
        <v>0.15379245518397133</v>
      </c>
      <c r="O2994" s="19">
        <v>0</v>
      </c>
      <c r="P2994" s="19">
        <v>0.52264350181094821</v>
      </c>
      <c r="Q2994" s="19">
        <v>7.3629957626375669E-2</v>
      </c>
      <c r="R2994" s="19">
        <v>0.23670794918754234</v>
      </c>
      <c r="S2994" s="19">
        <v>1.3226136191162471E-2</v>
      </c>
      <c r="T2994" s="20">
        <v>21</v>
      </c>
      <c r="U2994" s="17">
        <v>3</v>
      </c>
      <c r="V2994" s="17">
        <v>36</v>
      </c>
    </row>
    <row r="2995" spans="1:22" x14ac:dyDescent="0.2">
      <c r="A2995" t="s">
        <v>6785</v>
      </c>
      <c r="B2995" t="s">
        <v>5862</v>
      </c>
      <c r="C2995" t="s">
        <v>5863</v>
      </c>
      <c r="D2995" t="s">
        <v>6771</v>
      </c>
      <c r="E2995" s="10" t="s">
        <v>6786</v>
      </c>
      <c r="F2995" s="10"/>
      <c r="G2995" s="10"/>
      <c r="H2995" s="10" t="s">
        <v>6786</v>
      </c>
      <c r="I2995" s="14">
        <v>37936.656250314787</v>
      </c>
      <c r="J2995" s="19">
        <v>0</v>
      </c>
      <c r="K2995" s="19">
        <v>0.60954045195201045</v>
      </c>
      <c r="L2995" s="19">
        <v>0.39045954804798955</v>
      </c>
      <c r="M2995" s="20">
        <v>2</v>
      </c>
      <c r="N2995" s="19">
        <v>0.22003520215588193</v>
      </c>
      <c r="O2995" s="19">
        <v>0</v>
      </c>
      <c r="P2995" s="19">
        <v>0.38950524979612861</v>
      </c>
      <c r="Q2995" s="19">
        <v>8.5072901253817348E-2</v>
      </c>
      <c r="R2995" s="19">
        <v>0.29429713008503905</v>
      </c>
      <c r="S2995" s="19">
        <v>1.1089516709133138E-2</v>
      </c>
      <c r="T2995" s="20">
        <v>23</v>
      </c>
      <c r="U2995" s="17">
        <v>3</v>
      </c>
      <c r="V2995" s="17">
        <v>36</v>
      </c>
    </row>
    <row r="2996" spans="1:22" x14ac:dyDescent="0.2">
      <c r="A2996" t="s">
        <v>6787</v>
      </c>
      <c r="B2996" t="s">
        <v>5862</v>
      </c>
      <c r="C2996" t="s">
        <v>5863</v>
      </c>
      <c r="D2996" t="s">
        <v>6771</v>
      </c>
      <c r="E2996" s="10" t="s">
        <v>6788</v>
      </c>
      <c r="F2996" s="10"/>
      <c r="G2996" s="10"/>
      <c r="H2996" s="10" t="s">
        <v>6788</v>
      </c>
      <c r="I2996" s="14">
        <v>54901.264918887522</v>
      </c>
      <c r="J2996" s="19">
        <v>0</v>
      </c>
      <c r="K2996" s="19">
        <v>0.54194154383136339</v>
      </c>
      <c r="L2996" s="19">
        <v>0.45805845616863666</v>
      </c>
      <c r="M2996" s="20">
        <v>2</v>
      </c>
      <c r="N2996" s="19">
        <v>0.20552176119572396</v>
      </c>
      <c r="O2996" s="19">
        <v>0</v>
      </c>
      <c r="P2996" s="19">
        <v>0.33641978263563938</v>
      </c>
      <c r="Q2996" s="19">
        <v>0.1747985524586893</v>
      </c>
      <c r="R2996" s="19">
        <v>0.27006380124219881</v>
      </c>
      <c r="S2996" s="19">
        <v>1.3196102467748537E-2</v>
      </c>
      <c r="T2996" s="20">
        <v>23</v>
      </c>
      <c r="U2996" s="17">
        <v>3</v>
      </c>
      <c r="V2996" s="17">
        <v>36</v>
      </c>
    </row>
    <row r="2997" spans="1:22" x14ac:dyDescent="0.2">
      <c r="A2997" t="s">
        <v>6789</v>
      </c>
      <c r="B2997" t="s">
        <v>5862</v>
      </c>
      <c r="C2997" t="s">
        <v>5863</v>
      </c>
      <c r="D2997" t="s">
        <v>6771</v>
      </c>
      <c r="E2997" s="10" t="s">
        <v>6790</v>
      </c>
      <c r="F2997" s="10"/>
      <c r="G2997" s="10"/>
      <c r="H2997" s="10" t="s">
        <v>6790</v>
      </c>
      <c r="I2997" s="14">
        <v>16550.869934409857</v>
      </c>
      <c r="J2997" s="19">
        <v>0</v>
      </c>
      <c r="K2997" s="19">
        <v>0.37528971513375659</v>
      </c>
      <c r="L2997" s="19">
        <v>0.62471028486624347</v>
      </c>
      <c r="M2997" s="20">
        <v>1</v>
      </c>
      <c r="N2997" s="19">
        <v>0</v>
      </c>
      <c r="O2997" s="19">
        <v>0.37528971513375659</v>
      </c>
      <c r="P2997" s="19">
        <v>0</v>
      </c>
      <c r="Q2997" s="19">
        <v>0.18763446995586899</v>
      </c>
      <c r="R2997" s="19">
        <v>0.4159575022163472</v>
      </c>
      <c r="S2997" s="19">
        <v>2.1118312694027207E-2</v>
      </c>
      <c r="T2997" s="20">
        <v>12</v>
      </c>
      <c r="U2997" s="17">
        <v>3</v>
      </c>
      <c r="V2997" s="17">
        <v>36</v>
      </c>
    </row>
    <row r="2998" spans="1:22" x14ac:dyDescent="0.2">
      <c r="A2998" t="s">
        <v>6791</v>
      </c>
      <c r="B2998" t="s">
        <v>5862</v>
      </c>
      <c r="C2998" t="s">
        <v>5863</v>
      </c>
      <c r="D2998" t="s">
        <v>6771</v>
      </c>
      <c r="E2998" s="10" t="s">
        <v>6792</v>
      </c>
      <c r="F2998" s="10"/>
      <c r="G2998" s="10"/>
      <c r="H2998" s="10" t="s">
        <v>6792</v>
      </c>
      <c r="I2998" s="14">
        <v>74782.957182031125</v>
      </c>
      <c r="J2998" s="19">
        <v>4.2722095246344224E-2</v>
      </c>
      <c r="K2998" s="19">
        <v>0.75164487986793471</v>
      </c>
      <c r="L2998" s="19">
        <v>0.20563302488572111</v>
      </c>
      <c r="M2998" s="20">
        <v>2</v>
      </c>
      <c r="N2998" s="19">
        <v>0</v>
      </c>
      <c r="O2998" s="19">
        <v>0</v>
      </c>
      <c r="P2998" s="19">
        <v>0.75164487986793471</v>
      </c>
      <c r="Q2998" s="19">
        <v>4.6798186637538014E-2</v>
      </c>
      <c r="R2998" s="19">
        <v>0.15127772181965585</v>
      </c>
      <c r="S2998" s="19">
        <v>7.5571164285272502E-3</v>
      </c>
      <c r="T2998" s="20">
        <v>21</v>
      </c>
      <c r="U2998" s="17">
        <v>3</v>
      </c>
      <c r="V2998" s="17">
        <v>36</v>
      </c>
    </row>
    <row r="2999" spans="1:22" x14ac:dyDescent="0.2">
      <c r="A2999" t="s">
        <v>6793</v>
      </c>
      <c r="B2999" t="s">
        <v>5862</v>
      </c>
      <c r="C2999" t="s">
        <v>5863</v>
      </c>
      <c r="D2999" t="s">
        <v>6771</v>
      </c>
      <c r="E2999" s="10" t="s">
        <v>6794</v>
      </c>
      <c r="F2999" s="10"/>
      <c r="G2999" s="10"/>
      <c r="H2999" s="10" t="s">
        <v>6794</v>
      </c>
      <c r="I2999" s="14">
        <v>69763.656948762015</v>
      </c>
      <c r="J2999" s="19">
        <v>0</v>
      </c>
      <c r="K2999" s="19">
        <v>0.53609782715584797</v>
      </c>
      <c r="L2999" s="19">
        <v>0.46390217284415203</v>
      </c>
      <c r="M2999" s="20">
        <v>2</v>
      </c>
      <c r="N2999" s="19">
        <v>8.2521382610510563E-2</v>
      </c>
      <c r="O2999" s="19">
        <v>0</v>
      </c>
      <c r="P2999" s="19">
        <v>0.45357644454533741</v>
      </c>
      <c r="Q2999" s="19">
        <v>0.20348251736190789</v>
      </c>
      <c r="R2999" s="19">
        <v>0.25289704247139866</v>
      </c>
      <c r="S2999" s="19">
        <v>7.5226130108454591E-3</v>
      </c>
      <c r="T2999" s="20">
        <v>23</v>
      </c>
      <c r="U2999" s="17">
        <v>3</v>
      </c>
      <c r="V2999" s="17">
        <v>36</v>
      </c>
    </row>
    <row r="3000" spans="1:22" x14ac:dyDescent="0.2">
      <c r="A3000" t="s">
        <v>6795</v>
      </c>
      <c r="B3000" t="s">
        <v>5862</v>
      </c>
      <c r="C3000" t="s">
        <v>5863</v>
      </c>
      <c r="D3000" t="s">
        <v>6796</v>
      </c>
      <c r="E3000" s="10" t="s">
        <v>6797</v>
      </c>
      <c r="F3000" s="10"/>
      <c r="G3000" s="10"/>
      <c r="H3000" s="10" t="s">
        <v>6797</v>
      </c>
      <c r="I3000" s="14">
        <v>14048.172022462822</v>
      </c>
      <c r="J3000" s="19">
        <v>0</v>
      </c>
      <c r="K3000" s="19">
        <v>0</v>
      </c>
      <c r="L3000" s="19">
        <v>1</v>
      </c>
      <c r="M3000" s="20">
        <v>1</v>
      </c>
      <c r="N3000" s="19">
        <v>0</v>
      </c>
      <c r="O3000" s="19">
        <v>0</v>
      </c>
      <c r="P3000" s="19">
        <v>0</v>
      </c>
      <c r="Q3000" s="19">
        <v>0.23709074687467091</v>
      </c>
      <c r="R3000" s="19">
        <v>0.64465547166208892</v>
      </c>
      <c r="S3000" s="19">
        <v>0.1182537814632402</v>
      </c>
      <c r="T3000" s="20">
        <v>12</v>
      </c>
      <c r="U3000" s="17">
        <v>3</v>
      </c>
      <c r="V3000" s="17">
        <v>36</v>
      </c>
    </row>
    <row r="3001" spans="1:22" x14ac:dyDescent="0.2">
      <c r="A3001" t="s">
        <v>6798</v>
      </c>
      <c r="B3001" t="s">
        <v>5862</v>
      </c>
      <c r="C3001" t="s">
        <v>5863</v>
      </c>
      <c r="D3001" t="s">
        <v>6796</v>
      </c>
      <c r="E3001" s="10" t="s">
        <v>6799</v>
      </c>
      <c r="F3001" s="10"/>
      <c r="G3001" s="10"/>
      <c r="H3001" s="10" t="s">
        <v>6799</v>
      </c>
      <c r="I3001" s="14">
        <v>24299.058557456359</v>
      </c>
      <c r="J3001" s="19">
        <v>0</v>
      </c>
      <c r="K3001" s="19">
        <v>0</v>
      </c>
      <c r="L3001" s="19">
        <v>1</v>
      </c>
      <c r="M3001" s="20">
        <v>1</v>
      </c>
      <c r="N3001" s="19">
        <v>0</v>
      </c>
      <c r="O3001" s="19">
        <v>0</v>
      </c>
      <c r="P3001" s="19">
        <v>0</v>
      </c>
      <c r="Q3001" s="19">
        <v>0.30863885451524165</v>
      </c>
      <c r="R3001" s="19">
        <v>0.56954123419585023</v>
      </c>
      <c r="S3001" s="19">
        <v>0.12181991128890812</v>
      </c>
      <c r="T3001" s="20">
        <v>12</v>
      </c>
      <c r="U3001" s="17">
        <v>3</v>
      </c>
      <c r="V3001" s="17">
        <v>36</v>
      </c>
    </row>
    <row r="3002" spans="1:22" x14ac:dyDescent="0.2">
      <c r="A3002" t="s">
        <v>6800</v>
      </c>
      <c r="B3002" t="s">
        <v>5862</v>
      </c>
      <c r="C3002" t="s">
        <v>5863</v>
      </c>
      <c r="D3002" t="s">
        <v>6796</v>
      </c>
      <c r="E3002" s="10" t="s">
        <v>6801</v>
      </c>
      <c r="F3002" s="10"/>
      <c r="G3002" s="10"/>
      <c r="H3002" s="10" t="s">
        <v>6801</v>
      </c>
      <c r="I3002" s="14">
        <v>13776.818669623695</v>
      </c>
      <c r="J3002" s="19">
        <v>0</v>
      </c>
      <c r="K3002" s="19">
        <v>0.37317355800533408</v>
      </c>
      <c r="L3002" s="19">
        <v>0.62682644199466597</v>
      </c>
      <c r="M3002" s="20">
        <v>1</v>
      </c>
      <c r="N3002" s="19">
        <v>0</v>
      </c>
      <c r="O3002" s="19">
        <v>0.37317355800533408</v>
      </c>
      <c r="P3002" s="19">
        <v>0</v>
      </c>
      <c r="Q3002" s="19">
        <v>0.20789526537668801</v>
      </c>
      <c r="R3002" s="19">
        <v>0.38308734822208745</v>
      </c>
      <c r="S3002" s="19">
        <v>3.5843828395890474E-2</v>
      </c>
      <c r="T3002" s="20">
        <v>12</v>
      </c>
      <c r="U3002" s="17">
        <v>3</v>
      </c>
      <c r="V3002" s="17">
        <v>36</v>
      </c>
    </row>
    <row r="3003" spans="1:22" x14ac:dyDescent="0.2">
      <c r="A3003" t="s">
        <v>6802</v>
      </c>
      <c r="B3003" t="s">
        <v>5862</v>
      </c>
      <c r="C3003" t="s">
        <v>5863</v>
      </c>
      <c r="D3003" t="s">
        <v>6796</v>
      </c>
      <c r="E3003" s="10" t="s">
        <v>6803</v>
      </c>
      <c r="F3003" s="10"/>
      <c r="G3003" s="10"/>
      <c r="H3003" s="10" t="s">
        <v>6803</v>
      </c>
      <c r="I3003" s="14">
        <v>40398.164614740759</v>
      </c>
      <c r="J3003" s="19">
        <v>0</v>
      </c>
      <c r="K3003" s="19">
        <v>0.57432913252385553</v>
      </c>
      <c r="L3003" s="19">
        <v>0.42567086747614447</v>
      </c>
      <c r="M3003" s="20">
        <v>2</v>
      </c>
      <c r="N3003" s="19">
        <v>0.39830160100724643</v>
      </c>
      <c r="O3003" s="19">
        <v>0</v>
      </c>
      <c r="P3003" s="19">
        <v>0.17602753151660916</v>
      </c>
      <c r="Q3003" s="19">
        <v>4.0961177433192282E-2</v>
      </c>
      <c r="R3003" s="19">
        <v>0.34224569538152927</v>
      </c>
      <c r="S3003" s="19">
        <v>4.2463994661422894E-2</v>
      </c>
      <c r="T3003" s="20">
        <v>23</v>
      </c>
      <c r="U3003" s="17">
        <v>3</v>
      </c>
      <c r="V3003" s="17">
        <v>36</v>
      </c>
    </row>
    <row r="3004" spans="1:22" x14ac:dyDescent="0.2">
      <c r="A3004" t="s">
        <v>6804</v>
      </c>
      <c r="B3004" t="s">
        <v>5862</v>
      </c>
      <c r="C3004" t="s">
        <v>5863</v>
      </c>
      <c r="D3004" t="s">
        <v>6796</v>
      </c>
      <c r="E3004" s="10" t="s">
        <v>6805</v>
      </c>
      <c r="F3004" s="10"/>
      <c r="G3004" s="10"/>
      <c r="H3004" s="10" t="s">
        <v>6805</v>
      </c>
      <c r="I3004" s="14">
        <v>48007.24046579469</v>
      </c>
      <c r="J3004" s="19">
        <v>0</v>
      </c>
      <c r="K3004" s="19">
        <v>0.48840794083082945</v>
      </c>
      <c r="L3004" s="19">
        <v>0.51159205916917061</v>
      </c>
      <c r="M3004" s="20">
        <v>1</v>
      </c>
      <c r="N3004" s="19">
        <v>0.19159013523387877</v>
      </c>
      <c r="O3004" s="19">
        <v>0.11590017354096123</v>
      </c>
      <c r="P3004" s="19">
        <v>0.1809176320559894</v>
      </c>
      <c r="Q3004" s="19">
        <v>0.1264035278853046</v>
      </c>
      <c r="R3004" s="19">
        <v>0.33188294546485897</v>
      </c>
      <c r="S3004" s="19">
        <v>5.3305585819007004E-2</v>
      </c>
      <c r="T3004" s="20">
        <v>12</v>
      </c>
      <c r="U3004" s="17">
        <v>3</v>
      </c>
      <c r="V3004" s="17">
        <v>36</v>
      </c>
    </row>
    <row r="3005" spans="1:22" x14ac:dyDescent="0.2">
      <c r="A3005" t="s">
        <v>6806</v>
      </c>
      <c r="B3005" t="s">
        <v>5862</v>
      </c>
      <c r="C3005" t="s">
        <v>5863</v>
      </c>
      <c r="D3005" t="s">
        <v>6796</v>
      </c>
      <c r="E3005" s="10" t="s">
        <v>6807</v>
      </c>
      <c r="F3005" s="10"/>
      <c r="G3005" s="10"/>
      <c r="H3005" s="10" t="s">
        <v>6807</v>
      </c>
      <c r="I3005" s="14">
        <v>43650.197713830974</v>
      </c>
      <c r="J3005" s="19">
        <v>0</v>
      </c>
      <c r="K3005" s="19">
        <v>0.37362324799518937</v>
      </c>
      <c r="L3005" s="19">
        <v>0.62637675200481058</v>
      </c>
      <c r="M3005" s="20">
        <v>1</v>
      </c>
      <c r="N3005" s="19">
        <v>0.16310128942180119</v>
      </c>
      <c r="O3005" s="19">
        <v>0</v>
      </c>
      <c r="P3005" s="19">
        <v>0.21052195857338821</v>
      </c>
      <c r="Q3005" s="19">
        <v>0.12934706041014726</v>
      </c>
      <c r="R3005" s="19">
        <v>0.43834152801344939</v>
      </c>
      <c r="S3005" s="19">
        <v>5.8688163581213967E-2</v>
      </c>
      <c r="T3005" s="20">
        <v>12</v>
      </c>
      <c r="U3005" s="17">
        <v>3</v>
      </c>
      <c r="V3005" s="17">
        <v>36</v>
      </c>
    </row>
    <row r="3006" spans="1:22" x14ac:dyDescent="0.2">
      <c r="A3006" t="s">
        <v>6808</v>
      </c>
      <c r="B3006" t="s">
        <v>5862</v>
      </c>
      <c r="C3006" t="s">
        <v>5863</v>
      </c>
      <c r="D3006" t="s">
        <v>6796</v>
      </c>
      <c r="E3006" s="10" t="s">
        <v>6809</v>
      </c>
      <c r="F3006" s="10"/>
      <c r="G3006" s="10"/>
      <c r="H3006" s="10" t="s">
        <v>6809</v>
      </c>
      <c r="I3006" s="14">
        <v>48376.677338457201</v>
      </c>
      <c r="J3006" s="19">
        <v>0</v>
      </c>
      <c r="K3006" s="19">
        <v>0.36332446075690888</v>
      </c>
      <c r="L3006" s="19">
        <v>0.63667553924309117</v>
      </c>
      <c r="M3006" s="20">
        <v>1</v>
      </c>
      <c r="N3006" s="19">
        <v>0</v>
      </c>
      <c r="O3006" s="19">
        <v>0.36332446075690888</v>
      </c>
      <c r="P3006" s="19">
        <v>0</v>
      </c>
      <c r="Q3006" s="19">
        <v>0.14095163809309952</v>
      </c>
      <c r="R3006" s="19">
        <v>0.42288830506743846</v>
      </c>
      <c r="S3006" s="19">
        <v>7.2835596082553133E-2</v>
      </c>
      <c r="T3006" s="20">
        <v>12</v>
      </c>
      <c r="U3006" s="17">
        <v>3</v>
      </c>
      <c r="V3006" s="17">
        <v>36</v>
      </c>
    </row>
    <row r="3007" spans="1:22" x14ac:dyDescent="0.2">
      <c r="A3007" t="s">
        <v>6810</v>
      </c>
      <c r="B3007" t="s">
        <v>5862</v>
      </c>
      <c r="C3007" t="s">
        <v>5863</v>
      </c>
      <c r="D3007" t="s">
        <v>6796</v>
      </c>
      <c r="E3007" s="10" t="s">
        <v>6811</v>
      </c>
      <c r="F3007" s="10"/>
      <c r="G3007" s="10"/>
      <c r="H3007" s="10" t="s">
        <v>6811</v>
      </c>
      <c r="I3007" s="14">
        <v>25672.082399226259</v>
      </c>
      <c r="J3007" s="19">
        <v>0</v>
      </c>
      <c r="K3007" s="19">
        <v>0</v>
      </c>
      <c r="L3007" s="19">
        <v>1</v>
      </c>
      <c r="M3007" s="20">
        <v>1</v>
      </c>
      <c r="N3007" s="19">
        <v>0</v>
      </c>
      <c r="O3007" s="19">
        <v>0</v>
      </c>
      <c r="P3007" s="19">
        <v>0</v>
      </c>
      <c r="Q3007" s="19">
        <v>0.38800068570881446</v>
      </c>
      <c r="R3007" s="19">
        <v>0.56307929037266435</v>
      </c>
      <c r="S3007" s="19">
        <v>4.8920023918521162E-2</v>
      </c>
      <c r="T3007" s="20">
        <v>12</v>
      </c>
      <c r="U3007" s="17">
        <v>3</v>
      </c>
      <c r="V3007" s="17">
        <v>36</v>
      </c>
    </row>
    <row r="3008" spans="1:22" x14ac:dyDescent="0.2">
      <c r="A3008" t="s">
        <v>6812</v>
      </c>
      <c r="B3008" t="s">
        <v>5862</v>
      </c>
      <c r="C3008" t="s">
        <v>5863</v>
      </c>
      <c r="D3008" t="s">
        <v>6813</v>
      </c>
      <c r="E3008" s="10" t="s">
        <v>6814</v>
      </c>
      <c r="F3008" s="10"/>
      <c r="G3008" s="10"/>
      <c r="H3008" s="10" t="s">
        <v>6814</v>
      </c>
      <c r="I3008" s="14">
        <v>21199.105209808797</v>
      </c>
      <c r="J3008" s="19">
        <v>0</v>
      </c>
      <c r="K3008" s="19">
        <v>1.1301137647068275E-2</v>
      </c>
      <c r="L3008" s="19">
        <v>0.9886988623529317</v>
      </c>
      <c r="M3008" s="20">
        <v>1</v>
      </c>
      <c r="N3008" s="19">
        <v>7.4124904228854965E-4</v>
      </c>
      <c r="O3008" s="19">
        <v>2.7504764261936988E-3</v>
      </c>
      <c r="P3008" s="19">
        <v>7.8094121785860261E-3</v>
      </c>
      <c r="Q3008" s="19">
        <v>0.33436288922287855</v>
      </c>
      <c r="R3008" s="19">
        <v>0.61636626114259108</v>
      </c>
      <c r="S3008" s="19">
        <v>3.7969711987462122E-2</v>
      </c>
      <c r="T3008" s="20">
        <v>12</v>
      </c>
      <c r="U3008" s="17">
        <v>3</v>
      </c>
      <c r="V3008" s="17">
        <v>36</v>
      </c>
    </row>
    <row r="3009" spans="1:22" x14ac:dyDescent="0.2">
      <c r="A3009" t="s">
        <v>6815</v>
      </c>
      <c r="B3009" t="s">
        <v>5862</v>
      </c>
      <c r="C3009" t="s">
        <v>5863</v>
      </c>
      <c r="D3009" t="s">
        <v>6813</v>
      </c>
      <c r="E3009" s="10" t="s">
        <v>6816</v>
      </c>
      <c r="F3009" s="10"/>
      <c r="G3009" s="10"/>
      <c r="H3009" s="10" t="s">
        <v>6816</v>
      </c>
      <c r="I3009" s="14">
        <v>20573.061260080431</v>
      </c>
      <c r="J3009" s="19">
        <v>0</v>
      </c>
      <c r="K3009" s="19">
        <v>0.20575921828289562</v>
      </c>
      <c r="L3009" s="19">
        <v>0.79424078171710444</v>
      </c>
      <c r="M3009" s="20">
        <v>1</v>
      </c>
      <c r="N3009" s="19">
        <v>0</v>
      </c>
      <c r="O3009" s="19">
        <v>0</v>
      </c>
      <c r="P3009" s="19">
        <v>0.20575921828289562</v>
      </c>
      <c r="Q3009" s="19">
        <v>8.506585962717679E-2</v>
      </c>
      <c r="R3009" s="19">
        <v>0.67379934537667907</v>
      </c>
      <c r="S3009" s="19">
        <v>3.5375576713248563E-2</v>
      </c>
      <c r="T3009" s="20">
        <v>12</v>
      </c>
      <c r="U3009" s="17">
        <v>3</v>
      </c>
      <c r="V3009" s="17">
        <v>36</v>
      </c>
    </row>
    <row r="3010" spans="1:22" x14ac:dyDescent="0.2">
      <c r="A3010" t="s">
        <v>6817</v>
      </c>
      <c r="B3010" t="s">
        <v>5862</v>
      </c>
      <c r="C3010" t="s">
        <v>5863</v>
      </c>
      <c r="D3010" t="s">
        <v>6813</v>
      </c>
      <c r="E3010" s="10" t="s">
        <v>6818</v>
      </c>
      <c r="F3010" s="10"/>
      <c r="G3010" s="10"/>
      <c r="H3010" s="10" t="s">
        <v>6818</v>
      </c>
      <c r="I3010" s="14">
        <v>56356.083785605151</v>
      </c>
      <c r="J3010" s="19">
        <v>0</v>
      </c>
      <c r="K3010" s="19">
        <v>0.26028444445648374</v>
      </c>
      <c r="L3010" s="19">
        <v>0.7397155555435162</v>
      </c>
      <c r="M3010" s="20">
        <v>1</v>
      </c>
      <c r="N3010" s="19">
        <v>0</v>
      </c>
      <c r="O3010" s="19">
        <v>0.26025543408261614</v>
      </c>
      <c r="P3010" s="19">
        <v>2.9010373867583253E-5</v>
      </c>
      <c r="Q3010" s="19">
        <v>0.2434086049590666</v>
      </c>
      <c r="R3010" s="19">
        <v>0.47522172001419233</v>
      </c>
      <c r="S3010" s="19">
        <v>2.1085230570257383E-2</v>
      </c>
      <c r="T3010" s="20">
        <v>12</v>
      </c>
      <c r="U3010" s="17">
        <v>3</v>
      </c>
      <c r="V3010" s="17">
        <v>36</v>
      </c>
    </row>
    <row r="3011" spans="1:22" x14ac:dyDescent="0.2">
      <c r="A3011" t="s">
        <v>6819</v>
      </c>
      <c r="B3011" t="s">
        <v>5862</v>
      </c>
      <c r="C3011" t="s">
        <v>5863</v>
      </c>
      <c r="D3011" t="s">
        <v>6813</v>
      </c>
      <c r="E3011" s="10" t="s">
        <v>6820</v>
      </c>
      <c r="F3011" s="10"/>
      <c r="G3011" s="10"/>
      <c r="H3011" s="10" t="s">
        <v>6820</v>
      </c>
      <c r="I3011" s="14">
        <v>105763.00637128507</v>
      </c>
      <c r="J3011" s="19">
        <v>0</v>
      </c>
      <c r="K3011" s="19">
        <v>0.71394658874608397</v>
      </c>
      <c r="L3011" s="19">
        <v>0.28605341125391598</v>
      </c>
      <c r="M3011" s="20">
        <v>2</v>
      </c>
      <c r="N3011" s="19">
        <v>0</v>
      </c>
      <c r="O3011" s="19">
        <v>0.17777065052508517</v>
      </c>
      <c r="P3011" s="19">
        <v>0.53617593822099885</v>
      </c>
      <c r="Q3011" s="19">
        <v>2.5945136822234937E-2</v>
      </c>
      <c r="R3011" s="19">
        <v>0.24694177951533139</v>
      </c>
      <c r="S3011" s="19">
        <v>1.3166494916349664E-2</v>
      </c>
      <c r="T3011" s="20">
        <v>21</v>
      </c>
      <c r="U3011" s="17">
        <v>3</v>
      </c>
      <c r="V3011" s="17">
        <v>36</v>
      </c>
    </row>
    <row r="3012" spans="1:22" x14ac:dyDescent="0.2">
      <c r="A3012" t="s">
        <v>6821</v>
      </c>
      <c r="B3012" t="s">
        <v>5862</v>
      </c>
      <c r="C3012" t="s">
        <v>5863</v>
      </c>
      <c r="D3012" t="s">
        <v>6813</v>
      </c>
      <c r="E3012" s="10" t="s">
        <v>6822</v>
      </c>
      <c r="F3012" s="10"/>
      <c r="G3012" s="10"/>
      <c r="H3012" s="10" t="s">
        <v>6822</v>
      </c>
      <c r="I3012" s="14">
        <v>27724.928108779714</v>
      </c>
      <c r="J3012" s="19">
        <v>0</v>
      </c>
      <c r="K3012" s="19">
        <v>0</v>
      </c>
      <c r="L3012" s="19">
        <v>1</v>
      </c>
      <c r="M3012" s="20">
        <v>1</v>
      </c>
      <c r="N3012" s="19">
        <v>0</v>
      </c>
      <c r="O3012" s="19">
        <v>0</v>
      </c>
      <c r="P3012" s="19">
        <v>0</v>
      </c>
      <c r="Q3012" s="19">
        <v>0.51671455262668697</v>
      </c>
      <c r="R3012" s="19">
        <v>0.4537074787133234</v>
      </c>
      <c r="S3012" s="19">
        <v>2.9577968659989576E-2</v>
      </c>
      <c r="T3012" s="20">
        <v>13</v>
      </c>
      <c r="U3012" s="17">
        <v>3</v>
      </c>
      <c r="V3012" s="17">
        <v>36</v>
      </c>
    </row>
    <row r="3013" spans="1:22" x14ac:dyDescent="0.2">
      <c r="A3013" t="s">
        <v>6823</v>
      </c>
      <c r="B3013" t="s">
        <v>5862</v>
      </c>
      <c r="C3013" t="s">
        <v>5863</v>
      </c>
      <c r="D3013" t="s">
        <v>6813</v>
      </c>
      <c r="E3013" s="10" t="s">
        <v>6824</v>
      </c>
      <c r="F3013" s="10"/>
      <c r="G3013" s="10"/>
      <c r="H3013" s="10" t="s">
        <v>6824</v>
      </c>
      <c r="I3013" s="14">
        <v>158969.85536633665</v>
      </c>
      <c r="J3013" s="19">
        <v>0.43062514869246366</v>
      </c>
      <c r="K3013" s="19">
        <v>0.31553743719529925</v>
      </c>
      <c r="L3013" s="19">
        <v>0.25383741411223709</v>
      </c>
      <c r="M3013" s="20">
        <v>2</v>
      </c>
      <c r="N3013" s="19">
        <v>0</v>
      </c>
      <c r="O3013" s="19">
        <v>5.057084438924625E-2</v>
      </c>
      <c r="P3013" s="19">
        <v>0.264966592806053</v>
      </c>
      <c r="Q3013" s="19">
        <v>7.4114394620688459E-2</v>
      </c>
      <c r="R3013" s="19">
        <v>0.17198930583182434</v>
      </c>
      <c r="S3013" s="19">
        <v>7.7337136597242992E-3</v>
      </c>
      <c r="T3013" s="20">
        <v>22</v>
      </c>
      <c r="U3013" s="17">
        <v>3</v>
      </c>
      <c r="V3013" s="17">
        <v>36</v>
      </c>
    </row>
    <row r="3014" spans="1:22" x14ac:dyDescent="0.2">
      <c r="A3014" t="s">
        <v>6825</v>
      </c>
      <c r="B3014" t="s">
        <v>5862</v>
      </c>
      <c r="C3014" t="s">
        <v>5863</v>
      </c>
      <c r="D3014" t="s">
        <v>6813</v>
      </c>
      <c r="E3014" s="10" t="s">
        <v>6826</v>
      </c>
      <c r="F3014" s="10"/>
      <c r="G3014" s="10"/>
      <c r="H3014" s="10" t="s">
        <v>6826</v>
      </c>
      <c r="I3014" s="14">
        <v>35333.317567852093</v>
      </c>
      <c r="J3014" s="19">
        <v>0</v>
      </c>
      <c r="K3014" s="19">
        <v>8.8505770709480555E-2</v>
      </c>
      <c r="L3014" s="19">
        <v>0.91149422929051938</v>
      </c>
      <c r="M3014" s="20">
        <v>1</v>
      </c>
      <c r="N3014" s="19">
        <v>0</v>
      </c>
      <c r="O3014" s="19">
        <v>1.1228829138848694E-2</v>
      </c>
      <c r="P3014" s="19">
        <v>7.7276941570631863E-2</v>
      </c>
      <c r="Q3014" s="19">
        <v>0.12760472890334215</v>
      </c>
      <c r="R3014" s="19">
        <v>0.72515179278990161</v>
      </c>
      <c r="S3014" s="19">
        <v>5.8737707597275715E-2</v>
      </c>
      <c r="T3014" s="20">
        <v>12</v>
      </c>
      <c r="U3014" s="17">
        <v>3</v>
      </c>
      <c r="V3014" s="17">
        <v>36</v>
      </c>
    </row>
    <row r="3015" spans="1:22" x14ac:dyDescent="0.2">
      <c r="A3015" t="s">
        <v>6827</v>
      </c>
      <c r="B3015" t="s">
        <v>5862</v>
      </c>
      <c r="C3015" t="s">
        <v>5863</v>
      </c>
      <c r="D3015" t="s">
        <v>6813</v>
      </c>
      <c r="E3015" s="10" t="s">
        <v>6828</v>
      </c>
      <c r="F3015" s="10"/>
      <c r="G3015" s="10"/>
      <c r="H3015" s="10" t="s">
        <v>6828</v>
      </c>
      <c r="I3015" s="14">
        <v>26562.268417077372</v>
      </c>
      <c r="J3015" s="19">
        <v>0</v>
      </c>
      <c r="K3015" s="19">
        <v>0.27783478283992752</v>
      </c>
      <c r="L3015" s="19">
        <v>0.72216521716007254</v>
      </c>
      <c r="M3015" s="20">
        <v>1</v>
      </c>
      <c r="N3015" s="19">
        <v>0</v>
      </c>
      <c r="O3015" s="19">
        <v>0.27783478283992752</v>
      </c>
      <c r="P3015" s="19">
        <v>0</v>
      </c>
      <c r="Q3015" s="19">
        <v>3.5652047958579569E-2</v>
      </c>
      <c r="R3015" s="19">
        <v>0.62075607294981261</v>
      </c>
      <c r="S3015" s="19">
        <v>6.5757096251680289E-2</v>
      </c>
      <c r="T3015" s="20">
        <v>12</v>
      </c>
      <c r="U3015" s="17">
        <v>3</v>
      </c>
      <c r="V3015" s="17">
        <v>36</v>
      </c>
    </row>
    <row r="3016" spans="1:22" x14ac:dyDescent="0.2">
      <c r="A3016" t="s">
        <v>6829</v>
      </c>
      <c r="B3016" t="s">
        <v>5862</v>
      </c>
      <c r="C3016" t="s">
        <v>5863</v>
      </c>
      <c r="D3016" t="s">
        <v>6813</v>
      </c>
      <c r="E3016" s="10" t="s">
        <v>6830</v>
      </c>
      <c r="F3016" s="10"/>
      <c r="G3016" s="10"/>
      <c r="H3016" s="10" t="s">
        <v>6830</v>
      </c>
      <c r="I3016" s="14">
        <v>42311.40521312994</v>
      </c>
      <c r="J3016" s="19">
        <v>0</v>
      </c>
      <c r="K3016" s="19">
        <v>2.3857481925759393E-2</v>
      </c>
      <c r="L3016" s="19">
        <v>0.97614251807424057</v>
      </c>
      <c r="M3016" s="20">
        <v>1</v>
      </c>
      <c r="N3016" s="19">
        <v>0</v>
      </c>
      <c r="O3016" s="19">
        <v>2.3857481925759393E-2</v>
      </c>
      <c r="P3016" s="19">
        <v>0</v>
      </c>
      <c r="Q3016" s="19">
        <v>0.42577943008823949</v>
      </c>
      <c r="R3016" s="19">
        <v>0.50982854065050875</v>
      </c>
      <c r="S3016" s="19">
        <v>4.0534547335492402E-2</v>
      </c>
      <c r="T3016" s="20">
        <v>12</v>
      </c>
      <c r="U3016" s="17">
        <v>3</v>
      </c>
      <c r="V3016" s="17">
        <v>36</v>
      </c>
    </row>
    <row r="3017" spans="1:22" x14ac:dyDescent="0.2">
      <c r="A3017" t="s">
        <v>6831</v>
      </c>
      <c r="B3017" t="s">
        <v>5862</v>
      </c>
      <c r="C3017" t="s">
        <v>5863</v>
      </c>
      <c r="D3017" t="s">
        <v>6813</v>
      </c>
      <c r="E3017" s="10" t="s">
        <v>6832</v>
      </c>
      <c r="F3017" s="10"/>
      <c r="G3017" s="10"/>
      <c r="H3017" s="10" t="s">
        <v>6832</v>
      </c>
      <c r="I3017" s="14">
        <v>13587.867146468256</v>
      </c>
      <c r="J3017" s="19">
        <v>0</v>
      </c>
      <c r="K3017" s="19">
        <v>8.2399403757636019E-2</v>
      </c>
      <c r="L3017" s="19">
        <v>0.91760059624236423</v>
      </c>
      <c r="M3017" s="20">
        <v>1</v>
      </c>
      <c r="N3017" s="19">
        <v>0</v>
      </c>
      <c r="O3017" s="19">
        <v>0</v>
      </c>
      <c r="P3017" s="19">
        <v>8.2399403757636019E-2</v>
      </c>
      <c r="Q3017" s="19">
        <v>0.26941329241951639</v>
      </c>
      <c r="R3017" s="19">
        <v>0.58077908995087679</v>
      </c>
      <c r="S3017" s="19">
        <v>6.7408213871970796E-2</v>
      </c>
      <c r="T3017" s="20">
        <v>12</v>
      </c>
      <c r="U3017" s="17">
        <v>3</v>
      </c>
      <c r="V3017" s="17">
        <v>36</v>
      </c>
    </row>
    <row r="3018" spans="1:22" x14ac:dyDescent="0.2">
      <c r="A3018" t="s">
        <v>6833</v>
      </c>
      <c r="B3018" t="s">
        <v>5862</v>
      </c>
      <c r="C3018" t="s">
        <v>5863</v>
      </c>
      <c r="D3018" t="s">
        <v>6813</v>
      </c>
      <c r="E3018" s="10" t="s">
        <v>6834</v>
      </c>
      <c r="F3018" s="10"/>
      <c r="G3018" s="10"/>
      <c r="H3018" s="10" t="s">
        <v>6834</v>
      </c>
      <c r="I3018" s="14">
        <v>372.63954099896358</v>
      </c>
      <c r="J3018" s="19">
        <v>0</v>
      </c>
      <c r="K3018" s="19">
        <v>2.8056551625749566E-2</v>
      </c>
      <c r="L3018" s="19">
        <v>0.97194344837425062</v>
      </c>
      <c r="M3018" s="20">
        <v>1</v>
      </c>
      <c r="N3018" s="19">
        <v>0</v>
      </c>
      <c r="O3018" s="19">
        <v>2.8056551625749566E-2</v>
      </c>
      <c r="P3018" s="19">
        <v>0</v>
      </c>
      <c r="Q3018" s="19">
        <v>0.63533125612016139</v>
      </c>
      <c r="R3018" s="19">
        <v>0.31921663142163881</v>
      </c>
      <c r="S3018" s="19">
        <v>1.7395560832450391E-2</v>
      </c>
      <c r="T3018" s="20">
        <v>13</v>
      </c>
      <c r="U3018" s="17">
        <v>3</v>
      </c>
      <c r="V3018" s="17">
        <v>36</v>
      </c>
    </row>
    <row r="3019" spans="1:22" x14ac:dyDescent="0.2">
      <c r="A3019" t="s">
        <v>6835</v>
      </c>
      <c r="B3019" t="s">
        <v>5862</v>
      </c>
      <c r="C3019" t="s">
        <v>5863</v>
      </c>
      <c r="D3019" t="s">
        <v>6813</v>
      </c>
      <c r="E3019" s="10" t="s">
        <v>6836</v>
      </c>
      <c r="F3019" s="10"/>
      <c r="G3019" s="10"/>
      <c r="H3019" s="10" t="s">
        <v>6836</v>
      </c>
      <c r="I3019" s="14">
        <v>23097.033493907191</v>
      </c>
      <c r="J3019" s="19">
        <v>0</v>
      </c>
      <c r="K3019" s="19">
        <v>0.37129989710155509</v>
      </c>
      <c r="L3019" s="19">
        <v>0.62870010289844491</v>
      </c>
      <c r="M3019" s="20">
        <v>1</v>
      </c>
      <c r="N3019" s="19">
        <v>0.23481546214412588</v>
      </c>
      <c r="O3019" s="19">
        <v>0</v>
      </c>
      <c r="P3019" s="19">
        <v>0.13648443495742921</v>
      </c>
      <c r="Q3019" s="19">
        <v>0.15155564254573176</v>
      </c>
      <c r="R3019" s="19">
        <v>0.43682297720661789</v>
      </c>
      <c r="S3019" s="19">
        <v>4.0321483146095294E-2</v>
      </c>
      <c r="T3019" s="20">
        <v>12</v>
      </c>
      <c r="U3019" s="17">
        <v>3</v>
      </c>
      <c r="V3019" s="17">
        <v>36</v>
      </c>
    </row>
    <row r="3020" spans="1:22" x14ac:dyDescent="0.2">
      <c r="A3020" t="s">
        <v>6837</v>
      </c>
      <c r="B3020" t="s">
        <v>5862</v>
      </c>
      <c r="C3020" t="s">
        <v>5863</v>
      </c>
      <c r="D3020" t="s">
        <v>6838</v>
      </c>
      <c r="E3020" s="10" t="s">
        <v>6839</v>
      </c>
      <c r="F3020" s="10"/>
      <c r="G3020" s="10"/>
      <c r="H3020" s="10" t="s">
        <v>6839</v>
      </c>
      <c r="I3020" s="14">
        <v>50026.372124254005</v>
      </c>
      <c r="J3020" s="19">
        <v>0</v>
      </c>
      <c r="K3020" s="19">
        <v>0.47196382368775669</v>
      </c>
      <c r="L3020" s="19">
        <v>0.52803617631224331</v>
      </c>
      <c r="M3020" s="20">
        <v>1</v>
      </c>
      <c r="N3020" s="19">
        <v>0.13143297110656663</v>
      </c>
      <c r="O3020" s="19">
        <v>0</v>
      </c>
      <c r="P3020" s="19">
        <v>0.34053085258119004</v>
      </c>
      <c r="Q3020" s="19">
        <v>0.11251682129005137</v>
      </c>
      <c r="R3020" s="19">
        <v>0.35881063689018367</v>
      </c>
      <c r="S3020" s="19">
        <v>5.6708718132008271E-2</v>
      </c>
      <c r="T3020" s="20">
        <v>12</v>
      </c>
      <c r="U3020" s="17">
        <v>3</v>
      </c>
      <c r="V3020" s="17">
        <v>36</v>
      </c>
    </row>
    <row r="3021" spans="1:22" x14ac:dyDescent="0.2">
      <c r="A3021" t="s">
        <v>6840</v>
      </c>
      <c r="B3021" t="s">
        <v>5862</v>
      </c>
      <c r="C3021" t="s">
        <v>5863</v>
      </c>
      <c r="D3021" t="s">
        <v>6838</v>
      </c>
      <c r="E3021" s="10" t="s">
        <v>6841</v>
      </c>
      <c r="F3021" s="10"/>
      <c r="G3021" s="10"/>
      <c r="H3021" s="10" t="s">
        <v>6841</v>
      </c>
      <c r="I3021" s="14">
        <v>12652.170805368572</v>
      </c>
      <c r="J3021" s="19">
        <v>0</v>
      </c>
      <c r="K3021" s="19">
        <v>0</v>
      </c>
      <c r="L3021" s="19">
        <v>1</v>
      </c>
      <c r="M3021" s="20">
        <v>1</v>
      </c>
      <c r="N3021" s="19">
        <v>0</v>
      </c>
      <c r="O3021" s="19">
        <v>0</v>
      </c>
      <c r="P3021" s="19">
        <v>0</v>
      </c>
      <c r="Q3021" s="19">
        <v>0.52689817448364473</v>
      </c>
      <c r="R3021" s="19">
        <v>0.38890645618577013</v>
      </c>
      <c r="S3021" s="19">
        <v>8.4195369330585149E-2</v>
      </c>
      <c r="T3021" s="20">
        <v>13</v>
      </c>
      <c r="U3021" s="17">
        <v>3</v>
      </c>
      <c r="V3021" s="17">
        <v>36</v>
      </c>
    </row>
    <row r="3022" spans="1:22" x14ac:dyDescent="0.2">
      <c r="A3022" t="s">
        <v>6842</v>
      </c>
      <c r="B3022" t="s">
        <v>5862</v>
      </c>
      <c r="C3022" t="s">
        <v>5863</v>
      </c>
      <c r="D3022" t="s">
        <v>6838</v>
      </c>
      <c r="E3022" s="10" t="s">
        <v>6843</v>
      </c>
      <c r="F3022" s="10"/>
      <c r="G3022" s="10"/>
      <c r="H3022" s="10" t="s">
        <v>6843</v>
      </c>
      <c r="I3022" s="14">
        <v>33957.029554794542</v>
      </c>
      <c r="J3022" s="19">
        <v>0</v>
      </c>
      <c r="K3022" s="19">
        <v>0.15591041913900228</v>
      </c>
      <c r="L3022" s="19">
        <v>0.84408958086099772</v>
      </c>
      <c r="M3022" s="20">
        <v>1</v>
      </c>
      <c r="N3022" s="19">
        <v>0</v>
      </c>
      <c r="O3022" s="19">
        <v>0.15591041913900228</v>
      </c>
      <c r="P3022" s="19">
        <v>0</v>
      </c>
      <c r="Q3022" s="19">
        <v>0.40695829301622799</v>
      </c>
      <c r="R3022" s="19">
        <v>0.38266235371679813</v>
      </c>
      <c r="S3022" s="19">
        <v>5.4468934127971574E-2</v>
      </c>
      <c r="T3022" s="20">
        <v>13</v>
      </c>
      <c r="U3022" s="17">
        <v>3</v>
      </c>
      <c r="V3022" s="17">
        <v>36</v>
      </c>
    </row>
    <row r="3023" spans="1:22" x14ac:dyDescent="0.2">
      <c r="A3023" t="s">
        <v>6844</v>
      </c>
      <c r="B3023" t="s">
        <v>5862</v>
      </c>
      <c r="C3023" t="s">
        <v>5863</v>
      </c>
      <c r="D3023" t="s">
        <v>6838</v>
      </c>
      <c r="E3023" s="10" t="s">
        <v>6845</v>
      </c>
      <c r="F3023" s="10"/>
      <c r="G3023" s="10"/>
      <c r="H3023" s="10" t="s">
        <v>6845</v>
      </c>
      <c r="I3023" s="14">
        <v>82000.248853592202</v>
      </c>
      <c r="J3023" s="19">
        <v>0</v>
      </c>
      <c r="K3023" s="19">
        <v>0.63032800898772756</v>
      </c>
      <c r="L3023" s="19">
        <v>0.36967199101227244</v>
      </c>
      <c r="M3023" s="20">
        <v>2</v>
      </c>
      <c r="N3023" s="19">
        <v>0.26691822815427096</v>
      </c>
      <c r="O3023" s="19">
        <v>0.19682006588806211</v>
      </c>
      <c r="P3023" s="19">
        <v>0.16658971494539446</v>
      </c>
      <c r="Q3023" s="19">
        <v>0.19536143254932953</v>
      </c>
      <c r="R3023" s="19">
        <v>0.14524109299863566</v>
      </c>
      <c r="S3023" s="19">
        <v>2.9069465464307276E-2</v>
      </c>
      <c r="T3023" s="20">
        <v>23</v>
      </c>
      <c r="U3023" s="17">
        <v>3</v>
      </c>
      <c r="V3023" s="17">
        <v>36</v>
      </c>
    </row>
    <row r="3024" spans="1:22" x14ac:dyDescent="0.2">
      <c r="A3024" t="s">
        <v>6846</v>
      </c>
      <c r="B3024" t="s">
        <v>5862</v>
      </c>
      <c r="C3024" t="s">
        <v>5863</v>
      </c>
      <c r="D3024" t="s">
        <v>6838</v>
      </c>
      <c r="E3024" s="10" t="s">
        <v>6847</v>
      </c>
      <c r="F3024" s="10"/>
      <c r="G3024" s="10"/>
      <c r="H3024" s="10" t="s">
        <v>6847</v>
      </c>
      <c r="I3024" s="14">
        <v>25043.625257637352</v>
      </c>
      <c r="J3024" s="19">
        <v>0</v>
      </c>
      <c r="K3024" s="19">
        <v>0.39790571093713356</v>
      </c>
      <c r="L3024" s="19">
        <v>0.60209428906286655</v>
      </c>
      <c r="M3024" s="20">
        <v>1</v>
      </c>
      <c r="N3024" s="19">
        <v>0.2349759278239994</v>
      </c>
      <c r="O3024" s="19">
        <v>0</v>
      </c>
      <c r="P3024" s="19">
        <v>0.16292978311313419</v>
      </c>
      <c r="Q3024" s="19">
        <v>0.36340340845922259</v>
      </c>
      <c r="R3024" s="19">
        <v>0.2046219875045068</v>
      </c>
      <c r="S3024" s="19">
        <v>3.4068893099137042E-2</v>
      </c>
      <c r="T3024" s="20">
        <v>13</v>
      </c>
      <c r="U3024" s="17">
        <v>3</v>
      </c>
      <c r="V3024" s="17">
        <v>36</v>
      </c>
    </row>
    <row r="3025" spans="1:22" x14ac:dyDescent="0.2">
      <c r="A3025" t="s">
        <v>6848</v>
      </c>
      <c r="B3025" t="s">
        <v>5862</v>
      </c>
      <c r="C3025" t="s">
        <v>5863</v>
      </c>
      <c r="D3025" t="s">
        <v>6838</v>
      </c>
      <c r="E3025" s="10" t="s">
        <v>6849</v>
      </c>
      <c r="F3025" s="10"/>
      <c r="G3025" s="10"/>
      <c r="H3025" s="10" t="s">
        <v>6849</v>
      </c>
      <c r="I3025" s="14">
        <v>22855.065708989976</v>
      </c>
      <c r="J3025" s="19">
        <v>0</v>
      </c>
      <c r="K3025" s="19">
        <v>0.20189633343817662</v>
      </c>
      <c r="L3025" s="19">
        <v>0.79810366656182341</v>
      </c>
      <c r="M3025" s="20">
        <v>1</v>
      </c>
      <c r="N3025" s="19">
        <v>0</v>
      </c>
      <c r="O3025" s="19">
        <v>0</v>
      </c>
      <c r="P3025" s="19">
        <v>0.20189633343817662</v>
      </c>
      <c r="Q3025" s="19">
        <v>0.35521403993300832</v>
      </c>
      <c r="R3025" s="19">
        <v>0.38746039244763081</v>
      </c>
      <c r="S3025" s="19">
        <v>5.5429234181184187E-2</v>
      </c>
      <c r="T3025" s="20">
        <v>12</v>
      </c>
      <c r="U3025" s="17">
        <v>3</v>
      </c>
      <c r="V3025" s="17">
        <v>36</v>
      </c>
    </row>
    <row r="3026" spans="1:22" x14ac:dyDescent="0.2">
      <c r="A3026" t="s">
        <v>6850</v>
      </c>
      <c r="B3026" t="s">
        <v>5862</v>
      </c>
      <c r="C3026" t="s">
        <v>5863</v>
      </c>
      <c r="D3026" t="s">
        <v>6838</v>
      </c>
      <c r="E3026" s="10" t="s">
        <v>6851</v>
      </c>
      <c r="F3026" s="10"/>
      <c r="G3026" s="10"/>
      <c r="H3026" s="10" t="s">
        <v>6851</v>
      </c>
      <c r="I3026" s="14">
        <v>40918.591204317287</v>
      </c>
      <c r="J3026" s="19">
        <v>0</v>
      </c>
      <c r="K3026" s="19">
        <v>0.51153205670269219</v>
      </c>
      <c r="L3026" s="19">
        <v>0.48846794329730786</v>
      </c>
      <c r="M3026" s="20">
        <v>2</v>
      </c>
      <c r="N3026" s="19">
        <v>0</v>
      </c>
      <c r="O3026" s="19">
        <v>0.39697842687785734</v>
      </c>
      <c r="P3026" s="19">
        <v>0.11455362982483486</v>
      </c>
      <c r="Q3026" s="19">
        <v>0.31132611774447366</v>
      </c>
      <c r="R3026" s="19">
        <v>0.15039415593583641</v>
      </c>
      <c r="S3026" s="19">
        <v>2.6747669616997708E-2</v>
      </c>
      <c r="T3026" s="20">
        <v>22</v>
      </c>
      <c r="U3026" s="17">
        <v>3</v>
      </c>
      <c r="V3026" s="17">
        <v>36</v>
      </c>
    </row>
    <row r="3027" spans="1:22" x14ac:dyDescent="0.2">
      <c r="A3027" t="s">
        <v>6852</v>
      </c>
      <c r="B3027" t="s">
        <v>5862</v>
      </c>
      <c r="C3027" t="s">
        <v>5863</v>
      </c>
      <c r="D3027" t="s">
        <v>6838</v>
      </c>
      <c r="E3027" s="10" t="s">
        <v>6853</v>
      </c>
      <c r="F3027" s="10"/>
      <c r="G3027" s="10"/>
      <c r="H3027" s="10" t="s">
        <v>6853</v>
      </c>
      <c r="I3027" s="14">
        <v>136959.67480224185</v>
      </c>
      <c r="J3027" s="19">
        <v>0</v>
      </c>
      <c r="K3027" s="19">
        <v>0.72904210886966214</v>
      </c>
      <c r="L3027" s="19">
        <v>0.27095789113033786</v>
      </c>
      <c r="M3027" s="20">
        <v>2</v>
      </c>
      <c r="N3027" s="19">
        <v>0.34211763699085129</v>
      </c>
      <c r="O3027" s="19">
        <v>6.3593928065551183E-2</v>
      </c>
      <c r="P3027" s="19">
        <v>0.32333054381325971</v>
      </c>
      <c r="Q3027" s="19">
        <v>9.8940376922241585E-2</v>
      </c>
      <c r="R3027" s="19">
        <v>0.14811861229156531</v>
      </c>
      <c r="S3027" s="19">
        <v>2.3898901916530931E-2</v>
      </c>
      <c r="T3027" s="20">
        <v>23</v>
      </c>
      <c r="U3027" s="17">
        <v>3</v>
      </c>
      <c r="V3027" s="17">
        <v>36</v>
      </c>
    </row>
    <row r="3028" spans="1:22" x14ac:dyDescent="0.2">
      <c r="A3028" t="s">
        <v>6854</v>
      </c>
      <c r="B3028" t="s">
        <v>5862</v>
      </c>
      <c r="C3028" t="s">
        <v>5863</v>
      </c>
      <c r="D3028" t="s">
        <v>6838</v>
      </c>
      <c r="E3028" s="10" t="s">
        <v>6855</v>
      </c>
      <c r="F3028" s="10"/>
      <c r="G3028" s="10"/>
      <c r="H3028" s="10" t="s">
        <v>6855</v>
      </c>
      <c r="I3028" s="14">
        <v>33780.586759659462</v>
      </c>
      <c r="J3028" s="19">
        <v>0</v>
      </c>
      <c r="K3028" s="19">
        <v>0.19695730774890818</v>
      </c>
      <c r="L3028" s="19">
        <v>0.80304269225109182</v>
      </c>
      <c r="M3028" s="20">
        <v>1</v>
      </c>
      <c r="N3028" s="19">
        <v>0</v>
      </c>
      <c r="O3028" s="19">
        <v>0.19695730774890818</v>
      </c>
      <c r="P3028" s="19">
        <v>0</v>
      </c>
      <c r="Q3028" s="19">
        <v>0.27111579879787506</v>
      </c>
      <c r="R3028" s="19">
        <v>0.47098888414145557</v>
      </c>
      <c r="S3028" s="19">
        <v>6.0938009311761188E-2</v>
      </c>
      <c r="T3028" s="20">
        <v>12</v>
      </c>
      <c r="U3028" s="17">
        <v>3</v>
      </c>
      <c r="V3028" s="17">
        <v>36</v>
      </c>
    </row>
    <row r="3029" spans="1:22" x14ac:dyDescent="0.2">
      <c r="A3029" t="s">
        <v>6856</v>
      </c>
      <c r="B3029" t="s">
        <v>5862</v>
      </c>
      <c r="C3029" t="s">
        <v>5863</v>
      </c>
      <c r="D3029" t="s">
        <v>6857</v>
      </c>
      <c r="E3029" s="10" t="s">
        <v>6858</v>
      </c>
      <c r="F3029" s="10"/>
      <c r="G3029" s="10"/>
      <c r="H3029" s="10" t="s">
        <v>6858</v>
      </c>
      <c r="I3029" s="14">
        <v>57685.956676844507</v>
      </c>
      <c r="J3029" s="19">
        <v>0</v>
      </c>
      <c r="K3029" s="19">
        <v>0.22957297850360986</v>
      </c>
      <c r="L3029" s="19">
        <v>0.77042702149639009</v>
      </c>
      <c r="M3029" s="20">
        <v>1</v>
      </c>
      <c r="N3029" s="19">
        <v>0.13583127221788555</v>
      </c>
      <c r="O3029" s="19">
        <v>0</v>
      </c>
      <c r="P3029" s="19">
        <v>9.3741706285724286E-2</v>
      </c>
      <c r="Q3029" s="19">
        <v>0.24572500216683532</v>
      </c>
      <c r="R3029" s="19">
        <v>0.43165761598529845</v>
      </c>
      <c r="S3029" s="19">
        <v>9.3044403344256385E-2</v>
      </c>
      <c r="T3029" s="20">
        <v>12</v>
      </c>
      <c r="U3029" s="17">
        <v>3</v>
      </c>
      <c r="V3029" s="17">
        <v>36</v>
      </c>
    </row>
    <row r="3030" spans="1:22" x14ac:dyDescent="0.2">
      <c r="A3030" t="s">
        <v>6859</v>
      </c>
      <c r="B3030" t="s">
        <v>5862</v>
      </c>
      <c r="C3030" t="s">
        <v>5863</v>
      </c>
      <c r="D3030" t="s">
        <v>6857</v>
      </c>
      <c r="E3030" s="10" t="s">
        <v>6860</v>
      </c>
      <c r="F3030" s="10"/>
      <c r="G3030" s="10"/>
      <c r="H3030" s="10" t="s">
        <v>6860</v>
      </c>
      <c r="I3030" s="14">
        <v>74484.636074690614</v>
      </c>
      <c r="J3030" s="19">
        <v>0</v>
      </c>
      <c r="K3030" s="19">
        <v>0.16403783625020338</v>
      </c>
      <c r="L3030" s="19">
        <v>0.83596216374979648</v>
      </c>
      <c r="M3030" s="20">
        <v>1</v>
      </c>
      <c r="N3030" s="19">
        <v>0</v>
      </c>
      <c r="O3030" s="19">
        <v>0.16403783625020338</v>
      </c>
      <c r="P3030" s="19">
        <v>0</v>
      </c>
      <c r="Q3030" s="19">
        <v>6.3461910652365908E-2</v>
      </c>
      <c r="R3030" s="19">
        <v>0.64103630745086082</v>
      </c>
      <c r="S3030" s="19">
        <v>0.13146394564656991</v>
      </c>
      <c r="T3030" s="20">
        <v>12</v>
      </c>
      <c r="U3030" s="17">
        <v>3</v>
      </c>
      <c r="V3030" s="17">
        <v>36</v>
      </c>
    </row>
    <row r="3031" spans="1:22" x14ac:dyDescent="0.2">
      <c r="A3031" t="s">
        <v>6861</v>
      </c>
      <c r="B3031" t="s">
        <v>5862</v>
      </c>
      <c r="C3031" t="s">
        <v>5863</v>
      </c>
      <c r="D3031" t="s">
        <v>6857</v>
      </c>
      <c r="E3031" s="10" t="s">
        <v>6862</v>
      </c>
      <c r="F3031" s="10"/>
      <c r="G3031" s="10"/>
      <c r="H3031" s="10" t="s">
        <v>6862</v>
      </c>
      <c r="I3031" s="14">
        <v>23836.358798529021</v>
      </c>
      <c r="J3031" s="19">
        <v>0</v>
      </c>
      <c r="K3031" s="19">
        <v>0.25772964977886548</v>
      </c>
      <c r="L3031" s="19">
        <v>0.74227035022113452</v>
      </c>
      <c r="M3031" s="20">
        <v>1</v>
      </c>
      <c r="N3031" s="19">
        <v>0</v>
      </c>
      <c r="O3031" s="19">
        <v>0.25772964977886548</v>
      </c>
      <c r="P3031" s="19">
        <v>0</v>
      </c>
      <c r="Q3031" s="19">
        <v>0.15521296696181197</v>
      </c>
      <c r="R3031" s="19">
        <v>0.49323989963512171</v>
      </c>
      <c r="S3031" s="19">
        <v>9.3817483624200809E-2</v>
      </c>
      <c r="T3031" s="20">
        <v>12</v>
      </c>
      <c r="U3031" s="17">
        <v>3</v>
      </c>
      <c r="V3031" s="17">
        <v>36</v>
      </c>
    </row>
    <row r="3032" spans="1:22" x14ac:dyDescent="0.2">
      <c r="A3032" t="s">
        <v>6863</v>
      </c>
      <c r="B3032" t="s">
        <v>5862</v>
      </c>
      <c r="C3032" t="s">
        <v>5863</v>
      </c>
      <c r="D3032" t="s">
        <v>6857</v>
      </c>
      <c r="E3032" s="10" t="s">
        <v>6864</v>
      </c>
      <c r="F3032" s="10"/>
      <c r="G3032" s="10"/>
      <c r="H3032" s="10" t="s">
        <v>6864</v>
      </c>
      <c r="I3032" s="14">
        <v>52136.977002651896</v>
      </c>
      <c r="J3032" s="19">
        <v>0</v>
      </c>
      <c r="K3032" s="19">
        <v>0.37706719211893508</v>
      </c>
      <c r="L3032" s="19">
        <v>0.62293280788106487</v>
      </c>
      <c r="M3032" s="20">
        <v>1</v>
      </c>
      <c r="N3032" s="19">
        <v>0.12775092227744969</v>
      </c>
      <c r="O3032" s="19">
        <v>0</v>
      </c>
      <c r="P3032" s="19">
        <v>0.24931626984148539</v>
      </c>
      <c r="Q3032" s="19">
        <v>0.11303290577125295</v>
      </c>
      <c r="R3032" s="19">
        <v>0.42004286066456198</v>
      </c>
      <c r="S3032" s="19">
        <v>8.9857041445249974E-2</v>
      </c>
      <c r="T3032" s="20">
        <v>12</v>
      </c>
      <c r="U3032" s="17">
        <v>3</v>
      </c>
      <c r="V3032" s="17">
        <v>36</v>
      </c>
    </row>
    <row r="3033" spans="1:22" x14ac:dyDescent="0.2">
      <c r="A3033" t="s">
        <v>6865</v>
      </c>
      <c r="B3033" t="s">
        <v>5862</v>
      </c>
      <c r="C3033" t="s">
        <v>5863</v>
      </c>
      <c r="D3033" t="s">
        <v>6857</v>
      </c>
      <c r="E3033" s="10" t="s">
        <v>6866</v>
      </c>
      <c r="F3033" s="10"/>
      <c r="G3033" s="10"/>
      <c r="H3033" s="10" t="s">
        <v>6866</v>
      </c>
      <c r="I3033" s="14">
        <v>130403.9967980613</v>
      </c>
      <c r="J3033" s="19">
        <v>0</v>
      </c>
      <c r="K3033" s="19">
        <v>0.46471792717879173</v>
      </c>
      <c r="L3033" s="19">
        <v>0.53528207282120832</v>
      </c>
      <c r="M3033" s="20">
        <v>1</v>
      </c>
      <c r="N3033" s="19">
        <v>0.20187205771169622</v>
      </c>
      <c r="O3033" s="19">
        <v>0</v>
      </c>
      <c r="P3033" s="19">
        <v>0.26284586946709548</v>
      </c>
      <c r="Q3033" s="19">
        <v>0.15188692921211261</v>
      </c>
      <c r="R3033" s="19">
        <v>0.34683325627733436</v>
      </c>
      <c r="S3033" s="19">
        <v>3.656188733176137E-2</v>
      </c>
      <c r="T3033" s="20">
        <v>12</v>
      </c>
      <c r="U3033" s="17">
        <v>3</v>
      </c>
      <c r="V3033" s="17">
        <v>36</v>
      </c>
    </row>
    <row r="3034" spans="1:22" x14ac:dyDescent="0.2">
      <c r="A3034" t="s">
        <v>6867</v>
      </c>
      <c r="B3034" t="s">
        <v>5862</v>
      </c>
      <c r="C3034" t="s">
        <v>5863</v>
      </c>
      <c r="D3034" t="s">
        <v>6857</v>
      </c>
      <c r="E3034" s="10" t="s">
        <v>6868</v>
      </c>
      <c r="F3034" s="10"/>
      <c r="G3034" s="10"/>
      <c r="H3034" s="10" t="s">
        <v>6868</v>
      </c>
      <c r="I3034" s="14">
        <v>210840.77492209291</v>
      </c>
      <c r="J3034" s="19">
        <v>0.29982712131126243</v>
      </c>
      <c r="K3034" s="19">
        <v>0.30711458719321971</v>
      </c>
      <c r="L3034" s="19">
        <v>0.39305829149551785</v>
      </c>
      <c r="M3034" s="20">
        <v>2</v>
      </c>
      <c r="N3034" s="19">
        <v>6.2676006407769477E-2</v>
      </c>
      <c r="O3034" s="19">
        <v>5.0546231607847832E-2</v>
      </c>
      <c r="P3034" s="19">
        <v>0.1938923491776024</v>
      </c>
      <c r="Q3034" s="19">
        <v>0.10506802390919652</v>
      </c>
      <c r="R3034" s="19">
        <v>0.24497409704750697</v>
      </c>
      <c r="S3034" s="19">
        <v>4.3016170538814381E-2</v>
      </c>
      <c r="T3034" s="20">
        <v>23</v>
      </c>
      <c r="U3034" s="17">
        <v>3</v>
      </c>
      <c r="V3034" s="17">
        <v>36</v>
      </c>
    </row>
    <row r="3035" spans="1:22" x14ac:dyDescent="0.2">
      <c r="A3035" t="s">
        <v>6869</v>
      </c>
      <c r="B3035" t="s">
        <v>5862</v>
      </c>
      <c r="C3035" t="s">
        <v>5863</v>
      </c>
      <c r="D3035" t="s">
        <v>6857</v>
      </c>
      <c r="E3035" s="10" t="s">
        <v>6870</v>
      </c>
      <c r="F3035" s="10"/>
      <c r="G3035" s="10"/>
      <c r="H3035" s="10" t="s">
        <v>6870</v>
      </c>
      <c r="I3035" s="14">
        <v>13403.661133310525</v>
      </c>
      <c r="J3035" s="19">
        <v>0</v>
      </c>
      <c r="K3035" s="19">
        <v>0</v>
      </c>
      <c r="L3035" s="19">
        <v>1</v>
      </c>
      <c r="M3035" s="20">
        <v>1</v>
      </c>
      <c r="N3035" s="19">
        <v>0</v>
      </c>
      <c r="O3035" s="19">
        <v>0</v>
      </c>
      <c r="P3035" s="19">
        <v>0</v>
      </c>
      <c r="Q3035" s="19">
        <v>0</v>
      </c>
      <c r="R3035" s="19">
        <v>0.74579270327624658</v>
      </c>
      <c r="S3035" s="19">
        <v>0.25420729672375342</v>
      </c>
      <c r="T3035" s="20">
        <v>12</v>
      </c>
      <c r="U3035" s="17">
        <v>3</v>
      </c>
      <c r="V3035" s="17">
        <v>36</v>
      </c>
    </row>
    <row r="3036" spans="1:22" x14ac:dyDescent="0.2">
      <c r="A3036" t="s">
        <v>6871</v>
      </c>
      <c r="B3036" t="s">
        <v>5862</v>
      </c>
      <c r="C3036" t="s">
        <v>5863</v>
      </c>
      <c r="D3036" t="s">
        <v>6857</v>
      </c>
      <c r="E3036" s="10" t="s">
        <v>6872</v>
      </c>
      <c r="F3036" s="10"/>
      <c r="G3036" s="10"/>
      <c r="H3036" s="10" t="s">
        <v>6872</v>
      </c>
      <c r="I3036" s="14">
        <v>100216.10179873428</v>
      </c>
      <c r="J3036" s="19">
        <v>0</v>
      </c>
      <c r="K3036" s="19">
        <v>0.28769413901883395</v>
      </c>
      <c r="L3036" s="19">
        <v>0.71230586098116599</v>
      </c>
      <c r="M3036" s="20">
        <v>1</v>
      </c>
      <c r="N3036" s="19">
        <v>0.19823770156214884</v>
      </c>
      <c r="O3036" s="19">
        <v>0</v>
      </c>
      <c r="P3036" s="19">
        <v>8.9456437456685134E-2</v>
      </c>
      <c r="Q3036" s="19">
        <v>0.28969535752098924</v>
      </c>
      <c r="R3036" s="19">
        <v>0.34177735460484965</v>
      </c>
      <c r="S3036" s="19">
        <v>8.0833148855327192E-2</v>
      </c>
      <c r="T3036" s="20">
        <v>12</v>
      </c>
      <c r="U3036" s="17">
        <v>3</v>
      </c>
      <c r="V3036" s="17">
        <v>36</v>
      </c>
    </row>
    <row r="3037" spans="1:22" x14ac:dyDescent="0.2">
      <c r="A3037" t="s">
        <v>6873</v>
      </c>
      <c r="B3037" t="s">
        <v>5862</v>
      </c>
      <c r="C3037" t="s">
        <v>5863</v>
      </c>
      <c r="D3037" t="s">
        <v>6857</v>
      </c>
      <c r="E3037" s="10" t="s">
        <v>6874</v>
      </c>
      <c r="F3037" s="10"/>
      <c r="G3037" s="10"/>
      <c r="H3037" s="10" t="s">
        <v>6874</v>
      </c>
      <c r="I3037" s="14">
        <v>54750.070268050767</v>
      </c>
      <c r="J3037" s="19">
        <v>0</v>
      </c>
      <c r="K3037" s="19">
        <v>0.31426975506495408</v>
      </c>
      <c r="L3037" s="19">
        <v>0.68573024493504586</v>
      </c>
      <c r="M3037" s="20">
        <v>1</v>
      </c>
      <c r="N3037" s="19">
        <v>0.11234962155168464</v>
      </c>
      <c r="O3037" s="19">
        <v>0.10766552706417355</v>
      </c>
      <c r="P3037" s="19">
        <v>9.4254606449095904E-2</v>
      </c>
      <c r="Q3037" s="19">
        <v>0.24733222181240164</v>
      </c>
      <c r="R3037" s="19">
        <v>0.36901897234760761</v>
      </c>
      <c r="S3037" s="19">
        <v>6.9379050775036644E-2</v>
      </c>
      <c r="T3037" s="20">
        <v>12</v>
      </c>
      <c r="U3037" s="17">
        <v>3</v>
      </c>
      <c r="V3037" s="17">
        <v>36</v>
      </c>
    </row>
    <row r="3038" spans="1:22" x14ac:dyDescent="0.2">
      <c r="A3038" t="s">
        <v>6875</v>
      </c>
      <c r="B3038" t="s">
        <v>5862</v>
      </c>
      <c r="C3038" t="s">
        <v>5863</v>
      </c>
      <c r="D3038" t="s">
        <v>6857</v>
      </c>
      <c r="E3038" s="10" t="s">
        <v>6876</v>
      </c>
      <c r="F3038" s="10"/>
      <c r="G3038" s="10"/>
      <c r="H3038" s="10" t="s">
        <v>6876</v>
      </c>
      <c r="I3038" s="14">
        <v>34182.386160437949</v>
      </c>
      <c r="J3038" s="19">
        <v>0</v>
      </c>
      <c r="K3038" s="19">
        <v>0.15988284333675257</v>
      </c>
      <c r="L3038" s="19">
        <v>0.84011715666324738</v>
      </c>
      <c r="M3038" s="20">
        <v>1</v>
      </c>
      <c r="N3038" s="19">
        <v>0</v>
      </c>
      <c r="O3038" s="19">
        <v>0.15988284333675257</v>
      </c>
      <c r="P3038" s="19">
        <v>0</v>
      </c>
      <c r="Q3038" s="19">
        <v>0.42395678317956942</v>
      </c>
      <c r="R3038" s="19">
        <v>0.33519216708141381</v>
      </c>
      <c r="S3038" s="19">
        <v>8.0968206402264209E-2</v>
      </c>
      <c r="T3038" s="20">
        <v>13</v>
      </c>
      <c r="U3038" s="17">
        <v>3</v>
      </c>
      <c r="V3038" s="17">
        <v>36</v>
      </c>
    </row>
    <row r="3039" spans="1:22" x14ac:dyDescent="0.2">
      <c r="A3039" t="s">
        <v>6877</v>
      </c>
      <c r="B3039" t="s">
        <v>5862</v>
      </c>
      <c r="C3039" t="s">
        <v>5863</v>
      </c>
      <c r="D3039" t="s">
        <v>6857</v>
      </c>
      <c r="E3039" s="10" t="s">
        <v>6878</v>
      </c>
      <c r="F3039" s="10"/>
      <c r="G3039" s="10"/>
      <c r="H3039" s="10" t="s">
        <v>6878</v>
      </c>
      <c r="I3039" s="14">
        <v>111885.14180039974</v>
      </c>
      <c r="J3039" s="19">
        <v>0</v>
      </c>
      <c r="K3039" s="19">
        <v>0.25590745286947086</v>
      </c>
      <c r="L3039" s="19">
        <v>0.7440925471305293</v>
      </c>
      <c r="M3039" s="20">
        <v>1</v>
      </c>
      <c r="N3039" s="19">
        <v>0.19977886472902415</v>
      </c>
      <c r="O3039" s="19">
        <v>0</v>
      </c>
      <c r="P3039" s="19">
        <v>5.6128588140446682E-2</v>
      </c>
      <c r="Q3039" s="19">
        <v>0.24055046779825592</v>
      </c>
      <c r="R3039" s="19">
        <v>0.41492751918589882</v>
      </c>
      <c r="S3039" s="19">
        <v>8.8614560146374546E-2</v>
      </c>
      <c r="T3039" s="20">
        <v>12</v>
      </c>
      <c r="U3039" s="17">
        <v>3</v>
      </c>
      <c r="V3039" s="17">
        <v>36</v>
      </c>
    </row>
    <row r="3040" spans="1:22" x14ac:dyDescent="0.2">
      <c r="A3040" t="s">
        <v>6879</v>
      </c>
      <c r="B3040" t="s">
        <v>5862</v>
      </c>
      <c r="C3040" t="s">
        <v>5863</v>
      </c>
      <c r="D3040" t="s">
        <v>6880</v>
      </c>
      <c r="E3040" s="10" t="s">
        <v>6881</v>
      </c>
      <c r="F3040" s="10"/>
      <c r="G3040" s="10"/>
      <c r="H3040" s="10" t="s">
        <v>6881</v>
      </c>
      <c r="I3040" s="14">
        <v>32469.17231765762</v>
      </c>
      <c r="J3040" s="19">
        <v>0</v>
      </c>
      <c r="K3040" s="19">
        <v>0.34386978973517851</v>
      </c>
      <c r="L3040" s="19">
        <v>0.65613021026482143</v>
      </c>
      <c r="M3040" s="20">
        <v>1</v>
      </c>
      <c r="N3040" s="19">
        <v>0</v>
      </c>
      <c r="O3040" s="19">
        <v>0.25754617525291151</v>
      </c>
      <c r="P3040" s="19">
        <v>8.6323614482267011E-2</v>
      </c>
      <c r="Q3040" s="19">
        <v>0.21112305538998988</v>
      </c>
      <c r="R3040" s="19">
        <v>0.39711135222910687</v>
      </c>
      <c r="S3040" s="19">
        <v>4.7895802645724739E-2</v>
      </c>
      <c r="T3040" s="20">
        <v>12</v>
      </c>
      <c r="U3040" s="17">
        <v>3</v>
      </c>
      <c r="V3040" s="17">
        <v>36</v>
      </c>
    </row>
    <row r="3041" spans="1:22" x14ac:dyDescent="0.2">
      <c r="A3041" t="s">
        <v>6882</v>
      </c>
      <c r="B3041" t="s">
        <v>5862</v>
      </c>
      <c r="C3041" t="s">
        <v>5863</v>
      </c>
      <c r="D3041" t="s">
        <v>6880</v>
      </c>
      <c r="E3041" s="10" t="s">
        <v>6883</v>
      </c>
      <c r="F3041" s="10"/>
      <c r="G3041" s="10"/>
      <c r="H3041" s="10" t="s">
        <v>6883</v>
      </c>
      <c r="I3041" s="14">
        <v>59793.531946834293</v>
      </c>
      <c r="J3041" s="19">
        <v>6.2071203444662819E-2</v>
      </c>
      <c r="K3041" s="19">
        <v>0.54603871840047202</v>
      </c>
      <c r="L3041" s="19">
        <v>0.3918900781548651</v>
      </c>
      <c r="M3041" s="20">
        <v>2</v>
      </c>
      <c r="N3041" s="19">
        <v>0</v>
      </c>
      <c r="O3041" s="19">
        <v>0</v>
      </c>
      <c r="P3041" s="19">
        <v>0.54603871840047202</v>
      </c>
      <c r="Q3041" s="19">
        <v>0.11585913662516512</v>
      </c>
      <c r="R3041" s="19">
        <v>0.25372923871942621</v>
      </c>
      <c r="S3041" s="19">
        <v>2.2301702810273789E-2</v>
      </c>
      <c r="T3041" s="20">
        <v>21</v>
      </c>
      <c r="U3041" s="17">
        <v>3</v>
      </c>
      <c r="V3041" s="17">
        <v>36</v>
      </c>
    </row>
    <row r="3042" spans="1:22" x14ac:dyDescent="0.2">
      <c r="A3042" t="s">
        <v>6884</v>
      </c>
      <c r="B3042" t="s">
        <v>5862</v>
      </c>
      <c r="C3042" t="s">
        <v>5863</v>
      </c>
      <c r="D3042" t="s">
        <v>6880</v>
      </c>
      <c r="E3042" s="10" t="s">
        <v>6885</v>
      </c>
      <c r="F3042" s="10"/>
      <c r="G3042" s="10"/>
      <c r="H3042" s="10" t="s">
        <v>6885</v>
      </c>
      <c r="I3042" s="14">
        <v>68777.271949250426</v>
      </c>
      <c r="J3042" s="19">
        <v>0</v>
      </c>
      <c r="K3042" s="19">
        <v>0.4897640186380206</v>
      </c>
      <c r="L3042" s="19">
        <v>0.51023598136197945</v>
      </c>
      <c r="M3042" s="20">
        <v>1</v>
      </c>
      <c r="N3042" s="19">
        <v>0</v>
      </c>
      <c r="O3042" s="19">
        <v>0.19789611220773279</v>
      </c>
      <c r="P3042" s="19">
        <v>0.29186790643028782</v>
      </c>
      <c r="Q3042" s="19">
        <v>8.6027413761959812E-2</v>
      </c>
      <c r="R3042" s="19">
        <v>0.37363023012229502</v>
      </c>
      <c r="S3042" s="19">
        <v>5.0578337477724535E-2</v>
      </c>
      <c r="T3042" s="20">
        <v>12</v>
      </c>
      <c r="U3042" s="17">
        <v>3</v>
      </c>
      <c r="V3042" s="17">
        <v>36</v>
      </c>
    </row>
    <row r="3043" spans="1:22" x14ac:dyDescent="0.2">
      <c r="A3043" t="s">
        <v>6886</v>
      </c>
      <c r="B3043" t="s">
        <v>5862</v>
      </c>
      <c r="C3043" t="s">
        <v>5863</v>
      </c>
      <c r="D3043" t="s">
        <v>6880</v>
      </c>
      <c r="E3043" s="10" t="s">
        <v>6887</v>
      </c>
      <c r="F3043" s="10"/>
      <c r="G3043" s="10"/>
      <c r="H3043" s="10" t="s">
        <v>6887</v>
      </c>
      <c r="I3043" s="14">
        <v>26190.370822251891</v>
      </c>
      <c r="J3043" s="19">
        <v>0</v>
      </c>
      <c r="K3043" s="19">
        <v>0</v>
      </c>
      <c r="L3043" s="19">
        <v>1</v>
      </c>
      <c r="M3043" s="20">
        <v>1</v>
      </c>
      <c r="N3043" s="19">
        <v>0</v>
      </c>
      <c r="O3043" s="19">
        <v>0</v>
      </c>
      <c r="P3043" s="19">
        <v>0</v>
      </c>
      <c r="Q3043" s="19">
        <v>9.803598135841006E-2</v>
      </c>
      <c r="R3043" s="19">
        <v>0.69074455782959032</v>
      </c>
      <c r="S3043" s="19">
        <v>0.21121946081199958</v>
      </c>
      <c r="T3043" s="20">
        <v>12</v>
      </c>
      <c r="U3043" s="17">
        <v>3</v>
      </c>
      <c r="V3043" s="17">
        <v>36</v>
      </c>
    </row>
    <row r="3044" spans="1:22" x14ac:dyDescent="0.2">
      <c r="A3044" t="s">
        <v>6888</v>
      </c>
      <c r="B3044" t="s">
        <v>5862</v>
      </c>
      <c r="C3044" t="s">
        <v>5863</v>
      </c>
      <c r="D3044" t="s">
        <v>6880</v>
      </c>
      <c r="E3044" s="10" t="s">
        <v>6889</v>
      </c>
      <c r="F3044" s="10"/>
      <c r="G3044" s="10"/>
      <c r="H3044" s="10" t="s">
        <v>6889</v>
      </c>
      <c r="I3044" s="14">
        <v>38421.438020471833</v>
      </c>
      <c r="J3044" s="19">
        <v>0</v>
      </c>
      <c r="K3044" s="19">
        <v>0.5418148846464802</v>
      </c>
      <c r="L3044" s="19">
        <v>0.4581851153535198</v>
      </c>
      <c r="M3044" s="20">
        <v>2</v>
      </c>
      <c r="N3044" s="19">
        <v>0</v>
      </c>
      <c r="O3044" s="19">
        <v>0.5418148846464802</v>
      </c>
      <c r="P3044" s="19">
        <v>0</v>
      </c>
      <c r="Q3044" s="19">
        <v>9.3825606054523128E-2</v>
      </c>
      <c r="R3044" s="19">
        <v>0.30701414046018249</v>
      </c>
      <c r="S3044" s="19">
        <v>5.7345368838814144E-2</v>
      </c>
      <c r="T3044" s="20">
        <v>22</v>
      </c>
      <c r="U3044" s="17">
        <v>3</v>
      </c>
      <c r="V3044" s="17">
        <v>36</v>
      </c>
    </row>
    <row r="3045" spans="1:22" x14ac:dyDescent="0.2">
      <c r="A3045" t="s">
        <v>6890</v>
      </c>
      <c r="B3045" t="s">
        <v>5862</v>
      </c>
      <c r="C3045" t="s">
        <v>5863</v>
      </c>
      <c r="D3045" t="s">
        <v>6880</v>
      </c>
      <c r="E3045" s="10" t="s">
        <v>6891</v>
      </c>
      <c r="F3045" s="10"/>
      <c r="G3045" s="10"/>
      <c r="H3045" s="10" t="s">
        <v>6891</v>
      </c>
      <c r="I3045" s="14">
        <v>144105.26027225994</v>
      </c>
      <c r="J3045" s="19">
        <v>0.56067694390189005</v>
      </c>
      <c r="K3045" s="19">
        <v>0.23355859503415433</v>
      </c>
      <c r="L3045" s="19">
        <v>0.20576446106395563</v>
      </c>
      <c r="M3045" s="20">
        <v>3</v>
      </c>
      <c r="N3045" s="19">
        <v>0</v>
      </c>
      <c r="O3045" s="19">
        <v>3.697802337096949E-2</v>
      </c>
      <c r="P3045" s="19">
        <v>0.19658057166318482</v>
      </c>
      <c r="Q3045" s="19">
        <v>6.0759444228384044E-2</v>
      </c>
      <c r="R3045" s="19">
        <v>0.13607761027478671</v>
      </c>
      <c r="S3045" s="19">
        <v>8.927406560784848E-3</v>
      </c>
      <c r="T3045" s="20">
        <v>30</v>
      </c>
      <c r="U3045" s="17">
        <v>3</v>
      </c>
      <c r="V3045" s="17">
        <v>36</v>
      </c>
    </row>
    <row r="3046" spans="1:22" x14ac:dyDescent="0.2">
      <c r="A3046" t="s">
        <v>6892</v>
      </c>
      <c r="B3046" t="s">
        <v>5862</v>
      </c>
      <c r="C3046" t="s">
        <v>5863</v>
      </c>
      <c r="D3046" t="s">
        <v>6880</v>
      </c>
      <c r="E3046" s="10" t="s">
        <v>6893</v>
      </c>
      <c r="F3046" s="10"/>
      <c r="G3046" s="10"/>
      <c r="H3046" s="10" t="s">
        <v>6893</v>
      </c>
      <c r="I3046" s="14">
        <v>13432.678269073367</v>
      </c>
      <c r="J3046" s="19">
        <v>0</v>
      </c>
      <c r="K3046" s="19">
        <v>0</v>
      </c>
      <c r="L3046" s="19">
        <v>1</v>
      </c>
      <c r="M3046" s="20">
        <v>1</v>
      </c>
      <c r="N3046" s="19">
        <v>0</v>
      </c>
      <c r="O3046" s="19">
        <v>0</v>
      </c>
      <c r="P3046" s="19">
        <v>0</v>
      </c>
      <c r="Q3046" s="19">
        <v>0.15421035061240454</v>
      </c>
      <c r="R3046" s="19">
        <v>0.61537338744629222</v>
      </c>
      <c r="S3046" s="19">
        <v>0.23041626194130319</v>
      </c>
      <c r="T3046" s="20">
        <v>12</v>
      </c>
      <c r="U3046" s="17">
        <v>3</v>
      </c>
      <c r="V3046" s="17">
        <v>36</v>
      </c>
    </row>
    <row r="3047" spans="1:22" x14ac:dyDescent="0.2">
      <c r="A3047" t="s">
        <v>6894</v>
      </c>
      <c r="B3047" t="s">
        <v>5862</v>
      </c>
      <c r="C3047" t="s">
        <v>5863</v>
      </c>
      <c r="D3047" t="s">
        <v>6880</v>
      </c>
      <c r="E3047" s="10" t="s">
        <v>6895</v>
      </c>
      <c r="F3047" s="10"/>
      <c r="G3047" s="10"/>
      <c r="H3047" s="10" t="s">
        <v>6895</v>
      </c>
      <c r="I3047" s="14">
        <v>86503.750499769347</v>
      </c>
      <c r="J3047" s="19">
        <v>0</v>
      </c>
      <c r="K3047" s="19">
        <v>0.40572363716824283</v>
      </c>
      <c r="L3047" s="19">
        <v>0.59427636283175722</v>
      </c>
      <c r="M3047" s="20">
        <v>1</v>
      </c>
      <c r="N3047" s="19">
        <v>0.14020507777233468</v>
      </c>
      <c r="O3047" s="19">
        <v>7.0863199695345103E-2</v>
      </c>
      <c r="P3047" s="19">
        <v>0.19465535970056302</v>
      </c>
      <c r="Q3047" s="19">
        <v>0.10907855303332578</v>
      </c>
      <c r="R3047" s="19">
        <v>0.42573337171192316</v>
      </c>
      <c r="S3047" s="19">
        <v>5.946443808650826E-2</v>
      </c>
      <c r="T3047" s="20">
        <v>12</v>
      </c>
      <c r="U3047" s="17">
        <v>3</v>
      </c>
      <c r="V3047" s="17">
        <v>36</v>
      </c>
    </row>
    <row r="3048" spans="1:22" x14ac:dyDescent="0.2">
      <c r="A3048" t="s">
        <v>6896</v>
      </c>
      <c r="B3048" t="s">
        <v>5862</v>
      </c>
      <c r="C3048" t="s">
        <v>5863</v>
      </c>
      <c r="D3048" t="s">
        <v>6897</v>
      </c>
      <c r="E3048" s="10" t="s">
        <v>6898</v>
      </c>
      <c r="F3048" s="10"/>
      <c r="G3048" s="10"/>
      <c r="H3048" s="10" t="s">
        <v>6898</v>
      </c>
      <c r="I3048" s="14">
        <v>43251.777943205096</v>
      </c>
      <c r="J3048" s="19">
        <v>0</v>
      </c>
      <c r="K3048" s="19">
        <v>0.3424969858881397</v>
      </c>
      <c r="L3048" s="19">
        <v>0.65750301411186018</v>
      </c>
      <c r="M3048" s="20">
        <v>1</v>
      </c>
      <c r="N3048" s="19">
        <v>0.15678924628189836</v>
      </c>
      <c r="O3048" s="19">
        <v>0</v>
      </c>
      <c r="P3048" s="19">
        <v>0.18570773960624132</v>
      </c>
      <c r="Q3048" s="19">
        <v>0.1631474769437827</v>
      </c>
      <c r="R3048" s="19">
        <v>0.44714462868944671</v>
      </c>
      <c r="S3048" s="19">
        <v>4.7210908478630687E-2</v>
      </c>
      <c r="T3048" s="20">
        <v>12</v>
      </c>
      <c r="U3048" s="17">
        <v>3</v>
      </c>
      <c r="V3048" s="17">
        <v>36</v>
      </c>
    </row>
    <row r="3049" spans="1:22" x14ac:dyDescent="0.2">
      <c r="A3049" t="s">
        <v>6899</v>
      </c>
      <c r="B3049" t="s">
        <v>5862</v>
      </c>
      <c r="C3049" t="s">
        <v>5863</v>
      </c>
      <c r="D3049" t="s">
        <v>6897</v>
      </c>
      <c r="E3049" s="10" t="s">
        <v>6900</v>
      </c>
      <c r="F3049" s="10"/>
      <c r="G3049" s="10"/>
      <c r="H3049" s="10" t="s">
        <v>6900</v>
      </c>
      <c r="I3049" s="14">
        <v>22612.93528454029</v>
      </c>
      <c r="J3049" s="19">
        <v>0</v>
      </c>
      <c r="K3049" s="19">
        <v>0</v>
      </c>
      <c r="L3049" s="19">
        <v>1</v>
      </c>
      <c r="M3049" s="20">
        <v>1</v>
      </c>
      <c r="N3049" s="19">
        <v>0</v>
      </c>
      <c r="O3049" s="19">
        <v>0</v>
      </c>
      <c r="P3049" s="19">
        <v>0</v>
      </c>
      <c r="Q3049" s="19">
        <v>0.27926827887840749</v>
      </c>
      <c r="R3049" s="19">
        <v>0.60333703620977219</v>
      </c>
      <c r="S3049" s="19">
        <v>0.11739468491182016</v>
      </c>
      <c r="T3049" s="20">
        <v>12</v>
      </c>
      <c r="U3049" s="17">
        <v>3</v>
      </c>
      <c r="V3049" s="17">
        <v>36</v>
      </c>
    </row>
    <row r="3050" spans="1:22" x14ac:dyDescent="0.2">
      <c r="A3050" t="s">
        <v>6901</v>
      </c>
      <c r="B3050" t="s">
        <v>5862</v>
      </c>
      <c r="C3050" t="s">
        <v>5863</v>
      </c>
      <c r="D3050" t="s">
        <v>6897</v>
      </c>
      <c r="E3050" s="10" t="s">
        <v>6902</v>
      </c>
      <c r="F3050" s="10"/>
      <c r="G3050" s="10"/>
      <c r="H3050" s="10" t="s">
        <v>6902</v>
      </c>
      <c r="I3050" s="14">
        <v>16424.717093282612</v>
      </c>
      <c r="J3050" s="19">
        <v>0</v>
      </c>
      <c r="K3050" s="19">
        <v>0</v>
      </c>
      <c r="L3050" s="19">
        <v>1</v>
      </c>
      <c r="M3050" s="20">
        <v>1</v>
      </c>
      <c r="N3050" s="19">
        <v>0</v>
      </c>
      <c r="O3050" s="19">
        <v>0</v>
      </c>
      <c r="P3050" s="19">
        <v>0</v>
      </c>
      <c r="Q3050" s="19">
        <v>0.16986788760380719</v>
      </c>
      <c r="R3050" s="19">
        <v>0.72498456363043751</v>
      </c>
      <c r="S3050" s="19">
        <v>0.1051475487657553</v>
      </c>
      <c r="T3050" s="20">
        <v>12</v>
      </c>
      <c r="U3050" s="17">
        <v>3</v>
      </c>
      <c r="V3050" s="17">
        <v>36</v>
      </c>
    </row>
    <row r="3051" spans="1:22" x14ac:dyDescent="0.2">
      <c r="A3051" t="s">
        <v>6903</v>
      </c>
      <c r="B3051" t="s">
        <v>5862</v>
      </c>
      <c r="C3051" t="s">
        <v>5863</v>
      </c>
      <c r="D3051" t="s">
        <v>6897</v>
      </c>
      <c r="E3051" s="10" t="s">
        <v>6904</v>
      </c>
      <c r="F3051" s="10"/>
      <c r="G3051" s="10"/>
      <c r="H3051" s="10" t="s">
        <v>6904</v>
      </c>
      <c r="I3051" s="14">
        <v>22154.872257697163</v>
      </c>
      <c r="J3051" s="19">
        <v>0</v>
      </c>
      <c r="K3051" s="19">
        <v>0.32106502643107121</v>
      </c>
      <c r="L3051" s="19">
        <v>0.67893497356892885</v>
      </c>
      <c r="M3051" s="20">
        <v>1</v>
      </c>
      <c r="N3051" s="19">
        <v>0</v>
      </c>
      <c r="O3051" s="19">
        <v>0.32106502643107121</v>
      </c>
      <c r="P3051" s="19">
        <v>0</v>
      </c>
      <c r="Q3051" s="19">
        <v>3.2597812612777013E-2</v>
      </c>
      <c r="R3051" s="19">
        <v>0.58611124289829197</v>
      </c>
      <c r="S3051" s="19">
        <v>6.0225918057859755E-2</v>
      </c>
      <c r="T3051" s="20">
        <v>12</v>
      </c>
      <c r="U3051" s="17">
        <v>3</v>
      </c>
      <c r="V3051" s="17">
        <v>36</v>
      </c>
    </row>
    <row r="3052" spans="1:22" x14ac:dyDescent="0.2">
      <c r="A3052" t="s">
        <v>6905</v>
      </c>
      <c r="B3052" t="s">
        <v>5862</v>
      </c>
      <c r="C3052" t="s">
        <v>5863</v>
      </c>
      <c r="D3052" t="s">
        <v>6897</v>
      </c>
      <c r="E3052" s="10" t="s">
        <v>6906</v>
      </c>
      <c r="F3052" s="10"/>
      <c r="G3052" s="10"/>
      <c r="H3052" s="10" t="s">
        <v>6906</v>
      </c>
      <c r="I3052" s="14">
        <v>108949.58380745887</v>
      </c>
      <c r="J3052" s="19">
        <v>0</v>
      </c>
      <c r="K3052" s="19">
        <v>0.65054599603577701</v>
      </c>
      <c r="L3052" s="19">
        <v>0.3494540039642231</v>
      </c>
      <c r="M3052" s="20">
        <v>2</v>
      </c>
      <c r="N3052" s="19">
        <v>0.42090784158498962</v>
      </c>
      <c r="O3052" s="19">
        <v>5.13389195800628E-2</v>
      </c>
      <c r="P3052" s="19">
        <v>0.17829923487072452</v>
      </c>
      <c r="Q3052" s="19">
        <v>8.9806028687680187E-2</v>
      </c>
      <c r="R3052" s="19">
        <v>0.23514264593806405</v>
      </c>
      <c r="S3052" s="19">
        <v>2.4505329338478769E-2</v>
      </c>
      <c r="T3052" s="20">
        <v>23</v>
      </c>
      <c r="U3052" s="17">
        <v>3</v>
      </c>
      <c r="V3052" s="17">
        <v>36</v>
      </c>
    </row>
    <row r="3053" spans="1:22" x14ac:dyDescent="0.2">
      <c r="A3053" t="s">
        <v>6907</v>
      </c>
      <c r="B3053" t="s">
        <v>5862</v>
      </c>
      <c r="C3053" t="s">
        <v>5863</v>
      </c>
      <c r="D3053" t="s">
        <v>6897</v>
      </c>
      <c r="E3053" s="10" t="s">
        <v>6908</v>
      </c>
      <c r="F3053" s="10"/>
      <c r="G3053" s="10"/>
      <c r="H3053" s="10" t="s">
        <v>6908</v>
      </c>
      <c r="I3053" s="14">
        <v>35700.48778855917</v>
      </c>
      <c r="J3053" s="19">
        <v>0</v>
      </c>
      <c r="K3053" s="19">
        <v>0</v>
      </c>
      <c r="L3053" s="19">
        <v>1</v>
      </c>
      <c r="M3053" s="20">
        <v>1</v>
      </c>
      <c r="N3053" s="19">
        <v>0</v>
      </c>
      <c r="O3053" s="19">
        <v>0</v>
      </c>
      <c r="P3053" s="19">
        <v>0</v>
      </c>
      <c r="Q3053" s="19">
        <v>0.19168017647828647</v>
      </c>
      <c r="R3053" s="19">
        <v>0.71093541949546646</v>
      </c>
      <c r="S3053" s="19">
        <v>9.7384404026247054E-2</v>
      </c>
      <c r="T3053" s="20">
        <v>12</v>
      </c>
      <c r="U3053" s="17">
        <v>3</v>
      </c>
      <c r="V3053" s="17">
        <v>36</v>
      </c>
    </row>
    <row r="3054" spans="1:22" x14ac:dyDescent="0.2">
      <c r="A3054" t="s">
        <v>6909</v>
      </c>
      <c r="B3054" t="s">
        <v>5862</v>
      </c>
      <c r="C3054" t="s">
        <v>5863</v>
      </c>
      <c r="D3054" t="s">
        <v>6897</v>
      </c>
      <c r="E3054" s="10" t="s">
        <v>6910</v>
      </c>
      <c r="F3054" s="10"/>
      <c r="G3054" s="10"/>
      <c r="H3054" s="10" t="s">
        <v>6910</v>
      </c>
      <c r="I3054" s="14">
        <v>51475.886164248914</v>
      </c>
      <c r="J3054" s="19">
        <v>0</v>
      </c>
      <c r="K3054" s="19">
        <v>0</v>
      </c>
      <c r="L3054" s="19">
        <v>1</v>
      </c>
      <c r="M3054" s="20">
        <v>1</v>
      </c>
      <c r="N3054" s="19">
        <v>0</v>
      </c>
      <c r="O3054" s="19">
        <v>0</v>
      </c>
      <c r="P3054" s="19">
        <v>0</v>
      </c>
      <c r="Q3054" s="19">
        <v>0.40570041804427809</v>
      </c>
      <c r="R3054" s="19">
        <v>0.53190571810100906</v>
      </c>
      <c r="S3054" s="19">
        <v>6.2393863854712919E-2</v>
      </c>
      <c r="T3054" s="20">
        <v>12</v>
      </c>
      <c r="U3054" s="17">
        <v>3</v>
      </c>
      <c r="V3054" s="17">
        <v>36</v>
      </c>
    </row>
    <row r="3055" spans="1:22" x14ac:dyDescent="0.2">
      <c r="A3055" t="s">
        <v>6911</v>
      </c>
      <c r="B3055" t="s">
        <v>5862</v>
      </c>
      <c r="C3055" t="s">
        <v>5863</v>
      </c>
      <c r="D3055" t="s">
        <v>6897</v>
      </c>
      <c r="E3055" s="10" t="s">
        <v>6912</v>
      </c>
      <c r="F3055" s="10"/>
      <c r="G3055" s="10"/>
      <c r="H3055" s="10" t="s">
        <v>6912</v>
      </c>
      <c r="I3055" s="14">
        <v>37899.447352658259</v>
      </c>
      <c r="J3055" s="19">
        <v>0</v>
      </c>
      <c r="K3055" s="19">
        <v>0.23673459672667979</v>
      </c>
      <c r="L3055" s="19">
        <v>0.76326540327332015</v>
      </c>
      <c r="M3055" s="20">
        <v>1</v>
      </c>
      <c r="N3055" s="19">
        <v>0</v>
      </c>
      <c r="O3055" s="19">
        <v>0.23673459672667979</v>
      </c>
      <c r="P3055" s="19">
        <v>0</v>
      </c>
      <c r="Q3055" s="19">
        <v>0.23629736132722368</v>
      </c>
      <c r="R3055" s="19">
        <v>0.4674729879476674</v>
      </c>
      <c r="S3055" s="19">
        <v>5.9495053998429123E-2</v>
      </c>
      <c r="T3055" s="20">
        <v>12</v>
      </c>
      <c r="U3055" s="17">
        <v>3</v>
      </c>
      <c r="V3055" s="17">
        <v>36</v>
      </c>
    </row>
    <row r="3056" spans="1:22" x14ac:dyDescent="0.2">
      <c r="A3056" t="s">
        <v>6913</v>
      </c>
      <c r="B3056" t="s">
        <v>5862</v>
      </c>
      <c r="C3056" t="s">
        <v>5863</v>
      </c>
      <c r="D3056" t="s">
        <v>6897</v>
      </c>
      <c r="E3056" s="10" t="s">
        <v>6914</v>
      </c>
      <c r="F3056" s="10"/>
      <c r="G3056" s="10"/>
      <c r="H3056" s="10" t="s">
        <v>6914</v>
      </c>
      <c r="I3056" s="14">
        <v>64247.309655813733</v>
      </c>
      <c r="J3056" s="19">
        <v>0</v>
      </c>
      <c r="K3056" s="19">
        <v>0.4485071597593191</v>
      </c>
      <c r="L3056" s="19">
        <v>0.5514928402406809</v>
      </c>
      <c r="M3056" s="20">
        <v>1</v>
      </c>
      <c r="N3056" s="19">
        <v>0.26523439099339641</v>
      </c>
      <c r="O3056" s="19">
        <v>0</v>
      </c>
      <c r="P3056" s="19">
        <v>0.18327276876592272</v>
      </c>
      <c r="Q3056" s="19">
        <v>0.1310450815645747</v>
      </c>
      <c r="R3056" s="19">
        <v>0.37420070787756166</v>
      </c>
      <c r="S3056" s="19">
        <v>4.6247050798544471E-2</v>
      </c>
      <c r="T3056" s="20">
        <v>12</v>
      </c>
      <c r="U3056" s="17">
        <v>3</v>
      </c>
      <c r="V3056" s="17">
        <v>36</v>
      </c>
    </row>
    <row r="3057" spans="1:22" x14ac:dyDescent="0.2">
      <c r="A3057" t="s">
        <v>6915</v>
      </c>
      <c r="B3057" t="s">
        <v>5862</v>
      </c>
      <c r="C3057" t="s">
        <v>5863</v>
      </c>
      <c r="D3057" t="s">
        <v>6897</v>
      </c>
      <c r="E3057" s="10" t="s">
        <v>6916</v>
      </c>
      <c r="F3057" s="10"/>
      <c r="G3057" s="10"/>
      <c r="H3057" s="10" t="s">
        <v>6916</v>
      </c>
      <c r="I3057" s="14">
        <v>44248.896561390262</v>
      </c>
      <c r="J3057" s="19">
        <v>0</v>
      </c>
      <c r="K3057" s="19">
        <v>0.39461143452599889</v>
      </c>
      <c r="L3057" s="19">
        <v>0.60538856547400099</v>
      </c>
      <c r="M3057" s="20">
        <v>1</v>
      </c>
      <c r="N3057" s="19">
        <v>0.13266384954442959</v>
      </c>
      <c r="O3057" s="19">
        <v>0</v>
      </c>
      <c r="P3057" s="19">
        <v>0.26194758498156928</v>
      </c>
      <c r="Q3057" s="19">
        <v>8.4547452604953957E-2</v>
      </c>
      <c r="R3057" s="19">
        <v>0.45759848496675465</v>
      </c>
      <c r="S3057" s="19">
        <v>6.3242627902292362E-2</v>
      </c>
      <c r="T3057" s="20">
        <v>12</v>
      </c>
      <c r="U3057" s="17">
        <v>3</v>
      </c>
      <c r="V3057" s="17">
        <v>36</v>
      </c>
    </row>
    <row r="3058" spans="1:22" x14ac:dyDescent="0.2">
      <c r="A3058" t="s">
        <v>6917</v>
      </c>
      <c r="B3058" t="s">
        <v>5862</v>
      </c>
      <c r="C3058" t="s">
        <v>5863</v>
      </c>
      <c r="D3058" t="s">
        <v>6897</v>
      </c>
      <c r="E3058" s="10" t="s">
        <v>6918</v>
      </c>
      <c r="F3058" s="10"/>
      <c r="G3058" s="10"/>
      <c r="H3058" s="10" t="s">
        <v>6918</v>
      </c>
      <c r="I3058" s="14">
        <v>24233.723327432293</v>
      </c>
      <c r="J3058" s="19">
        <v>0</v>
      </c>
      <c r="K3058" s="19">
        <v>1.0984047350096796E-2</v>
      </c>
      <c r="L3058" s="19">
        <v>0.98901595264990316</v>
      </c>
      <c r="M3058" s="20">
        <v>1</v>
      </c>
      <c r="N3058" s="19">
        <v>0</v>
      </c>
      <c r="O3058" s="19">
        <v>1.0984047350096796E-2</v>
      </c>
      <c r="P3058" s="19">
        <v>0</v>
      </c>
      <c r="Q3058" s="19">
        <v>0.17698111713811962</v>
      </c>
      <c r="R3058" s="19">
        <v>0.70474039011446898</v>
      </c>
      <c r="S3058" s="19">
        <v>0.10729444539731453</v>
      </c>
      <c r="T3058" s="20">
        <v>12</v>
      </c>
      <c r="U3058" s="17">
        <v>3</v>
      </c>
      <c r="V3058" s="17">
        <v>36</v>
      </c>
    </row>
    <row r="3059" spans="1:22" x14ac:dyDescent="0.2">
      <c r="A3059" t="s">
        <v>6919</v>
      </c>
      <c r="B3059" t="s">
        <v>5862</v>
      </c>
      <c r="C3059" t="s">
        <v>5863</v>
      </c>
      <c r="D3059" t="s">
        <v>6897</v>
      </c>
      <c r="E3059" s="10" t="s">
        <v>6920</v>
      </c>
      <c r="F3059" s="10"/>
      <c r="G3059" s="10"/>
      <c r="H3059" s="10" t="s">
        <v>6920</v>
      </c>
      <c r="I3059" s="14">
        <v>24345.298087996896</v>
      </c>
      <c r="J3059" s="19">
        <v>0</v>
      </c>
      <c r="K3059" s="19">
        <v>0.1379549149345233</v>
      </c>
      <c r="L3059" s="19">
        <v>0.86204508506547672</v>
      </c>
      <c r="M3059" s="20">
        <v>1</v>
      </c>
      <c r="N3059" s="19">
        <v>0</v>
      </c>
      <c r="O3059" s="19">
        <v>0.1379549149345233</v>
      </c>
      <c r="P3059" s="19">
        <v>0</v>
      </c>
      <c r="Q3059" s="19">
        <v>0.27203212879532673</v>
      </c>
      <c r="R3059" s="19">
        <v>0.51737604893741107</v>
      </c>
      <c r="S3059" s="19">
        <v>7.2636907332738934E-2</v>
      </c>
      <c r="T3059" s="20">
        <v>12</v>
      </c>
      <c r="U3059" s="17">
        <v>3</v>
      </c>
      <c r="V3059" s="17">
        <v>36</v>
      </c>
    </row>
    <row r="3060" spans="1:22" x14ac:dyDescent="0.2">
      <c r="A3060" t="s">
        <v>6921</v>
      </c>
      <c r="B3060" t="s">
        <v>5862</v>
      </c>
      <c r="C3060" t="s">
        <v>5863</v>
      </c>
      <c r="D3060" t="s">
        <v>6922</v>
      </c>
      <c r="E3060" s="10" t="s">
        <v>6923</v>
      </c>
      <c r="F3060" s="10"/>
      <c r="G3060" s="10"/>
      <c r="H3060" s="10" t="s">
        <v>6923</v>
      </c>
      <c r="I3060" s="14">
        <v>61583.92883776268</v>
      </c>
      <c r="J3060" s="19">
        <v>0</v>
      </c>
      <c r="K3060" s="19">
        <v>0.35212327215177369</v>
      </c>
      <c r="L3060" s="19">
        <v>0.64787672784822636</v>
      </c>
      <c r="M3060" s="20">
        <v>1</v>
      </c>
      <c r="N3060" s="19">
        <v>0</v>
      </c>
      <c r="O3060" s="19">
        <v>0.35212327215177369</v>
      </c>
      <c r="P3060" s="19">
        <v>0</v>
      </c>
      <c r="Q3060" s="19">
        <v>0.26961065882683538</v>
      </c>
      <c r="R3060" s="19">
        <v>0.34233906947680171</v>
      </c>
      <c r="S3060" s="19">
        <v>3.5926999544589243E-2</v>
      </c>
      <c r="T3060" s="20">
        <v>12</v>
      </c>
      <c r="U3060" s="17">
        <v>3</v>
      </c>
      <c r="V3060" s="17">
        <v>36</v>
      </c>
    </row>
    <row r="3061" spans="1:22" x14ac:dyDescent="0.2">
      <c r="A3061" t="s">
        <v>6924</v>
      </c>
      <c r="B3061" t="s">
        <v>5862</v>
      </c>
      <c r="C3061" t="s">
        <v>5863</v>
      </c>
      <c r="D3061" t="s">
        <v>6922</v>
      </c>
      <c r="E3061" s="10" t="s">
        <v>6925</v>
      </c>
      <c r="F3061" s="10"/>
      <c r="G3061" s="10"/>
      <c r="H3061" s="10" t="s">
        <v>6925</v>
      </c>
      <c r="I3061" s="14">
        <v>106878.27399289107</v>
      </c>
      <c r="J3061" s="19">
        <v>0</v>
      </c>
      <c r="K3061" s="19">
        <v>0.17561049319780928</v>
      </c>
      <c r="L3061" s="19">
        <v>0.8243895068021907</v>
      </c>
      <c r="M3061" s="20">
        <v>1</v>
      </c>
      <c r="N3061" s="19">
        <v>0</v>
      </c>
      <c r="O3061" s="19">
        <v>0.17561049319780928</v>
      </c>
      <c r="P3061" s="19">
        <v>0</v>
      </c>
      <c r="Q3061" s="19">
        <v>0.30564864290695315</v>
      </c>
      <c r="R3061" s="19">
        <v>0.46386610477707974</v>
      </c>
      <c r="S3061" s="19">
        <v>5.4874759118157777E-2</v>
      </c>
      <c r="T3061" s="20">
        <v>12</v>
      </c>
      <c r="U3061" s="17">
        <v>3</v>
      </c>
      <c r="V3061" s="17">
        <v>36</v>
      </c>
    </row>
    <row r="3062" spans="1:22" x14ac:dyDescent="0.2">
      <c r="A3062" t="s">
        <v>6926</v>
      </c>
      <c r="B3062" t="s">
        <v>5862</v>
      </c>
      <c r="C3062" t="s">
        <v>5863</v>
      </c>
      <c r="D3062" t="s">
        <v>6922</v>
      </c>
      <c r="E3062" s="10" t="s">
        <v>6927</v>
      </c>
      <c r="F3062" s="10"/>
      <c r="G3062" s="10"/>
      <c r="H3062" s="10" t="s">
        <v>6927</v>
      </c>
      <c r="I3062" s="14">
        <v>40571.552654518746</v>
      </c>
      <c r="J3062" s="19">
        <v>0</v>
      </c>
      <c r="K3062" s="19">
        <v>0.19420122667149206</v>
      </c>
      <c r="L3062" s="19">
        <v>0.8057987733285078</v>
      </c>
      <c r="M3062" s="20">
        <v>1</v>
      </c>
      <c r="N3062" s="19">
        <v>0.14016733093963832</v>
      </c>
      <c r="O3062" s="19">
        <v>0</v>
      </c>
      <c r="P3062" s="19">
        <v>5.4033895731853736E-2</v>
      </c>
      <c r="Q3062" s="19">
        <v>0.23042459058018935</v>
      </c>
      <c r="R3062" s="19">
        <v>0.47166675751606663</v>
      </c>
      <c r="S3062" s="19">
        <v>0.103707425232252</v>
      </c>
      <c r="T3062" s="20">
        <v>12</v>
      </c>
      <c r="U3062" s="17">
        <v>3</v>
      </c>
      <c r="V3062" s="17">
        <v>36</v>
      </c>
    </row>
    <row r="3063" spans="1:22" x14ac:dyDescent="0.2">
      <c r="A3063" t="s">
        <v>6928</v>
      </c>
      <c r="B3063" t="s">
        <v>5862</v>
      </c>
      <c r="C3063" t="s">
        <v>5863</v>
      </c>
      <c r="D3063" t="s">
        <v>6922</v>
      </c>
      <c r="E3063" s="10" t="s">
        <v>6929</v>
      </c>
      <c r="F3063" s="10"/>
      <c r="G3063" s="10"/>
      <c r="H3063" s="10" t="s">
        <v>6929</v>
      </c>
      <c r="I3063" s="14">
        <v>296724.20727182948</v>
      </c>
      <c r="J3063" s="19">
        <v>0.64983157041744422</v>
      </c>
      <c r="K3063" s="19">
        <v>0.19641822650704549</v>
      </c>
      <c r="L3063" s="19">
        <v>0.15375020307551029</v>
      </c>
      <c r="M3063" s="20">
        <v>3</v>
      </c>
      <c r="N3063" s="19">
        <v>2.1776649668227319E-2</v>
      </c>
      <c r="O3063" s="19">
        <v>1.0513652653235575E-2</v>
      </c>
      <c r="P3063" s="19">
        <v>0.16412792418558261</v>
      </c>
      <c r="Q3063" s="19">
        <v>1.3169520050866594E-2</v>
      </c>
      <c r="R3063" s="19">
        <v>0.12973939269566284</v>
      </c>
      <c r="S3063" s="19">
        <v>1.0841290328980853E-2</v>
      </c>
      <c r="T3063" s="20">
        <v>30</v>
      </c>
      <c r="U3063" s="17">
        <v>3</v>
      </c>
      <c r="V3063" s="17">
        <v>36</v>
      </c>
    </row>
    <row r="3064" spans="1:22" x14ac:dyDescent="0.2">
      <c r="A3064" t="s">
        <v>6930</v>
      </c>
      <c r="B3064" t="s">
        <v>5862</v>
      </c>
      <c r="C3064" t="s">
        <v>5863</v>
      </c>
      <c r="D3064" t="s">
        <v>6922</v>
      </c>
      <c r="E3064" s="10" t="s">
        <v>6931</v>
      </c>
      <c r="F3064" s="10"/>
      <c r="G3064" s="10"/>
      <c r="H3064" s="10" t="s">
        <v>6931</v>
      </c>
      <c r="I3064" s="14">
        <v>95049.28988780221</v>
      </c>
      <c r="J3064" s="19">
        <v>0</v>
      </c>
      <c r="K3064" s="19">
        <v>0.22662323396673806</v>
      </c>
      <c r="L3064" s="19">
        <v>0.773376766033262</v>
      </c>
      <c r="M3064" s="20">
        <v>1</v>
      </c>
      <c r="N3064" s="19">
        <v>7.6063557766605241E-2</v>
      </c>
      <c r="O3064" s="19">
        <v>7.1756296460030303E-2</v>
      </c>
      <c r="P3064" s="19">
        <v>7.8803379740102514E-2</v>
      </c>
      <c r="Q3064" s="19">
        <v>0.25351817748772065</v>
      </c>
      <c r="R3064" s="19">
        <v>0.41127037962956153</v>
      </c>
      <c r="S3064" s="19">
        <v>0.10858820891597977</v>
      </c>
      <c r="T3064" s="20">
        <v>12</v>
      </c>
      <c r="U3064" s="17">
        <v>3</v>
      </c>
      <c r="V3064" s="17">
        <v>36</v>
      </c>
    </row>
    <row r="3065" spans="1:22" x14ac:dyDescent="0.2">
      <c r="A3065" t="s">
        <v>6932</v>
      </c>
      <c r="B3065" t="s">
        <v>5862</v>
      </c>
      <c r="C3065" t="s">
        <v>5863</v>
      </c>
      <c r="D3065" t="s">
        <v>6922</v>
      </c>
      <c r="E3065" s="10" t="s">
        <v>6933</v>
      </c>
      <c r="F3065" s="10"/>
      <c r="G3065" s="10"/>
      <c r="H3065" s="10" t="s">
        <v>6933</v>
      </c>
      <c r="I3065" s="14">
        <v>69423.03418891225</v>
      </c>
      <c r="J3065" s="19">
        <v>0</v>
      </c>
      <c r="K3065" s="19">
        <v>0.18039876645746364</v>
      </c>
      <c r="L3065" s="19">
        <v>0.81960123354253622</v>
      </c>
      <c r="M3065" s="20">
        <v>1</v>
      </c>
      <c r="N3065" s="19">
        <v>0</v>
      </c>
      <c r="O3065" s="19">
        <v>0.18039876645746364</v>
      </c>
      <c r="P3065" s="19">
        <v>0</v>
      </c>
      <c r="Q3065" s="19">
        <v>0.31696356860300862</v>
      </c>
      <c r="R3065" s="19">
        <v>0.43233465686124839</v>
      </c>
      <c r="S3065" s="19">
        <v>7.0303008078279314E-2</v>
      </c>
      <c r="T3065" s="20">
        <v>12</v>
      </c>
      <c r="U3065" s="17">
        <v>3</v>
      </c>
      <c r="V3065" s="17">
        <v>36</v>
      </c>
    </row>
    <row r="3066" spans="1:22" x14ac:dyDescent="0.2">
      <c r="A3066" t="s">
        <v>6934</v>
      </c>
      <c r="B3066" t="s">
        <v>5862</v>
      </c>
      <c r="C3066" t="s">
        <v>5863</v>
      </c>
      <c r="D3066" t="s">
        <v>6922</v>
      </c>
      <c r="E3066" s="10" t="s">
        <v>6935</v>
      </c>
      <c r="F3066" s="10"/>
      <c r="G3066" s="10"/>
      <c r="H3066" s="10" t="s">
        <v>6935</v>
      </c>
      <c r="I3066" s="14">
        <v>103589.16740749497</v>
      </c>
      <c r="J3066" s="19">
        <v>0</v>
      </c>
      <c r="K3066" s="19">
        <v>0.41382627615674167</v>
      </c>
      <c r="L3066" s="19">
        <v>0.58617372384325839</v>
      </c>
      <c r="M3066" s="20">
        <v>1</v>
      </c>
      <c r="N3066" s="19">
        <v>4.8495863332012432E-2</v>
      </c>
      <c r="O3066" s="19">
        <v>0.10300574979782741</v>
      </c>
      <c r="P3066" s="19">
        <v>0.26232466302690183</v>
      </c>
      <c r="Q3066" s="19">
        <v>0.20527274785983807</v>
      </c>
      <c r="R3066" s="19">
        <v>0.33900295399221175</v>
      </c>
      <c r="S3066" s="19">
        <v>4.1898021991208505E-2</v>
      </c>
      <c r="T3066" s="20">
        <v>12</v>
      </c>
      <c r="U3066" s="17">
        <v>3</v>
      </c>
      <c r="V3066" s="17">
        <v>36</v>
      </c>
    </row>
    <row r="3067" spans="1:22" x14ac:dyDescent="0.2">
      <c r="A3067" t="s">
        <v>6936</v>
      </c>
      <c r="B3067" t="s">
        <v>5862</v>
      </c>
      <c r="C3067" t="s">
        <v>5863</v>
      </c>
      <c r="D3067" t="s">
        <v>6922</v>
      </c>
      <c r="E3067" s="10" t="s">
        <v>6937</v>
      </c>
      <c r="F3067" s="10"/>
      <c r="G3067" s="10"/>
      <c r="H3067" s="10" t="s">
        <v>6937</v>
      </c>
      <c r="I3067" s="14">
        <v>135516.67953852599</v>
      </c>
      <c r="J3067" s="19">
        <v>0</v>
      </c>
      <c r="K3067" s="19">
        <v>0.20074343414372026</v>
      </c>
      <c r="L3067" s="19">
        <v>0.79925656585627958</v>
      </c>
      <c r="M3067" s="20">
        <v>1</v>
      </c>
      <c r="N3067" s="19">
        <v>0.12412992873095136</v>
      </c>
      <c r="O3067" s="19">
        <v>0</v>
      </c>
      <c r="P3067" s="19">
        <v>7.6613505412768915E-2</v>
      </c>
      <c r="Q3067" s="19">
        <v>0.28661466650697542</v>
      </c>
      <c r="R3067" s="19">
        <v>0.44791133930718918</v>
      </c>
      <c r="S3067" s="19">
        <v>6.4730560042115151E-2</v>
      </c>
      <c r="T3067" s="20">
        <v>12</v>
      </c>
      <c r="U3067" s="17">
        <v>3</v>
      </c>
      <c r="V3067" s="17">
        <v>36</v>
      </c>
    </row>
    <row r="3068" spans="1:22" x14ac:dyDescent="0.2">
      <c r="A3068" t="s">
        <v>6938</v>
      </c>
      <c r="B3068" t="s">
        <v>5862</v>
      </c>
      <c r="C3068" t="s">
        <v>5863</v>
      </c>
      <c r="D3068" t="s">
        <v>6922</v>
      </c>
      <c r="E3068" s="10" t="s">
        <v>6939</v>
      </c>
      <c r="F3068" s="10"/>
      <c r="G3068" s="10"/>
      <c r="H3068" s="10" t="s">
        <v>6939</v>
      </c>
      <c r="I3068" s="14">
        <v>43164.711061588023</v>
      </c>
      <c r="J3068" s="19">
        <v>0</v>
      </c>
      <c r="K3068" s="19">
        <v>0.33712659290524127</v>
      </c>
      <c r="L3068" s="19">
        <v>0.66287340709475873</v>
      </c>
      <c r="M3068" s="20">
        <v>1</v>
      </c>
      <c r="N3068" s="19">
        <v>0.20911444371743396</v>
      </c>
      <c r="O3068" s="19">
        <v>0</v>
      </c>
      <c r="P3068" s="19">
        <v>0.12801214918780726</v>
      </c>
      <c r="Q3068" s="19">
        <v>9.6773930871769706E-2</v>
      </c>
      <c r="R3068" s="19">
        <v>0.47939365602526268</v>
      </c>
      <c r="S3068" s="19">
        <v>8.6705820197726352E-2</v>
      </c>
      <c r="T3068" s="20">
        <v>12</v>
      </c>
      <c r="U3068" s="17">
        <v>3</v>
      </c>
      <c r="V3068" s="17">
        <v>36</v>
      </c>
    </row>
    <row r="3069" spans="1:22" x14ac:dyDescent="0.2">
      <c r="A3069" t="s">
        <v>6940</v>
      </c>
      <c r="B3069" t="s">
        <v>5862</v>
      </c>
      <c r="C3069" t="s">
        <v>5863</v>
      </c>
      <c r="D3069" t="s">
        <v>6941</v>
      </c>
      <c r="E3069" s="10" t="s">
        <v>6942</v>
      </c>
      <c r="F3069" s="10"/>
      <c r="G3069" s="10"/>
      <c r="H3069" s="10" t="s">
        <v>6942</v>
      </c>
      <c r="I3069" s="14">
        <v>9005.8621675036848</v>
      </c>
      <c r="J3069" s="19">
        <v>0</v>
      </c>
      <c r="K3069" s="19">
        <v>0.63490466431692161</v>
      </c>
      <c r="L3069" s="19">
        <v>0.36509533568307828</v>
      </c>
      <c r="M3069" s="20">
        <v>2</v>
      </c>
      <c r="N3069" s="19">
        <v>5.0166826156998402E-4</v>
      </c>
      <c r="O3069" s="19">
        <v>0</v>
      </c>
      <c r="P3069" s="19">
        <v>0.63440299605535166</v>
      </c>
      <c r="Q3069" s="19">
        <v>5.7981198267579068E-2</v>
      </c>
      <c r="R3069" s="19">
        <v>0.28986658276256388</v>
      </c>
      <c r="S3069" s="19">
        <v>1.7247554652935378E-2</v>
      </c>
      <c r="T3069" s="20">
        <v>21</v>
      </c>
      <c r="U3069" s="17">
        <v>3</v>
      </c>
      <c r="V3069" s="17">
        <v>36</v>
      </c>
    </row>
    <row r="3070" spans="1:22" x14ac:dyDescent="0.2">
      <c r="A3070" t="s">
        <v>6943</v>
      </c>
      <c r="B3070" t="s">
        <v>5862</v>
      </c>
      <c r="C3070" t="s">
        <v>5863</v>
      </c>
      <c r="D3070" t="s">
        <v>6941</v>
      </c>
      <c r="E3070" s="10" t="s">
        <v>6944</v>
      </c>
      <c r="F3070" s="10"/>
      <c r="G3070" s="10"/>
      <c r="H3070" s="10" t="s">
        <v>6944</v>
      </c>
      <c r="I3070" s="14">
        <v>53866.7502871342</v>
      </c>
      <c r="J3070" s="19">
        <v>0</v>
      </c>
      <c r="K3070" s="19">
        <v>0.90338350804739898</v>
      </c>
      <c r="L3070" s="19">
        <v>9.6616491952601039E-2</v>
      </c>
      <c r="M3070" s="20">
        <v>2</v>
      </c>
      <c r="N3070" s="19">
        <v>0.40816351999909734</v>
      </c>
      <c r="O3070" s="19">
        <v>0</v>
      </c>
      <c r="P3070" s="19">
        <v>0.49521998804830158</v>
      </c>
      <c r="Q3070" s="19">
        <v>1.3238154017482904E-2</v>
      </c>
      <c r="R3070" s="19">
        <v>7.5476235649352436E-2</v>
      </c>
      <c r="S3070" s="19">
        <v>7.9021022857657004E-3</v>
      </c>
      <c r="T3070" s="20">
        <v>23</v>
      </c>
      <c r="U3070" s="17">
        <v>3</v>
      </c>
      <c r="V3070" s="17">
        <v>36</v>
      </c>
    </row>
    <row r="3071" spans="1:22" x14ac:dyDescent="0.2">
      <c r="A3071" t="s">
        <v>6945</v>
      </c>
      <c r="B3071" t="s">
        <v>5862</v>
      </c>
      <c r="C3071" t="s">
        <v>5863</v>
      </c>
      <c r="D3071" t="s">
        <v>6941</v>
      </c>
      <c r="E3071" s="10" t="s">
        <v>6946</v>
      </c>
      <c r="F3071" s="10"/>
      <c r="G3071" s="10"/>
      <c r="H3071" s="10" t="s">
        <v>6946</v>
      </c>
      <c r="I3071" s="14">
        <v>115243.02801419953</v>
      </c>
      <c r="J3071" s="19">
        <v>0.26885657725701367</v>
      </c>
      <c r="K3071" s="19">
        <v>0.62993406083950132</v>
      </c>
      <c r="L3071" s="19">
        <v>0.10120936190348484</v>
      </c>
      <c r="M3071" s="20">
        <v>2</v>
      </c>
      <c r="N3071" s="19">
        <v>9.9620720325374182E-2</v>
      </c>
      <c r="O3071" s="19">
        <v>0</v>
      </c>
      <c r="P3071" s="19">
        <v>0.53031334051412715</v>
      </c>
      <c r="Q3071" s="19">
        <v>4.3988381006113833E-3</v>
      </c>
      <c r="R3071" s="19">
        <v>9.0276856563447777E-2</v>
      </c>
      <c r="S3071" s="19">
        <v>6.5336672394256815E-3</v>
      </c>
      <c r="T3071" s="20">
        <v>21</v>
      </c>
      <c r="U3071" s="17">
        <v>3</v>
      </c>
      <c r="V3071" s="17">
        <v>36</v>
      </c>
    </row>
    <row r="3072" spans="1:22" x14ac:dyDescent="0.2">
      <c r="A3072" t="s">
        <v>6947</v>
      </c>
      <c r="B3072" t="s">
        <v>5862</v>
      </c>
      <c r="C3072" t="s">
        <v>5863</v>
      </c>
      <c r="D3072" t="s">
        <v>6941</v>
      </c>
      <c r="E3072" s="10" t="s">
        <v>6948</v>
      </c>
      <c r="F3072" s="10"/>
      <c r="G3072" s="10"/>
      <c r="H3072" s="10" t="s">
        <v>6948</v>
      </c>
      <c r="I3072" s="14">
        <v>60823.000817758963</v>
      </c>
      <c r="J3072" s="19">
        <v>0</v>
      </c>
      <c r="K3072" s="19">
        <v>0.89671540859369547</v>
      </c>
      <c r="L3072" s="19">
        <v>0.10328459140630451</v>
      </c>
      <c r="M3072" s="20">
        <v>2</v>
      </c>
      <c r="N3072" s="19">
        <v>0.16209566842108211</v>
      </c>
      <c r="O3072" s="19">
        <v>0</v>
      </c>
      <c r="P3072" s="19">
        <v>0.73461974017261333</v>
      </c>
      <c r="Q3072" s="19">
        <v>0</v>
      </c>
      <c r="R3072" s="19">
        <v>0.10035510681234816</v>
      </c>
      <c r="S3072" s="19">
        <v>2.9294845939563502E-3</v>
      </c>
      <c r="T3072" s="20">
        <v>21</v>
      </c>
      <c r="U3072" s="17">
        <v>3</v>
      </c>
      <c r="V3072" s="17">
        <v>36</v>
      </c>
    </row>
    <row r="3073" spans="1:22" x14ac:dyDescent="0.2">
      <c r="A3073" t="s">
        <v>6949</v>
      </c>
      <c r="B3073" t="s">
        <v>5862</v>
      </c>
      <c r="C3073" t="s">
        <v>5863</v>
      </c>
      <c r="D3073" t="s">
        <v>6941</v>
      </c>
      <c r="E3073" s="10" t="s">
        <v>6950</v>
      </c>
      <c r="F3073" s="10"/>
      <c r="G3073" s="10"/>
      <c r="H3073" s="10" t="s">
        <v>6950</v>
      </c>
      <c r="I3073" s="14">
        <v>61847.020313267363</v>
      </c>
      <c r="J3073" s="19">
        <v>0</v>
      </c>
      <c r="K3073" s="19">
        <v>0.52088064532782641</v>
      </c>
      <c r="L3073" s="19">
        <v>0.47911935467217359</v>
      </c>
      <c r="M3073" s="20">
        <v>2</v>
      </c>
      <c r="N3073" s="19">
        <v>0.12530904545792571</v>
      </c>
      <c r="O3073" s="19">
        <v>0</v>
      </c>
      <c r="P3073" s="19">
        <v>0.39557159986990065</v>
      </c>
      <c r="Q3073" s="19">
        <v>8.6417744483495235E-2</v>
      </c>
      <c r="R3073" s="19">
        <v>0.35419751017750051</v>
      </c>
      <c r="S3073" s="19">
        <v>3.8504100011177891E-2</v>
      </c>
      <c r="T3073" s="20">
        <v>23</v>
      </c>
      <c r="U3073" s="17">
        <v>3</v>
      </c>
      <c r="V3073" s="17">
        <v>36</v>
      </c>
    </row>
    <row r="3074" spans="1:22" x14ac:dyDescent="0.2">
      <c r="A3074" t="s">
        <v>6951</v>
      </c>
      <c r="B3074" t="s">
        <v>5862</v>
      </c>
      <c r="C3074" t="s">
        <v>5863</v>
      </c>
      <c r="D3074" t="s">
        <v>6941</v>
      </c>
      <c r="E3074" s="10" t="s">
        <v>6952</v>
      </c>
      <c r="F3074" s="10"/>
      <c r="G3074" s="10"/>
      <c r="H3074" s="10" t="s">
        <v>6952</v>
      </c>
      <c r="I3074" s="14">
        <v>34448.528486479714</v>
      </c>
      <c r="J3074" s="19">
        <v>0</v>
      </c>
      <c r="K3074" s="19">
        <v>0.25147752832884729</v>
      </c>
      <c r="L3074" s="19">
        <v>0.74852247167115271</v>
      </c>
      <c r="M3074" s="20">
        <v>1</v>
      </c>
      <c r="N3074" s="19">
        <v>0</v>
      </c>
      <c r="O3074" s="19">
        <v>0</v>
      </c>
      <c r="P3074" s="19">
        <v>0.25147752832884729</v>
      </c>
      <c r="Q3074" s="19">
        <v>8.5658093885169997E-2</v>
      </c>
      <c r="R3074" s="19">
        <v>0.64142909846559326</v>
      </c>
      <c r="S3074" s="19">
        <v>2.1435279320389508E-2</v>
      </c>
      <c r="T3074" s="20">
        <v>12</v>
      </c>
      <c r="U3074" s="17">
        <v>3</v>
      </c>
      <c r="V3074" s="17">
        <v>36</v>
      </c>
    </row>
    <row r="3075" spans="1:22" x14ac:dyDescent="0.2">
      <c r="A3075" t="s">
        <v>6953</v>
      </c>
      <c r="B3075" t="s">
        <v>5862</v>
      </c>
      <c r="C3075" t="s">
        <v>5863</v>
      </c>
      <c r="D3075" t="s">
        <v>6941</v>
      </c>
      <c r="E3075" s="10" t="s">
        <v>6954</v>
      </c>
      <c r="F3075" s="10"/>
      <c r="G3075" s="10"/>
      <c r="H3075" s="10" t="s">
        <v>6954</v>
      </c>
      <c r="I3075" s="14">
        <v>22155.736000647303</v>
      </c>
      <c r="J3075" s="19">
        <v>0</v>
      </c>
      <c r="K3075" s="19">
        <v>0.48339111164744142</v>
      </c>
      <c r="L3075" s="19">
        <v>0.51660888835255847</v>
      </c>
      <c r="M3075" s="20">
        <v>1</v>
      </c>
      <c r="N3075" s="19">
        <v>0</v>
      </c>
      <c r="O3075" s="19">
        <v>0</v>
      </c>
      <c r="P3075" s="19">
        <v>0.48339111164744142</v>
      </c>
      <c r="Q3075" s="19">
        <v>0.25086763707214349</v>
      </c>
      <c r="R3075" s="19">
        <v>0.24710227710069846</v>
      </c>
      <c r="S3075" s="19">
        <v>1.863897417971663E-2</v>
      </c>
      <c r="T3075" s="20">
        <v>13</v>
      </c>
      <c r="U3075" s="17">
        <v>3</v>
      </c>
      <c r="V3075" s="17">
        <v>36</v>
      </c>
    </row>
    <row r="3076" spans="1:22" x14ac:dyDescent="0.2">
      <c r="A3076" t="s">
        <v>6955</v>
      </c>
      <c r="B3076" t="s">
        <v>5862</v>
      </c>
      <c r="C3076" t="s">
        <v>5863</v>
      </c>
      <c r="D3076" t="s">
        <v>6941</v>
      </c>
      <c r="E3076" s="10" t="s">
        <v>6956</v>
      </c>
      <c r="F3076" s="10"/>
      <c r="G3076" s="10"/>
      <c r="H3076" s="10" t="s">
        <v>6956</v>
      </c>
      <c r="I3076" s="14">
        <v>52018.529335695086</v>
      </c>
      <c r="J3076" s="19">
        <v>0</v>
      </c>
      <c r="K3076" s="19">
        <v>0.87260695322630977</v>
      </c>
      <c r="L3076" s="19">
        <v>0.12739304677369023</v>
      </c>
      <c r="M3076" s="20">
        <v>2</v>
      </c>
      <c r="N3076" s="19">
        <v>0.17948709936088375</v>
      </c>
      <c r="O3076" s="19">
        <v>0</v>
      </c>
      <c r="P3076" s="19">
        <v>0.69311985386542596</v>
      </c>
      <c r="Q3076" s="19">
        <v>4.2131926600593025E-4</v>
      </c>
      <c r="R3076" s="19">
        <v>0.11722026868155497</v>
      </c>
      <c r="S3076" s="19">
        <v>9.7514588261293431E-3</v>
      </c>
      <c r="T3076" s="20">
        <v>21</v>
      </c>
      <c r="U3076" s="17">
        <v>3</v>
      </c>
      <c r="V3076" s="17">
        <v>36</v>
      </c>
    </row>
    <row r="3077" spans="1:22" x14ac:dyDescent="0.2">
      <c r="A3077" t="s">
        <v>6957</v>
      </c>
      <c r="B3077" t="s">
        <v>5862</v>
      </c>
      <c r="C3077" t="s">
        <v>5863</v>
      </c>
      <c r="D3077" t="s">
        <v>6941</v>
      </c>
      <c r="E3077" s="10" t="s">
        <v>6958</v>
      </c>
      <c r="F3077" s="10"/>
      <c r="G3077" s="10"/>
      <c r="H3077" s="10" t="s">
        <v>6958</v>
      </c>
      <c r="I3077" s="14">
        <v>29056.115631278139</v>
      </c>
      <c r="J3077" s="19">
        <v>0</v>
      </c>
      <c r="K3077" s="19">
        <v>0.38798812447793873</v>
      </c>
      <c r="L3077" s="19">
        <v>0.61201187552206127</v>
      </c>
      <c r="M3077" s="20">
        <v>1</v>
      </c>
      <c r="N3077" s="19">
        <v>0</v>
      </c>
      <c r="O3077" s="19">
        <v>0.38650049978352125</v>
      </c>
      <c r="P3077" s="19">
        <v>1.4876246944175275E-3</v>
      </c>
      <c r="Q3077" s="19">
        <v>8.1547738373864823E-2</v>
      </c>
      <c r="R3077" s="19">
        <v>0.51891263837776325</v>
      </c>
      <c r="S3077" s="19">
        <v>1.155149877043316E-2</v>
      </c>
      <c r="T3077" s="20">
        <v>12</v>
      </c>
      <c r="U3077" s="17">
        <v>3</v>
      </c>
      <c r="V3077" s="17">
        <v>36</v>
      </c>
    </row>
    <row r="3078" spans="1:22" x14ac:dyDescent="0.2">
      <c r="A3078" t="s">
        <v>6959</v>
      </c>
      <c r="B3078" t="s">
        <v>5862</v>
      </c>
      <c r="C3078" t="s">
        <v>5863</v>
      </c>
      <c r="D3078" t="s">
        <v>6941</v>
      </c>
      <c r="E3078" s="10" t="s">
        <v>6960</v>
      </c>
      <c r="F3078" s="10"/>
      <c r="G3078" s="10"/>
      <c r="H3078" s="10" t="s">
        <v>6960</v>
      </c>
      <c r="I3078" s="14">
        <v>42378.1596394605</v>
      </c>
      <c r="J3078" s="19">
        <v>0</v>
      </c>
      <c r="K3078" s="19">
        <v>0.75918556642106028</v>
      </c>
      <c r="L3078" s="19">
        <v>0.24081443357893975</v>
      </c>
      <c r="M3078" s="20">
        <v>2</v>
      </c>
      <c r="N3078" s="19">
        <v>0.18929153045805072</v>
      </c>
      <c r="O3078" s="19">
        <v>0.17158983717439324</v>
      </c>
      <c r="P3078" s="19">
        <v>0.39830419878861628</v>
      </c>
      <c r="Q3078" s="19">
        <v>2.8904149050170934E-2</v>
      </c>
      <c r="R3078" s="19">
        <v>0.19602416055910821</v>
      </c>
      <c r="S3078" s="19">
        <v>1.5886123969660576E-2</v>
      </c>
      <c r="T3078" s="20">
        <v>23</v>
      </c>
      <c r="U3078" s="17">
        <v>3</v>
      </c>
      <c r="V3078" s="17">
        <v>36</v>
      </c>
    </row>
    <row r="3079" spans="1:22" x14ac:dyDescent="0.2">
      <c r="A3079" t="s">
        <v>6961</v>
      </c>
      <c r="B3079" t="s">
        <v>5862</v>
      </c>
      <c r="C3079" t="s">
        <v>5863</v>
      </c>
      <c r="D3079" t="s">
        <v>6941</v>
      </c>
      <c r="E3079" s="10" t="s">
        <v>6941</v>
      </c>
      <c r="F3079" s="10"/>
      <c r="G3079" s="10"/>
      <c r="H3079" s="10" t="s">
        <v>6941</v>
      </c>
      <c r="I3079" s="14">
        <v>205018.08086902974</v>
      </c>
      <c r="J3079" s="19">
        <v>0.82097901983049892</v>
      </c>
      <c r="K3079" s="19">
        <v>0.16549442846884993</v>
      </c>
      <c r="L3079" s="19">
        <v>1.3526551700651139E-2</v>
      </c>
      <c r="M3079" s="20">
        <v>3</v>
      </c>
      <c r="N3079" s="19">
        <v>3.612865087822225E-2</v>
      </c>
      <c r="O3079" s="19">
        <v>0</v>
      </c>
      <c r="P3079" s="19">
        <v>0.1293657775906277</v>
      </c>
      <c r="Q3079" s="19">
        <v>0</v>
      </c>
      <c r="R3079" s="19">
        <v>1.2099339336035207E-2</v>
      </c>
      <c r="S3079" s="19">
        <v>1.4272123646159316E-3</v>
      </c>
      <c r="T3079" s="20">
        <v>30</v>
      </c>
      <c r="U3079" s="17">
        <v>3</v>
      </c>
      <c r="V3079" s="17">
        <v>36</v>
      </c>
    </row>
    <row r="3080" spans="1:22" x14ac:dyDescent="0.2">
      <c r="A3080" t="s">
        <v>6962</v>
      </c>
      <c r="B3080" t="s">
        <v>5862</v>
      </c>
      <c r="C3080" t="s">
        <v>5863</v>
      </c>
      <c r="D3080" t="s">
        <v>6941</v>
      </c>
      <c r="E3080" s="10" t="s">
        <v>6963</v>
      </c>
      <c r="F3080" s="10"/>
      <c r="G3080" s="10"/>
      <c r="H3080" s="10" t="s">
        <v>6963</v>
      </c>
      <c r="I3080" s="14">
        <v>61449.343283726601</v>
      </c>
      <c r="J3080" s="19">
        <v>0</v>
      </c>
      <c r="K3080" s="19">
        <v>0.67708560469240253</v>
      </c>
      <c r="L3080" s="19">
        <v>0.32291439530759741</v>
      </c>
      <c r="M3080" s="20">
        <v>2</v>
      </c>
      <c r="N3080" s="19">
        <v>0.40847695713303322</v>
      </c>
      <c r="O3080" s="19">
        <v>0</v>
      </c>
      <c r="P3080" s="19">
        <v>0.26860864755936931</v>
      </c>
      <c r="Q3080" s="19">
        <v>8.9190325524163172E-2</v>
      </c>
      <c r="R3080" s="19">
        <v>0.21312824880159689</v>
      </c>
      <c r="S3080" s="19">
        <v>2.0595820981837369E-2</v>
      </c>
      <c r="T3080" s="20">
        <v>23</v>
      </c>
      <c r="U3080" s="17">
        <v>3</v>
      </c>
      <c r="V3080" s="17">
        <v>36</v>
      </c>
    </row>
    <row r="3081" spans="1:22" x14ac:dyDescent="0.2">
      <c r="A3081" t="s">
        <v>6964</v>
      </c>
      <c r="B3081" t="s">
        <v>5862</v>
      </c>
      <c r="C3081" t="s">
        <v>5863</v>
      </c>
      <c r="D3081" t="s">
        <v>6941</v>
      </c>
      <c r="E3081" s="10" t="s">
        <v>6965</v>
      </c>
      <c r="F3081" s="10"/>
      <c r="G3081" s="10"/>
      <c r="H3081" s="10" t="s">
        <v>6965</v>
      </c>
      <c r="I3081" s="14">
        <v>46531.966174938025</v>
      </c>
      <c r="J3081" s="19">
        <v>0</v>
      </c>
      <c r="K3081" s="19">
        <v>0.81023159328633521</v>
      </c>
      <c r="L3081" s="19">
        <v>0.18976840671366463</v>
      </c>
      <c r="M3081" s="20">
        <v>2</v>
      </c>
      <c r="N3081" s="19">
        <v>0.41837434830932596</v>
      </c>
      <c r="O3081" s="19">
        <v>8.9474026750885772E-3</v>
      </c>
      <c r="P3081" s="19">
        <v>0.38290984230192066</v>
      </c>
      <c r="Q3081" s="19">
        <v>3.5599834576010334E-2</v>
      </c>
      <c r="R3081" s="19">
        <v>0.14773588103191312</v>
      </c>
      <c r="S3081" s="19">
        <v>6.4326911057411926E-3</v>
      </c>
      <c r="T3081" s="20">
        <v>23</v>
      </c>
      <c r="U3081" s="17">
        <v>3</v>
      </c>
      <c r="V3081" s="17">
        <v>36</v>
      </c>
    </row>
    <row r="3082" spans="1:22" x14ac:dyDescent="0.2">
      <c r="A3082" t="s">
        <v>6966</v>
      </c>
      <c r="B3082" t="s">
        <v>5862</v>
      </c>
      <c r="C3082" t="s">
        <v>5863</v>
      </c>
      <c r="D3082" t="s">
        <v>6941</v>
      </c>
      <c r="E3082" s="10" t="s">
        <v>6967</v>
      </c>
      <c r="F3082" s="10"/>
      <c r="G3082" s="10"/>
      <c r="H3082" s="10" t="s">
        <v>6967</v>
      </c>
      <c r="I3082" s="14">
        <v>38615.067749759997</v>
      </c>
      <c r="J3082" s="19">
        <v>0.47316847026617126</v>
      </c>
      <c r="K3082" s="19">
        <v>0.27862645317560852</v>
      </c>
      <c r="L3082" s="19">
        <v>0.24820507655822019</v>
      </c>
      <c r="M3082" s="20">
        <v>2</v>
      </c>
      <c r="N3082" s="19">
        <v>0</v>
      </c>
      <c r="O3082" s="19">
        <v>0</v>
      </c>
      <c r="P3082" s="19">
        <v>0.27862645317560852</v>
      </c>
      <c r="Q3082" s="19">
        <v>7.5233395516376353E-5</v>
      </c>
      <c r="R3082" s="19">
        <v>0.20556416271692657</v>
      </c>
      <c r="S3082" s="19">
        <v>4.2565680445777243E-2</v>
      </c>
      <c r="T3082" s="20">
        <v>23</v>
      </c>
      <c r="U3082" s="17">
        <v>3</v>
      </c>
      <c r="V3082" s="17">
        <v>36</v>
      </c>
    </row>
    <row r="3083" spans="1:22" x14ac:dyDescent="0.2">
      <c r="A3083" t="s">
        <v>6968</v>
      </c>
      <c r="B3083" t="s">
        <v>5862</v>
      </c>
      <c r="C3083" t="s">
        <v>5863</v>
      </c>
      <c r="D3083" t="s">
        <v>6941</v>
      </c>
      <c r="E3083" s="10" t="s">
        <v>6969</v>
      </c>
      <c r="F3083" s="10"/>
      <c r="G3083" s="10"/>
      <c r="H3083" s="10" t="s">
        <v>6969</v>
      </c>
      <c r="I3083" s="14">
        <v>29844.32594088302</v>
      </c>
      <c r="J3083" s="19">
        <v>5.767609680835907E-2</v>
      </c>
      <c r="K3083" s="19">
        <v>0.45086175523050703</v>
      </c>
      <c r="L3083" s="19">
        <v>0.49146214796113386</v>
      </c>
      <c r="M3083" s="20">
        <v>2</v>
      </c>
      <c r="N3083" s="19">
        <v>0</v>
      </c>
      <c r="O3083" s="19">
        <v>0</v>
      </c>
      <c r="P3083" s="19">
        <v>0.45086175523050703</v>
      </c>
      <c r="Q3083" s="19">
        <v>3.4231484684065748E-2</v>
      </c>
      <c r="R3083" s="19">
        <v>0.39871369024431519</v>
      </c>
      <c r="S3083" s="19">
        <v>5.8516973032752946E-2</v>
      </c>
      <c r="T3083" s="20">
        <v>23</v>
      </c>
      <c r="U3083" s="17">
        <v>3</v>
      </c>
      <c r="V3083" s="17">
        <v>36</v>
      </c>
    </row>
    <row r="3084" spans="1:22" x14ac:dyDescent="0.2">
      <c r="A3084" t="s">
        <v>6970</v>
      </c>
      <c r="B3084" t="s">
        <v>5862</v>
      </c>
      <c r="C3084" t="s">
        <v>5863</v>
      </c>
      <c r="D3084" t="s">
        <v>6971</v>
      </c>
      <c r="E3084" s="10" t="s">
        <v>6972</v>
      </c>
      <c r="F3084" s="10"/>
      <c r="G3084" s="10"/>
      <c r="H3084" s="10" t="s">
        <v>6972</v>
      </c>
      <c r="I3084" s="14">
        <v>36244.786537541309</v>
      </c>
      <c r="J3084" s="19">
        <v>0</v>
      </c>
      <c r="K3084" s="19">
        <v>0.66006470360950886</v>
      </c>
      <c r="L3084" s="19">
        <v>0.33993529639049103</v>
      </c>
      <c r="M3084" s="20">
        <v>2</v>
      </c>
      <c r="N3084" s="19">
        <v>0.25822945639706463</v>
      </c>
      <c r="O3084" s="19">
        <v>0</v>
      </c>
      <c r="P3084" s="19">
        <v>0.4018352472124444</v>
      </c>
      <c r="Q3084" s="19">
        <v>3.726567548695054E-2</v>
      </c>
      <c r="R3084" s="19">
        <v>0.25603371103280048</v>
      </c>
      <c r="S3084" s="19">
        <v>4.6635909870739983E-2</v>
      </c>
      <c r="T3084" s="20">
        <v>23</v>
      </c>
      <c r="U3084" s="17">
        <v>3</v>
      </c>
      <c r="V3084" s="17">
        <v>36</v>
      </c>
    </row>
    <row r="3085" spans="1:22" x14ac:dyDescent="0.2">
      <c r="A3085" t="s">
        <v>6973</v>
      </c>
      <c r="B3085" t="s">
        <v>5862</v>
      </c>
      <c r="C3085" t="s">
        <v>5863</v>
      </c>
      <c r="D3085" t="s">
        <v>6971</v>
      </c>
      <c r="E3085" s="10" t="s">
        <v>6974</v>
      </c>
      <c r="F3085" s="10"/>
      <c r="G3085" s="10"/>
      <c r="H3085" s="10" t="s">
        <v>6974</v>
      </c>
      <c r="I3085" s="14">
        <v>56681.190631214529</v>
      </c>
      <c r="J3085" s="19">
        <v>0</v>
      </c>
      <c r="K3085" s="19">
        <v>0.44183429127838963</v>
      </c>
      <c r="L3085" s="19">
        <v>0.55816570872161042</v>
      </c>
      <c r="M3085" s="20">
        <v>1</v>
      </c>
      <c r="N3085" s="19">
        <v>0.13320444341912172</v>
      </c>
      <c r="O3085" s="19">
        <v>0</v>
      </c>
      <c r="P3085" s="19">
        <v>0.30862984785926789</v>
      </c>
      <c r="Q3085" s="19">
        <v>0.21232257804979901</v>
      </c>
      <c r="R3085" s="19">
        <v>0.27928709728871415</v>
      </c>
      <c r="S3085" s="19">
        <v>6.6556033383097193E-2</v>
      </c>
      <c r="T3085" s="20">
        <v>12</v>
      </c>
      <c r="U3085" s="17">
        <v>3</v>
      </c>
      <c r="V3085" s="17">
        <v>36</v>
      </c>
    </row>
    <row r="3086" spans="1:22" x14ac:dyDescent="0.2">
      <c r="A3086" t="s">
        <v>6975</v>
      </c>
      <c r="B3086" t="s">
        <v>5862</v>
      </c>
      <c r="C3086" t="s">
        <v>5863</v>
      </c>
      <c r="D3086" t="s">
        <v>6971</v>
      </c>
      <c r="E3086" s="10" t="s">
        <v>6976</v>
      </c>
      <c r="F3086" s="10"/>
      <c r="G3086" s="10"/>
      <c r="H3086" s="10" t="s">
        <v>6976</v>
      </c>
      <c r="I3086" s="14">
        <v>133164.36855266313</v>
      </c>
      <c r="J3086" s="19">
        <v>0.50962574856184251</v>
      </c>
      <c r="K3086" s="19">
        <v>0.35595557744914624</v>
      </c>
      <c r="L3086" s="19">
        <v>0.13441867398901125</v>
      </c>
      <c r="M3086" s="20">
        <v>3</v>
      </c>
      <c r="N3086" s="19">
        <v>4.6471669863165289E-2</v>
      </c>
      <c r="O3086" s="19">
        <v>4.4178142829572602E-2</v>
      </c>
      <c r="P3086" s="19">
        <v>0.26530576475640832</v>
      </c>
      <c r="Q3086" s="19">
        <v>2.2824647345834764E-2</v>
      </c>
      <c r="R3086" s="19">
        <v>9.4657556538510143E-2</v>
      </c>
      <c r="S3086" s="19">
        <v>1.6936470104666333E-2</v>
      </c>
      <c r="T3086" s="20">
        <v>30</v>
      </c>
      <c r="U3086" s="17">
        <v>3</v>
      </c>
      <c r="V3086" s="17">
        <v>36</v>
      </c>
    </row>
    <row r="3087" spans="1:22" x14ac:dyDescent="0.2">
      <c r="A3087" t="s">
        <v>6977</v>
      </c>
      <c r="B3087" t="s">
        <v>5862</v>
      </c>
      <c r="C3087" t="s">
        <v>5863</v>
      </c>
      <c r="D3087" t="s">
        <v>6971</v>
      </c>
      <c r="E3087" s="10" t="s">
        <v>6978</v>
      </c>
      <c r="F3087" s="10"/>
      <c r="G3087" s="10"/>
      <c r="H3087" s="10" t="s">
        <v>6978</v>
      </c>
      <c r="I3087" s="14">
        <v>21333.129450557753</v>
      </c>
      <c r="J3087" s="19">
        <v>0</v>
      </c>
      <c r="K3087" s="19">
        <v>0.8766528753800682</v>
      </c>
      <c r="L3087" s="19">
        <v>0.12334712461993176</v>
      </c>
      <c r="M3087" s="20">
        <v>2</v>
      </c>
      <c r="N3087" s="19">
        <v>0.2686237338938699</v>
      </c>
      <c r="O3087" s="19">
        <v>0.24392664072312298</v>
      </c>
      <c r="P3087" s="19">
        <v>0.36410250076307538</v>
      </c>
      <c r="Q3087" s="19">
        <v>0</v>
      </c>
      <c r="R3087" s="19">
        <v>0.10282645499240711</v>
      </c>
      <c r="S3087" s="19">
        <v>2.0520669627524656E-2</v>
      </c>
      <c r="T3087" s="20">
        <v>23</v>
      </c>
      <c r="U3087" s="17">
        <v>3</v>
      </c>
      <c r="V3087" s="17">
        <v>36</v>
      </c>
    </row>
    <row r="3088" spans="1:22" x14ac:dyDescent="0.2">
      <c r="A3088" t="s">
        <v>6979</v>
      </c>
      <c r="B3088" t="s">
        <v>5862</v>
      </c>
      <c r="C3088" t="s">
        <v>5863</v>
      </c>
      <c r="D3088" t="s">
        <v>6971</v>
      </c>
      <c r="E3088" s="10" t="s">
        <v>6980</v>
      </c>
      <c r="F3088" s="10"/>
      <c r="G3088" s="10"/>
      <c r="H3088" s="10" t="s">
        <v>6980</v>
      </c>
      <c r="I3088" s="14">
        <v>49689.170780446846</v>
      </c>
      <c r="J3088" s="19">
        <v>0</v>
      </c>
      <c r="K3088" s="19">
        <v>0.51792321085928483</v>
      </c>
      <c r="L3088" s="19">
        <v>0.48207678914071517</v>
      </c>
      <c r="M3088" s="20">
        <v>2</v>
      </c>
      <c r="N3088" s="19">
        <v>0.13974068515947746</v>
      </c>
      <c r="O3088" s="19">
        <v>8.9940261105036334E-2</v>
      </c>
      <c r="P3088" s="19">
        <v>0.28824226459477098</v>
      </c>
      <c r="Q3088" s="19">
        <v>0.15442328360498192</v>
      </c>
      <c r="R3088" s="19">
        <v>0.27410728710896276</v>
      </c>
      <c r="S3088" s="19">
        <v>5.3546218426770563E-2</v>
      </c>
      <c r="T3088" s="20">
        <v>23</v>
      </c>
      <c r="U3088" s="17">
        <v>3</v>
      </c>
      <c r="V3088" s="17">
        <v>36</v>
      </c>
    </row>
    <row r="3089" spans="1:22" x14ac:dyDescent="0.2">
      <c r="A3089" t="s">
        <v>6981</v>
      </c>
      <c r="B3089" t="s">
        <v>5862</v>
      </c>
      <c r="C3089" t="s">
        <v>5863</v>
      </c>
      <c r="D3089" t="s">
        <v>6971</v>
      </c>
      <c r="E3089" s="10" t="s">
        <v>2679</v>
      </c>
      <c r="F3089" s="10"/>
      <c r="G3089" s="10"/>
      <c r="H3089" s="10" t="s">
        <v>2679</v>
      </c>
      <c r="I3089" s="14">
        <v>56144.402396285441</v>
      </c>
      <c r="J3089" s="19">
        <v>0</v>
      </c>
      <c r="K3089" s="19">
        <v>0.45979496887509563</v>
      </c>
      <c r="L3089" s="19">
        <v>0.54020503112490437</v>
      </c>
      <c r="M3089" s="20">
        <v>1</v>
      </c>
      <c r="N3089" s="19">
        <v>0.19670686177827054</v>
      </c>
      <c r="O3089" s="19">
        <v>6.254056028682041E-2</v>
      </c>
      <c r="P3089" s="19">
        <v>0.2005475468100047</v>
      </c>
      <c r="Q3089" s="19">
        <v>0.25664606615079671</v>
      </c>
      <c r="R3089" s="19">
        <v>0.23720716470600534</v>
      </c>
      <c r="S3089" s="19">
        <v>4.6351800268102289E-2</v>
      </c>
      <c r="T3089" s="20">
        <v>13</v>
      </c>
      <c r="U3089" s="17">
        <v>3</v>
      </c>
      <c r="V3089" s="17">
        <v>36</v>
      </c>
    </row>
    <row r="3090" spans="1:22" x14ac:dyDescent="0.2">
      <c r="A3090" t="s">
        <v>6982</v>
      </c>
      <c r="B3090" t="s">
        <v>5862</v>
      </c>
      <c r="C3090" t="s">
        <v>5863</v>
      </c>
      <c r="D3090" t="s">
        <v>6971</v>
      </c>
      <c r="E3090" s="10" t="s">
        <v>6983</v>
      </c>
      <c r="F3090" s="10"/>
      <c r="G3090" s="10"/>
      <c r="H3090" s="10" t="s">
        <v>6983</v>
      </c>
      <c r="I3090" s="14">
        <v>78584.086522137746</v>
      </c>
      <c r="J3090" s="19">
        <v>0</v>
      </c>
      <c r="K3090" s="19">
        <v>0.92553212477888025</v>
      </c>
      <c r="L3090" s="19">
        <v>7.4467875221119723E-2</v>
      </c>
      <c r="M3090" s="20">
        <v>2</v>
      </c>
      <c r="N3090" s="19">
        <v>0.51993075740140848</v>
      </c>
      <c r="O3090" s="19">
        <v>0</v>
      </c>
      <c r="P3090" s="19">
        <v>0.40560136737747182</v>
      </c>
      <c r="Q3090" s="19">
        <v>0</v>
      </c>
      <c r="R3090" s="19">
        <v>6.2493010666566387E-2</v>
      </c>
      <c r="S3090" s="19">
        <v>1.1974864554553341E-2</v>
      </c>
      <c r="T3090" s="20">
        <v>23</v>
      </c>
      <c r="U3090" s="17">
        <v>3</v>
      </c>
      <c r="V3090" s="17">
        <v>36</v>
      </c>
    </row>
    <row r="3091" spans="1:22" x14ac:dyDescent="0.2">
      <c r="A3091" t="s">
        <v>6984</v>
      </c>
      <c r="B3091" t="s">
        <v>5862</v>
      </c>
      <c r="C3091" t="s">
        <v>5863</v>
      </c>
      <c r="D3091" t="s">
        <v>6971</v>
      </c>
      <c r="E3091" s="10" t="s">
        <v>6985</v>
      </c>
      <c r="F3091" s="10"/>
      <c r="G3091" s="10"/>
      <c r="H3091" s="10" t="s">
        <v>6985</v>
      </c>
      <c r="I3091" s="14">
        <v>45902.36878129933</v>
      </c>
      <c r="J3091" s="19">
        <v>0</v>
      </c>
      <c r="K3091" s="19">
        <v>0.32555112303561562</v>
      </c>
      <c r="L3091" s="19">
        <v>0.67444887696438438</v>
      </c>
      <c r="M3091" s="20">
        <v>1</v>
      </c>
      <c r="N3091" s="19">
        <v>0</v>
      </c>
      <c r="O3091" s="19">
        <v>0.32555112303561562</v>
      </c>
      <c r="P3091" s="19">
        <v>0</v>
      </c>
      <c r="Q3091" s="19">
        <v>0.22014927265689554</v>
      </c>
      <c r="R3091" s="19">
        <v>0.39271758426114073</v>
      </c>
      <c r="S3091" s="19">
        <v>6.15820200463481E-2</v>
      </c>
      <c r="T3091" s="20">
        <v>12</v>
      </c>
      <c r="U3091" s="17">
        <v>3</v>
      </c>
      <c r="V3091" s="17">
        <v>36</v>
      </c>
    </row>
    <row r="3092" spans="1:22" x14ac:dyDescent="0.2">
      <c r="A3092" t="s">
        <v>6986</v>
      </c>
      <c r="B3092" t="s">
        <v>5862</v>
      </c>
      <c r="C3092" t="s">
        <v>5863</v>
      </c>
      <c r="D3092" t="s">
        <v>6987</v>
      </c>
      <c r="E3092" s="10" t="s">
        <v>6988</v>
      </c>
      <c r="F3092" s="10"/>
      <c r="G3092" s="10"/>
      <c r="H3092" s="10" t="s">
        <v>6988</v>
      </c>
      <c r="I3092" s="14">
        <v>144716.96320055332</v>
      </c>
      <c r="J3092" s="19">
        <v>0.78355647479861379</v>
      </c>
      <c r="K3092" s="19">
        <v>0.20488589907726204</v>
      </c>
      <c r="L3092" s="19">
        <v>1.1557626124124185E-2</v>
      </c>
      <c r="M3092" s="20">
        <v>3</v>
      </c>
      <c r="N3092" s="19">
        <v>0.11938949798084607</v>
      </c>
      <c r="O3092" s="19">
        <v>0</v>
      </c>
      <c r="P3092" s="19">
        <v>8.5496401096415972E-2</v>
      </c>
      <c r="Q3092" s="19">
        <v>0</v>
      </c>
      <c r="R3092" s="19">
        <v>9.9825583396866858E-3</v>
      </c>
      <c r="S3092" s="19">
        <v>1.575067784437499E-3</v>
      </c>
      <c r="T3092" s="20">
        <v>30</v>
      </c>
      <c r="U3092" s="17">
        <v>3</v>
      </c>
      <c r="V3092" s="17">
        <v>36</v>
      </c>
    </row>
    <row r="3093" spans="1:22" x14ac:dyDescent="0.2">
      <c r="A3093" t="s">
        <v>6989</v>
      </c>
      <c r="B3093" t="s">
        <v>5862</v>
      </c>
      <c r="C3093" t="s">
        <v>5863</v>
      </c>
      <c r="D3093" t="s">
        <v>6987</v>
      </c>
      <c r="E3093" s="10" t="s">
        <v>6990</v>
      </c>
      <c r="F3093" s="10"/>
      <c r="G3093" s="10"/>
      <c r="H3093" s="10" t="s">
        <v>6990</v>
      </c>
      <c r="I3093" s="14">
        <v>424588.08524798881</v>
      </c>
      <c r="J3093" s="19">
        <v>0.83450603518069921</v>
      </c>
      <c r="K3093" s="19">
        <v>0.15573314100054628</v>
      </c>
      <c r="L3093" s="19">
        <v>9.7608238187544688E-3</v>
      </c>
      <c r="M3093" s="20">
        <v>3</v>
      </c>
      <c r="N3093" s="19">
        <v>9.509667627929573E-2</v>
      </c>
      <c r="O3093" s="19">
        <v>0</v>
      </c>
      <c r="P3093" s="19">
        <v>6.0636464721250553E-2</v>
      </c>
      <c r="Q3093" s="19">
        <v>0</v>
      </c>
      <c r="R3093" s="19">
        <v>8.8007706060356967E-3</v>
      </c>
      <c r="S3093" s="19">
        <v>9.6005321271877358E-4</v>
      </c>
      <c r="T3093" s="20">
        <v>30</v>
      </c>
      <c r="U3093" s="17">
        <v>3</v>
      </c>
      <c r="V3093" s="17">
        <v>36</v>
      </c>
    </row>
    <row r="3094" spans="1:22" x14ac:dyDescent="0.2">
      <c r="A3094" t="s">
        <v>6991</v>
      </c>
      <c r="B3094" t="s">
        <v>5862</v>
      </c>
      <c r="C3094" t="s">
        <v>5863</v>
      </c>
      <c r="D3094" t="s">
        <v>6987</v>
      </c>
      <c r="E3094" s="10" t="s">
        <v>6992</v>
      </c>
      <c r="F3094" s="10"/>
      <c r="G3094" s="10"/>
      <c r="H3094" s="10" t="s">
        <v>6992</v>
      </c>
      <c r="I3094" s="14">
        <v>237337.98468246823</v>
      </c>
      <c r="J3094" s="19">
        <v>0.42487740980759925</v>
      </c>
      <c r="K3094" s="19">
        <v>0.51397791395146686</v>
      </c>
      <c r="L3094" s="19">
        <v>6.1144676240933983E-2</v>
      </c>
      <c r="M3094" s="20">
        <v>2</v>
      </c>
      <c r="N3094" s="19">
        <v>0.24184394721163655</v>
      </c>
      <c r="O3094" s="19">
        <v>0</v>
      </c>
      <c r="P3094" s="19">
        <v>0.2721339667398302</v>
      </c>
      <c r="Q3094" s="19">
        <v>1.3779166110790705E-2</v>
      </c>
      <c r="R3094" s="19">
        <v>4.3801561620073731E-2</v>
      </c>
      <c r="S3094" s="19">
        <v>3.5639485100695547E-3</v>
      </c>
      <c r="T3094" s="20">
        <v>23</v>
      </c>
      <c r="U3094" s="17">
        <v>3</v>
      </c>
      <c r="V3094" s="17">
        <v>36</v>
      </c>
    </row>
    <row r="3095" spans="1:22" x14ac:dyDescent="0.2">
      <c r="A3095" t="s">
        <v>6993</v>
      </c>
      <c r="B3095" t="s">
        <v>5862</v>
      </c>
      <c r="C3095" t="s">
        <v>5863</v>
      </c>
      <c r="D3095" t="s">
        <v>6994</v>
      </c>
      <c r="E3095" s="10" t="s">
        <v>6995</v>
      </c>
      <c r="F3095" s="10"/>
      <c r="G3095" s="10"/>
      <c r="H3095" s="10" t="s">
        <v>6995</v>
      </c>
      <c r="I3095" s="14">
        <v>48354.135513717076</v>
      </c>
      <c r="J3095" s="19">
        <v>0</v>
      </c>
      <c r="K3095" s="19">
        <v>0.30405270236955184</v>
      </c>
      <c r="L3095" s="19">
        <v>0.69594729763044816</v>
      </c>
      <c r="M3095" s="20">
        <v>1</v>
      </c>
      <c r="N3095" s="19">
        <v>0</v>
      </c>
      <c r="O3095" s="19">
        <v>0.30405270236955184</v>
      </c>
      <c r="P3095" s="19">
        <v>0</v>
      </c>
      <c r="Q3095" s="19">
        <v>0.20220144365799042</v>
      </c>
      <c r="R3095" s="19">
        <v>0.4598911657571757</v>
      </c>
      <c r="S3095" s="19">
        <v>3.3854688215282099E-2</v>
      </c>
      <c r="T3095" s="20">
        <v>12</v>
      </c>
      <c r="U3095" s="17">
        <v>3</v>
      </c>
      <c r="V3095" s="17">
        <v>36</v>
      </c>
    </row>
    <row r="3096" spans="1:22" x14ac:dyDescent="0.2">
      <c r="A3096" t="s">
        <v>6996</v>
      </c>
      <c r="B3096" t="s">
        <v>5862</v>
      </c>
      <c r="C3096" t="s">
        <v>5863</v>
      </c>
      <c r="D3096" t="s">
        <v>6994</v>
      </c>
      <c r="E3096" s="10" t="s">
        <v>6997</v>
      </c>
      <c r="F3096" s="10"/>
      <c r="G3096" s="10"/>
      <c r="H3096" s="10" t="s">
        <v>6997</v>
      </c>
      <c r="I3096" s="14">
        <v>190853.85176365729</v>
      </c>
      <c r="J3096" s="19">
        <v>0</v>
      </c>
      <c r="K3096" s="19">
        <v>0.35790259631264637</v>
      </c>
      <c r="L3096" s="19">
        <v>0.64209740368735368</v>
      </c>
      <c r="M3096" s="20">
        <v>1</v>
      </c>
      <c r="N3096" s="19">
        <v>0.16387252856232762</v>
      </c>
      <c r="O3096" s="19">
        <v>0.11790799622679994</v>
      </c>
      <c r="P3096" s="19">
        <v>7.6122071523518811E-2</v>
      </c>
      <c r="Q3096" s="19">
        <v>0.18900704750336889</v>
      </c>
      <c r="R3096" s="19">
        <v>0.41034466830865601</v>
      </c>
      <c r="S3096" s="19">
        <v>4.2745687875328738E-2</v>
      </c>
      <c r="T3096" s="20">
        <v>12</v>
      </c>
      <c r="U3096" s="17">
        <v>3</v>
      </c>
      <c r="V3096" s="17">
        <v>36</v>
      </c>
    </row>
    <row r="3097" spans="1:22" x14ac:dyDescent="0.2">
      <c r="A3097" t="s">
        <v>6998</v>
      </c>
      <c r="B3097" t="s">
        <v>5862</v>
      </c>
      <c r="C3097" t="s">
        <v>5863</v>
      </c>
      <c r="D3097" t="s">
        <v>6994</v>
      </c>
      <c r="E3097" s="10" t="s">
        <v>6999</v>
      </c>
      <c r="F3097" s="10"/>
      <c r="G3097" s="10"/>
      <c r="H3097" s="10" t="s">
        <v>6999</v>
      </c>
      <c r="I3097" s="14">
        <v>169764.83776605967</v>
      </c>
      <c r="J3097" s="19">
        <v>0.36883131661394741</v>
      </c>
      <c r="K3097" s="19">
        <v>0.44018766861309577</v>
      </c>
      <c r="L3097" s="19">
        <v>0.1909810147729569</v>
      </c>
      <c r="M3097" s="20">
        <v>2</v>
      </c>
      <c r="N3097" s="19">
        <v>0</v>
      </c>
      <c r="O3097" s="19">
        <v>3.0577457410296691E-4</v>
      </c>
      <c r="P3097" s="19">
        <v>0.4398818940389928</v>
      </c>
      <c r="Q3097" s="19">
        <v>3.6409665124434179E-2</v>
      </c>
      <c r="R3097" s="19">
        <v>0.14623727289120875</v>
      </c>
      <c r="S3097" s="19">
        <v>8.3340767573139851E-3</v>
      </c>
      <c r="T3097" s="20">
        <v>22</v>
      </c>
      <c r="U3097" s="17">
        <v>3</v>
      </c>
      <c r="V3097" s="17">
        <v>36</v>
      </c>
    </row>
    <row r="3098" spans="1:22" x14ac:dyDescent="0.2">
      <c r="A3098" t="s">
        <v>7000</v>
      </c>
      <c r="B3098" t="s">
        <v>5862</v>
      </c>
      <c r="C3098" t="s">
        <v>5863</v>
      </c>
      <c r="D3098" t="s">
        <v>6994</v>
      </c>
      <c r="E3098" s="10" t="s">
        <v>7001</v>
      </c>
      <c r="F3098" s="10"/>
      <c r="G3098" s="10"/>
      <c r="H3098" s="10" t="s">
        <v>7001</v>
      </c>
      <c r="I3098" s="14">
        <v>69000.88517156872</v>
      </c>
      <c r="J3098" s="19">
        <v>0</v>
      </c>
      <c r="K3098" s="19">
        <v>0.29068237565402</v>
      </c>
      <c r="L3098" s="19">
        <v>0.70931762434598</v>
      </c>
      <c r="M3098" s="20">
        <v>1</v>
      </c>
      <c r="N3098" s="19">
        <v>2.7180907168340793E-4</v>
      </c>
      <c r="O3098" s="19">
        <v>0.26047604999966628</v>
      </c>
      <c r="P3098" s="19">
        <v>2.9934516582670313E-2</v>
      </c>
      <c r="Q3098" s="19">
        <v>0.27802797045694794</v>
      </c>
      <c r="R3098" s="19">
        <v>0.38896047096408454</v>
      </c>
      <c r="S3098" s="19">
        <v>4.2329182924947521E-2</v>
      </c>
      <c r="T3098" s="20">
        <v>12</v>
      </c>
      <c r="U3098" s="17">
        <v>3</v>
      </c>
      <c r="V3098" s="17">
        <v>36</v>
      </c>
    </row>
    <row r="3099" spans="1:22" x14ac:dyDescent="0.2">
      <c r="A3099" t="s">
        <v>7002</v>
      </c>
      <c r="B3099" t="s">
        <v>5862</v>
      </c>
      <c r="C3099" t="s">
        <v>5863</v>
      </c>
      <c r="D3099" t="s">
        <v>6994</v>
      </c>
      <c r="E3099" s="10" t="s">
        <v>7003</v>
      </c>
      <c r="F3099" s="10"/>
      <c r="G3099" s="10"/>
      <c r="H3099" s="10" t="s">
        <v>7003</v>
      </c>
      <c r="I3099" s="14">
        <v>76831.879967780784</v>
      </c>
      <c r="J3099" s="19">
        <v>0</v>
      </c>
      <c r="K3099" s="19">
        <v>0.57255997613197385</v>
      </c>
      <c r="L3099" s="19">
        <v>0.42744002386802615</v>
      </c>
      <c r="M3099" s="20">
        <v>2</v>
      </c>
      <c r="N3099" s="19">
        <v>7.1046333815179344E-2</v>
      </c>
      <c r="O3099" s="19">
        <v>0.15256869986402244</v>
      </c>
      <c r="P3099" s="19">
        <v>0.34894494245277208</v>
      </c>
      <c r="Q3099" s="19">
        <v>9.9981324892063128E-2</v>
      </c>
      <c r="R3099" s="19">
        <v>0.31086555338695071</v>
      </c>
      <c r="S3099" s="19">
        <v>1.6593145589012301E-2</v>
      </c>
      <c r="T3099" s="20">
        <v>22</v>
      </c>
      <c r="U3099" s="17">
        <v>3</v>
      </c>
      <c r="V3099" s="17">
        <v>36</v>
      </c>
    </row>
    <row r="3100" spans="1:22" x14ac:dyDescent="0.2">
      <c r="A3100" t="s">
        <v>7004</v>
      </c>
      <c r="B3100" t="s">
        <v>5862</v>
      </c>
      <c r="C3100" t="s">
        <v>5863</v>
      </c>
      <c r="D3100" t="s">
        <v>6994</v>
      </c>
      <c r="E3100" s="10" t="s">
        <v>7005</v>
      </c>
      <c r="F3100" s="10"/>
      <c r="G3100" s="10"/>
      <c r="H3100" s="10" t="s">
        <v>7005</v>
      </c>
      <c r="I3100" s="14">
        <v>27477.973865934531</v>
      </c>
      <c r="J3100" s="19">
        <v>0</v>
      </c>
      <c r="K3100" s="19">
        <v>0.55387322393317318</v>
      </c>
      <c r="L3100" s="19">
        <v>0.44612677606682688</v>
      </c>
      <c r="M3100" s="20">
        <v>2</v>
      </c>
      <c r="N3100" s="19">
        <v>0</v>
      </c>
      <c r="O3100" s="19">
        <v>0.55387322393317318</v>
      </c>
      <c r="P3100" s="19">
        <v>0</v>
      </c>
      <c r="Q3100" s="19">
        <v>0.181288330153733</v>
      </c>
      <c r="R3100" s="19">
        <v>0.24788707839796131</v>
      </c>
      <c r="S3100" s="19">
        <v>1.6951367515132581E-2</v>
      </c>
      <c r="T3100" s="20">
        <v>22</v>
      </c>
      <c r="U3100" s="17">
        <v>3</v>
      </c>
      <c r="V3100" s="17">
        <v>36</v>
      </c>
    </row>
    <row r="3101" spans="1:22" x14ac:dyDescent="0.2">
      <c r="A3101" t="s">
        <v>7006</v>
      </c>
      <c r="B3101" t="s">
        <v>5862</v>
      </c>
      <c r="C3101" t="s">
        <v>5863</v>
      </c>
      <c r="D3101" t="s">
        <v>6994</v>
      </c>
      <c r="E3101" s="10" t="s">
        <v>7007</v>
      </c>
      <c r="F3101" s="10"/>
      <c r="G3101" s="10"/>
      <c r="H3101" s="10" t="s">
        <v>7007</v>
      </c>
      <c r="I3101" s="14">
        <v>79780.477449454484</v>
      </c>
      <c r="J3101" s="19">
        <v>0</v>
      </c>
      <c r="K3101" s="19">
        <v>0.46002461715956722</v>
      </c>
      <c r="L3101" s="19">
        <v>0.53997538284043278</v>
      </c>
      <c r="M3101" s="20">
        <v>1</v>
      </c>
      <c r="N3101" s="19">
        <v>0</v>
      </c>
      <c r="O3101" s="19">
        <v>0.46002461715956722</v>
      </c>
      <c r="P3101" s="19">
        <v>0</v>
      </c>
      <c r="Q3101" s="19">
        <v>0.17806676026047064</v>
      </c>
      <c r="R3101" s="19">
        <v>0.32838483297160859</v>
      </c>
      <c r="S3101" s="19">
        <v>3.3523789608353581E-2</v>
      </c>
      <c r="T3101" s="20">
        <v>12</v>
      </c>
      <c r="U3101" s="17">
        <v>3</v>
      </c>
      <c r="V3101" s="17">
        <v>36</v>
      </c>
    </row>
    <row r="3102" spans="1:22" x14ac:dyDescent="0.2">
      <c r="A3102" t="s">
        <v>7008</v>
      </c>
      <c r="B3102" t="s">
        <v>5862</v>
      </c>
      <c r="C3102" t="s">
        <v>5863</v>
      </c>
      <c r="D3102" t="s">
        <v>7009</v>
      </c>
      <c r="E3102" s="10" t="s">
        <v>7010</v>
      </c>
      <c r="F3102" s="10"/>
      <c r="G3102" s="10"/>
      <c r="H3102" s="10" t="s">
        <v>7010</v>
      </c>
      <c r="I3102" s="14">
        <v>62319.201014566352</v>
      </c>
      <c r="J3102" s="19">
        <v>0</v>
      </c>
      <c r="K3102" s="19">
        <v>0.17410910946526134</v>
      </c>
      <c r="L3102" s="19">
        <v>0.82589089053473852</v>
      </c>
      <c r="M3102" s="20">
        <v>1</v>
      </c>
      <c r="N3102" s="19">
        <v>0</v>
      </c>
      <c r="O3102" s="19">
        <v>0.17410910946526134</v>
      </c>
      <c r="P3102" s="19">
        <v>0</v>
      </c>
      <c r="Q3102" s="19">
        <v>0.10257511548415518</v>
      </c>
      <c r="R3102" s="19">
        <v>0.63875595203956914</v>
      </c>
      <c r="S3102" s="19">
        <v>8.4559823011014307E-2</v>
      </c>
      <c r="T3102" s="20">
        <v>12</v>
      </c>
      <c r="U3102" s="17">
        <v>3</v>
      </c>
      <c r="V3102" s="17">
        <v>36</v>
      </c>
    </row>
    <row r="3103" spans="1:22" x14ac:dyDescent="0.2">
      <c r="A3103" t="s">
        <v>7011</v>
      </c>
      <c r="B3103" t="s">
        <v>5862</v>
      </c>
      <c r="C3103" t="s">
        <v>5863</v>
      </c>
      <c r="D3103" t="s">
        <v>7009</v>
      </c>
      <c r="E3103" s="10" t="s">
        <v>7012</v>
      </c>
      <c r="F3103" s="10"/>
      <c r="G3103" s="10"/>
      <c r="H3103" s="10" t="s">
        <v>7012</v>
      </c>
      <c r="I3103" s="14">
        <v>30628.532456334331</v>
      </c>
      <c r="J3103" s="19">
        <v>0</v>
      </c>
      <c r="K3103" s="19">
        <v>0</v>
      </c>
      <c r="L3103" s="19">
        <v>1</v>
      </c>
      <c r="M3103" s="20">
        <v>1</v>
      </c>
      <c r="N3103" s="19">
        <v>0</v>
      </c>
      <c r="O3103" s="19">
        <v>0</v>
      </c>
      <c r="P3103" s="19">
        <v>0</v>
      </c>
      <c r="Q3103" s="19">
        <v>0.16446839611839323</v>
      </c>
      <c r="R3103" s="19">
        <v>0.6690047425033202</v>
      </c>
      <c r="S3103" s="19">
        <v>0.16652686137828657</v>
      </c>
      <c r="T3103" s="20">
        <v>12</v>
      </c>
      <c r="U3103" s="17">
        <v>3</v>
      </c>
      <c r="V3103" s="17">
        <v>36</v>
      </c>
    </row>
    <row r="3104" spans="1:22" x14ac:dyDescent="0.2">
      <c r="A3104" t="s">
        <v>7013</v>
      </c>
      <c r="B3104" t="s">
        <v>5862</v>
      </c>
      <c r="C3104" t="s">
        <v>5863</v>
      </c>
      <c r="D3104" t="s">
        <v>7009</v>
      </c>
      <c r="E3104" s="10" t="s">
        <v>7014</v>
      </c>
      <c r="F3104" s="10"/>
      <c r="G3104" s="10"/>
      <c r="H3104" s="10" t="s">
        <v>7014</v>
      </c>
      <c r="I3104" s="14">
        <v>67465.698286771367</v>
      </c>
      <c r="J3104" s="19">
        <v>0</v>
      </c>
      <c r="K3104" s="19">
        <v>0.66874620731203682</v>
      </c>
      <c r="L3104" s="19">
        <v>0.33125379268796318</v>
      </c>
      <c r="M3104" s="20">
        <v>2</v>
      </c>
      <c r="N3104" s="19">
        <v>0.43295843407631651</v>
      </c>
      <c r="O3104" s="19">
        <v>0</v>
      </c>
      <c r="P3104" s="19">
        <v>0.23578777323572039</v>
      </c>
      <c r="Q3104" s="19">
        <v>1.834836384053261E-3</v>
      </c>
      <c r="R3104" s="19">
        <v>0.25041412432801252</v>
      </c>
      <c r="S3104" s="19">
        <v>7.9004831975897374E-2</v>
      </c>
      <c r="T3104" s="20">
        <v>23</v>
      </c>
      <c r="U3104" s="17">
        <v>3</v>
      </c>
      <c r="V3104" s="17">
        <v>36</v>
      </c>
    </row>
    <row r="3105" spans="1:22" x14ac:dyDescent="0.2">
      <c r="A3105" t="s">
        <v>7015</v>
      </c>
      <c r="B3105" t="s">
        <v>5862</v>
      </c>
      <c r="C3105" t="s">
        <v>5863</v>
      </c>
      <c r="D3105" t="s">
        <v>7009</v>
      </c>
      <c r="E3105" s="10" t="s">
        <v>7016</v>
      </c>
      <c r="F3105" s="10"/>
      <c r="G3105" s="10"/>
      <c r="H3105" s="10" t="s">
        <v>7016</v>
      </c>
      <c r="I3105" s="14">
        <v>39503.857101785485</v>
      </c>
      <c r="J3105" s="19">
        <v>0</v>
      </c>
      <c r="K3105" s="19">
        <v>0.25091068896463437</v>
      </c>
      <c r="L3105" s="19">
        <v>0.74908931103536569</v>
      </c>
      <c r="M3105" s="20">
        <v>1</v>
      </c>
      <c r="N3105" s="19">
        <v>0</v>
      </c>
      <c r="O3105" s="19">
        <v>0.21749387626813146</v>
      </c>
      <c r="P3105" s="19">
        <v>3.3416812696502901E-2</v>
      </c>
      <c r="Q3105" s="19">
        <v>8.5232496071433406E-2</v>
      </c>
      <c r="R3105" s="19">
        <v>0.59155197447801189</v>
      </c>
      <c r="S3105" s="19">
        <v>7.2304840485920327E-2</v>
      </c>
      <c r="T3105" s="20">
        <v>12</v>
      </c>
      <c r="U3105" s="17">
        <v>3</v>
      </c>
      <c r="V3105" s="17">
        <v>36</v>
      </c>
    </row>
    <row r="3106" spans="1:22" x14ac:dyDescent="0.2">
      <c r="A3106" t="s">
        <v>7017</v>
      </c>
      <c r="B3106" t="s">
        <v>5862</v>
      </c>
      <c r="C3106" t="s">
        <v>5863</v>
      </c>
      <c r="D3106" t="s">
        <v>7009</v>
      </c>
      <c r="E3106" s="10" t="s">
        <v>7018</v>
      </c>
      <c r="F3106" s="10"/>
      <c r="G3106" s="10"/>
      <c r="H3106" s="10" t="s">
        <v>7018</v>
      </c>
      <c r="I3106" s="14">
        <v>41459.034187321784</v>
      </c>
      <c r="J3106" s="19">
        <v>0</v>
      </c>
      <c r="K3106" s="19">
        <v>0.19870381768760326</v>
      </c>
      <c r="L3106" s="19">
        <v>0.80129618231239674</v>
      </c>
      <c r="M3106" s="20">
        <v>1</v>
      </c>
      <c r="N3106" s="19">
        <v>0</v>
      </c>
      <c r="O3106" s="19">
        <v>0.19870381768760326</v>
      </c>
      <c r="P3106" s="19">
        <v>0</v>
      </c>
      <c r="Q3106" s="19">
        <v>0.2461750452478553</v>
      </c>
      <c r="R3106" s="19">
        <v>0.48726333189824639</v>
      </c>
      <c r="S3106" s="19">
        <v>6.7857805166295082E-2</v>
      </c>
      <c r="T3106" s="20">
        <v>12</v>
      </c>
      <c r="U3106" s="17">
        <v>3</v>
      </c>
      <c r="V3106" s="17">
        <v>36</v>
      </c>
    </row>
    <row r="3107" spans="1:22" x14ac:dyDescent="0.2">
      <c r="A3107" t="s">
        <v>7019</v>
      </c>
      <c r="B3107" t="s">
        <v>5862</v>
      </c>
      <c r="C3107" t="s">
        <v>5863</v>
      </c>
      <c r="D3107" t="s">
        <v>7009</v>
      </c>
      <c r="E3107" s="10" t="s">
        <v>7020</v>
      </c>
      <c r="F3107" s="10"/>
      <c r="G3107" s="10"/>
      <c r="H3107" s="10" t="s">
        <v>7020</v>
      </c>
      <c r="I3107" s="14">
        <v>78697.881021265173</v>
      </c>
      <c r="J3107" s="19">
        <v>0</v>
      </c>
      <c r="K3107" s="19">
        <v>0.41297096920883963</v>
      </c>
      <c r="L3107" s="19">
        <v>0.58702903079116031</v>
      </c>
      <c r="M3107" s="20">
        <v>1</v>
      </c>
      <c r="N3107" s="19">
        <v>0.19550506333474049</v>
      </c>
      <c r="O3107" s="19">
        <v>7.9991347273464297E-2</v>
      </c>
      <c r="P3107" s="19">
        <v>0.1374745586006349</v>
      </c>
      <c r="Q3107" s="19">
        <v>6.0386339697272411E-2</v>
      </c>
      <c r="R3107" s="19">
        <v>0.45721428733954189</v>
      </c>
      <c r="S3107" s="19">
        <v>6.9428403754346002E-2</v>
      </c>
      <c r="T3107" s="20">
        <v>12</v>
      </c>
      <c r="U3107" s="17">
        <v>3</v>
      </c>
      <c r="V3107" s="17">
        <v>36</v>
      </c>
    </row>
    <row r="3108" spans="1:22" x14ac:dyDescent="0.2">
      <c r="A3108" t="s">
        <v>7021</v>
      </c>
      <c r="B3108" t="s">
        <v>5862</v>
      </c>
      <c r="C3108" t="s">
        <v>5863</v>
      </c>
      <c r="D3108" t="s">
        <v>7009</v>
      </c>
      <c r="E3108" s="10" t="s">
        <v>7022</v>
      </c>
      <c r="F3108" s="10"/>
      <c r="G3108" s="10"/>
      <c r="H3108" s="10" t="s">
        <v>7022</v>
      </c>
      <c r="I3108" s="14">
        <v>71360.676463431912</v>
      </c>
      <c r="J3108" s="19">
        <v>0</v>
      </c>
      <c r="K3108" s="19">
        <v>0.70554412249130638</v>
      </c>
      <c r="L3108" s="19">
        <v>0.29445587750869356</v>
      </c>
      <c r="M3108" s="20">
        <v>2</v>
      </c>
      <c r="N3108" s="19">
        <v>0.27162705787447305</v>
      </c>
      <c r="O3108" s="19">
        <v>0</v>
      </c>
      <c r="P3108" s="19">
        <v>0.43391706461683344</v>
      </c>
      <c r="Q3108" s="19">
        <v>4.3876683744814828E-2</v>
      </c>
      <c r="R3108" s="19">
        <v>0.20619132135616339</v>
      </c>
      <c r="S3108" s="19">
        <v>4.4387872407715349E-2</v>
      </c>
      <c r="T3108" s="20">
        <v>23</v>
      </c>
      <c r="U3108" s="17">
        <v>3</v>
      </c>
      <c r="V3108" s="17">
        <v>36</v>
      </c>
    </row>
    <row r="3109" spans="1:22" x14ac:dyDescent="0.2">
      <c r="A3109" t="s">
        <v>7023</v>
      </c>
      <c r="B3109" t="s">
        <v>5862</v>
      </c>
      <c r="C3109" t="s">
        <v>5863</v>
      </c>
      <c r="D3109" t="s">
        <v>7009</v>
      </c>
      <c r="E3109" s="10" t="s">
        <v>7024</v>
      </c>
      <c r="F3109" s="10"/>
      <c r="G3109" s="10"/>
      <c r="H3109" s="10" t="s">
        <v>7024</v>
      </c>
      <c r="I3109" s="14">
        <v>49575.397857138538</v>
      </c>
      <c r="J3109" s="19">
        <v>0</v>
      </c>
      <c r="K3109" s="19">
        <v>0.36716528177473168</v>
      </c>
      <c r="L3109" s="19">
        <v>0.63283471822526838</v>
      </c>
      <c r="M3109" s="20">
        <v>1</v>
      </c>
      <c r="N3109" s="19">
        <v>0.1246591834392321</v>
      </c>
      <c r="O3109" s="19">
        <v>0.10424671296582846</v>
      </c>
      <c r="P3109" s="19">
        <v>0.13825938536967108</v>
      </c>
      <c r="Q3109" s="19">
        <v>1.6770727582810924E-2</v>
      </c>
      <c r="R3109" s="19">
        <v>0.55698566396294369</v>
      </c>
      <c r="S3109" s="19">
        <v>5.9078326679513779E-2</v>
      </c>
      <c r="T3109" s="20">
        <v>12</v>
      </c>
      <c r="U3109" s="17">
        <v>3</v>
      </c>
      <c r="V3109" s="17">
        <v>36</v>
      </c>
    </row>
    <row r="3110" spans="1:22" x14ac:dyDescent="0.2">
      <c r="A3110" t="s">
        <v>7025</v>
      </c>
      <c r="B3110" t="s">
        <v>5862</v>
      </c>
      <c r="C3110" t="s">
        <v>5863</v>
      </c>
      <c r="D3110" t="s">
        <v>7026</v>
      </c>
      <c r="E3110" s="10" t="s">
        <v>7027</v>
      </c>
      <c r="F3110" s="10"/>
      <c r="G3110" s="10"/>
      <c r="H3110" s="10" t="s">
        <v>7027</v>
      </c>
      <c r="I3110" s="14">
        <v>17876.159035045654</v>
      </c>
      <c r="J3110" s="19">
        <v>0</v>
      </c>
      <c r="K3110" s="19">
        <v>0.31949848694119476</v>
      </c>
      <c r="L3110" s="19">
        <v>0.68050151305880524</v>
      </c>
      <c r="M3110" s="20">
        <v>1</v>
      </c>
      <c r="N3110" s="19">
        <v>0</v>
      </c>
      <c r="O3110" s="19">
        <v>0.31949848694119476</v>
      </c>
      <c r="P3110" s="19">
        <v>0</v>
      </c>
      <c r="Q3110" s="19">
        <v>0.34893628664505205</v>
      </c>
      <c r="R3110" s="19">
        <v>0.28565960237419274</v>
      </c>
      <c r="S3110" s="19">
        <v>4.5905624039560479E-2</v>
      </c>
      <c r="T3110" s="20">
        <v>13</v>
      </c>
      <c r="U3110" s="17">
        <v>3</v>
      </c>
      <c r="V3110" s="17">
        <v>36</v>
      </c>
    </row>
    <row r="3111" spans="1:22" x14ac:dyDescent="0.2">
      <c r="A3111" t="s">
        <v>7028</v>
      </c>
      <c r="B3111" t="s">
        <v>5862</v>
      </c>
      <c r="C3111" t="s">
        <v>5863</v>
      </c>
      <c r="D3111" t="s">
        <v>7026</v>
      </c>
      <c r="E3111" s="10" t="s">
        <v>7029</v>
      </c>
      <c r="F3111" s="10"/>
      <c r="G3111" s="10"/>
      <c r="H3111" s="10" t="s">
        <v>7029</v>
      </c>
      <c r="I3111" s="14">
        <v>39753.554966516793</v>
      </c>
      <c r="J3111" s="19">
        <v>0</v>
      </c>
      <c r="K3111" s="19">
        <v>0.24949021430841309</v>
      </c>
      <c r="L3111" s="19">
        <v>0.75050978569158688</v>
      </c>
      <c r="M3111" s="20">
        <v>1</v>
      </c>
      <c r="N3111" s="19">
        <v>0.16421026490376558</v>
      </c>
      <c r="O3111" s="19">
        <v>0</v>
      </c>
      <c r="P3111" s="19">
        <v>8.5279949404647504E-2</v>
      </c>
      <c r="Q3111" s="19">
        <v>0.35273664130881616</v>
      </c>
      <c r="R3111" s="19">
        <v>0.35139735370188629</v>
      </c>
      <c r="S3111" s="19">
        <v>4.6375790680884474E-2</v>
      </c>
      <c r="T3111" s="20">
        <v>13</v>
      </c>
      <c r="U3111" s="17">
        <v>3</v>
      </c>
      <c r="V3111" s="17">
        <v>36</v>
      </c>
    </row>
    <row r="3112" spans="1:22" x14ac:dyDescent="0.2">
      <c r="A3112" t="s">
        <v>7030</v>
      </c>
      <c r="B3112" t="s">
        <v>5862</v>
      </c>
      <c r="C3112" t="s">
        <v>5863</v>
      </c>
      <c r="D3112" t="s">
        <v>7026</v>
      </c>
      <c r="E3112" s="10" t="s">
        <v>7031</v>
      </c>
      <c r="F3112" s="10"/>
      <c r="G3112" s="10"/>
      <c r="H3112" s="10" t="s">
        <v>7031</v>
      </c>
      <c r="I3112" s="14">
        <v>94480.514720000327</v>
      </c>
      <c r="J3112" s="19">
        <v>0</v>
      </c>
      <c r="K3112" s="19">
        <v>0.30274683283676179</v>
      </c>
      <c r="L3112" s="19">
        <v>0.69725316716323826</v>
      </c>
      <c r="M3112" s="20">
        <v>1</v>
      </c>
      <c r="N3112" s="19">
        <v>9.1486102274580761E-2</v>
      </c>
      <c r="O3112" s="19">
        <v>6.3571251765597539E-2</v>
      </c>
      <c r="P3112" s="19">
        <v>0.14768947879658348</v>
      </c>
      <c r="Q3112" s="19">
        <v>0.19804568135291933</v>
      </c>
      <c r="R3112" s="19">
        <v>0.43920255035556771</v>
      </c>
      <c r="S3112" s="19">
        <v>6.0004935454751197E-2</v>
      </c>
      <c r="T3112" s="20">
        <v>12</v>
      </c>
      <c r="U3112" s="17">
        <v>3</v>
      </c>
      <c r="V3112" s="17">
        <v>36</v>
      </c>
    </row>
    <row r="3113" spans="1:22" x14ac:dyDescent="0.2">
      <c r="A3113" t="s">
        <v>7032</v>
      </c>
      <c r="B3113" t="s">
        <v>5862</v>
      </c>
      <c r="C3113" t="s">
        <v>5863</v>
      </c>
      <c r="D3113" t="s">
        <v>7026</v>
      </c>
      <c r="E3113" s="10" t="s">
        <v>7033</v>
      </c>
      <c r="F3113" s="10"/>
      <c r="G3113" s="10"/>
      <c r="H3113" s="10" t="s">
        <v>7033</v>
      </c>
      <c r="I3113" s="14">
        <v>25767.866014070809</v>
      </c>
      <c r="J3113" s="19">
        <v>0</v>
      </c>
      <c r="K3113" s="19">
        <v>0</v>
      </c>
      <c r="L3113" s="19">
        <v>1</v>
      </c>
      <c r="M3113" s="20">
        <v>1</v>
      </c>
      <c r="N3113" s="19">
        <v>0</v>
      </c>
      <c r="O3113" s="19">
        <v>0</v>
      </c>
      <c r="P3113" s="19">
        <v>0</v>
      </c>
      <c r="Q3113" s="19">
        <v>0.32980557903434382</v>
      </c>
      <c r="R3113" s="19">
        <v>0.56012874387419709</v>
      </c>
      <c r="S3113" s="19">
        <v>0.11006567709145906</v>
      </c>
      <c r="T3113" s="20">
        <v>12</v>
      </c>
      <c r="U3113" s="17">
        <v>3</v>
      </c>
      <c r="V3113" s="17">
        <v>36</v>
      </c>
    </row>
    <row r="3114" spans="1:22" x14ac:dyDescent="0.2">
      <c r="A3114" t="s">
        <v>7034</v>
      </c>
      <c r="B3114" t="s">
        <v>5862</v>
      </c>
      <c r="C3114" t="s">
        <v>5863</v>
      </c>
      <c r="D3114" t="s">
        <v>7026</v>
      </c>
      <c r="E3114" s="10" t="s">
        <v>7035</v>
      </c>
      <c r="F3114" s="10"/>
      <c r="G3114" s="10"/>
      <c r="H3114" s="10" t="s">
        <v>7035</v>
      </c>
      <c r="I3114" s="14">
        <v>165970.20412387233</v>
      </c>
      <c r="J3114" s="19">
        <v>0.76415280426596544</v>
      </c>
      <c r="K3114" s="19">
        <v>7.7639878372236806E-2</v>
      </c>
      <c r="L3114" s="19">
        <v>0.1582073173617978</v>
      </c>
      <c r="M3114" s="20">
        <v>3</v>
      </c>
      <c r="N3114" s="19">
        <v>0</v>
      </c>
      <c r="O3114" s="19">
        <v>0</v>
      </c>
      <c r="P3114" s="19">
        <v>7.7639878372236806E-2</v>
      </c>
      <c r="Q3114" s="19">
        <v>5.2549642751506399E-2</v>
      </c>
      <c r="R3114" s="19">
        <v>9.0558796376144501E-2</v>
      </c>
      <c r="S3114" s="19">
        <v>1.5098878234146917E-2</v>
      </c>
      <c r="T3114" s="20">
        <v>30</v>
      </c>
      <c r="U3114" s="17">
        <v>3</v>
      </c>
      <c r="V3114" s="17">
        <v>36</v>
      </c>
    </row>
    <row r="3115" spans="1:22" x14ac:dyDescent="0.2">
      <c r="A3115" t="s">
        <v>7036</v>
      </c>
      <c r="B3115" t="s">
        <v>5862</v>
      </c>
      <c r="C3115" t="s">
        <v>5863</v>
      </c>
      <c r="D3115" t="s">
        <v>7037</v>
      </c>
      <c r="E3115" s="10" t="s">
        <v>7038</v>
      </c>
      <c r="F3115" s="10"/>
      <c r="G3115" s="10"/>
      <c r="H3115" s="10" t="s">
        <v>7038</v>
      </c>
      <c r="I3115" s="14">
        <v>145880.18310209212</v>
      </c>
      <c r="J3115" s="19">
        <v>0</v>
      </c>
      <c r="K3115" s="19">
        <v>0.77951669239672161</v>
      </c>
      <c r="L3115" s="19">
        <v>0.22048330760327844</v>
      </c>
      <c r="M3115" s="20">
        <v>2</v>
      </c>
      <c r="N3115" s="19">
        <v>0.37926650440549375</v>
      </c>
      <c r="O3115" s="19">
        <v>0</v>
      </c>
      <c r="P3115" s="19">
        <v>0.4002501879912278</v>
      </c>
      <c r="Q3115" s="19">
        <v>1.4029822517415731E-2</v>
      </c>
      <c r="R3115" s="19">
        <v>0.19851560745292501</v>
      </c>
      <c r="S3115" s="19">
        <v>7.9378776329376722E-3</v>
      </c>
      <c r="T3115" s="20">
        <v>23</v>
      </c>
      <c r="U3115" s="17">
        <v>3</v>
      </c>
      <c r="V3115" s="17">
        <v>36</v>
      </c>
    </row>
    <row r="3116" spans="1:22" x14ac:dyDescent="0.2">
      <c r="A3116" t="s">
        <v>7039</v>
      </c>
      <c r="B3116" t="s">
        <v>5862</v>
      </c>
      <c r="C3116" t="s">
        <v>5863</v>
      </c>
      <c r="D3116" t="s">
        <v>7037</v>
      </c>
      <c r="E3116" s="10" t="s">
        <v>7040</v>
      </c>
      <c r="F3116" s="10"/>
      <c r="G3116" s="10"/>
      <c r="H3116" s="10" t="s">
        <v>7040</v>
      </c>
      <c r="I3116" s="14">
        <v>42697.514182320789</v>
      </c>
      <c r="J3116" s="19">
        <v>0</v>
      </c>
      <c r="K3116" s="19">
        <v>0.63147282708609853</v>
      </c>
      <c r="L3116" s="19">
        <v>0.36852717291390158</v>
      </c>
      <c r="M3116" s="20">
        <v>2</v>
      </c>
      <c r="N3116" s="19">
        <v>0</v>
      </c>
      <c r="O3116" s="19">
        <v>0.12074968255342185</v>
      </c>
      <c r="P3116" s="19">
        <v>0.51072314453267675</v>
      </c>
      <c r="Q3116" s="19">
        <v>6.9945129702623898E-2</v>
      </c>
      <c r="R3116" s="19">
        <v>0.27554764830017731</v>
      </c>
      <c r="S3116" s="19">
        <v>2.3034394911100462E-2</v>
      </c>
      <c r="T3116" s="20">
        <v>21</v>
      </c>
      <c r="U3116" s="17">
        <v>3</v>
      </c>
      <c r="V3116" s="17">
        <v>36</v>
      </c>
    </row>
    <row r="3117" spans="1:22" x14ac:dyDescent="0.2">
      <c r="A3117" t="s">
        <v>7041</v>
      </c>
      <c r="B3117" t="s">
        <v>5862</v>
      </c>
      <c r="C3117" t="s">
        <v>5863</v>
      </c>
      <c r="D3117" t="s">
        <v>7037</v>
      </c>
      <c r="E3117" s="10" t="s">
        <v>7042</v>
      </c>
      <c r="F3117" s="10"/>
      <c r="G3117" s="10"/>
      <c r="H3117" s="10" t="s">
        <v>7042</v>
      </c>
      <c r="I3117" s="14">
        <v>52773.575289130669</v>
      </c>
      <c r="J3117" s="19">
        <v>0</v>
      </c>
      <c r="K3117" s="19">
        <v>0.13062771166897921</v>
      </c>
      <c r="L3117" s="19">
        <v>0.86937228833102109</v>
      </c>
      <c r="M3117" s="20">
        <v>1</v>
      </c>
      <c r="N3117" s="19">
        <v>0</v>
      </c>
      <c r="O3117" s="19">
        <v>0.13062771166897921</v>
      </c>
      <c r="P3117" s="19">
        <v>0</v>
      </c>
      <c r="Q3117" s="19">
        <v>7.6594768270992208E-2</v>
      </c>
      <c r="R3117" s="19">
        <v>0.67079053327743154</v>
      </c>
      <c r="S3117" s="19">
        <v>0.12198698678259715</v>
      </c>
      <c r="T3117" s="20">
        <v>12</v>
      </c>
      <c r="U3117" s="17">
        <v>3</v>
      </c>
      <c r="V3117" s="17">
        <v>36</v>
      </c>
    </row>
    <row r="3118" spans="1:22" x14ac:dyDescent="0.2">
      <c r="A3118" t="s">
        <v>7043</v>
      </c>
      <c r="B3118" t="s">
        <v>5862</v>
      </c>
      <c r="C3118" t="s">
        <v>5863</v>
      </c>
      <c r="D3118" t="s">
        <v>7037</v>
      </c>
      <c r="E3118" s="10" t="s">
        <v>7044</v>
      </c>
      <c r="F3118" s="10"/>
      <c r="G3118" s="10"/>
      <c r="H3118" s="10" t="s">
        <v>7044</v>
      </c>
      <c r="I3118" s="14">
        <v>99109.306660111179</v>
      </c>
      <c r="J3118" s="19">
        <v>0</v>
      </c>
      <c r="K3118" s="19">
        <v>0.78313167136188444</v>
      </c>
      <c r="L3118" s="19">
        <v>0.2168683286381155</v>
      </c>
      <c r="M3118" s="20">
        <v>2</v>
      </c>
      <c r="N3118" s="19">
        <v>0.30019107051060234</v>
      </c>
      <c r="O3118" s="19">
        <v>1.3243015575466217E-2</v>
      </c>
      <c r="P3118" s="19">
        <v>0.46969758527581595</v>
      </c>
      <c r="Q3118" s="19">
        <v>2.136533237758281E-2</v>
      </c>
      <c r="R3118" s="19">
        <v>0.19487218700863271</v>
      </c>
      <c r="S3118" s="19">
        <v>6.3080925189998131E-4</v>
      </c>
      <c r="T3118" s="20">
        <v>23</v>
      </c>
      <c r="U3118" s="17">
        <v>3</v>
      </c>
      <c r="V3118" s="17">
        <v>36</v>
      </c>
    </row>
    <row r="3119" spans="1:22" x14ac:dyDescent="0.2">
      <c r="A3119" t="s">
        <v>7045</v>
      </c>
      <c r="B3119" t="s">
        <v>5862</v>
      </c>
      <c r="C3119" t="s">
        <v>5863</v>
      </c>
      <c r="D3119" t="s">
        <v>7037</v>
      </c>
      <c r="E3119" s="10" t="s">
        <v>7046</v>
      </c>
      <c r="F3119" s="10"/>
      <c r="G3119" s="10"/>
      <c r="H3119" s="10" t="s">
        <v>7046</v>
      </c>
      <c r="I3119" s="14">
        <v>17902.389020553674</v>
      </c>
      <c r="J3119" s="19">
        <v>0</v>
      </c>
      <c r="K3119" s="19">
        <v>0</v>
      </c>
      <c r="L3119" s="19">
        <v>1</v>
      </c>
      <c r="M3119" s="20">
        <v>1</v>
      </c>
      <c r="N3119" s="19">
        <v>0</v>
      </c>
      <c r="O3119" s="19">
        <v>0</v>
      </c>
      <c r="P3119" s="19">
        <v>0</v>
      </c>
      <c r="Q3119" s="19">
        <v>0</v>
      </c>
      <c r="R3119" s="19">
        <v>0.80427984358202542</v>
      </c>
      <c r="S3119" s="19">
        <v>0.19572015641797441</v>
      </c>
      <c r="T3119" s="20">
        <v>12</v>
      </c>
      <c r="U3119" s="17">
        <v>3</v>
      </c>
      <c r="V3119" s="17">
        <v>36</v>
      </c>
    </row>
    <row r="3120" spans="1:22" x14ac:dyDescent="0.2">
      <c r="A3120" t="s">
        <v>7047</v>
      </c>
      <c r="B3120" t="s">
        <v>5862</v>
      </c>
      <c r="C3120" t="s">
        <v>5863</v>
      </c>
      <c r="D3120" t="s">
        <v>7037</v>
      </c>
      <c r="E3120" s="10" t="s">
        <v>7048</v>
      </c>
      <c r="F3120" s="10"/>
      <c r="G3120" s="10"/>
      <c r="H3120" s="10" t="s">
        <v>7048</v>
      </c>
      <c r="I3120" s="14">
        <v>184376.13835136604</v>
      </c>
      <c r="J3120" s="19">
        <v>0.39985754163697795</v>
      </c>
      <c r="K3120" s="19">
        <v>0.3581382402372692</v>
      </c>
      <c r="L3120" s="19">
        <v>0.24200421812575285</v>
      </c>
      <c r="M3120" s="20">
        <v>2</v>
      </c>
      <c r="N3120" s="19">
        <v>8.7551403594753538E-3</v>
      </c>
      <c r="O3120" s="19">
        <v>5.2273020321085023E-2</v>
      </c>
      <c r="P3120" s="19">
        <v>0.29711007955670882</v>
      </c>
      <c r="Q3120" s="19">
        <v>3.8587180961443354E-2</v>
      </c>
      <c r="R3120" s="19">
        <v>0.19372499445864488</v>
      </c>
      <c r="S3120" s="19">
        <v>9.6920427056646202E-3</v>
      </c>
      <c r="T3120" s="20">
        <v>22</v>
      </c>
      <c r="U3120" s="17">
        <v>3</v>
      </c>
      <c r="V3120" s="17">
        <v>36</v>
      </c>
    </row>
    <row r="3121" spans="1:22" x14ac:dyDescent="0.2">
      <c r="A3121" t="s">
        <v>7049</v>
      </c>
      <c r="B3121" t="s">
        <v>5862</v>
      </c>
      <c r="C3121" t="s">
        <v>5863</v>
      </c>
      <c r="D3121" t="s">
        <v>7037</v>
      </c>
      <c r="E3121" s="10" t="s">
        <v>7050</v>
      </c>
      <c r="F3121" s="10"/>
      <c r="G3121" s="10"/>
      <c r="H3121" s="10" t="s">
        <v>7050</v>
      </c>
      <c r="I3121" s="14">
        <v>56387.103501831421</v>
      </c>
      <c r="J3121" s="19">
        <v>0</v>
      </c>
      <c r="K3121" s="19">
        <v>0.20422525748741616</v>
      </c>
      <c r="L3121" s="19">
        <v>0.79577474251258384</v>
      </c>
      <c r="M3121" s="20">
        <v>1</v>
      </c>
      <c r="N3121" s="19">
        <v>0</v>
      </c>
      <c r="O3121" s="19">
        <v>0.20422525748741616</v>
      </c>
      <c r="P3121" s="19">
        <v>0</v>
      </c>
      <c r="Q3121" s="19">
        <v>0.15755679449604562</v>
      </c>
      <c r="R3121" s="19">
        <v>0.56479602234269088</v>
      </c>
      <c r="S3121" s="19">
        <v>7.3421925673847241E-2</v>
      </c>
      <c r="T3121" s="20">
        <v>12</v>
      </c>
      <c r="U3121" s="17">
        <v>3</v>
      </c>
      <c r="V3121" s="17">
        <v>36</v>
      </c>
    </row>
    <row r="3122" spans="1:22" x14ac:dyDescent="0.2">
      <c r="A3122" t="s">
        <v>7051</v>
      </c>
      <c r="B3122" t="s">
        <v>5862</v>
      </c>
      <c r="C3122" t="s">
        <v>5863</v>
      </c>
      <c r="D3122" t="s">
        <v>7037</v>
      </c>
      <c r="E3122" s="10" t="s">
        <v>7052</v>
      </c>
      <c r="F3122" s="10"/>
      <c r="G3122" s="10"/>
      <c r="H3122" s="10" t="s">
        <v>7052</v>
      </c>
      <c r="I3122" s="14">
        <v>118823.2085577437</v>
      </c>
      <c r="J3122" s="19">
        <v>0</v>
      </c>
      <c r="K3122" s="19">
        <v>0.69032340321306551</v>
      </c>
      <c r="L3122" s="19">
        <v>0.30967659678693449</v>
      </c>
      <c r="M3122" s="20">
        <v>2</v>
      </c>
      <c r="N3122" s="19">
        <v>0.25865409020153962</v>
      </c>
      <c r="O3122" s="19">
        <v>0</v>
      </c>
      <c r="P3122" s="19">
        <v>0.43166931301152589</v>
      </c>
      <c r="Q3122" s="19">
        <v>4.5077275446625143E-3</v>
      </c>
      <c r="R3122" s="19">
        <v>0.28320150909694491</v>
      </c>
      <c r="S3122" s="19">
        <v>2.1967360145327085E-2</v>
      </c>
      <c r="T3122" s="20">
        <v>23</v>
      </c>
      <c r="U3122" s="17">
        <v>3</v>
      </c>
      <c r="V3122" s="17">
        <v>36</v>
      </c>
    </row>
    <row r="3123" spans="1:22" x14ac:dyDescent="0.2">
      <c r="A3123" t="s">
        <v>7053</v>
      </c>
      <c r="B3123" t="s">
        <v>5862</v>
      </c>
      <c r="C3123" t="s">
        <v>5863</v>
      </c>
      <c r="D3123" t="s">
        <v>7037</v>
      </c>
      <c r="E3123" s="10" t="s">
        <v>7054</v>
      </c>
      <c r="F3123" s="10"/>
      <c r="G3123" s="10"/>
      <c r="H3123" s="10" t="s">
        <v>7054</v>
      </c>
      <c r="I3123" s="14">
        <v>27970.756885339739</v>
      </c>
      <c r="J3123" s="19">
        <v>0</v>
      </c>
      <c r="K3123" s="19">
        <v>0</v>
      </c>
      <c r="L3123" s="19">
        <v>1</v>
      </c>
      <c r="M3123" s="20">
        <v>1</v>
      </c>
      <c r="N3123" s="19">
        <v>0</v>
      </c>
      <c r="O3123" s="19">
        <v>0</v>
      </c>
      <c r="P3123" s="19">
        <v>0</v>
      </c>
      <c r="Q3123" s="19">
        <v>0.16438007299665647</v>
      </c>
      <c r="R3123" s="19">
        <v>0.67917272538264783</v>
      </c>
      <c r="S3123" s="19">
        <v>0.15644720162069572</v>
      </c>
      <c r="T3123" s="20">
        <v>12</v>
      </c>
      <c r="U3123" s="17">
        <v>3</v>
      </c>
      <c r="V3123" s="17">
        <v>36</v>
      </c>
    </row>
    <row r="3124" spans="1:22" x14ac:dyDescent="0.2">
      <c r="A3124" t="s">
        <v>7055</v>
      </c>
      <c r="B3124" t="s">
        <v>5862</v>
      </c>
      <c r="C3124" t="s">
        <v>5863</v>
      </c>
      <c r="D3124" t="s">
        <v>7037</v>
      </c>
      <c r="E3124" s="10" t="s">
        <v>7056</v>
      </c>
      <c r="F3124" s="10"/>
      <c r="G3124" s="10"/>
      <c r="H3124" s="10" t="s">
        <v>7056</v>
      </c>
      <c r="I3124" s="14">
        <v>11948.714101232821</v>
      </c>
      <c r="J3124" s="19">
        <v>0</v>
      </c>
      <c r="K3124" s="19">
        <v>0.68955844291677959</v>
      </c>
      <c r="L3124" s="19">
        <v>0.31044155708322047</v>
      </c>
      <c r="M3124" s="20">
        <v>2</v>
      </c>
      <c r="N3124" s="19">
        <v>0</v>
      </c>
      <c r="O3124" s="19">
        <v>1.4044776295237872E-2</v>
      </c>
      <c r="P3124" s="19">
        <v>0.67551366662154166</v>
      </c>
      <c r="Q3124" s="19">
        <v>0</v>
      </c>
      <c r="R3124" s="19">
        <v>0.30982807474058832</v>
      </c>
      <c r="S3124" s="19">
        <v>6.1348234263214417E-4</v>
      </c>
      <c r="T3124" s="20">
        <v>21</v>
      </c>
      <c r="U3124" s="17">
        <v>3</v>
      </c>
      <c r="V3124" s="17">
        <v>36</v>
      </c>
    </row>
    <row r="3125" spans="1:22" x14ac:dyDescent="0.2">
      <c r="A3125" t="s">
        <v>7057</v>
      </c>
      <c r="B3125" t="s">
        <v>5862</v>
      </c>
      <c r="C3125" t="s">
        <v>5863</v>
      </c>
      <c r="D3125" t="s">
        <v>7058</v>
      </c>
      <c r="E3125" s="10" t="s">
        <v>7059</v>
      </c>
      <c r="F3125" s="10"/>
      <c r="G3125" s="10"/>
      <c r="H3125" s="10" t="s">
        <v>7059</v>
      </c>
      <c r="I3125" s="14">
        <v>67401.72571619309</v>
      </c>
      <c r="J3125" s="19">
        <v>2.3317458410981044E-2</v>
      </c>
      <c r="K3125" s="19">
        <v>0.81179925154873112</v>
      </c>
      <c r="L3125" s="19">
        <v>0.16488329004028782</v>
      </c>
      <c r="M3125" s="20">
        <v>2</v>
      </c>
      <c r="N3125" s="19">
        <v>0.27376779062475809</v>
      </c>
      <c r="O3125" s="19">
        <v>0</v>
      </c>
      <c r="P3125" s="19">
        <v>0.53803146092397303</v>
      </c>
      <c r="Q3125" s="19">
        <v>8.5388924802325926E-3</v>
      </c>
      <c r="R3125" s="19">
        <v>0.14604387451986092</v>
      </c>
      <c r="S3125" s="19">
        <v>1.0300523040194326E-2</v>
      </c>
      <c r="T3125" s="20">
        <v>21</v>
      </c>
      <c r="U3125" s="17">
        <v>3</v>
      </c>
      <c r="V3125" s="17">
        <v>36</v>
      </c>
    </row>
    <row r="3126" spans="1:22" x14ac:dyDescent="0.2">
      <c r="A3126" t="s">
        <v>7060</v>
      </c>
      <c r="B3126" t="s">
        <v>5862</v>
      </c>
      <c r="C3126" t="s">
        <v>5863</v>
      </c>
      <c r="D3126" t="s">
        <v>7058</v>
      </c>
      <c r="E3126" s="10" t="s">
        <v>7061</v>
      </c>
      <c r="F3126" s="10"/>
      <c r="G3126" s="10"/>
      <c r="H3126" s="10" t="s">
        <v>7061</v>
      </c>
      <c r="I3126" s="14">
        <v>127262.69244996396</v>
      </c>
      <c r="J3126" s="19">
        <v>0</v>
      </c>
      <c r="K3126" s="19">
        <v>0.78133685789013907</v>
      </c>
      <c r="L3126" s="19">
        <v>0.21866314210986088</v>
      </c>
      <c r="M3126" s="20">
        <v>2</v>
      </c>
      <c r="N3126" s="19">
        <v>0.13381878527968921</v>
      </c>
      <c r="O3126" s="19">
        <v>0</v>
      </c>
      <c r="P3126" s="19">
        <v>0.6475180726104498</v>
      </c>
      <c r="Q3126" s="19">
        <v>4.6298891596775688E-3</v>
      </c>
      <c r="R3126" s="19">
        <v>0.19823927994753754</v>
      </c>
      <c r="S3126" s="19">
        <v>1.5793973002645727E-2</v>
      </c>
      <c r="T3126" s="20">
        <v>21</v>
      </c>
      <c r="U3126" s="17">
        <v>3</v>
      </c>
      <c r="V3126" s="17">
        <v>36</v>
      </c>
    </row>
    <row r="3127" spans="1:22" x14ac:dyDescent="0.2">
      <c r="A3127" t="s">
        <v>7062</v>
      </c>
      <c r="B3127" t="s">
        <v>5862</v>
      </c>
      <c r="C3127" t="s">
        <v>5863</v>
      </c>
      <c r="D3127" t="s">
        <v>7058</v>
      </c>
      <c r="E3127" s="10" t="s">
        <v>7063</v>
      </c>
      <c r="F3127" s="10"/>
      <c r="G3127" s="10"/>
      <c r="H3127" s="10" t="s">
        <v>7063</v>
      </c>
      <c r="I3127" s="14">
        <v>43655.177491150331</v>
      </c>
      <c r="J3127" s="19">
        <v>0</v>
      </c>
      <c r="K3127" s="19">
        <v>0</v>
      </c>
      <c r="L3127" s="19">
        <v>1</v>
      </c>
      <c r="M3127" s="20">
        <v>1</v>
      </c>
      <c r="N3127" s="19">
        <v>0</v>
      </c>
      <c r="O3127" s="19">
        <v>0</v>
      </c>
      <c r="P3127" s="19">
        <v>0</v>
      </c>
      <c r="Q3127" s="19">
        <v>0.30066498331098912</v>
      </c>
      <c r="R3127" s="19">
        <v>0.62202761673046991</v>
      </c>
      <c r="S3127" s="19">
        <v>7.7307399958540898E-2</v>
      </c>
      <c r="T3127" s="20">
        <v>12</v>
      </c>
      <c r="U3127" s="17">
        <v>3</v>
      </c>
      <c r="V3127" s="17">
        <v>36</v>
      </c>
    </row>
    <row r="3128" spans="1:22" x14ac:dyDescent="0.2">
      <c r="A3128" t="s">
        <v>7064</v>
      </c>
      <c r="B3128" t="s">
        <v>5862</v>
      </c>
      <c r="C3128" t="s">
        <v>5863</v>
      </c>
      <c r="D3128" t="s">
        <v>7058</v>
      </c>
      <c r="E3128" s="10" t="s">
        <v>7065</v>
      </c>
      <c r="F3128" s="10"/>
      <c r="G3128" s="10"/>
      <c r="H3128" s="10" t="s">
        <v>7065</v>
      </c>
      <c r="I3128" s="14">
        <v>44046.930389743065</v>
      </c>
      <c r="J3128" s="19">
        <v>0</v>
      </c>
      <c r="K3128" s="19">
        <v>0.46058997197579377</v>
      </c>
      <c r="L3128" s="19">
        <v>0.53941002802420623</v>
      </c>
      <c r="M3128" s="20">
        <v>1</v>
      </c>
      <c r="N3128" s="19">
        <v>0</v>
      </c>
      <c r="O3128" s="19">
        <v>0.28136226895423699</v>
      </c>
      <c r="P3128" s="19">
        <v>0.17922770302155683</v>
      </c>
      <c r="Q3128" s="19">
        <v>0.1297835580283474</v>
      </c>
      <c r="R3128" s="19">
        <v>0.37843144435712833</v>
      </c>
      <c r="S3128" s="19">
        <v>3.1195025638730497E-2</v>
      </c>
      <c r="T3128" s="20">
        <v>12</v>
      </c>
      <c r="U3128" s="17">
        <v>3</v>
      </c>
      <c r="V3128" s="17">
        <v>36</v>
      </c>
    </row>
    <row r="3129" spans="1:22" x14ac:dyDescent="0.2">
      <c r="A3129" t="s">
        <v>7066</v>
      </c>
      <c r="B3129" t="s">
        <v>5862</v>
      </c>
      <c r="C3129" t="s">
        <v>5863</v>
      </c>
      <c r="D3129" t="s">
        <v>7058</v>
      </c>
      <c r="E3129" s="10" t="s">
        <v>7067</v>
      </c>
      <c r="F3129" s="10"/>
      <c r="G3129" s="10"/>
      <c r="H3129" s="10" t="s">
        <v>7067</v>
      </c>
      <c r="I3129" s="14">
        <v>270968.85566749284</v>
      </c>
      <c r="J3129" s="19">
        <v>0</v>
      </c>
      <c r="K3129" s="19">
        <v>0.72841511430745154</v>
      </c>
      <c r="L3129" s="19">
        <v>0.27158488569254846</v>
      </c>
      <c r="M3129" s="20">
        <v>2</v>
      </c>
      <c r="N3129" s="19">
        <v>0.23232436257330374</v>
      </c>
      <c r="O3129" s="19">
        <v>0</v>
      </c>
      <c r="P3129" s="19">
        <v>0.49609075173414779</v>
      </c>
      <c r="Q3129" s="19">
        <v>6.093689424987675E-2</v>
      </c>
      <c r="R3129" s="19">
        <v>0.20352520221421139</v>
      </c>
      <c r="S3129" s="19">
        <v>7.1227892284603002E-3</v>
      </c>
      <c r="T3129" s="20">
        <v>23</v>
      </c>
      <c r="U3129" s="17">
        <v>3</v>
      </c>
      <c r="V3129" s="17">
        <v>36</v>
      </c>
    </row>
    <row r="3130" spans="1:22" x14ac:dyDescent="0.2">
      <c r="A3130" t="s">
        <v>7068</v>
      </c>
      <c r="B3130" t="s">
        <v>5862</v>
      </c>
      <c r="C3130" t="s">
        <v>5863</v>
      </c>
      <c r="D3130" t="s">
        <v>7058</v>
      </c>
      <c r="E3130" s="10" t="s">
        <v>7069</v>
      </c>
      <c r="F3130" s="10"/>
      <c r="G3130" s="10"/>
      <c r="H3130" s="10" t="s">
        <v>7069</v>
      </c>
      <c r="I3130" s="14">
        <v>267672.69898050919</v>
      </c>
      <c r="J3130" s="19">
        <v>0.54072594906422522</v>
      </c>
      <c r="K3130" s="19">
        <v>0.34676917112303329</v>
      </c>
      <c r="L3130" s="19">
        <v>0.11250487981274152</v>
      </c>
      <c r="M3130" s="20">
        <v>3</v>
      </c>
      <c r="N3130" s="19">
        <v>0</v>
      </c>
      <c r="O3130" s="19">
        <v>2.1724290333260812E-2</v>
      </c>
      <c r="P3130" s="19">
        <v>0.32504488078977245</v>
      </c>
      <c r="Q3130" s="19">
        <v>3.3283180825580184E-3</v>
      </c>
      <c r="R3130" s="19">
        <v>9.6122361384404997E-2</v>
      </c>
      <c r="S3130" s="19">
        <v>1.3054200345778486E-2</v>
      </c>
      <c r="T3130" s="20">
        <v>30</v>
      </c>
      <c r="U3130" s="17">
        <v>3</v>
      </c>
      <c r="V3130" s="17">
        <v>36</v>
      </c>
    </row>
    <row r="3131" spans="1:22" x14ac:dyDescent="0.2">
      <c r="A3131" t="s">
        <v>7070</v>
      </c>
      <c r="B3131" t="s">
        <v>5862</v>
      </c>
      <c r="C3131" t="s">
        <v>5863</v>
      </c>
      <c r="D3131" t="s">
        <v>7058</v>
      </c>
      <c r="E3131" s="10" t="s">
        <v>7071</v>
      </c>
      <c r="F3131" s="10"/>
      <c r="G3131" s="10"/>
      <c r="H3131" s="10" t="s">
        <v>7071</v>
      </c>
      <c r="I3131" s="14">
        <v>48114.719364552235</v>
      </c>
      <c r="J3131" s="19">
        <v>0</v>
      </c>
      <c r="K3131" s="19">
        <v>0.50804688943919485</v>
      </c>
      <c r="L3131" s="19">
        <v>0.49195311056080515</v>
      </c>
      <c r="M3131" s="20">
        <v>2</v>
      </c>
      <c r="N3131" s="19">
        <v>0.28174384063640789</v>
      </c>
      <c r="O3131" s="19">
        <v>0</v>
      </c>
      <c r="P3131" s="19">
        <v>0.22630304880278701</v>
      </c>
      <c r="Q3131" s="19">
        <v>9.1634722096693155E-2</v>
      </c>
      <c r="R3131" s="19">
        <v>0.30322771739148863</v>
      </c>
      <c r="S3131" s="19">
        <v>9.7090671072623411E-2</v>
      </c>
      <c r="T3131" s="20">
        <v>23</v>
      </c>
      <c r="U3131" s="17">
        <v>3</v>
      </c>
      <c r="V3131" s="17">
        <v>36</v>
      </c>
    </row>
    <row r="3132" spans="1:22" x14ac:dyDescent="0.2">
      <c r="A3132" t="s">
        <v>7072</v>
      </c>
      <c r="B3132" t="s">
        <v>5862</v>
      </c>
      <c r="C3132" t="s">
        <v>5863</v>
      </c>
      <c r="D3132" t="s">
        <v>7058</v>
      </c>
      <c r="E3132" s="10" t="s">
        <v>7073</v>
      </c>
      <c r="F3132" s="10"/>
      <c r="G3132" s="10"/>
      <c r="H3132" s="10" t="s">
        <v>7073</v>
      </c>
      <c r="I3132" s="14">
        <v>48914.779583003372</v>
      </c>
      <c r="J3132" s="19">
        <v>0</v>
      </c>
      <c r="K3132" s="19">
        <v>0.36581878700057446</v>
      </c>
      <c r="L3132" s="19">
        <v>0.63418121299942554</v>
      </c>
      <c r="M3132" s="20">
        <v>1</v>
      </c>
      <c r="N3132" s="19">
        <v>0.12479929396403068</v>
      </c>
      <c r="O3132" s="19">
        <v>0</v>
      </c>
      <c r="P3132" s="19">
        <v>0.24101949303654374</v>
      </c>
      <c r="Q3132" s="19">
        <v>0.10687353077540314</v>
      </c>
      <c r="R3132" s="19">
        <v>0.46830465387407866</v>
      </c>
      <c r="S3132" s="19">
        <v>5.900302834994376E-2</v>
      </c>
      <c r="T3132" s="20">
        <v>12</v>
      </c>
      <c r="U3132" s="17">
        <v>3</v>
      </c>
      <c r="V3132" s="17">
        <v>36</v>
      </c>
    </row>
    <row r="3133" spans="1:22" x14ac:dyDescent="0.2">
      <c r="A3133" t="s">
        <v>7074</v>
      </c>
      <c r="B3133" t="s">
        <v>5862</v>
      </c>
      <c r="C3133" t="s">
        <v>5863</v>
      </c>
      <c r="D3133" t="s">
        <v>7075</v>
      </c>
      <c r="E3133" s="10" t="s">
        <v>7076</v>
      </c>
      <c r="F3133" s="10"/>
      <c r="G3133" s="10"/>
      <c r="H3133" s="10" t="s">
        <v>7076</v>
      </c>
      <c r="I3133" s="14">
        <v>48670.749694313621</v>
      </c>
      <c r="J3133" s="19">
        <v>0</v>
      </c>
      <c r="K3133" s="19">
        <v>0</v>
      </c>
      <c r="L3133" s="19">
        <v>1</v>
      </c>
      <c r="M3133" s="20">
        <v>1</v>
      </c>
      <c r="N3133" s="19">
        <v>0</v>
      </c>
      <c r="O3133" s="19">
        <v>0</v>
      </c>
      <c r="P3133" s="19">
        <v>0</v>
      </c>
      <c r="Q3133" s="19">
        <v>0.58953656920607134</v>
      </c>
      <c r="R3133" s="19">
        <v>0.36729820428497229</v>
      </c>
      <c r="S3133" s="19">
        <v>4.3165226508956323E-2</v>
      </c>
      <c r="T3133" s="20">
        <v>13</v>
      </c>
      <c r="U3133" s="17">
        <v>3</v>
      </c>
      <c r="V3133" s="17">
        <v>36</v>
      </c>
    </row>
    <row r="3134" spans="1:22" x14ac:dyDescent="0.2">
      <c r="A3134" t="s">
        <v>7077</v>
      </c>
      <c r="B3134" t="s">
        <v>5862</v>
      </c>
      <c r="C3134" t="s">
        <v>5863</v>
      </c>
      <c r="D3134" t="s">
        <v>7075</v>
      </c>
      <c r="E3134" s="10" t="s">
        <v>7078</v>
      </c>
      <c r="F3134" s="10"/>
      <c r="G3134" s="10"/>
      <c r="H3134" s="10" t="s">
        <v>7078</v>
      </c>
      <c r="I3134" s="14">
        <v>52352.641516420059</v>
      </c>
      <c r="J3134" s="19">
        <v>0</v>
      </c>
      <c r="K3134" s="19">
        <v>0.68924897763162996</v>
      </c>
      <c r="L3134" s="19">
        <v>0.31075102236837004</v>
      </c>
      <c r="M3134" s="20">
        <v>2</v>
      </c>
      <c r="N3134" s="19">
        <v>0</v>
      </c>
      <c r="O3134" s="19">
        <v>0.68924897763162996</v>
      </c>
      <c r="P3134" s="19">
        <v>0</v>
      </c>
      <c r="Q3134" s="19">
        <v>0.14091260244732454</v>
      </c>
      <c r="R3134" s="19">
        <v>0.15314493580175231</v>
      </c>
      <c r="S3134" s="19">
        <v>1.6693484119293153E-2</v>
      </c>
      <c r="T3134" s="20">
        <v>22</v>
      </c>
      <c r="U3134" s="17">
        <v>3</v>
      </c>
      <c r="V3134" s="17">
        <v>36</v>
      </c>
    </row>
    <row r="3135" spans="1:22" x14ac:dyDescent="0.2">
      <c r="A3135" t="s">
        <v>7079</v>
      </c>
      <c r="B3135" t="s">
        <v>5862</v>
      </c>
      <c r="C3135" t="s">
        <v>5863</v>
      </c>
      <c r="D3135" t="s">
        <v>7075</v>
      </c>
      <c r="E3135" s="10" t="s">
        <v>7080</v>
      </c>
      <c r="F3135" s="10"/>
      <c r="G3135" s="10"/>
      <c r="H3135" s="10" t="s">
        <v>7080</v>
      </c>
      <c r="I3135" s="14">
        <v>89195.183773615863</v>
      </c>
      <c r="J3135" s="19">
        <v>0</v>
      </c>
      <c r="K3135" s="19">
        <v>0.25584696892414466</v>
      </c>
      <c r="L3135" s="19">
        <v>0.7441530310758554</v>
      </c>
      <c r="M3135" s="20">
        <v>1</v>
      </c>
      <c r="N3135" s="19">
        <v>0</v>
      </c>
      <c r="O3135" s="19">
        <v>0.25584696892414466</v>
      </c>
      <c r="P3135" s="19">
        <v>0</v>
      </c>
      <c r="Q3135" s="19">
        <v>0.5366274682860781</v>
      </c>
      <c r="R3135" s="19">
        <v>0.17174415695975689</v>
      </c>
      <c r="S3135" s="19">
        <v>3.5781405830020395E-2</v>
      </c>
      <c r="T3135" s="20">
        <v>13</v>
      </c>
      <c r="U3135" s="17">
        <v>3</v>
      </c>
      <c r="V3135" s="17">
        <v>36</v>
      </c>
    </row>
    <row r="3136" spans="1:22" x14ac:dyDescent="0.2">
      <c r="A3136" t="s">
        <v>7081</v>
      </c>
      <c r="B3136" t="s">
        <v>5862</v>
      </c>
      <c r="C3136" t="s">
        <v>5863</v>
      </c>
      <c r="D3136" t="s">
        <v>7075</v>
      </c>
      <c r="E3136" s="10" t="s">
        <v>7082</v>
      </c>
      <c r="F3136" s="10"/>
      <c r="G3136" s="10"/>
      <c r="H3136" s="10" t="s">
        <v>7082</v>
      </c>
      <c r="I3136" s="14">
        <v>30779.167382773241</v>
      </c>
      <c r="J3136" s="19">
        <v>0</v>
      </c>
      <c r="K3136" s="19">
        <v>0.46738926969705746</v>
      </c>
      <c r="L3136" s="19">
        <v>0.53261073030294259</v>
      </c>
      <c r="M3136" s="20">
        <v>1</v>
      </c>
      <c r="N3136" s="19">
        <v>0</v>
      </c>
      <c r="O3136" s="19">
        <v>0.30537126894772137</v>
      </c>
      <c r="P3136" s="19">
        <v>0.16201800074933609</v>
      </c>
      <c r="Q3136" s="19">
        <v>0.32522331985046887</v>
      </c>
      <c r="R3136" s="19">
        <v>0.18013827952348607</v>
      </c>
      <c r="S3136" s="19">
        <v>2.7249130928987706E-2</v>
      </c>
      <c r="T3136" s="20">
        <v>13</v>
      </c>
      <c r="U3136" s="17">
        <v>3</v>
      </c>
      <c r="V3136" s="17">
        <v>36</v>
      </c>
    </row>
    <row r="3137" spans="1:22" x14ac:dyDescent="0.2">
      <c r="A3137" t="s">
        <v>7083</v>
      </c>
      <c r="B3137" t="s">
        <v>5862</v>
      </c>
      <c r="C3137" t="s">
        <v>5863</v>
      </c>
      <c r="D3137" t="s">
        <v>7075</v>
      </c>
      <c r="E3137" s="10" t="s">
        <v>7084</v>
      </c>
      <c r="F3137" s="10"/>
      <c r="G3137" s="10"/>
      <c r="H3137" s="10" t="s">
        <v>7084</v>
      </c>
      <c r="I3137" s="14">
        <v>17506.151716492139</v>
      </c>
      <c r="J3137" s="19">
        <v>0</v>
      </c>
      <c r="K3137" s="19">
        <v>0</v>
      </c>
      <c r="L3137" s="19">
        <v>1</v>
      </c>
      <c r="M3137" s="20">
        <v>1</v>
      </c>
      <c r="N3137" s="19">
        <v>0</v>
      </c>
      <c r="O3137" s="19">
        <v>0</v>
      </c>
      <c r="P3137" s="19">
        <v>0</v>
      </c>
      <c r="Q3137" s="19">
        <v>0.75287266900559868</v>
      </c>
      <c r="R3137" s="19">
        <v>0.20822818142773869</v>
      </c>
      <c r="S3137" s="19">
        <v>3.8899149566662634E-2</v>
      </c>
      <c r="T3137" s="20">
        <v>13</v>
      </c>
      <c r="U3137" s="17">
        <v>3</v>
      </c>
      <c r="V3137" s="17">
        <v>36</v>
      </c>
    </row>
    <row r="3138" spans="1:22" x14ac:dyDescent="0.2">
      <c r="A3138" t="s">
        <v>7085</v>
      </c>
      <c r="B3138" t="s">
        <v>5862</v>
      </c>
      <c r="C3138" t="s">
        <v>5863</v>
      </c>
      <c r="D3138" t="s">
        <v>7075</v>
      </c>
      <c r="E3138" s="10" t="s">
        <v>7086</v>
      </c>
      <c r="F3138" s="10"/>
      <c r="G3138" s="10"/>
      <c r="H3138" s="10" t="s">
        <v>7086</v>
      </c>
      <c r="I3138" s="14">
        <v>26640.089365056716</v>
      </c>
      <c r="J3138" s="19">
        <v>0</v>
      </c>
      <c r="K3138" s="19">
        <v>0.25253564130361006</v>
      </c>
      <c r="L3138" s="19">
        <v>0.74746435869639005</v>
      </c>
      <c r="M3138" s="20">
        <v>1</v>
      </c>
      <c r="N3138" s="19">
        <v>0</v>
      </c>
      <c r="O3138" s="19">
        <v>0.22156149610431172</v>
      </c>
      <c r="P3138" s="19">
        <v>3.0974145199298347E-2</v>
      </c>
      <c r="Q3138" s="19">
        <v>0.47253155039575317</v>
      </c>
      <c r="R3138" s="19">
        <v>0.253962234411231</v>
      </c>
      <c r="S3138" s="19">
        <v>2.0970573889405666E-2</v>
      </c>
      <c r="T3138" s="20">
        <v>13</v>
      </c>
      <c r="U3138" s="17">
        <v>3</v>
      </c>
      <c r="V3138" s="17">
        <v>36</v>
      </c>
    </row>
    <row r="3139" spans="1:22" x14ac:dyDescent="0.2">
      <c r="A3139" t="s">
        <v>7087</v>
      </c>
      <c r="B3139" t="s">
        <v>5862</v>
      </c>
      <c r="C3139" t="s">
        <v>5863</v>
      </c>
      <c r="D3139" t="s">
        <v>7075</v>
      </c>
      <c r="E3139" s="10" t="s">
        <v>7088</v>
      </c>
      <c r="F3139" s="10"/>
      <c r="G3139" s="10"/>
      <c r="H3139" s="10" t="s">
        <v>7088</v>
      </c>
      <c r="I3139" s="14">
        <v>66131.771804305841</v>
      </c>
      <c r="J3139" s="19">
        <v>0</v>
      </c>
      <c r="K3139" s="19">
        <v>0.16825689068866279</v>
      </c>
      <c r="L3139" s="19">
        <v>0.83174310931133721</v>
      </c>
      <c r="M3139" s="20">
        <v>1</v>
      </c>
      <c r="N3139" s="19">
        <v>0.12750280972154526</v>
      </c>
      <c r="O3139" s="19">
        <v>0</v>
      </c>
      <c r="P3139" s="19">
        <v>4.075408096711753E-2</v>
      </c>
      <c r="Q3139" s="19">
        <v>0.48662479314225909</v>
      </c>
      <c r="R3139" s="19">
        <v>0.28792737400596363</v>
      </c>
      <c r="S3139" s="19">
        <v>5.7190942163114523E-2</v>
      </c>
      <c r="T3139" s="20">
        <v>13</v>
      </c>
      <c r="U3139" s="17">
        <v>3</v>
      </c>
      <c r="V3139" s="17">
        <v>36</v>
      </c>
    </row>
    <row r="3140" spans="1:22" x14ac:dyDescent="0.2">
      <c r="A3140" t="s">
        <v>7089</v>
      </c>
      <c r="B3140" t="s">
        <v>5862</v>
      </c>
      <c r="C3140" t="s">
        <v>5863</v>
      </c>
      <c r="D3140" t="s">
        <v>7075</v>
      </c>
      <c r="E3140" s="10" t="s">
        <v>7090</v>
      </c>
      <c r="F3140" s="10"/>
      <c r="G3140" s="10"/>
      <c r="H3140" s="10" t="s">
        <v>7090</v>
      </c>
      <c r="I3140" s="14">
        <v>14402.991767921718</v>
      </c>
      <c r="J3140" s="19">
        <v>0</v>
      </c>
      <c r="K3140" s="19">
        <v>0</v>
      </c>
      <c r="L3140" s="19">
        <v>1</v>
      </c>
      <c r="M3140" s="20">
        <v>1</v>
      </c>
      <c r="N3140" s="19">
        <v>0</v>
      </c>
      <c r="O3140" s="19">
        <v>0</v>
      </c>
      <c r="P3140" s="19">
        <v>0</v>
      </c>
      <c r="Q3140" s="19">
        <v>0.65210228326090447</v>
      </c>
      <c r="R3140" s="19">
        <v>0.27398753100033729</v>
      </c>
      <c r="S3140" s="19">
        <v>7.3910185738758225E-2</v>
      </c>
      <c r="T3140" s="20">
        <v>13</v>
      </c>
      <c r="U3140" s="17">
        <v>3</v>
      </c>
      <c r="V3140" s="17">
        <v>36</v>
      </c>
    </row>
    <row r="3141" spans="1:22" x14ac:dyDescent="0.2">
      <c r="A3141" t="s">
        <v>7091</v>
      </c>
      <c r="B3141" t="s">
        <v>5862</v>
      </c>
      <c r="C3141" t="s">
        <v>5863</v>
      </c>
      <c r="D3141" t="s">
        <v>7075</v>
      </c>
      <c r="E3141" s="10" t="s">
        <v>7092</v>
      </c>
      <c r="F3141" s="10"/>
      <c r="G3141" s="10"/>
      <c r="H3141" s="10" t="s">
        <v>7092</v>
      </c>
      <c r="I3141" s="14">
        <v>165439.63512045471</v>
      </c>
      <c r="J3141" s="19">
        <v>0.44213635220330877</v>
      </c>
      <c r="K3141" s="19">
        <v>0.27348525010713148</v>
      </c>
      <c r="L3141" s="19">
        <v>0.28437839768955969</v>
      </c>
      <c r="M3141" s="20">
        <v>2</v>
      </c>
      <c r="N3141" s="19">
        <v>0</v>
      </c>
      <c r="O3141" s="19">
        <v>2.8193409127273493E-2</v>
      </c>
      <c r="P3141" s="19">
        <v>0.24529184097985801</v>
      </c>
      <c r="Q3141" s="19">
        <v>0.1318131352199631</v>
      </c>
      <c r="R3141" s="19">
        <v>0.13771073581250859</v>
      </c>
      <c r="S3141" s="19">
        <v>1.4854526657088028E-2</v>
      </c>
      <c r="T3141" s="20">
        <v>22</v>
      </c>
      <c r="U3141" s="17">
        <v>3</v>
      </c>
      <c r="V3141" s="17">
        <v>36</v>
      </c>
    </row>
    <row r="3142" spans="1:22" x14ac:dyDescent="0.2">
      <c r="A3142" t="s">
        <v>7093</v>
      </c>
      <c r="B3142" t="s">
        <v>5862</v>
      </c>
      <c r="C3142" t="s">
        <v>5863</v>
      </c>
      <c r="D3142" t="s">
        <v>7075</v>
      </c>
      <c r="E3142" s="10" t="s">
        <v>7094</v>
      </c>
      <c r="F3142" s="10"/>
      <c r="G3142" s="10"/>
      <c r="H3142" s="10" t="s">
        <v>7094</v>
      </c>
      <c r="I3142" s="14">
        <v>15683.55871347408</v>
      </c>
      <c r="J3142" s="19">
        <v>0</v>
      </c>
      <c r="K3142" s="19">
        <v>0.3799105969370688</v>
      </c>
      <c r="L3142" s="19">
        <v>0.62008940306293103</v>
      </c>
      <c r="M3142" s="20">
        <v>1</v>
      </c>
      <c r="N3142" s="19">
        <v>0</v>
      </c>
      <c r="O3142" s="19">
        <v>0.3799105969370688</v>
      </c>
      <c r="P3142" s="19">
        <v>0</v>
      </c>
      <c r="Q3142" s="19">
        <v>0.24420663430752124</v>
      </c>
      <c r="R3142" s="19">
        <v>0.32822787977888956</v>
      </c>
      <c r="S3142" s="19">
        <v>4.765488897652026E-2</v>
      </c>
      <c r="T3142" s="20">
        <v>12</v>
      </c>
      <c r="U3142" s="17">
        <v>3</v>
      </c>
      <c r="V3142" s="17">
        <v>36</v>
      </c>
    </row>
    <row r="3143" spans="1:22" x14ac:dyDescent="0.2">
      <c r="A3143" t="s">
        <v>7095</v>
      </c>
      <c r="B3143" t="s">
        <v>5862</v>
      </c>
      <c r="C3143" t="s">
        <v>5863</v>
      </c>
      <c r="D3143" t="s">
        <v>7075</v>
      </c>
      <c r="E3143" s="10" t="s">
        <v>7096</v>
      </c>
      <c r="F3143" s="10"/>
      <c r="G3143" s="10"/>
      <c r="H3143" s="10" t="s">
        <v>7096</v>
      </c>
      <c r="I3143" s="14">
        <v>41665.58916244295</v>
      </c>
      <c r="J3143" s="19">
        <v>0</v>
      </c>
      <c r="K3143" s="19">
        <v>0.22472738927859001</v>
      </c>
      <c r="L3143" s="19">
        <v>0.77527261072141007</v>
      </c>
      <c r="M3143" s="20">
        <v>1</v>
      </c>
      <c r="N3143" s="19">
        <v>0.14623443096523908</v>
      </c>
      <c r="O3143" s="19">
        <v>0</v>
      </c>
      <c r="P3143" s="19">
        <v>7.849295831335093E-2</v>
      </c>
      <c r="Q3143" s="19">
        <v>0.33726268960020722</v>
      </c>
      <c r="R3143" s="19">
        <v>0.3639013575749192</v>
      </c>
      <c r="S3143" s="19">
        <v>7.4108563546283548E-2</v>
      </c>
      <c r="T3143" s="20">
        <v>12</v>
      </c>
      <c r="U3143" s="17">
        <v>3</v>
      </c>
      <c r="V3143" s="17">
        <v>36</v>
      </c>
    </row>
    <row r="3144" spans="1:22" x14ac:dyDescent="0.2">
      <c r="A3144" t="s">
        <v>7097</v>
      </c>
      <c r="B3144" t="s">
        <v>5862</v>
      </c>
      <c r="C3144" t="s">
        <v>5863</v>
      </c>
      <c r="D3144" t="s">
        <v>7075</v>
      </c>
      <c r="E3144" s="10" t="s">
        <v>7098</v>
      </c>
      <c r="F3144" s="10"/>
      <c r="G3144" s="10"/>
      <c r="H3144" s="10" t="s">
        <v>7098</v>
      </c>
      <c r="I3144" s="14">
        <v>51317.145973838284</v>
      </c>
      <c r="J3144" s="19">
        <v>0</v>
      </c>
      <c r="K3144" s="19">
        <v>0.18907699679193268</v>
      </c>
      <c r="L3144" s="19">
        <v>0.81092300320806732</v>
      </c>
      <c r="M3144" s="20">
        <v>1</v>
      </c>
      <c r="N3144" s="19">
        <v>0.10205407909918457</v>
      </c>
      <c r="O3144" s="19">
        <v>0</v>
      </c>
      <c r="P3144" s="19">
        <v>8.7022917692748128E-2</v>
      </c>
      <c r="Q3144" s="19">
        <v>0.47031745606026176</v>
      </c>
      <c r="R3144" s="19">
        <v>0.29994477074587572</v>
      </c>
      <c r="S3144" s="19">
        <v>4.0660776401929805E-2</v>
      </c>
      <c r="T3144" s="20">
        <v>13</v>
      </c>
      <c r="U3144" s="17">
        <v>3</v>
      </c>
      <c r="V3144" s="17">
        <v>36</v>
      </c>
    </row>
    <row r="3145" spans="1:22" x14ac:dyDescent="0.2">
      <c r="A3145" t="s">
        <v>7099</v>
      </c>
      <c r="B3145" t="s">
        <v>5862</v>
      </c>
      <c r="C3145" t="s">
        <v>5863</v>
      </c>
      <c r="D3145" t="s">
        <v>7075</v>
      </c>
      <c r="E3145" s="10" t="s">
        <v>7100</v>
      </c>
      <c r="F3145" s="10"/>
      <c r="G3145" s="10"/>
      <c r="H3145" s="10" t="s">
        <v>7100</v>
      </c>
      <c r="I3145" s="14">
        <v>33647.902917443076</v>
      </c>
      <c r="J3145" s="19">
        <v>0</v>
      </c>
      <c r="K3145" s="19">
        <v>0</v>
      </c>
      <c r="L3145" s="19">
        <v>1</v>
      </c>
      <c r="M3145" s="20">
        <v>1</v>
      </c>
      <c r="N3145" s="19">
        <v>0</v>
      </c>
      <c r="O3145" s="19">
        <v>0</v>
      </c>
      <c r="P3145" s="19">
        <v>0</v>
      </c>
      <c r="Q3145" s="19">
        <v>0.56932097276271632</v>
      </c>
      <c r="R3145" s="19">
        <v>0.37979710696411878</v>
      </c>
      <c r="S3145" s="19">
        <v>5.0881920273164849E-2</v>
      </c>
      <c r="T3145" s="20">
        <v>13</v>
      </c>
      <c r="U3145" s="17">
        <v>3</v>
      </c>
      <c r="V3145" s="17">
        <v>36</v>
      </c>
    </row>
    <row r="3146" spans="1:22" x14ac:dyDescent="0.2">
      <c r="A3146" t="s">
        <v>7101</v>
      </c>
      <c r="B3146" t="s">
        <v>5862</v>
      </c>
      <c r="C3146" t="s">
        <v>5863</v>
      </c>
      <c r="D3146" t="s">
        <v>7075</v>
      </c>
      <c r="E3146" s="10" t="s">
        <v>7102</v>
      </c>
      <c r="F3146" s="10"/>
      <c r="G3146" s="10"/>
      <c r="H3146" s="10" t="s">
        <v>7102</v>
      </c>
      <c r="I3146" s="14">
        <v>36203.278884436237</v>
      </c>
      <c r="J3146" s="19">
        <v>0</v>
      </c>
      <c r="K3146" s="19">
        <v>0.19646706907664646</v>
      </c>
      <c r="L3146" s="19">
        <v>0.80353293092335354</v>
      </c>
      <c r="M3146" s="20">
        <v>1</v>
      </c>
      <c r="N3146" s="19">
        <v>0</v>
      </c>
      <c r="O3146" s="19">
        <v>0.19646706907664646</v>
      </c>
      <c r="P3146" s="19">
        <v>0</v>
      </c>
      <c r="Q3146" s="19">
        <v>0.42557835809392319</v>
      </c>
      <c r="R3146" s="19">
        <v>0.29657284032455111</v>
      </c>
      <c r="S3146" s="19">
        <v>8.1381732504879248E-2</v>
      </c>
      <c r="T3146" s="20">
        <v>13</v>
      </c>
      <c r="U3146" s="17">
        <v>3</v>
      </c>
      <c r="V3146" s="17">
        <v>36</v>
      </c>
    </row>
    <row r="3147" spans="1:22" x14ac:dyDescent="0.2">
      <c r="A3147" t="s">
        <v>7103</v>
      </c>
      <c r="B3147" t="s">
        <v>5862</v>
      </c>
      <c r="C3147" t="s">
        <v>5863</v>
      </c>
      <c r="D3147" t="s">
        <v>7075</v>
      </c>
      <c r="E3147" s="10" t="s">
        <v>7104</v>
      </c>
      <c r="F3147" s="10"/>
      <c r="G3147" s="10"/>
      <c r="H3147" s="10" t="s">
        <v>7104</v>
      </c>
      <c r="I3147" s="14">
        <v>17299.617172337137</v>
      </c>
      <c r="J3147" s="19">
        <v>0</v>
      </c>
      <c r="K3147" s="19">
        <v>0</v>
      </c>
      <c r="L3147" s="19">
        <v>1</v>
      </c>
      <c r="M3147" s="20">
        <v>1</v>
      </c>
      <c r="N3147" s="19">
        <v>0</v>
      </c>
      <c r="O3147" s="19">
        <v>0</v>
      </c>
      <c r="P3147" s="19">
        <v>0</v>
      </c>
      <c r="Q3147" s="19">
        <v>0.63407431742507814</v>
      </c>
      <c r="R3147" s="19">
        <v>0.32887260721066086</v>
      </c>
      <c r="S3147" s="19">
        <v>3.7053075364261022E-2</v>
      </c>
      <c r="T3147" s="20">
        <v>13</v>
      </c>
      <c r="U3147" s="17">
        <v>3</v>
      </c>
      <c r="V3147" s="17">
        <v>36</v>
      </c>
    </row>
    <row r="3148" spans="1:22" x14ac:dyDescent="0.2">
      <c r="A3148" t="s">
        <v>7105</v>
      </c>
      <c r="B3148" t="s">
        <v>5862</v>
      </c>
      <c r="C3148" t="s">
        <v>5863</v>
      </c>
      <c r="D3148" t="s">
        <v>7075</v>
      </c>
      <c r="E3148" s="10" t="s">
        <v>7106</v>
      </c>
      <c r="F3148" s="10"/>
      <c r="G3148" s="10"/>
      <c r="H3148" s="10" t="s">
        <v>7106</v>
      </c>
      <c r="I3148" s="14">
        <v>69807.670670665684</v>
      </c>
      <c r="J3148" s="19">
        <v>0</v>
      </c>
      <c r="K3148" s="19">
        <v>0.16147869147398444</v>
      </c>
      <c r="L3148" s="19">
        <v>0.83852130852601559</v>
      </c>
      <c r="M3148" s="20">
        <v>1</v>
      </c>
      <c r="N3148" s="19">
        <v>8.7005204839623138E-2</v>
      </c>
      <c r="O3148" s="19">
        <v>0</v>
      </c>
      <c r="P3148" s="19">
        <v>7.4473486634361291E-2</v>
      </c>
      <c r="Q3148" s="19">
        <v>0.38781319928594526</v>
      </c>
      <c r="R3148" s="19">
        <v>0.37997064417487225</v>
      </c>
      <c r="S3148" s="19">
        <v>7.0737465065198041E-2</v>
      </c>
      <c r="T3148" s="20">
        <v>13</v>
      </c>
      <c r="U3148" s="17">
        <v>3</v>
      </c>
      <c r="V3148" s="17">
        <v>36</v>
      </c>
    </row>
    <row r="3149" spans="1:22" x14ac:dyDescent="0.2">
      <c r="A3149" t="s">
        <v>7107</v>
      </c>
      <c r="B3149" t="s">
        <v>5862</v>
      </c>
      <c r="C3149" t="s">
        <v>5863</v>
      </c>
      <c r="D3149" t="s">
        <v>7075</v>
      </c>
      <c r="E3149" s="10" t="s">
        <v>7108</v>
      </c>
      <c r="F3149" s="10"/>
      <c r="G3149" s="10"/>
      <c r="H3149" s="10" t="s">
        <v>7108</v>
      </c>
      <c r="I3149" s="14">
        <v>81258.330163544975</v>
      </c>
      <c r="J3149" s="19">
        <v>0</v>
      </c>
      <c r="K3149" s="19">
        <v>0.24602309710654441</v>
      </c>
      <c r="L3149" s="19">
        <v>0.75397690289345543</v>
      </c>
      <c r="M3149" s="20">
        <v>1</v>
      </c>
      <c r="N3149" s="19">
        <v>0.10407316870609885</v>
      </c>
      <c r="O3149" s="19">
        <v>6.7811141242073603E-2</v>
      </c>
      <c r="P3149" s="19">
        <v>7.4138787158371966E-2</v>
      </c>
      <c r="Q3149" s="19">
        <v>0.42933532868551455</v>
      </c>
      <c r="R3149" s="19">
        <v>0.27507276929202096</v>
      </c>
      <c r="S3149" s="19">
        <v>4.9568804915920049E-2</v>
      </c>
      <c r="T3149" s="20">
        <v>13</v>
      </c>
      <c r="U3149" s="17">
        <v>3</v>
      </c>
      <c r="V3149" s="17">
        <v>36</v>
      </c>
    </row>
    <row r="3150" spans="1:22" x14ac:dyDescent="0.2">
      <c r="A3150" t="s">
        <v>7109</v>
      </c>
      <c r="B3150" t="s">
        <v>5862</v>
      </c>
      <c r="C3150" t="s">
        <v>5863</v>
      </c>
      <c r="D3150" t="s">
        <v>7075</v>
      </c>
      <c r="E3150" s="10" t="s">
        <v>7110</v>
      </c>
      <c r="F3150" s="10"/>
      <c r="G3150" s="10"/>
      <c r="H3150" s="10" t="s">
        <v>7110</v>
      </c>
      <c r="I3150" s="14">
        <v>42360.998528404394</v>
      </c>
      <c r="J3150" s="19">
        <v>0</v>
      </c>
      <c r="K3150" s="19">
        <v>0.3100416517876477</v>
      </c>
      <c r="L3150" s="19">
        <v>0.68995834821235225</v>
      </c>
      <c r="M3150" s="20">
        <v>1</v>
      </c>
      <c r="N3150" s="19">
        <v>0</v>
      </c>
      <c r="O3150" s="19">
        <v>0.3100416517876477</v>
      </c>
      <c r="P3150" s="19">
        <v>0</v>
      </c>
      <c r="Q3150" s="19">
        <v>0.34294230671170278</v>
      </c>
      <c r="R3150" s="19">
        <v>0.31572313950565556</v>
      </c>
      <c r="S3150" s="19">
        <v>3.1292901994993988E-2</v>
      </c>
      <c r="T3150" s="20">
        <v>13</v>
      </c>
      <c r="U3150" s="17">
        <v>3</v>
      </c>
      <c r="V3150" s="17">
        <v>36</v>
      </c>
    </row>
    <row r="3151" spans="1:22" x14ac:dyDescent="0.2">
      <c r="A3151" t="s">
        <v>7111</v>
      </c>
      <c r="B3151" t="s">
        <v>5862</v>
      </c>
      <c r="C3151" t="s">
        <v>5863</v>
      </c>
      <c r="D3151" t="s">
        <v>7075</v>
      </c>
      <c r="E3151" s="10" t="s">
        <v>7112</v>
      </c>
      <c r="F3151" s="10"/>
      <c r="G3151" s="10"/>
      <c r="H3151" s="10" t="s">
        <v>7112</v>
      </c>
      <c r="I3151" s="14">
        <v>76584.536358145997</v>
      </c>
      <c r="J3151" s="19">
        <v>0</v>
      </c>
      <c r="K3151" s="19">
        <v>0.19945800343441142</v>
      </c>
      <c r="L3151" s="19">
        <v>0.80054199656558866</v>
      </c>
      <c r="M3151" s="20">
        <v>1</v>
      </c>
      <c r="N3151" s="19">
        <v>0.16282494914011367</v>
      </c>
      <c r="O3151" s="19">
        <v>0</v>
      </c>
      <c r="P3151" s="19">
        <v>3.6633054294297758E-2</v>
      </c>
      <c r="Q3151" s="19">
        <v>0.35465400525151636</v>
      </c>
      <c r="R3151" s="19">
        <v>0.3951973249814783</v>
      </c>
      <c r="S3151" s="19">
        <v>5.0690666332593809E-2</v>
      </c>
      <c r="T3151" s="20">
        <v>12</v>
      </c>
      <c r="U3151" s="17">
        <v>3</v>
      </c>
      <c r="V3151" s="17">
        <v>36</v>
      </c>
    </row>
    <row r="3152" spans="1:22" x14ac:dyDescent="0.2">
      <c r="A3152" t="s">
        <v>7113</v>
      </c>
      <c r="B3152" t="s">
        <v>5862</v>
      </c>
      <c r="C3152" t="s">
        <v>5863</v>
      </c>
      <c r="D3152" t="s">
        <v>7075</v>
      </c>
      <c r="E3152" s="10" t="s">
        <v>7114</v>
      </c>
      <c r="F3152" s="10"/>
      <c r="G3152" s="10"/>
      <c r="H3152" s="10" t="s">
        <v>7114</v>
      </c>
      <c r="I3152" s="14">
        <v>75679.575628532562</v>
      </c>
      <c r="J3152" s="19">
        <v>0</v>
      </c>
      <c r="K3152" s="19">
        <v>0.43091194831673768</v>
      </c>
      <c r="L3152" s="19">
        <v>0.56908805168326237</v>
      </c>
      <c r="M3152" s="20">
        <v>1</v>
      </c>
      <c r="N3152" s="19">
        <v>0</v>
      </c>
      <c r="O3152" s="19">
        <v>0.19174180487666712</v>
      </c>
      <c r="P3152" s="19">
        <v>0.23917014344007051</v>
      </c>
      <c r="Q3152" s="19">
        <v>0.30312679932807146</v>
      </c>
      <c r="R3152" s="19">
        <v>0.24131442963399347</v>
      </c>
      <c r="S3152" s="19">
        <v>2.4646822721197441E-2</v>
      </c>
      <c r="T3152" s="20">
        <v>13</v>
      </c>
      <c r="U3152" s="17">
        <v>3</v>
      </c>
      <c r="V3152" s="17">
        <v>36</v>
      </c>
    </row>
    <row r="3153" spans="1:22" x14ac:dyDescent="0.2">
      <c r="A3153" t="s">
        <v>7115</v>
      </c>
      <c r="B3153" t="s">
        <v>5862</v>
      </c>
      <c r="C3153" t="s">
        <v>5863</v>
      </c>
      <c r="D3153" t="s">
        <v>7116</v>
      </c>
      <c r="E3153" s="10" t="s">
        <v>7117</v>
      </c>
      <c r="F3153" s="10"/>
      <c r="G3153" s="10"/>
      <c r="H3153" s="10" t="s">
        <v>7117</v>
      </c>
      <c r="I3153" s="14">
        <v>89083.076671843301</v>
      </c>
      <c r="J3153" s="19">
        <v>0.1333177933109323</v>
      </c>
      <c r="K3153" s="19">
        <v>0.39924349848411272</v>
      </c>
      <c r="L3153" s="19">
        <v>0.46743870820495492</v>
      </c>
      <c r="M3153" s="20">
        <v>2</v>
      </c>
      <c r="N3153" s="19">
        <v>0.15140487867627661</v>
      </c>
      <c r="O3153" s="19">
        <v>0</v>
      </c>
      <c r="P3153" s="19">
        <v>0.24783861980783611</v>
      </c>
      <c r="Q3153" s="19">
        <v>0.12332633764570679</v>
      </c>
      <c r="R3153" s="19">
        <v>0.29483914706672504</v>
      </c>
      <c r="S3153" s="19">
        <v>4.9273223492523138E-2</v>
      </c>
      <c r="T3153" s="20">
        <v>23</v>
      </c>
      <c r="U3153" s="17">
        <v>3</v>
      </c>
      <c r="V3153" s="17">
        <v>36</v>
      </c>
    </row>
    <row r="3154" spans="1:22" x14ac:dyDescent="0.2">
      <c r="A3154" t="s">
        <v>7118</v>
      </c>
      <c r="B3154" t="s">
        <v>5862</v>
      </c>
      <c r="C3154" t="s">
        <v>5863</v>
      </c>
      <c r="D3154" t="s">
        <v>7116</v>
      </c>
      <c r="E3154" s="10" t="s">
        <v>7119</v>
      </c>
      <c r="F3154" s="10"/>
      <c r="G3154" s="10"/>
      <c r="H3154" s="10" t="s">
        <v>7119</v>
      </c>
      <c r="I3154" s="14">
        <v>26839.961961191148</v>
      </c>
      <c r="J3154" s="19">
        <v>0</v>
      </c>
      <c r="K3154" s="19">
        <v>0</v>
      </c>
      <c r="L3154" s="19">
        <v>1</v>
      </c>
      <c r="M3154" s="20">
        <v>1</v>
      </c>
      <c r="N3154" s="19">
        <v>0</v>
      </c>
      <c r="O3154" s="19">
        <v>0</v>
      </c>
      <c r="P3154" s="19">
        <v>0</v>
      </c>
      <c r="Q3154" s="19">
        <v>0.59733909417386322</v>
      </c>
      <c r="R3154" s="19">
        <v>0.33538219457390916</v>
      </c>
      <c r="S3154" s="19">
        <v>6.7278711252227605E-2</v>
      </c>
      <c r="T3154" s="20">
        <v>13</v>
      </c>
      <c r="U3154" s="17">
        <v>3</v>
      </c>
      <c r="V3154" s="17">
        <v>36</v>
      </c>
    </row>
    <row r="3155" spans="1:22" x14ac:dyDescent="0.2">
      <c r="A3155" t="s">
        <v>7120</v>
      </c>
      <c r="B3155" t="s">
        <v>5862</v>
      </c>
      <c r="C3155" t="s">
        <v>5863</v>
      </c>
      <c r="D3155" t="s">
        <v>7116</v>
      </c>
      <c r="E3155" s="10" t="s">
        <v>7121</v>
      </c>
      <c r="F3155" s="10"/>
      <c r="G3155" s="10"/>
      <c r="H3155" s="10" t="s">
        <v>7121</v>
      </c>
      <c r="I3155" s="14">
        <v>36429.725270667579</v>
      </c>
      <c r="J3155" s="19">
        <v>0</v>
      </c>
      <c r="K3155" s="19">
        <v>0</v>
      </c>
      <c r="L3155" s="19">
        <v>1</v>
      </c>
      <c r="M3155" s="20">
        <v>1</v>
      </c>
      <c r="N3155" s="19">
        <v>0</v>
      </c>
      <c r="O3155" s="19">
        <v>0</v>
      </c>
      <c r="P3155" s="19">
        <v>0</v>
      </c>
      <c r="Q3155" s="19">
        <v>0.22839312932240241</v>
      </c>
      <c r="R3155" s="19">
        <v>0.63848696170028141</v>
      </c>
      <c r="S3155" s="19">
        <v>0.1331199089773161</v>
      </c>
      <c r="T3155" s="20">
        <v>12</v>
      </c>
      <c r="U3155" s="17">
        <v>3</v>
      </c>
      <c r="V3155" s="17">
        <v>36</v>
      </c>
    </row>
    <row r="3156" spans="1:22" x14ac:dyDescent="0.2">
      <c r="A3156" t="s">
        <v>7122</v>
      </c>
      <c r="B3156" t="s">
        <v>5862</v>
      </c>
      <c r="C3156" t="s">
        <v>5863</v>
      </c>
      <c r="D3156" t="s">
        <v>7116</v>
      </c>
      <c r="E3156" s="10" t="s">
        <v>7123</v>
      </c>
      <c r="F3156" s="10"/>
      <c r="G3156" s="10"/>
      <c r="H3156" s="10" t="s">
        <v>7123</v>
      </c>
      <c r="I3156" s="14">
        <v>61105.153409971623</v>
      </c>
      <c r="J3156" s="19">
        <v>0</v>
      </c>
      <c r="K3156" s="19">
        <v>0.124165072340278</v>
      </c>
      <c r="L3156" s="19">
        <v>0.87583492765972215</v>
      </c>
      <c r="M3156" s="20">
        <v>1</v>
      </c>
      <c r="N3156" s="19">
        <v>0</v>
      </c>
      <c r="O3156" s="19">
        <v>0.124165072340278</v>
      </c>
      <c r="P3156" s="19">
        <v>0</v>
      </c>
      <c r="Q3156" s="19">
        <v>0.40324167595968946</v>
      </c>
      <c r="R3156" s="19">
        <v>0.42139714726244337</v>
      </c>
      <c r="S3156" s="19">
        <v>5.1196104437589214E-2</v>
      </c>
      <c r="T3156" s="20">
        <v>12</v>
      </c>
      <c r="U3156" s="17">
        <v>3</v>
      </c>
      <c r="V3156" s="17">
        <v>36</v>
      </c>
    </row>
    <row r="3157" spans="1:22" x14ac:dyDescent="0.2">
      <c r="A3157" t="s">
        <v>7124</v>
      </c>
      <c r="B3157" t="s">
        <v>5862</v>
      </c>
      <c r="C3157" t="s">
        <v>5863</v>
      </c>
      <c r="D3157" t="s">
        <v>7116</v>
      </c>
      <c r="E3157" s="10" t="s">
        <v>7125</v>
      </c>
      <c r="F3157" s="10"/>
      <c r="G3157" s="10"/>
      <c r="H3157" s="10" t="s">
        <v>7125</v>
      </c>
      <c r="I3157" s="14">
        <v>40657.546895201551</v>
      </c>
      <c r="J3157" s="19">
        <v>2.8851978323746842E-2</v>
      </c>
      <c r="K3157" s="19">
        <v>9.6149102510144011E-2</v>
      </c>
      <c r="L3157" s="19">
        <v>0.87499891916610917</v>
      </c>
      <c r="M3157" s="20">
        <v>1</v>
      </c>
      <c r="N3157" s="19">
        <v>6.568314841897413E-2</v>
      </c>
      <c r="O3157" s="19">
        <v>0</v>
      </c>
      <c r="P3157" s="19">
        <v>3.0465954091169881E-2</v>
      </c>
      <c r="Q3157" s="19">
        <v>0.21485691146951197</v>
      </c>
      <c r="R3157" s="19">
        <v>0.58060593633872404</v>
      </c>
      <c r="S3157" s="19">
        <v>7.9536071357873189E-2</v>
      </c>
      <c r="T3157" s="20">
        <v>12</v>
      </c>
      <c r="U3157" s="17">
        <v>3</v>
      </c>
      <c r="V3157" s="17">
        <v>36</v>
      </c>
    </row>
    <row r="3158" spans="1:22" x14ac:dyDescent="0.2">
      <c r="A3158" t="s">
        <v>7126</v>
      </c>
      <c r="B3158" t="s">
        <v>5862</v>
      </c>
      <c r="C3158" t="s">
        <v>5863</v>
      </c>
      <c r="D3158" t="s">
        <v>7116</v>
      </c>
      <c r="E3158" s="10" t="s">
        <v>7127</v>
      </c>
      <c r="F3158" s="10"/>
      <c r="G3158" s="10"/>
      <c r="H3158" s="10" t="s">
        <v>7127</v>
      </c>
      <c r="I3158" s="14">
        <v>112031.15015442949</v>
      </c>
      <c r="J3158" s="19">
        <v>0</v>
      </c>
      <c r="K3158" s="19">
        <v>0.28354638820769962</v>
      </c>
      <c r="L3158" s="19">
        <v>0.71645361179230038</v>
      </c>
      <c r="M3158" s="20">
        <v>1</v>
      </c>
      <c r="N3158" s="19">
        <v>0.19323783198395553</v>
      </c>
      <c r="O3158" s="19">
        <v>0</v>
      </c>
      <c r="P3158" s="19">
        <v>9.0308556223744119E-2</v>
      </c>
      <c r="Q3158" s="19">
        <v>0.17000791031154713</v>
      </c>
      <c r="R3158" s="19">
        <v>0.48732751261625251</v>
      </c>
      <c r="S3158" s="19">
        <v>5.9118188864500779E-2</v>
      </c>
      <c r="T3158" s="20">
        <v>12</v>
      </c>
      <c r="U3158" s="17">
        <v>3</v>
      </c>
      <c r="V3158" s="17">
        <v>36</v>
      </c>
    </row>
    <row r="3159" spans="1:22" x14ac:dyDescent="0.2">
      <c r="A3159" t="s">
        <v>7128</v>
      </c>
      <c r="B3159" t="s">
        <v>5862</v>
      </c>
      <c r="C3159" t="s">
        <v>5863</v>
      </c>
      <c r="D3159" t="s">
        <v>7116</v>
      </c>
      <c r="E3159" s="10" t="s">
        <v>7129</v>
      </c>
      <c r="F3159" s="10"/>
      <c r="G3159" s="10"/>
      <c r="H3159" s="10" t="s">
        <v>7129</v>
      </c>
      <c r="I3159" s="14">
        <v>54625.951992097311</v>
      </c>
      <c r="J3159" s="19">
        <v>0</v>
      </c>
      <c r="K3159" s="19">
        <v>2.57560715232352E-2</v>
      </c>
      <c r="L3159" s="19">
        <v>0.97424392847676478</v>
      </c>
      <c r="M3159" s="20">
        <v>1</v>
      </c>
      <c r="N3159" s="19">
        <v>0</v>
      </c>
      <c r="O3159" s="19">
        <v>2.57560715232352E-2</v>
      </c>
      <c r="P3159" s="19">
        <v>0</v>
      </c>
      <c r="Q3159" s="19">
        <v>0.69652701103080927</v>
      </c>
      <c r="R3159" s="19">
        <v>0.22751921698759148</v>
      </c>
      <c r="S3159" s="19">
        <v>5.0197700458364046E-2</v>
      </c>
      <c r="T3159" s="20">
        <v>13</v>
      </c>
      <c r="U3159" s="17">
        <v>3</v>
      </c>
      <c r="V3159" s="17">
        <v>36</v>
      </c>
    </row>
    <row r="3160" spans="1:22" x14ac:dyDescent="0.2">
      <c r="A3160" t="s">
        <v>7130</v>
      </c>
      <c r="B3160" t="s">
        <v>5862</v>
      </c>
      <c r="C3160" t="s">
        <v>5863</v>
      </c>
      <c r="D3160" t="s">
        <v>7116</v>
      </c>
      <c r="E3160" s="10" t="s">
        <v>7131</v>
      </c>
      <c r="F3160" s="10"/>
      <c r="G3160" s="10"/>
      <c r="H3160" s="10" t="s">
        <v>7131</v>
      </c>
      <c r="I3160" s="14">
        <v>67220.217094559688</v>
      </c>
      <c r="J3160" s="19">
        <v>0</v>
      </c>
      <c r="K3160" s="19">
        <v>0.3835748765039379</v>
      </c>
      <c r="L3160" s="19">
        <v>0.61642512349606204</v>
      </c>
      <c r="M3160" s="20">
        <v>1</v>
      </c>
      <c r="N3160" s="19">
        <v>0.18423151607241445</v>
      </c>
      <c r="O3160" s="19">
        <v>5.7662379674624969E-5</v>
      </c>
      <c r="P3160" s="19">
        <v>0.19928569805184884</v>
      </c>
      <c r="Q3160" s="19">
        <v>0.23978092026780967</v>
      </c>
      <c r="R3160" s="19">
        <v>0.33737755167305383</v>
      </c>
      <c r="S3160" s="19">
        <v>3.9266651555198567E-2</v>
      </c>
      <c r="T3160" s="20">
        <v>12</v>
      </c>
      <c r="U3160" s="17">
        <v>3</v>
      </c>
      <c r="V3160" s="17">
        <v>36</v>
      </c>
    </row>
    <row r="3161" spans="1:22" x14ac:dyDescent="0.2">
      <c r="A3161" t="s">
        <v>7132</v>
      </c>
      <c r="B3161" t="s">
        <v>5862</v>
      </c>
      <c r="C3161" t="s">
        <v>5863</v>
      </c>
      <c r="D3161" t="s">
        <v>7116</v>
      </c>
      <c r="E3161" s="10" t="s">
        <v>7133</v>
      </c>
      <c r="F3161" s="10"/>
      <c r="G3161" s="10"/>
      <c r="H3161" s="10" t="s">
        <v>7133</v>
      </c>
      <c r="I3161" s="14">
        <v>93770.389945125906</v>
      </c>
      <c r="J3161" s="19">
        <v>0</v>
      </c>
      <c r="K3161" s="19">
        <v>0.21441023162615724</v>
      </c>
      <c r="L3161" s="19">
        <v>0.78558976837384276</v>
      </c>
      <c r="M3161" s="20">
        <v>1</v>
      </c>
      <c r="N3161" s="19">
        <v>0.10306510821337742</v>
      </c>
      <c r="O3161" s="19">
        <v>5.4750537199508439E-2</v>
      </c>
      <c r="P3161" s="19">
        <v>5.6594586213271368E-2</v>
      </c>
      <c r="Q3161" s="19">
        <v>0.35811094293887863</v>
      </c>
      <c r="R3161" s="19">
        <v>0.37398210632092022</v>
      </c>
      <c r="S3161" s="19">
        <v>5.3496719114043939E-2</v>
      </c>
      <c r="T3161" s="20">
        <v>12</v>
      </c>
      <c r="U3161" s="17">
        <v>3</v>
      </c>
      <c r="V3161" s="17">
        <v>36</v>
      </c>
    </row>
    <row r="3162" spans="1:22" x14ac:dyDescent="0.2">
      <c r="A3162" t="s">
        <v>7134</v>
      </c>
      <c r="B3162" t="s">
        <v>5862</v>
      </c>
      <c r="C3162" t="s">
        <v>5863</v>
      </c>
      <c r="D3162" t="s">
        <v>7135</v>
      </c>
      <c r="E3162" s="10" t="s">
        <v>7136</v>
      </c>
      <c r="F3162" s="10"/>
      <c r="G3162" s="10"/>
      <c r="H3162" s="10" t="s">
        <v>7136</v>
      </c>
      <c r="I3162" s="14">
        <v>46405.244965289254</v>
      </c>
      <c r="J3162" s="19">
        <v>0</v>
      </c>
      <c r="K3162" s="19">
        <v>0.21121854573920104</v>
      </c>
      <c r="L3162" s="19">
        <v>0.78878145426079893</v>
      </c>
      <c r="M3162" s="20">
        <v>1</v>
      </c>
      <c r="N3162" s="19">
        <v>0.11786172173131843</v>
      </c>
      <c r="O3162" s="19">
        <v>0</v>
      </c>
      <c r="P3162" s="19">
        <v>9.3356824007882616E-2</v>
      </c>
      <c r="Q3162" s="19">
        <v>0.38723847234041114</v>
      </c>
      <c r="R3162" s="19">
        <v>0.30682881866912681</v>
      </c>
      <c r="S3162" s="19">
        <v>9.4714163251260974E-2</v>
      </c>
      <c r="T3162" s="20">
        <v>13</v>
      </c>
      <c r="U3162" s="17">
        <v>3</v>
      </c>
      <c r="V3162" s="17">
        <v>36</v>
      </c>
    </row>
    <row r="3163" spans="1:22" x14ac:dyDescent="0.2">
      <c r="A3163" t="s">
        <v>7137</v>
      </c>
      <c r="B3163" t="s">
        <v>5862</v>
      </c>
      <c r="C3163" t="s">
        <v>5863</v>
      </c>
      <c r="D3163" t="s">
        <v>7135</v>
      </c>
      <c r="E3163" s="10" t="s">
        <v>7138</v>
      </c>
      <c r="F3163" s="10"/>
      <c r="G3163" s="10"/>
      <c r="H3163" s="10" t="s">
        <v>7138</v>
      </c>
      <c r="I3163" s="14">
        <v>47417.009549906477</v>
      </c>
      <c r="J3163" s="19">
        <v>0</v>
      </c>
      <c r="K3163" s="19">
        <v>0</v>
      </c>
      <c r="L3163" s="19">
        <v>1</v>
      </c>
      <c r="M3163" s="20">
        <v>1</v>
      </c>
      <c r="N3163" s="19">
        <v>0</v>
      </c>
      <c r="O3163" s="19">
        <v>0</v>
      </c>
      <c r="P3163" s="19">
        <v>0</v>
      </c>
      <c r="Q3163" s="19">
        <v>0.42306339070550925</v>
      </c>
      <c r="R3163" s="19">
        <v>0.4664967399642172</v>
      </c>
      <c r="S3163" s="19">
        <v>0.1104398693302735</v>
      </c>
      <c r="T3163" s="20">
        <v>12</v>
      </c>
      <c r="U3163" s="17">
        <v>3</v>
      </c>
      <c r="V3163" s="17">
        <v>36</v>
      </c>
    </row>
    <row r="3164" spans="1:22" x14ac:dyDescent="0.2">
      <c r="A3164" t="s">
        <v>7139</v>
      </c>
      <c r="B3164" t="s">
        <v>5862</v>
      </c>
      <c r="C3164" t="s">
        <v>5863</v>
      </c>
      <c r="D3164" t="s">
        <v>7135</v>
      </c>
      <c r="E3164" s="10" t="s">
        <v>7140</v>
      </c>
      <c r="F3164" s="10"/>
      <c r="G3164" s="10"/>
      <c r="H3164" s="10" t="s">
        <v>7140</v>
      </c>
      <c r="I3164" s="14">
        <v>29681.534679001896</v>
      </c>
      <c r="J3164" s="19">
        <v>0</v>
      </c>
      <c r="K3164" s="19">
        <v>0.21084678481685037</v>
      </c>
      <c r="L3164" s="19">
        <v>0.78915321518314974</v>
      </c>
      <c r="M3164" s="20">
        <v>1</v>
      </c>
      <c r="N3164" s="19">
        <v>0</v>
      </c>
      <c r="O3164" s="19">
        <v>0.21084678481685037</v>
      </c>
      <c r="P3164" s="19">
        <v>0</v>
      </c>
      <c r="Q3164" s="19">
        <v>0.3198397225527797</v>
      </c>
      <c r="R3164" s="19">
        <v>0.36344160103619427</v>
      </c>
      <c r="S3164" s="19">
        <v>0.10587189159417569</v>
      </c>
      <c r="T3164" s="20">
        <v>12</v>
      </c>
      <c r="U3164" s="17">
        <v>3</v>
      </c>
      <c r="V3164" s="17">
        <v>36</v>
      </c>
    </row>
    <row r="3165" spans="1:22" x14ac:dyDescent="0.2">
      <c r="A3165" t="s">
        <v>7141</v>
      </c>
      <c r="B3165" t="s">
        <v>5862</v>
      </c>
      <c r="C3165" t="s">
        <v>5863</v>
      </c>
      <c r="D3165" t="s">
        <v>7135</v>
      </c>
      <c r="E3165" s="10" t="s">
        <v>7142</v>
      </c>
      <c r="F3165" s="10"/>
      <c r="G3165" s="10"/>
      <c r="H3165" s="10" t="s">
        <v>7142</v>
      </c>
      <c r="I3165" s="14">
        <v>26925.61709649023</v>
      </c>
      <c r="J3165" s="19">
        <v>0</v>
      </c>
      <c r="K3165" s="19">
        <v>0.23781666654837988</v>
      </c>
      <c r="L3165" s="19">
        <v>0.76218333345162004</v>
      </c>
      <c r="M3165" s="20">
        <v>1</v>
      </c>
      <c r="N3165" s="19">
        <v>0</v>
      </c>
      <c r="O3165" s="19">
        <v>0.23781666654837988</v>
      </c>
      <c r="P3165" s="19">
        <v>0</v>
      </c>
      <c r="Q3165" s="19">
        <v>0.23942328143115715</v>
      </c>
      <c r="R3165" s="19">
        <v>0.4286166682255903</v>
      </c>
      <c r="S3165" s="19">
        <v>9.4143383794872568E-2</v>
      </c>
      <c r="T3165" s="20">
        <v>12</v>
      </c>
      <c r="U3165" s="17">
        <v>3</v>
      </c>
      <c r="V3165" s="17">
        <v>36</v>
      </c>
    </row>
    <row r="3166" spans="1:22" x14ac:dyDescent="0.2">
      <c r="A3166" t="s">
        <v>7143</v>
      </c>
      <c r="B3166" t="s">
        <v>5862</v>
      </c>
      <c r="C3166" t="s">
        <v>5863</v>
      </c>
      <c r="D3166" t="s">
        <v>7135</v>
      </c>
      <c r="E3166" s="10" t="s">
        <v>7144</v>
      </c>
      <c r="F3166" s="10"/>
      <c r="G3166" s="10"/>
      <c r="H3166" s="10" t="s">
        <v>7144</v>
      </c>
      <c r="I3166" s="14">
        <v>38096.118998731137</v>
      </c>
      <c r="J3166" s="19">
        <v>0</v>
      </c>
      <c r="K3166" s="19">
        <v>0.41767286218377375</v>
      </c>
      <c r="L3166" s="19">
        <v>0.58232713781622625</v>
      </c>
      <c r="M3166" s="20">
        <v>1</v>
      </c>
      <c r="N3166" s="19">
        <v>0</v>
      </c>
      <c r="O3166" s="19">
        <v>0.41767286218377375</v>
      </c>
      <c r="P3166" s="19">
        <v>0</v>
      </c>
      <c r="Q3166" s="19">
        <v>0.26517124557602417</v>
      </c>
      <c r="R3166" s="19">
        <v>0.2685360964457662</v>
      </c>
      <c r="S3166" s="19">
        <v>4.861979579443592E-2</v>
      </c>
      <c r="T3166" s="20">
        <v>12</v>
      </c>
      <c r="U3166" s="17">
        <v>3</v>
      </c>
      <c r="V3166" s="17">
        <v>36</v>
      </c>
    </row>
    <row r="3167" spans="1:22" x14ac:dyDescent="0.2">
      <c r="A3167" t="s">
        <v>7145</v>
      </c>
      <c r="B3167" t="s">
        <v>5862</v>
      </c>
      <c r="C3167" t="s">
        <v>5863</v>
      </c>
      <c r="D3167" t="s">
        <v>7135</v>
      </c>
      <c r="E3167" s="10" t="s">
        <v>7146</v>
      </c>
      <c r="F3167" s="10"/>
      <c r="G3167" s="10"/>
      <c r="H3167" s="10" t="s">
        <v>7146</v>
      </c>
      <c r="I3167" s="14">
        <v>50027.267543383641</v>
      </c>
      <c r="J3167" s="19">
        <v>0</v>
      </c>
      <c r="K3167" s="19">
        <v>0.12987590262253823</v>
      </c>
      <c r="L3167" s="19">
        <v>0.87012409737746177</v>
      </c>
      <c r="M3167" s="20">
        <v>1</v>
      </c>
      <c r="N3167" s="19">
        <v>0</v>
      </c>
      <c r="O3167" s="19">
        <v>0.12987590262253823</v>
      </c>
      <c r="P3167" s="19">
        <v>0</v>
      </c>
      <c r="Q3167" s="19">
        <v>0.36962315573457044</v>
      </c>
      <c r="R3167" s="19">
        <v>0.42665433365799887</v>
      </c>
      <c r="S3167" s="19">
        <v>7.3846607984892454E-2</v>
      </c>
      <c r="T3167" s="20">
        <v>12</v>
      </c>
      <c r="U3167" s="17">
        <v>3</v>
      </c>
      <c r="V3167" s="17">
        <v>36</v>
      </c>
    </row>
    <row r="3168" spans="1:22" x14ac:dyDescent="0.2">
      <c r="A3168" t="s">
        <v>7147</v>
      </c>
      <c r="B3168" t="s">
        <v>5862</v>
      </c>
      <c r="C3168" t="s">
        <v>5863</v>
      </c>
      <c r="D3168" t="s">
        <v>7135</v>
      </c>
      <c r="E3168" s="10" t="s">
        <v>7148</v>
      </c>
      <c r="F3168" s="10"/>
      <c r="G3168" s="10"/>
      <c r="H3168" s="10" t="s">
        <v>7148</v>
      </c>
      <c r="I3168" s="14">
        <v>37182.830748209963</v>
      </c>
      <c r="J3168" s="19">
        <v>0</v>
      </c>
      <c r="K3168" s="19">
        <v>0.21997726155185404</v>
      </c>
      <c r="L3168" s="19">
        <v>0.78002273844814596</v>
      </c>
      <c r="M3168" s="20">
        <v>1</v>
      </c>
      <c r="N3168" s="19">
        <v>0</v>
      </c>
      <c r="O3168" s="19">
        <v>0.21997726155185404</v>
      </c>
      <c r="P3168" s="19">
        <v>0</v>
      </c>
      <c r="Q3168" s="19">
        <v>0.49900141339277237</v>
      </c>
      <c r="R3168" s="19">
        <v>0.21868000224371145</v>
      </c>
      <c r="S3168" s="19">
        <v>6.2341322811662152E-2</v>
      </c>
      <c r="T3168" s="20">
        <v>13</v>
      </c>
      <c r="U3168" s="17">
        <v>3</v>
      </c>
      <c r="V3168" s="17">
        <v>36</v>
      </c>
    </row>
    <row r="3169" spans="1:22" x14ac:dyDescent="0.2">
      <c r="A3169" t="s">
        <v>7149</v>
      </c>
      <c r="B3169" t="s">
        <v>5862</v>
      </c>
      <c r="C3169" t="s">
        <v>5863</v>
      </c>
      <c r="D3169" t="s">
        <v>7135</v>
      </c>
      <c r="E3169" s="10" t="s">
        <v>7150</v>
      </c>
      <c r="F3169" s="10"/>
      <c r="G3169" s="10"/>
      <c r="H3169" s="10" t="s">
        <v>7150</v>
      </c>
      <c r="I3169" s="14">
        <v>206125.13773815916</v>
      </c>
      <c r="J3169" s="19">
        <v>0.30884493821678277</v>
      </c>
      <c r="K3169" s="19">
        <v>0.34717102903983654</v>
      </c>
      <c r="L3169" s="19">
        <v>0.34398403274338063</v>
      </c>
      <c r="M3169" s="20">
        <v>2</v>
      </c>
      <c r="N3169" s="19">
        <v>0.10780182817954985</v>
      </c>
      <c r="O3169" s="19">
        <v>3.3990714222074232E-2</v>
      </c>
      <c r="P3169" s="19">
        <v>0.20537848663821245</v>
      </c>
      <c r="Q3169" s="19">
        <v>0.12503757044639408</v>
      </c>
      <c r="R3169" s="19">
        <v>0.19281477475087494</v>
      </c>
      <c r="S3169" s="19">
        <v>2.6131687546111677E-2</v>
      </c>
      <c r="T3169" s="20">
        <v>23</v>
      </c>
      <c r="U3169" s="17">
        <v>3</v>
      </c>
      <c r="V3169" s="17">
        <v>36</v>
      </c>
    </row>
    <row r="3170" spans="1:22" x14ac:dyDescent="0.2">
      <c r="A3170" t="s">
        <v>7151</v>
      </c>
      <c r="B3170" t="s">
        <v>5862</v>
      </c>
      <c r="C3170" t="s">
        <v>5863</v>
      </c>
      <c r="D3170" t="s">
        <v>7135</v>
      </c>
      <c r="E3170" s="10" t="s">
        <v>7152</v>
      </c>
      <c r="F3170" s="10"/>
      <c r="G3170" s="10"/>
      <c r="H3170" s="10" t="s">
        <v>7152</v>
      </c>
      <c r="I3170" s="14">
        <v>10706.18326018285</v>
      </c>
      <c r="J3170" s="19">
        <v>0</v>
      </c>
      <c r="K3170" s="19">
        <v>0</v>
      </c>
      <c r="L3170" s="19">
        <v>1</v>
      </c>
      <c r="M3170" s="20">
        <v>1</v>
      </c>
      <c r="N3170" s="19">
        <v>0</v>
      </c>
      <c r="O3170" s="19">
        <v>0</v>
      </c>
      <c r="P3170" s="19">
        <v>0</v>
      </c>
      <c r="Q3170" s="19">
        <v>0.36014640103977097</v>
      </c>
      <c r="R3170" s="19">
        <v>0.5641857546595308</v>
      </c>
      <c r="S3170" s="19">
        <v>7.5667844300698228E-2</v>
      </c>
      <c r="T3170" s="20">
        <v>12</v>
      </c>
      <c r="U3170" s="17">
        <v>3</v>
      </c>
      <c r="V3170" s="17">
        <v>36</v>
      </c>
    </row>
    <row r="3171" spans="1:22" x14ac:dyDescent="0.2">
      <c r="A3171" t="s">
        <v>7153</v>
      </c>
      <c r="B3171" t="s">
        <v>5862</v>
      </c>
      <c r="C3171" t="s">
        <v>5863</v>
      </c>
      <c r="D3171" t="s">
        <v>7135</v>
      </c>
      <c r="E3171" s="10" t="s">
        <v>7154</v>
      </c>
      <c r="F3171" s="10"/>
      <c r="G3171" s="10"/>
      <c r="H3171" s="10" t="s">
        <v>7154</v>
      </c>
      <c r="I3171" s="14">
        <v>37544.216744370293</v>
      </c>
      <c r="J3171" s="19">
        <v>0</v>
      </c>
      <c r="K3171" s="19">
        <v>0.33748734710982159</v>
      </c>
      <c r="L3171" s="19">
        <v>0.66251265289017836</v>
      </c>
      <c r="M3171" s="20">
        <v>1</v>
      </c>
      <c r="N3171" s="19">
        <v>0</v>
      </c>
      <c r="O3171" s="19">
        <v>0.33748734710982159</v>
      </c>
      <c r="P3171" s="19">
        <v>0</v>
      </c>
      <c r="Q3171" s="19">
        <v>0.29687762745347368</v>
      </c>
      <c r="R3171" s="19">
        <v>0.29857127870803679</v>
      </c>
      <c r="S3171" s="19">
        <v>6.7063746728667856E-2</v>
      </c>
      <c r="T3171" s="20">
        <v>12</v>
      </c>
      <c r="U3171" s="17">
        <v>3</v>
      </c>
      <c r="V3171" s="17">
        <v>36</v>
      </c>
    </row>
    <row r="3172" spans="1:22" x14ac:dyDescent="0.2">
      <c r="A3172" t="s">
        <v>7155</v>
      </c>
      <c r="B3172" t="s">
        <v>5862</v>
      </c>
      <c r="C3172" t="s">
        <v>5863</v>
      </c>
      <c r="D3172" t="s">
        <v>7135</v>
      </c>
      <c r="E3172" s="10" t="s">
        <v>7156</v>
      </c>
      <c r="F3172" s="10"/>
      <c r="G3172" s="10"/>
      <c r="H3172" s="10" t="s">
        <v>7156</v>
      </c>
      <c r="I3172" s="14">
        <v>56496.662648826838</v>
      </c>
      <c r="J3172" s="19">
        <v>0</v>
      </c>
      <c r="K3172" s="19">
        <v>0.17647103322231403</v>
      </c>
      <c r="L3172" s="19">
        <v>0.82352896677768594</v>
      </c>
      <c r="M3172" s="20">
        <v>1</v>
      </c>
      <c r="N3172" s="19">
        <v>0</v>
      </c>
      <c r="O3172" s="19">
        <v>0.17647103322231403</v>
      </c>
      <c r="P3172" s="19">
        <v>0</v>
      </c>
      <c r="Q3172" s="19">
        <v>0.35618039787861083</v>
      </c>
      <c r="R3172" s="19">
        <v>0.37259903818944867</v>
      </c>
      <c r="S3172" s="19">
        <v>9.4749530709626467E-2</v>
      </c>
      <c r="T3172" s="20">
        <v>12</v>
      </c>
      <c r="U3172" s="17">
        <v>3</v>
      </c>
      <c r="V3172" s="17">
        <v>36</v>
      </c>
    </row>
    <row r="3173" spans="1:22" x14ac:dyDescent="0.2">
      <c r="A3173" t="s">
        <v>7157</v>
      </c>
      <c r="B3173" t="s">
        <v>5862</v>
      </c>
      <c r="C3173" t="s">
        <v>5863</v>
      </c>
      <c r="D3173" t="s">
        <v>7135</v>
      </c>
      <c r="E3173" s="10" t="s">
        <v>7158</v>
      </c>
      <c r="F3173" s="10"/>
      <c r="G3173" s="10"/>
      <c r="H3173" s="10" t="s">
        <v>7158</v>
      </c>
      <c r="I3173" s="14">
        <v>39978.435399469687</v>
      </c>
      <c r="J3173" s="19">
        <v>0</v>
      </c>
      <c r="K3173" s="19">
        <v>0</v>
      </c>
      <c r="L3173" s="19">
        <v>1</v>
      </c>
      <c r="M3173" s="20">
        <v>1</v>
      </c>
      <c r="N3173" s="19">
        <v>0</v>
      </c>
      <c r="O3173" s="19">
        <v>0</v>
      </c>
      <c r="P3173" s="19">
        <v>0</v>
      </c>
      <c r="Q3173" s="19">
        <v>0.64628568900461092</v>
      </c>
      <c r="R3173" s="19">
        <v>0.28079630331262551</v>
      </c>
      <c r="S3173" s="19">
        <v>7.2918007682763616E-2</v>
      </c>
      <c r="T3173" s="20">
        <v>13</v>
      </c>
      <c r="U3173" s="17">
        <v>3</v>
      </c>
      <c r="V3173" s="17">
        <v>36</v>
      </c>
    </row>
    <row r="3174" spans="1:22" x14ac:dyDescent="0.2">
      <c r="A3174" t="s">
        <v>7159</v>
      </c>
      <c r="B3174" t="s">
        <v>5862</v>
      </c>
      <c r="C3174" t="s">
        <v>5863</v>
      </c>
      <c r="D3174" t="s">
        <v>7135</v>
      </c>
      <c r="E3174" s="10" t="s">
        <v>7160</v>
      </c>
      <c r="F3174" s="10"/>
      <c r="G3174" s="10"/>
      <c r="H3174" s="10" t="s">
        <v>7160</v>
      </c>
      <c r="I3174" s="14">
        <v>40300.295180503745</v>
      </c>
      <c r="J3174" s="19">
        <v>0</v>
      </c>
      <c r="K3174" s="19">
        <v>0.13205269603104886</v>
      </c>
      <c r="L3174" s="19">
        <v>0.86794730396895114</v>
      </c>
      <c r="M3174" s="20">
        <v>1</v>
      </c>
      <c r="N3174" s="19">
        <v>0</v>
      </c>
      <c r="O3174" s="19">
        <v>0.13205269603104886</v>
      </c>
      <c r="P3174" s="19">
        <v>0</v>
      </c>
      <c r="Q3174" s="19">
        <v>0.53476208432378181</v>
      </c>
      <c r="R3174" s="19">
        <v>0.27362709380611078</v>
      </c>
      <c r="S3174" s="19">
        <v>5.9558125839058597E-2</v>
      </c>
      <c r="T3174" s="20">
        <v>13</v>
      </c>
      <c r="U3174" s="17">
        <v>3</v>
      </c>
      <c r="V3174" s="17">
        <v>36</v>
      </c>
    </row>
    <row r="3175" spans="1:22" x14ac:dyDescent="0.2">
      <c r="A3175" t="s">
        <v>7161</v>
      </c>
      <c r="B3175" t="s">
        <v>5862</v>
      </c>
      <c r="C3175" t="s">
        <v>5863</v>
      </c>
      <c r="D3175" t="s">
        <v>7135</v>
      </c>
      <c r="E3175" s="10" t="s">
        <v>7162</v>
      </c>
      <c r="F3175" s="10"/>
      <c r="G3175" s="10"/>
      <c r="H3175" s="10" t="s">
        <v>7162</v>
      </c>
      <c r="I3175" s="14">
        <v>106683.62615374732</v>
      </c>
      <c r="J3175" s="19">
        <v>0</v>
      </c>
      <c r="K3175" s="19">
        <v>0.21622614605264373</v>
      </c>
      <c r="L3175" s="19">
        <v>0.78377385394735621</v>
      </c>
      <c r="M3175" s="20">
        <v>1</v>
      </c>
      <c r="N3175" s="19">
        <v>0.14863946998322289</v>
      </c>
      <c r="O3175" s="19">
        <v>0</v>
      </c>
      <c r="P3175" s="19">
        <v>6.7586676069420856E-2</v>
      </c>
      <c r="Q3175" s="19">
        <v>0.36654092369510316</v>
      </c>
      <c r="R3175" s="19">
        <v>0.333222615151269</v>
      </c>
      <c r="S3175" s="19">
        <v>8.4010315100984098E-2</v>
      </c>
      <c r="T3175" s="20">
        <v>13</v>
      </c>
      <c r="U3175" s="17">
        <v>3</v>
      </c>
      <c r="V3175" s="17">
        <v>36</v>
      </c>
    </row>
    <row r="3176" spans="1:22" x14ac:dyDescent="0.2">
      <c r="A3176" t="s">
        <v>7163</v>
      </c>
      <c r="B3176" t="s">
        <v>5862</v>
      </c>
      <c r="C3176" t="s">
        <v>5863</v>
      </c>
      <c r="D3176" t="s">
        <v>7135</v>
      </c>
      <c r="E3176" s="10" t="s">
        <v>7164</v>
      </c>
      <c r="F3176" s="10"/>
      <c r="G3176" s="10"/>
      <c r="H3176" s="10" t="s">
        <v>7164</v>
      </c>
      <c r="I3176" s="14">
        <v>23388.85917797056</v>
      </c>
      <c r="J3176" s="19">
        <v>0</v>
      </c>
      <c r="K3176" s="19">
        <v>0</v>
      </c>
      <c r="L3176" s="19">
        <v>1</v>
      </c>
      <c r="M3176" s="20">
        <v>1</v>
      </c>
      <c r="N3176" s="19">
        <v>0</v>
      </c>
      <c r="O3176" s="19">
        <v>0</v>
      </c>
      <c r="P3176" s="19">
        <v>0</v>
      </c>
      <c r="Q3176" s="19">
        <v>0.47919160608061512</v>
      </c>
      <c r="R3176" s="19">
        <v>0.4295679144417659</v>
      </c>
      <c r="S3176" s="19">
        <v>9.1240479477619027E-2</v>
      </c>
      <c r="T3176" s="20">
        <v>13</v>
      </c>
      <c r="U3176" s="17">
        <v>3</v>
      </c>
      <c r="V3176" s="17">
        <v>36</v>
      </c>
    </row>
    <row r="3177" spans="1:22" x14ac:dyDescent="0.2">
      <c r="A3177" t="s">
        <v>7165</v>
      </c>
      <c r="B3177" t="s">
        <v>5862</v>
      </c>
      <c r="C3177" t="s">
        <v>5863</v>
      </c>
      <c r="D3177" t="s">
        <v>7135</v>
      </c>
      <c r="E3177" s="10" t="s">
        <v>7166</v>
      </c>
      <c r="F3177" s="10"/>
      <c r="G3177" s="10"/>
      <c r="H3177" s="10" t="s">
        <v>7166</v>
      </c>
      <c r="I3177" s="14">
        <v>26292.439071882516</v>
      </c>
      <c r="J3177" s="19">
        <v>0</v>
      </c>
      <c r="K3177" s="19">
        <v>0.47968820307270804</v>
      </c>
      <c r="L3177" s="19">
        <v>0.52031179692729201</v>
      </c>
      <c r="M3177" s="20">
        <v>1</v>
      </c>
      <c r="N3177" s="19">
        <v>0</v>
      </c>
      <c r="O3177" s="19">
        <v>0.47968820307270804</v>
      </c>
      <c r="P3177" s="19">
        <v>0</v>
      </c>
      <c r="Q3177" s="19">
        <v>0.21568401783648783</v>
      </c>
      <c r="R3177" s="19">
        <v>0.24105468457568827</v>
      </c>
      <c r="S3177" s="19">
        <v>6.3573094515115905E-2</v>
      </c>
      <c r="T3177" s="20">
        <v>12</v>
      </c>
      <c r="U3177" s="17">
        <v>3</v>
      </c>
      <c r="V3177" s="17">
        <v>36</v>
      </c>
    </row>
    <row r="3178" spans="1:22" x14ac:dyDescent="0.2">
      <c r="A3178" t="s">
        <v>7167</v>
      </c>
      <c r="B3178" t="s">
        <v>5862</v>
      </c>
      <c r="C3178" t="s">
        <v>5863</v>
      </c>
      <c r="D3178" t="s">
        <v>7135</v>
      </c>
      <c r="E3178" s="10" t="s">
        <v>7168</v>
      </c>
      <c r="F3178" s="10"/>
      <c r="G3178" s="10"/>
      <c r="H3178" s="10" t="s">
        <v>7168</v>
      </c>
      <c r="I3178" s="14">
        <v>84595.525533493608</v>
      </c>
      <c r="J3178" s="19">
        <v>0</v>
      </c>
      <c r="K3178" s="19">
        <v>0.10289972092722173</v>
      </c>
      <c r="L3178" s="19">
        <v>0.89710027907277823</v>
      </c>
      <c r="M3178" s="20">
        <v>1</v>
      </c>
      <c r="N3178" s="19">
        <v>0</v>
      </c>
      <c r="O3178" s="19">
        <v>0.10289972092722173</v>
      </c>
      <c r="P3178" s="19">
        <v>0</v>
      </c>
      <c r="Q3178" s="19">
        <v>0.33170596930948526</v>
      </c>
      <c r="R3178" s="19">
        <v>0.46276616718676089</v>
      </c>
      <c r="S3178" s="19">
        <v>0.10262814257653216</v>
      </c>
      <c r="T3178" s="20">
        <v>12</v>
      </c>
      <c r="U3178" s="17">
        <v>3</v>
      </c>
      <c r="V3178" s="17">
        <v>36</v>
      </c>
    </row>
    <row r="3179" spans="1:22" x14ac:dyDescent="0.2">
      <c r="A3179" t="s">
        <v>7169</v>
      </c>
      <c r="B3179" t="s">
        <v>5862</v>
      </c>
      <c r="C3179" t="s">
        <v>5863</v>
      </c>
      <c r="D3179" t="s">
        <v>7135</v>
      </c>
      <c r="E3179" s="10" t="s">
        <v>7170</v>
      </c>
      <c r="F3179" s="10"/>
      <c r="G3179" s="10"/>
      <c r="H3179" s="10" t="s">
        <v>7170</v>
      </c>
      <c r="I3179" s="14">
        <v>35306.887644659146</v>
      </c>
      <c r="J3179" s="19">
        <v>0</v>
      </c>
      <c r="K3179" s="19">
        <v>0</v>
      </c>
      <c r="L3179" s="19">
        <v>1</v>
      </c>
      <c r="M3179" s="20">
        <v>1</v>
      </c>
      <c r="N3179" s="19">
        <v>0</v>
      </c>
      <c r="O3179" s="19">
        <v>0</v>
      </c>
      <c r="P3179" s="19">
        <v>0</v>
      </c>
      <c r="Q3179" s="19">
        <v>0.61136660855412972</v>
      </c>
      <c r="R3179" s="19">
        <v>0.31686328857758916</v>
      </c>
      <c r="S3179" s="19">
        <v>7.1770102868281102E-2</v>
      </c>
      <c r="T3179" s="20">
        <v>13</v>
      </c>
      <c r="U3179" s="17">
        <v>3</v>
      </c>
      <c r="V3179" s="17">
        <v>36</v>
      </c>
    </row>
    <row r="3180" spans="1:22" x14ac:dyDescent="0.2">
      <c r="A3180" t="s">
        <v>7171</v>
      </c>
      <c r="B3180" t="s">
        <v>5862</v>
      </c>
      <c r="C3180" t="s">
        <v>5863</v>
      </c>
      <c r="D3180" t="s">
        <v>7172</v>
      </c>
      <c r="E3180" s="10" t="s">
        <v>7173</v>
      </c>
      <c r="F3180" s="10"/>
      <c r="G3180" s="10"/>
      <c r="H3180" s="10" t="s">
        <v>7173</v>
      </c>
      <c r="I3180" s="14">
        <v>238781.43557896488</v>
      </c>
      <c r="J3180" s="19">
        <v>0.33891356581607818</v>
      </c>
      <c r="K3180" s="19">
        <v>0.62964113154268897</v>
      </c>
      <c r="L3180" s="19">
        <v>3.1445302641232915E-2</v>
      </c>
      <c r="M3180" s="20">
        <v>2</v>
      </c>
      <c r="N3180" s="19">
        <v>0.31066882591830347</v>
      </c>
      <c r="O3180" s="19">
        <v>0</v>
      </c>
      <c r="P3180" s="19">
        <v>0.31897230562438544</v>
      </c>
      <c r="Q3180" s="19">
        <v>0</v>
      </c>
      <c r="R3180" s="19">
        <v>3.0636710690055951E-2</v>
      </c>
      <c r="S3180" s="19">
        <v>8.0859195117697594E-4</v>
      </c>
      <c r="T3180" s="20">
        <v>23</v>
      </c>
      <c r="U3180" s="17">
        <v>3</v>
      </c>
      <c r="V3180" s="17">
        <v>36</v>
      </c>
    </row>
    <row r="3181" spans="1:22" x14ac:dyDescent="0.2">
      <c r="A3181" t="s">
        <v>7174</v>
      </c>
      <c r="B3181" t="s">
        <v>5862</v>
      </c>
      <c r="C3181" t="s">
        <v>5863</v>
      </c>
      <c r="D3181" t="s">
        <v>7172</v>
      </c>
      <c r="E3181" s="10" t="s">
        <v>7175</v>
      </c>
      <c r="F3181" s="10"/>
      <c r="G3181" s="10"/>
      <c r="H3181" s="10" t="s">
        <v>7175</v>
      </c>
      <c r="I3181" s="14">
        <v>332048.23335858446</v>
      </c>
      <c r="J3181" s="19">
        <v>0.93353137461366742</v>
      </c>
      <c r="K3181" s="19">
        <v>5.2859483264446304E-2</v>
      </c>
      <c r="L3181" s="19">
        <v>1.3609142121886231E-2</v>
      </c>
      <c r="M3181" s="20">
        <v>3</v>
      </c>
      <c r="N3181" s="19">
        <v>1.4573194994561202E-5</v>
      </c>
      <c r="O3181" s="19">
        <v>0</v>
      </c>
      <c r="P3181" s="19">
        <v>5.2844910069451745E-2</v>
      </c>
      <c r="Q3181" s="19">
        <v>0</v>
      </c>
      <c r="R3181" s="19">
        <v>1.2730630484703244E-2</v>
      </c>
      <c r="S3181" s="19">
        <v>8.7851163718298672E-4</v>
      </c>
      <c r="T3181" s="20">
        <v>30</v>
      </c>
      <c r="U3181" s="17">
        <v>3</v>
      </c>
      <c r="V3181" s="17">
        <v>36</v>
      </c>
    </row>
    <row r="3182" spans="1:22" x14ac:dyDescent="0.2">
      <c r="A3182" t="s">
        <v>7176</v>
      </c>
      <c r="B3182" t="s">
        <v>5862</v>
      </c>
      <c r="C3182" t="s">
        <v>5863</v>
      </c>
      <c r="D3182" t="s">
        <v>7172</v>
      </c>
      <c r="E3182" s="10" t="s">
        <v>7177</v>
      </c>
      <c r="F3182" s="10"/>
      <c r="G3182" s="10"/>
      <c r="H3182" s="10" t="s">
        <v>7177</v>
      </c>
      <c r="I3182" s="14">
        <v>162129.1586248586</v>
      </c>
      <c r="J3182" s="19">
        <v>0.8350669472725849</v>
      </c>
      <c r="K3182" s="19">
        <v>0.1302016465464805</v>
      </c>
      <c r="L3182" s="19">
        <v>3.4731406180934607E-2</v>
      </c>
      <c r="M3182" s="20">
        <v>3</v>
      </c>
      <c r="N3182" s="19">
        <v>1.5023301276657316E-2</v>
      </c>
      <c r="O3182" s="19">
        <v>0</v>
      </c>
      <c r="P3182" s="19">
        <v>0.11517834526982319</v>
      </c>
      <c r="Q3182" s="19">
        <v>0</v>
      </c>
      <c r="R3182" s="19">
        <v>3.4557237015503992E-2</v>
      </c>
      <c r="S3182" s="19">
        <v>1.7416916543061867E-4</v>
      </c>
      <c r="T3182" s="20">
        <v>30</v>
      </c>
      <c r="U3182" s="17">
        <v>3</v>
      </c>
      <c r="V3182" s="17">
        <v>36</v>
      </c>
    </row>
    <row r="3183" spans="1:22" x14ac:dyDescent="0.2">
      <c r="A3183" t="s">
        <v>7178</v>
      </c>
      <c r="B3183" t="s">
        <v>5862</v>
      </c>
      <c r="C3183" t="s">
        <v>5863</v>
      </c>
      <c r="D3183" t="s">
        <v>7172</v>
      </c>
      <c r="E3183" s="10" t="s">
        <v>7179</v>
      </c>
      <c r="F3183" s="10"/>
      <c r="G3183" s="10"/>
      <c r="H3183" s="10" t="s">
        <v>7179</v>
      </c>
      <c r="I3183" s="14">
        <v>1015017.2314231927</v>
      </c>
      <c r="J3183" s="19">
        <v>0.98715310331321993</v>
      </c>
      <c r="K3183" s="19">
        <v>1.2221183833617895E-2</v>
      </c>
      <c r="L3183" s="19">
        <v>6.257128531621264E-4</v>
      </c>
      <c r="M3183" s="20">
        <v>3</v>
      </c>
      <c r="N3183" s="19">
        <v>0</v>
      </c>
      <c r="O3183" s="19">
        <v>0</v>
      </c>
      <c r="P3183" s="19">
        <v>1.2221183833617895E-2</v>
      </c>
      <c r="Q3183" s="19">
        <v>0</v>
      </c>
      <c r="R3183" s="19">
        <v>5.894822307159998E-4</v>
      </c>
      <c r="S3183" s="19">
        <v>3.6230622446126695E-5</v>
      </c>
      <c r="T3183" s="20">
        <v>30</v>
      </c>
      <c r="U3183" s="17">
        <v>3</v>
      </c>
      <c r="V3183" s="17">
        <v>36</v>
      </c>
    </row>
    <row r="3184" spans="1:22" x14ac:dyDescent="0.2">
      <c r="A3184" t="s">
        <v>7180</v>
      </c>
      <c r="B3184" t="s">
        <v>5862</v>
      </c>
      <c r="C3184" t="s">
        <v>5863</v>
      </c>
      <c r="D3184" t="s">
        <v>7172</v>
      </c>
      <c r="E3184" s="10" t="s">
        <v>7181</v>
      </c>
      <c r="F3184" s="10"/>
      <c r="G3184" s="10"/>
      <c r="H3184" s="10" t="s">
        <v>7181</v>
      </c>
      <c r="I3184" s="14">
        <v>594438.85932785319</v>
      </c>
      <c r="J3184" s="19">
        <v>1</v>
      </c>
      <c r="K3184" s="19">
        <v>0</v>
      </c>
      <c r="L3184" s="19">
        <v>0</v>
      </c>
      <c r="M3184" s="20">
        <v>3</v>
      </c>
      <c r="N3184" s="19">
        <v>0</v>
      </c>
      <c r="O3184" s="19">
        <v>0</v>
      </c>
      <c r="P3184" s="19">
        <v>0</v>
      </c>
      <c r="Q3184" s="19">
        <v>0</v>
      </c>
      <c r="R3184" s="19">
        <v>0</v>
      </c>
      <c r="S3184" s="19">
        <v>0</v>
      </c>
      <c r="T3184" s="20">
        <v>30</v>
      </c>
      <c r="U3184" s="17">
        <v>3</v>
      </c>
      <c r="V3184" s="17">
        <v>36</v>
      </c>
    </row>
    <row r="3185" spans="1:22" x14ac:dyDescent="0.2">
      <c r="A3185" t="s">
        <v>7182</v>
      </c>
      <c r="B3185" t="s">
        <v>5862</v>
      </c>
      <c r="C3185" t="s">
        <v>5863</v>
      </c>
      <c r="D3185" t="s">
        <v>7172</v>
      </c>
      <c r="E3185" s="10" t="s">
        <v>7183</v>
      </c>
      <c r="F3185" s="10"/>
      <c r="G3185" s="10"/>
      <c r="H3185" s="10" t="s">
        <v>7183</v>
      </c>
      <c r="I3185" s="14">
        <v>237943.56045029359</v>
      </c>
      <c r="J3185" s="19">
        <v>0.92996389784208844</v>
      </c>
      <c r="K3185" s="19">
        <v>5.8609954061477308E-2</v>
      </c>
      <c r="L3185" s="19">
        <v>1.1426148096434224E-2</v>
      </c>
      <c r="M3185" s="20">
        <v>3</v>
      </c>
      <c r="N3185" s="19">
        <v>0</v>
      </c>
      <c r="O3185" s="19">
        <v>0</v>
      </c>
      <c r="P3185" s="19">
        <v>5.8609954061477308E-2</v>
      </c>
      <c r="Q3185" s="19">
        <v>4.3289392921508688E-4</v>
      </c>
      <c r="R3185" s="19">
        <v>1.0201253950043105E-2</v>
      </c>
      <c r="S3185" s="19">
        <v>7.9200021717603004E-4</v>
      </c>
      <c r="T3185" s="20">
        <v>30</v>
      </c>
      <c r="U3185" s="17">
        <v>3</v>
      </c>
      <c r="V3185" s="17">
        <v>36</v>
      </c>
    </row>
    <row r="3186" spans="1:22" x14ac:dyDescent="0.2">
      <c r="A3186" t="s">
        <v>7184</v>
      </c>
      <c r="B3186" t="s">
        <v>5862</v>
      </c>
      <c r="C3186" t="s">
        <v>5863</v>
      </c>
      <c r="D3186" t="s">
        <v>7185</v>
      </c>
      <c r="E3186" s="10" t="s">
        <v>7186</v>
      </c>
      <c r="F3186" s="10"/>
      <c r="G3186" s="10"/>
      <c r="H3186" s="10" t="s">
        <v>7186</v>
      </c>
      <c r="I3186" s="14">
        <v>305658.20704453252</v>
      </c>
      <c r="J3186" s="19">
        <v>0.19946914534099022</v>
      </c>
      <c r="K3186" s="19">
        <v>0.79136551236142194</v>
      </c>
      <c r="L3186" s="19">
        <v>9.1653422975878137E-3</v>
      </c>
      <c r="M3186" s="20">
        <v>2</v>
      </c>
      <c r="N3186" s="19">
        <v>0.11564775773175776</v>
      </c>
      <c r="O3186" s="19">
        <v>0</v>
      </c>
      <c r="P3186" s="19">
        <v>0.67571775462966421</v>
      </c>
      <c r="Q3186" s="19">
        <v>0</v>
      </c>
      <c r="R3186" s="19">
        <v>9.1446366330547642E-3</v>
      </c>
      <c r="S3186" s="19">
        <v>2.0705664533049017E-5</v>
      </c>
      <c r="T3186" s="20">
        <v>21</v>
      </c>
      <c r="U3186" s="17">
        <v>3</v>
      </c>
      <c r="V3186" s="17">
        <v>36</v>
      </c>
    </row>
    <row r="3187" spans="1:22" x14ac:dyDescent="0.2">
      <c r="A3187" t="s">
        <v>7187</v>
      </c>
      <c r="B3187" t="s">
        <v>5862</v>
      </c>
      <c r="C3187" t="s">
        <v>5863</v>
      </c>
      <c r="D3187" t="s">
        <v>7185</v>
      </c>
      <c r="E3187" s="10" t="s">
        <v>7188</v>
      </c>
      <c r="F3187" s="10"/>
      <c r="G3187" s="10"/>
      <c r="H3187" s="10" t="s">
        <v>7188</v>
      </c>
      <c r="I3187" s="14">
        <v>489425.20990818855</v>
      </c>
      <c r="J3187" s="19">
        <v>0.94608505985417624</v>
      </c>
      <c r="K3187" s="19">
        <v>5.0766986696240815E-2</v>
      </c>
      <c r="L3187" s="19">
        <v>3.1479534495829193E-3</v>
      </c>
      <c r="M3187" s="20">
        <v>3</v>
      </c>
      <c r="N3187" s="19">
        <v>0</v>
      </c>
      <c r="O3187" s="19">
        <v>0</v>
      </c>
      <c r="P3187" s="19">
        <v>5.0766986696240815E-2</v>
      </c>
      <c r="Q3187" s="19">
        <v>0</v>
      </c>
      <c r="R3187" s="19">
        <v>3.1479534495829193E-3</v>
      </c>
      <c r="S3187" s="19">
        <v>0</v>
      </c>
      <c r="T3187" s="20">
        <v>30</v>
      </c>
      <c r="U3187" s="17">
        <v>3</v>
      </c>
      <c r="V3187" s="17">
        <v>36</v>
      </c>
    </row>
    <row r="3188" spans="1:22" x14ac:dyDescent="0.2">
      <c r="A3188" t="s">
        <v>7189</v>
      </c>
      <c r="B3188" t="s">
        <v>5862</v>
      </c>
      <c r="C3188" t="s">
        <v>5863</v>
      </c>
      <c r="D3188" t="s">
        <v>7185</v>
      </c>
      <c r="E3188" s="10" t="s">
        <v>7190</v>
      </c>
      <c r="F3188" s="10"/>
      <c r="G3188" s="10"/>
      <c r="H3188" s="10" t="s">
        <v>7190</v>
      </c>
      <c r="I3188" s="14">
        <v>389142.93346597778</v>
      </c>
      <c r="J3188" s="19">
        <v>0.77336588671556639</v>
      </c>
      <c r="K3188" s="19">
        <v>0.18835474654672615</v>
      </c>
      <c r="L3188" s="19">
        <v>3.8279366737707488E-2</v>
      </c>
      <c r="M3188" s="20">
        <v>3</v>
      </c>
      <c r="N3188" s="19">
        <v>5.2375225750318083E-2</v>
      </c>
      <c r="O3188" s="19">
        <v>0</v>
      </c>
      <c r="P3188" s="19">
        <v>0.13597952079640807</v>
      </c>
      <c r="Q3188" s="19">
        <v>5.666567932480218E-3</v>
      </c>
      <c r="R3188" s="19">
        <v>3.0553131627376849E-2</v>
      </c>
      <c r="S3188" s="19">
        <v>2.0596671778504226E-3</v>
      </c>
      <c r="T3188" s="20">
        <v>30</v>
      </c>
      <c r="U3188" s="17">
        <v>3</v>
      </c>
      <c r="V3188" s="17">
        <v>36</v>
      </c>
    </row>
    <row r="3189" spans="1:22" x14ac:dyDescent="0.2">
      <c r="A3189" t="s">
        <v>7191</v>
      </c>
      <c r="B3189" t="s">
        <v>5862</v>
      </c>
      <c r="C3189" t="s">
        <v>5863</v>
      </c>
      <c r="D3189" t="s">
        <v>7192</v>
      </c>
      <c r="E3189" s="10" t="s">
        <v>7193</v>
      </c>
      <c r="F3189" s="10"/>
      <c r="G3189" s="10"/>
      <c r="H3189" s="10" t="s">
        <v>7193</v>
      </c>
      <c r="I3189" s="14">
        <v>46969.163877925486</v>
      </c>
      <c r="J3189" s="19">
        <v>0</v>
      </c>
      <c r="K3189" s="19">
        <v>0.67759084572105532</v>
      </c>
      <c r="L3189" s="19">
        <v>0.32240915427894462</v>
      </c>
      <c r="M3189" s="20">
        <v>2</v>
      </c>
      <c r="N3189" s="19">
        <v>0.17747367339580034</v>
      </c>
      <c r="O3189" s="19">
        <v>0</v>
      </c>
      <c r="P3189" s="19">
        <v>0.50011717232525499</v>
      </c>
      <c r="Q3189" s="19">
        <v>2.0793131972956132E-2</v>
      </c>
      <c r="R3189" s="19">
        <v>0.2893065051713784</v>
      </c>
      <c r="S3189" s="19">
        <v>1.2309517134610129E-2</v>
      </c>
      <c r="T3189" s="20">
        <v>21</v>
      </c>
      <c r="U3189" s="17">
        <v>3</v>
      </c>
      <c r="V3189" s="17">
        <v>36</v>
      </c>
    </row>
    <row r="3190" spans="1:22" x14ac:dyDescent="0.2">
      <c r="A3190" t="s">
        <v>7194</v>
      </c>
      <c r="B3190" t="s">
        <v>5862</v>
      </c>
      <c r="C3190" t="s">
        <v>5863</v>
      </c>
      <c r="D3190" t="s">
        <v>7192</v>
      </c>
      <c r="E3190" s="10" t="s">
        <v>7195</v>
      </c>
      <c r="F3190" s="10"/>
      <c r="G3190" s="10"/>
      <c r="H3190" s="10" t="s">
        <v>7195</v>
      </c>
      <c r="I3190" s="14">
        <v>29800.269213017309</v>
      </c>
      <c r="J3190" s="19">
        <v>0</v>
      </c>
      <c r="K3190" s="19">
        <v>0.82537004664669078</v>
      </c>
      <c r="L3190" s="19">
        <v>0.17462995335330922</v>
      </c>
      <c r="M3190" s="20">
        <v>2</v>
      </c>
      <c r="N3190" s="19">
        <v>0</v>
      </c>
      <c r="O3190" s="19">
        <v>0</v>
      </c>
      <c r="P3190" s="19">
        <v>0.82537004664669078</v>
      </c>
      <c r="Q3190" s="19">
        <v>0</v>
      </c>
      <c r="R3190" s="19">
        <v>0.17462995335330925</v>
      </c>
      <c r="S3190" s="19">
        <v>0</v>
      </c>
      <c r="T3190" s="20">
        <v>21</v>
      </c>
      <c r="U3190" s="17">
        <v>3</v>
      </c>
      <c r="V3190" s="17">
        <v>36</v>
      </c>
    </row>
    <row r="3191" spans="1:22" x14ac:dyDescent="0.2">
      <c r="A3191" t="s">
        <v>7196</v>
      </c>
      <c r="B3191" t="s">
        <v>5862</v>
      </c>
      <c r="C3191" t="s">
        <v>5863</v>
      </c>
      <c r="D3191" t="s">
        <v>7192</v>
      </c>
      <c r="E3191" s="10" t="s">
        <v>7197</v>
      </c>
      <c r="F3191" s="10"/>
      <c r="G3191" s="10"/>
      <c r="H3191" s="10" t="s">
        <v>7197</v>
      </c>
      <c r="I3191" s="14">
        <v>80005.894849500502</v>
      </c>
      <c r="J3191" s="19">
        <v>0</v>
      </c>
      <c r="K3191" s="19">
        <v>0.85643558972659484</v>
      </c>
      <c r="L3191" s="19">
        <v>0.14356441027340516</v>
      </c>
      <c r="M3191" s="20">
        <v>2</v>
      </c>
      <c r="N3191" s="19">
        <v>0.54327251368750828</v>
      </c>
      <c r="O3191" s="19">
        <v>0</v>
      </c>
      <c r="P3191" s="19">
        <v>0.31316307603908655</v>
      </c>
      <c r="Q3191" s="19">
        <v>1.4962871220079416E-2</v>
      </c>
      <c r="R3191" s="19">
        <v>0.12386811346699435</v>
      </c>
      <c r="S3191" s="19">
        <v>4.7334255863314099E-3</v>
      </c>
      <c r="T3191" s="20">
        <v>23</v>
      </c>
      <c r="U3191" s="17">
        <v>3</v>
      </c>
      <c r="V3191" s="17">
        <v>36</v>
      </c>
    </row>
    <row r="3192" spans="1:22" x14ac:dyDescent="0.2">
      <c r="A3192" t="s">
        <v>7198</v>
      </c>
      <c r="B3192" t="s">
        <v>5862</v>
      </c>
      <c r="C3192" t="s">
        <v>5863</v>
      </c>
      <c r="D3192" t="s">
        <v>7199</v>
      </c>
      <c r="E3192" s="10" t="s">
        <v>7200</v>
      </c>
      <c r="F3192" s="10"/>
      <c r="G3192" s="10"/>
      <c r="H3192" s="10" t="s">
        <v>7200</v>
      </c>
      <c r="I3192" s="14">
        <v>55520.61505269957</v>
      </c>
      <c r="J3192" s="19">
        <v>0</v>
      </c>
      <c r="K3192" s="19">
        <v>0.88217322907310858</v>
      </c>
      <c r="L3192" s="19">
        <v>0.1178267709268916</v>
      </c>
      <c r="M3192" s="20">
        <v>2</v>
      </c>
      <c r="N3192" s="19">
        <v>0.22410181285513381</v>
      </c>
      <c r="O3192" s="19">
        <v>6.2740078253038109E-2</v>
      </c>
      <c r="P3192" s="19">
        <v>0.59533133796493665</v>
      </c>
      <c r="Q3192" s="19">
        <v>0</v>
      </c>
      <c r="R3192" s="19">
        <v>0.10738161932027386</v>
      </c>
      <c r="S3192" s="19">
        <v>1.044515160661774E-2</v>
      </c>
      <c r="T3192" s="20">
        <v>21</v>
      </c>
      <c r="U3192" s="17">
        <v>3</v>
      </c>
      <c r="V3192" s="17">
        <v>36</v>
      </c>
    </row>
    <row r="3193" spans="1:22" x14ac:dyDescent="0.2">
      <c r="A3193" t="s">
        <v>7201</v>
      </c>
      <c r="B3193" t="s">
        <v>5862</v>
      </c>
      <c r="C3193" t="s">
        <v>5863</v>
      </c>
      <c r="D3193" t="s">
        <v>7199</v>
      </c>
      <c r="E3193" s="10" t="s">
        <v>5916</v>
      </c>
      <c r="F3193" s="10"/>
      <c r="G3193" s="10"/>
      <c r="H3193" s="10" t="s">
        <v>5916</v>
      </c>
      <c r="I3193" s="14">
        <v>36127.628940527386</v>
      </c>
      <c r="J3193" s="19">
        <v>2.5281984244998269E-2</v>
      </c>
      <c r="K3193" s="19">
        <v>0.64118154728295673</v>
      </c>
      <c r="L3193" s="19">
        <v>0.33353646847204499</v>
      </c>
      <c r="M3193" s="20">
        <v>2</v>
      </c>
      <c r="N3193" s="19">
        <v>3.4227118202725952E-3</v>
      </c>
      <c r="O3193" s="19">
        <v>0.12966144099668225</v>
      </c>
      <c r="P3193" s="19">
        <v>0.50809739446600188</v>
      </c>
      <c r="Q3193" s="19">
        <v>2.9503893818037367E-2</v>
      </c>
      <c r="R3193" s="19">
        <v>0.28965265628734777</v>
      </c>
      <c r="S3193" s="19">
        <v>1.4379918366659913E-2</v>
      </c>
      <c r="T3193" s="20">
        <v>21</v>
      </c>
      <c r="U3193" s="17">
        <v>3</v>
      </c>
      <c r="V3193" s="17">
        <v>36</v>
      </c>
    </row>
    <row r="3194" spans="1:22" x14ac:dyDescent="0.2">
      <c r="A3194" t="s">
        <v>7202</v>
      </c>
      <c r="B3194" t="s">
        <v>5862</v>
      </c>
      <c r="C3194" t="s">
        <v>5863</v>
      </c>
      <c r="D3194" t="s">
        <v>7199</v>
      </c>
      <c r="E3194" s="10" t="s">
        <v>7203</v>
      </c>
      <c r="F3194" s="10"/>
      <c r="G3194" s="10"/>
      <c r="H3194" s="10" t="s">
        <v>7203</v>
      </c>
      <c r="I3194" s="14">
        <v>9771.9900740690064</v>
      </c>
      <c r="J3194" s="19">
        <v>0</v>
      </c>
      <c r="K3194" s="19">
        <v>0.23782502424955954</v>
      </c>
      <c r="L3194" s="19">
        <v>0.76217497575044046</v>
      </c>
      <c r="M3194" s="20">
        <v>1</v>
      </c>
      <c r="N3194" s="19">
        <v>0</v>
      </c>
      <c r="O3194" s="19">
        <v>0.2378112910329811</v>
      </c>
      <c r="P3194" s="19">
        <v>1.3733216578443722E-5</v>
      </c>
      <c r="Q3194" s="19">
        <v>0.25675376150587825</v>
      </c>
      <c r="R3194" s="19">
        <v>0.48609445306075855</v>
      </c>
      <c r="S3194" s="19">
        <v>1.9326761183803699E-2</v>
      </c>
      <c r="T3194" s="20">
        <v>12</v>
      </c>
      <c r="U3194" s="17">
        <v>3</v>
      </c>
      <c r="V3194" s="17">
        <v>36</v>
      </c>
    </row>
    <row r="3195" spans="1:22" x14ac:dyDescent="0.2">
      <c r="A3195" t="s">
        <v>7204</v>
      </c>
      <c r="B3195" t="s">
        <v>5862</v>
      </c>
      <c r="C3195" t="s">
        <v>5863</v>
      </c>
      <c r="D3195" t="s">
        <v>7199</v>
      </c>
      <c r="E3195" s="10" t="s">
        <v>7205</v>
      </c>
      <c r="F3195" s="10"/>
      <c r="G3195" s="10"/>
      <c r="H3195" s="10" t="s">
        <v>7205</v>
      </c>
      <c r="I3195" s="14">
        <v>115794.58845299878</v>
      </c>
      <c r="J3195" s="19">
        <v>0</v>
      </c>
      <c r="K3195" s="19">
        <v>0.64411853237460559</v>
      </c>
      <c r="L3195" s="19">
        <v>0.35588146762539435</v>
      </c>
      <c r="M3195" s="20">
        <v>2</v>
      </c>
      <c r="N3195" s="19">
        <v>0.1698792551709507</v>
      </c>
      <c r="O3195" s="19">
        <v>0</v>
      </c>
      <c r="P3195" s="19">
        <v>0.47423927720365494</v>
      </c>
      <c r="Q3195" s="19">
        <v>3.0614804454034746E-2</v>
      </c>
      <c r="R3195" s="19">
        <v>0.28628040593211379</v>
      </c>
      <c r="S3195" s="19">
        <v>3.8986257239245821E-2</v>
      </c>
      <c r="T3195" s="20">
        <v>23</v>
      </c>
      <c r="U3195" s="17">
        <v>3</v>
      </c>
      <c r="V3195" s="17">
        <v>36</v>
      </c>
    </row>
    <row r="3196" spans="1:22" x14ac:dyDescent="0.2">
      <c r="A3196" t="s">
        <v>7206</v>
      </c>
      <c r="B3196" t="s">
        <v>5862</v>
      </c>
      <c r="C3196" t="s">
        <v>5863</v>
      </c>
      <c r="D3196" t="s">
        <v>7199</v>
      </c>
      <c r="E3196" s="10" t="s">
        <v>7207</v>
      </c>
      <c r="F3196" s="10"/>
      <c r="G3196" s="10"/>
      <c r="H3196" s="10" t="s">
        <v>7207</v>
      </c>
      <c r="I3196" s="14">
        <v>64239.927613595035</v>
      </c>
      <c r="J3196" s="19">
        <v>0</v>
      </c>
      <c r="K3196" s="19">
        <v>0.24879520519682355</v>
      </c>
      <c r="L3196" s="19">
        <v>0.75120479480317637</v>
      </c>
      <c r="M3196" s="20">
        <v>1</v>
      </c>
      <c r="N3196" s="19">
        <v>0.14410530315959896</v>
      </c>
      <c r="O3196" s="19">
        <v>9.6483437103245182E-2</v>
      </c>
      <c r="P3196" s="19">
        <v>8.2064649339793818E-3</v>
      </c>
      <c r="Q3196" s="19">
        <v>2.421925342642892E-2</v>
      </c>
      <c r="R3196" s="19">
        <v>0.6319128493300824</v>
      </c>
      <c r="S3196" s="19">
        <v>9.5072692046665186E-2</v>
      </c>
      <c r="T3196" s="20">
        <v>12</v>
      </c>
      <c r="U3196" s="17">
        <v>3</v>
      </c>
      <c r="V3196" s="17">
        <v>36</v>
      </c>
    </row>
    <row r="3197" spans="1:22" x14ac:dyDescent="0.2">
      <c r="A3197" t="s">
        <v>7208</v>
      </c>
      <c r="B3197" t="s">
        <v>5862</v>
      </c>
      <c r="C3197" t="s">
        <v>5863</v>
      </c>
      <c r="D3197" t="s">
        <v>7199</v>
      </c>
      <c r="E3197" s="10" t="s">
        <v>7209</v>
      </c>
      <c r="F3197" s="10"/>
      <c r="G3197" s="10"/>
      <c r="H3197" s="10" t="s">
        <v>7209</v>
      </c>
      <c r="I3197" s="14">
        <v>149442.90304840554</v>
      </c>
      <c r="J3197" s="19">
        <v>0.5982436955906103</v>
      </c>
      <c r="K3197" s="19">
        <v>0.3063276646033804</v>
      </c>
      <c r="L3197" s="19">
        <v>9.542863980600938E-2</v>
      </c>
      <c r="M3197" s="20">
        <v>3</v>
      </c>
      <c r="N3197" s="19">
        <v>0</v>
      </c>
      <c r="O3197" s="19">
        <v>0</v>
      </c>
      <c r="P3197" s="19">
        <v>0.3063276646033804</v>
      </c>
      <c r="Q3197" s="19">
        <v>2.7264889755828258E-2</v>
      </c>
      <c r="R3197" s="19">
        <v>6.5577083156524912E-2</v>
      </c>
      <c r="S3197" s="19">
        <v>2.5866668936562033E-3</v>
      </c>
      <c r="T3197" s="20">
        <v>30</v>
      </c>
      <c r="U3197" s="17">
        <v>3</v>
      </c>
      <c r="V3197" s="17">
        <v>36</v>
      </c>
    </row>
    <row r="3198" spans="1:22" x14ac:dyDescent="0.2">
      <c r="A3198" t="s">
        <v>7210</v>
      </c>
      <c r="B3198" t="s">
        <v>5862</v>
      </c>
      <c r="C3198" t="s">
        <v>5863</v>
      </c>
      <c r="D3198" t="s">
        <v>7199</v>
      </c>
      <c r="E3198" s="10" t="s">
        <v>7211</v>
      </c>
      <c r="F3198" s="10"/>
      <c r="G3198" s="10"/>
      <c r="H3198" s="10" t="s">
        <v>7211</v>
      </c>
      <c r="I3198" s="14">
        <v>19503.075281680562</v>
      </c>
      <c r="J3198" s="19">
        <v>0</v>
      </c>
      <c r="K3198" s="19">
        <v>0.35351732927300089</v>
      </c>
      <c r="L3198" s="19">
        <v>0.64648267072699905</v>
      </c>
      <c r="M3198" s="20">
        <v>1</v>
      </c>
      <c r="N3198" s="19">
        <v>0</v>
      </c>
      <c r="O3198" s="19">
        <v>0</v>
      </c>
      <c r="P3198" s="19">
        <v>0.35351732927300089</v>
      </c>
      <c r="Q3198" s="19">
        <v>0.29255621577298474</v>
      </c>
      <c r="R3198" s="19">
        <v>0.314892844715075</v>
      </c>
      <c r="S3198" s="19">
        <v>3.9033610238939323E-2</v>
      </c>
      <c r="T3198" s="20">
        <v>12</v>
      </c>
      <c r="U3198" s="17">
        <v>3</v>
      </c>
      <c r="V3198" s="17">
        <v>36</v>
      </c>
    </row>
    <row r="3199" spans="1:22" x14ac:dyDescent="0.2">
      <c r="A3199" t="s">
        <v>7212</v>
      </c>
      <c r="B3199" t="s">
        <v>5862</v>
      </c>
      <c r="C3199" t="s">
        <v>5863</v>
      </c>
      <c r="D3199" t="s">
        <v>7199</v>
      </c>
      <c r="E3199" s="10" t="s">
        <v>7213</v>
      </c>
      <c r="F3199" s="10"/>
      <c r="G3199" s="10"/>
      <c r="H3199" s="10" t="s">
        <v>7213</v>
      </c>
      <c r="I3199" s="14">
        <v>124397.45258239924</v>
      </c>
      <c r="J3199" s="19">
        <v>0</v>
      </c>
      <c r="K3199" s="19">
        <v>0.81425768640178309</v>
      </c>
      <c r="L3199" s="19">
        <v>0.18574231359821694</v>
      </c>
      <c r="M3199" s="20">
        <v>2</v>
      </c>
      <c r="N3199" s="19">
        <v>0.30841008098905798</v>
      </c>
      <c r="O3199" s="19">
        <v>1.0348008914261792E-2</v>
      </c>
      <c r="P3199" s="19">
        <v>0.49549959649846326</v>
      </c>
      <c r="Q3199" s="19">
        <v>1.5568760315798357E-2</v>
      </c>
      <c r="R3199" s="19">
        <v>0.1661079846658795</v>
      </c>
      <c r="S3199" s="19">
        <v>4.0655686165390822E-3</v>
      </c>
      <c r="T3199" s="20">
        <v>23</v>
      </c>
      <c r="U3199" s="17">
        <v>3</v>
      </c>
      <c r="V3199" s="17">
        <v>36</v>
      </c>
    </row>
    <row r="3200" spans="1:22" x14ac:dyDescent="0.2">
      <c r="A3200" t="s">
        <v>7214</v>
      </c>
      <c r="B3200" t="s">
        <v>5862</v>
      </c>
      <c r="C3200" t="s">
        <v>5863</v>
      </c>
      <c r="D3200" t="s">
        <v>7199</v>
      </c>
      <c r="E3200" s="10" t="s">
        <v>7215</v>
      </c>
      <c r="F3200" s="10"/>
      <c r="G3200" s="10"/>
      <c r="H3200" s="10" t="s">
        <v>7215</v>
      </c>
      <c r="I3200" s="14">
        <v>35824.561046429677</v>
      </c>
      <c r="J3200" s="19">
        <v>0</v>
      </c>
      <c r="K3200" s="19">
        <v>0.77424700012618641</v>
      </c>
      <c r="L3200" s="19">
        <v>0.22575299987381356</v>
      </c>
      <c r="M3200" s="20">
        <v>2</v>
      </c>
      <c r="N3200" s="19">
        <v>0</v>
      </c>
      <c r="O3200" s="19">
        <v>0.13353403874919284</v>
      </c>
      <c r="P3200" s="19">
        <v>0.64071296137699363</v>
      </c>
      <c r="Q3200" s="19">
        <v>0</v>
      </c>
      <c r="R3200" s="19">
        <v>0.2238984882808836</v>
      </c>
      <c r="S3200" s="19">
        <v>1.8545115929299724E-3</v>
      </c>
      <c r="T3200" s="20">
        <v>21</v>
      </c>
      <c r="U3200" s="17">
        <v>3</v>
      </c>
      <c r="V3200" s="17">
        <v>36</v>
      </c>
    </row>
    <row r="3201" spans="1:22" x14ac:dyDescent="0.2">
      <c r="A3201" t="s">
        <v>7216</v>
      </c>
      <c r="B3201" t="s">
        <v>5862</v>
      </c>
      <c r="C3201" t="s">
        <v>5863</v>
      </c>
      <c r="D3201" t="s">
        <v>7199</v>
      </c>
      <c r="E3201" s="10" t="s">
        <v>7217</v>
      </c>
      <c r="F3201" s="10"/>
      <c r="G3201" s="10"/>
      <c r="H3201" s="10" t="s">
        <v>7217</v>
      </c>
      <c r="I3201" s="14">
        <v>98834.003033607383</v>
      </c>
      <c r="J3201" s="19">
        <v>0</v>
      </c>
      <c r="K3201" s="19">
        <v>0.72590542143644032</v>
      </c>
      <c r="L3201" s="19">
        <v>0.27409457856355962</v>
      </c>
      <c r="M3201" s="20">
        <v>2</v>
      </c>
      <c r="N3201" s="19">
        <v>0.4020719220432255</v>
      </c>
      <c r="O3201" s="19">
        <v>0</v>
      </c>
      <c r="P3201" s="19">
        <v>0.32383349939321482</v>
      </c>
      <c r="Q3201" s="19">
        <v>2.1100052716966723E-2</v>
      </c>
      <c r="R3201" s="19">
        <v>0.24391266127160299</v>
      </c>
      <c r="S3201" s="19">
        <v>9.0818645749899361E-3</v>
      </c>
      <c r="T3201" s="20">
        <v>23</v>
      </c>
      <c r="U3201" s="17">
        <v>3</v>
      </c>
      <c r="V3201" s="17">
        <v>36</v>
      </c>
    </row>
    <row r="3202" spans="1:22" x14ac:dyDescent="0.2">
      <c r="A3202" t="s">
        <v>7218</v>
      </c>
      <c r="B3202" t="s">
        <v>5862</v>
      </c>
      <c r="C3202" t="s">
        <v>5863</v>
      </c>
      <c r="D3202" t="s">
        <v>7199</v>
      </c>
      <c r="E3202" s="10" t="s">
        <v>7219</v>
      </c>
      <c r="F3202" s="10"/>
      <c r="G3202" s="10"/>
      <c r="H3202" s="10" t="s">
        <v>7219</v>
      </c>
      <c r="I3202" s="14">
        <v>39064.103990767675</v>
      </c>
      <c r="J3202" s="19">
        <v>8.9733864738482758E-2</v>
      </c>
      <c r="K3202" s="19">
        <v>0.63157541479934831</v>
      </c>
      <c r="L3202" s="19">
        <v>0.27869072046216897</v>
      </c>
      <c r="M3202" s="20">
        <v>2</v>
      </c>
      <c r="N3202" s="19">
        <v>0.16311292520133408</v>
      </c>
      <c r="O3202" s="19">
        <v>1.176929572296952E-2</v>
      </c>
      <c r="P3202" s="19">
        <v>0.4566931938750447</v>
      </c>
      <c r="Q3202" s="19">
        <v>0</v>
      </c>
      <c r="R3202" s="19">
        <v>0.2659611905315446</v>
      </c>
      <c r="S3202" s="19">
        <v>1.2729529930624404E-2</v>
      </c>
      <c r="T3202" s="20">
        <v>23</v>
      </c>
      <c r="U3202" s="17">
        <v>3</v>
      </c>
      <c r="V3202" s="17">
        <v>36</v>
      </c>
    </row>
    <row r="3203" spans="1:22" x14ac:dyDescent="0.2">
      <c r="A3203" t="s">
        <v>7220</v>
      </c>
      <c r="B3203" t="s">
        <v>5862</v>
      </c>
      <c r="C3203" t="s">
        <v>5863</v>
      </c>
      <c r="D3203" t="s">
        <v>7199</v>
      </c>
      <c r="E3203" s="10" t="s">
        <v>7221</v>
      </c>
      <c r="F3203" s="10"/>
      <c r="G3203" s="10"/>
      <c r="H3203" s="10" t="s">
        <v>7221</v>
      </c>
      <c r="I3203" s="14">
        <v>27751.86611234548</v>
      </c>
      <c r="J3203" s="19">
        <v>0</v>
      </c>
      <c r="K3203" s="19">
        <v>0.26748362604181913</v>
      </c>
      <c r="L3203" s="19">
        <v>0.73251637395818092</v>
      </c>
      <c r="M3203" s="20">
        <v>1</v>
      </c>
      <c r="N3203" s="19">
        <v>0</v>
      </c>
      <c r="O3203" s="19">
        <v>0.26748362604181913</v>
      </c>
      <c r="P3203" s="19">
        <v>0</v>
      </c>
      <c r="Q3203" s="19">
        <v>0.18208811478235887</v>
      </c>
      <c r="R3203" s="19">
        <v>0.48605153035662341</v>
      </c>
      <c r="S3203" s="19">
        <v>6.4376728819198592E-2</v>
      </c>
      <c r="T3203" s="20">
        <v>12</v>
      </c>
      <c r="U3203" s="17">
        <v>3</v>
      </c>
      <c r="V3203" s="17">
        <v>36</v>
      </c>
    </row>
    <row r="3204" spans="1:22" x14ac:dyDescent="0.2">
      <c r="A3204" t="s">
        <v>7222</v>
      </c>
      <c r="B3204" t="s">
        <v>5862</v>
      </c>
      <c r="C3204" t="s">
        <v>5863</v>
      </c>
      <c r="D3204" t="s">
        <v>7199</v>
      </c>
      <c r="E3204" s="10" t="s">
        <v>7223</v>
      </c>
      <c r="F3204" s="10"/>
      <c r="G3204" s="10"/>
      <c r="H3204" s="10" t="s">
        <v>7223</v>
      </c>
      <c r="I3204" s="14">
        <v>47639.419712885399</v>
      </c>
      <c r="J3204" s="19">
        <v>0</v>
      </c>
      <c r="K3204" s="19">
        <v>0.49760461670130446</v>
      </c>
      <c r="L3204" s="19">
        <v>0.5023953832986956</v>
      </c>
      <c r="M3204" s="20">
        <v>1</v>
      </c>
      <c r="N3204" s="19">
        <v>0</v>
      </c>
      <c r="O3204" s="19">
        <v>0</v>
      </c>
      <c r="P3204" s="19">
        <v>0.49760461670130446</v>
      </c>
      <c r="Q3204" s="19">
        <v>6.4833819624146805E-2</v>
      </c>
      <c r="R3204" s="19">
        <v>0.41013827034127504</v>
      </c>
      <c r="S3204" s="19">
        <v>2.7423293333273771E-2</v>
      </c>
      <c r="T3204" s="20">
        <v>12</v>
      </c>
      <c r="U3204" s="17">
        <v>3</v>
      </c>
      <c r="V3204" s="17">
        <v>36</v>
      </c>
    </row>
    <row r="3205" spans="1:22" x14ac:dyDescent="0.2">
      <c r="A3205" t="s">
        <v>7224</v>
      </c>
      <c r="B3205" t="s">
        <v>5862</v>
      </c>
      <c r="C3205" t="s">
        <v>5863</v>
      </c>
      <c r="D3205" t="s">
        <v>7225</v>
      </c>
      <c r="E3205" s="10" t="s">
        <v>7226</v>
      </c>
      <c r="F3205" s="10"/>
      <c r="G3205" s="10"/>
      <c r="H3205" s="10" t="s">
        <v>7226</v>
      </c>
      <c r="I3205" s="14">
        <v>13705.494906165637</v>
      </c>
      <c r="J3205" s="19">
        <v>0</v>
      </c>
      <c r="K3205" s="19">
        <v>0</v>
      </c>
      <c r="L3205" s="19">
        <v>1</v>
      </c>
      <c r="M3205" s="20">
        <v>1</v>
      </c>
      <c r="N3205" s="19">
        <v>0</v>
      </c>
      <c r="O3205" s="19">
        <v>0</v>
      </c>
      <c r="P3205" s="19">
        <v>0</v>
      </c>
      <c r="Q3205" s="19">
        <v>0.18874247278212733</v>
      </c>
      <c r="R3205" s="19">
        <v>0.67592550896867332</v>
      </c>
      <c r="S3205" s="19">
        <v>0.13533201824919938</v>
      </c>
      <c r="T3205" s="20">
        <v>12</v>
      </c>
      <c r="U3205" s="17">
        <v>3</v>
      </c>
      <c r="V3205" s="17">
        <v>36</v>
      </c>
    </row>
    <row r="3206" spans="1:22" x14ac:dyDescent="0.2">
      <c r="A3206" t="s">
        <v>7227</v>
      </c>
      <c r="B3206" t="s">
        <v>5862</v>
      </c>
      <c r="C3206" t="s">
        <v>5863</v>
      </c>
      <c r="D3206" t="s">
        <v>7225</v>
      </c>
      <c r="E3206" s="10" t="s">
        <v>7228</v>
      </c>
      <c r="F3206" s="10"/>
      <c r="G3206" s="10"/>
      <c r="H3206" s="10" t="s">
        <v>7228</v>
      </c>
      <c r="I3206" s="14">
        <v>22170.015311052091</v>
      </c>
      <c r="J3206" s="19">
        <v>0</v>
      </c>
      <c r="K3206" s="19">
        <v>0.60184125970595692</v>
      </c>
      <c r="L3206" s="19">
        <v>0.39815874029404308</v>
      </c>
      <c r="M3206" s="20">
        <v>2</v>
      </c>
      <c r="N3206" s="19">
        <v>0</v>
      </c>
      <c r="O3206" s="19">
        <v>0</v>
      </c>
      <c r="P3206" s="19">
        <v>0.60184125970595692</v>
      </c>
      <c r="Q3206" s="19">
        <v>0</v>
      </c>
      <c r="R3206" s="19">
        <v>0.37296540048570664</v>
      </c>
      <c r="S3206" s="19">
        <v>2.51933398083364E-2</v>
      </c>
      <c r="T3206" s="20">
        <v>21</v>
      </c>
      <c r="U3206" s="17">
        <v>3</v>
      </c>
      <c r="V3206" s="17">
        <v>36</v>
      </c>
    </row>
    <row r="3207" spans="1:22" x14ac:dyDescent="0.2">
      <c r="A3207" t="s">
        <v>7229</v>
      </c>
      <c r="B3207" t="s">
        <v>5862</v>
      </c>
      <c r="C3207" t="s">
        <v>5863</v>
      </c>
      <c r="D3207" t="s">
        <v>7225</v>
      </c>
      <c r="E3207" s="10" t="s">
        <v>7230</v>
      </c>
      <c r="F3207" s="10"/>
      <c r="G3207" s="10"/>
      <c r="H3207" s="10" t="s">
        <v>7230</v>
      </c>
      <c r="I3207" s="14">
        <v>30241.627563724996</v>
      </c>
      <c r="J3207" s="19">
        <v>0</v>
      </c>
      <c r="K3207" s="19">
        <v>0</v>
      </c>
      <c r="L3207" s="19">
        <v>1</v>
      </c>
      <c r="M3207" s="20">
        <v>1</v>
      </c>
      <c r="N3207" s="19">
        <v>0</v>
      </c>
      <c r="O3207" s="19">
        <v>0</v>
      </c>
      <c r="P3207" s="19">
        <v>0</v>
      </c>
      <c r="Q3207" s="19">
        <v>0.2619340066500917</v>
      </c>
      <c r="R3207" s="19">
        <v>0.65508936966325204</v>
      </c>
      <c r="S3207" s="19">
        <v>8.2976623686656162E-2</v>
      </c>
      <c r="T3207" s="20">
        <v>12</v>
      </c>
      <c r="U3207" s="17">
        <v>3</v>
      </c>
      <c r="V3207" s="17">
        <v>36</v>
      </c>
    </row>
    <row r="3208" spans="1:22" x14ac:dyDescent="0.2">
      <c r="A3208" t="s">
        <v>7231</v>
      </c>
      <c r="B3208" t="s">
        <v>5862</v>
      </c>
      <c r="C3208" t="s">
        <v>5863</v>
      </c>
      <c r="D3208" t="s">
        <v>7225</v>
      </c>
      <c r="E3208" s="10" t="s">
        <v>7232</v>
      </c>
      <c r="F3208" s="10"/>
      <c r="G3208" s="10"/>
      <c r="H3208" s="10" t="s">
        <v>7232</v>
      </c>
      <c r="I3208" s="14">
        <v>62762.256059831001</v>
      </c>
      <c r="J3208" s="19">
        <v>0</v>
      </c>
      <c r="K3208" s="19">
        <v>0.55446551816308709</v>
      </c>
      <c r="L3208" s="19">
        <v>0.44553448183691297</v>
      </c>
      <c r="M3208" s="20">
        <v>2</v>
      </c>
      <c r="N3208" s="19">
        <v>0.10558861434986523</v>
      </c>
      <c r="O3208" s="19">
        <v>0</v>
      </c>
      <c r="P3208" s="19">
        <v>0.44887690381322193</v>
      </c>
      <c r="Q3208" s="19">
        <v>0.11178256488954888</v>
      </c>
      <c r="R3208" s="19">
        <v>0.30503813664435747</v>
      </c>
      <c r="S3208" s="19">
        <v>2.8713780303006618E-2</v>
      </c>
      <c r="T3208" s="20">
        <v>23</v>
      </c>
      <c r="U3208" s="17">
        <v>3</v>
      </c>
      <c r="V3208" s="17">
        <v>36</v>
      </c>
    </row>
    <row r="3209" spans="1:22" x14ac:dyDescent="0.2">
      <c r="A3209" t="s">
        <v>7233</v>
      </c>
      <c r="B3209" t="s">
        <v>5862</v>
      </c>
      <c r="C3209" t="s">
        <v>5863</v>
      </c>
      <c r="D3209" t="s">
        <v>7225</v>
      </c>
      <c r="E3209" s="10" t="s">
        <v>7234</v>
      </c>
      <c r="F3209" s="10"/>
      <c r="G3209" s="10"/>
      <c r="H3209" s="10" t="s">
        <v>7234</v>
      </c>
      <c r="I3209" s="14">
        <v>102635.53946194006</v>
      </c>
      <c r="J3209" s="19">
        <v>0</v>
      </c>
      <c r="K3209" s="19">
        <v>0.71022296574082133</v>
      </c>
      <c r="L3209" s="19">
        <v>0.28977703425917867</v>
      </c>
      <c r="M3209" s="20">
        <v>2</v>
      </c>
      <c r="N3209" s="19">
        <v>0.3788570277415137</v>
      </c>
      <c r="O3209" s="19">
        <v>0</v>
      </c>
      <c r="P3209" s="19">
        <v>0.33136593799930758</v>
      </c>
      <c r="Q3209" s="19">
        <v>0.14216792736262168</v>
      </c>
      <c r="R3209" s="19">
        <v>0.12941758660477426</v>
      </c>
      <c r="S3209" s="19">
        <v>1.8191520291782757E-2</v>
      </c>
      <c r="T3209" s="20">
        <v>23</v>
      </c>
      <c r="U3209" s="17">
        <v>3</v>
      </c>
      <c r="V3209" s="17">
        <v>36</v>
      </c>
    </row>
    <row r="3210" spans="1:22" x14ac:dyDescent="0.2">
      <c r="A3210" t="s">
        <v>7235</v>
      </c>
      <c r="B3210" t="s">
        <v>5862</v>
      </c>
      <c r="C3210" t="s">
        <v>5863</v>
      </c>
      <c r="D3210" t="s">
        <v>7225</v>
      </c>
      <c r="E3210" s="10" t="s">
        <v>7236</v>
      </c>
      <c r="F3210" s="10"/>
      <c r="G3210" s="10"/>
      <c r="H3210" s="10" t="s">
        <v>7236</v>
      </c>
      <c r="I3210" s="14">
        <v>24684.669223943023</v>
      </c>
      <c r="J3210" s="19">
        <v>0</v>
      </c>
      <c r="K3210" s="19">
        <v>0.31441321442208991</v>
      </c>
      <c r="L3210" s="19">
        <v>0.68558678557791031</v>
      </c>
      <c r="M3210" s="20">
        <v>1</v>
      </c>
      <c r="N3210" s="19">
        <v>0</v>
      </c>
      <c r="O3210" s="19">
        <v>0.31441321442208991</v>
      </c>
      <c r="P3210" s="19">
        <v>0</v>
      </c>
      <c r="Q3210" s="19">
        <v>0.19370285117214536</v>
      </c>
      <c r="R3210" s="19">
        <v>0.44517512968037082</v>
      </c>
      <c r="S3210" s="19">
        <v>4.6708804725394057E-2</v>
      </c>
      <c r="T3210" s="20">
        <v>12</v>
      </c>
      <c r="U3210" s="17">
        <v>3</v>
      </c>
      <c r="V3210" s="17">
        <v>36</v>
      </c>
    </row>
    <row r="3211" spans="1:22" x14ac:dyDescent="0.2">
      <c r="A3211" t="s">
        <v>7237</v>
      </c>
      <c r="B3211" t="s">
        <v>5862</v>
      </c>
      <c r="C3211" t="s">
        <v>5863</v>
      </c>
      <c r="D3211" t="s">
        <v>7225</v>
      </c>
      <c r="E3211" s="10" t="s">
        <v>7238</v>
      </c>
      <c r="F3211" s="10"/>
      <c r="G3211" s="10"/>
      <c r="H3211" s="10" t="s">
        <v>7238</v>
      </c>
      <c r="I3211" s="14">
        <v>19963.998208273668</v>
      </c>
      <c r="J3211" s="19">
        <v>0</v>
      </c>
      <c r="K3211" s="19">
        <v>0</v>
      </c>
      <c r="L3211" s="19">
        <v>1</v>
      </c>
      <c r="M3211" s="20">
        <v>1</v>
      </c>
      <c r="N3211" s="19">
        <v>0</v>
      </c>
      <c r="O3211" s="19">
        <v>0</v>
      </c>
      <c r="P3211" s="19">
        <v>0</v>
      </c>
      <c r="Q3211" s="19">
        <v>0.37636282666037402</v>
      </c>
      <c r="R3211" s="19">
        <v>0.53135073859825632</v>
      </c>
      <c r="S3211" s="19">
        <v>9.2286434741369605E-2</v>
      </c>
      <c r="T3211" s="20">
        <v>12</v>
      </c>
      <c r="U3211" s="17">
        <v>3</v>
      </c>
      <c r="V3211" s="17">
        <v>36</v>
      </c>
    </row>
    <row r="3212" spans="1:22" x14ac:dyDescent="0.2">
      <c r="A3212" t="s">
        <v>7239</v>
      </c>
      <c r="B3212" t="s">
        <v>5862</v>
      </c>
      <c r="C3212" t="s">
        <v>5863</v>
      </c>
      <c r="D3212" t="s">
        <v>7240</v>
      </c>
      <c r="E3212" s="10" t="s">
        <v>7241</v>
      </c>
      <c r="F3212" s="10"/>
      <c r="G3212" s="10"/>
      <c r="H3212" s="10" t="s">
        <v>7241</v>
      </c>
      <c r="I3212" s="14">
        <v>20577.110571274534</v>
      </c>
      <c r="J3212" s="19">
        <v>0</v>
      </c>
      <c r="K3212" s="19">
        <v>0</v>
      </c>
      <c r="L3212" s="19">
        <v>1</v>
      </c>
      <c r="M3212" s="20">
        <v>1</v>
      </c>
      <c r="N3212" s="19">
        <v>0</v>
      </c>
      <c r="O3212" s="19">
        <v>0</v>
      </c>
      <c r="P3212" s="19">
        <v>0</v>
      </c>
      <c r="Q3212" s="19">
        <v>0.27135589586209052</v>
      </c>
      <c r="R3212" s="19">
        <v>0.593435817314655</v>
      </c>
      <c r="S3212" s="19">
        <v>0.13520828682325442</v>
      </c>
      <c r="T3212" s="20">
        <v>12</v>
      </c>
      <c r="U3212" s="17">
        <v>3</v>
      </c>
      <c r="V3212" s="17">
        <v>36</v>
      </c>
    </row>
    <row r="3213" spans="1:22" x14ac:dyDescent="0.2">
      <c r="A3213" t="s">
        <v>7242</v>
      </c>
      <c r="B3213" t="s">
        <v>5862</v>
      </c>
      <c r="C3213" t="s">
        <v>5863</v>
      </c>
      <c r="D3213" t="s">
        <v>7240</v>
      </c>
      <c r="E3213" s="10" t="s">
        <v>7243</v>
      </c>
      <c r="F3213" s="10"/>
      <c r="G3213" s="10"/>
      <c r="H3213" s="10" t="s">
        <v>7243</v>
      </c>
      <c r="I3213" s="14">
        <v>6253.9505695714624</v>
      </c>
      <c r="J3213" s="19">
        <v>0</v>
      </c>
      <c r="K3213" s="19">
        <v>0</v>
      </c>
      <c r="L3213" s="19">
        <v>1</v>
      </c>
      <c r="M3213" s="20">
        <v>1</v>
      </c>
      <c r="N3213" s="19">
        <v>0</v>
      </c>
      <c r="O3213" s="19">
        <v>0</v>
      </c>
      <c r="P3213" s="19">
        <v>0</v>
      </c>
      <c r="Q3213" s="19">
        <v>0.56176557069849531</v>
      </c>
      <c r="R3213" s="19">
        <v>0.39411391764772408</v>
      </c>
      <c r="S3213" s="19">
        <v>4.4120511653780448E-2</v>
      </c>
      <c r="T3213" s="20">
        <v>13</v>
      </c>
      <c r="U3213" s="17">
        <v>3</v>
      </c>
      <c r="V3213" s="17">
        <v>36</v>
      </c>
    </row>
    <row r="3214" spans="1:22" x14ac:dyDescent="0.2">
      <c r="A3214" t="s">
        <v>7244</v>
      </c>
      <c r="B3214" t="s">
        <v>5862</v>
      </c>
      <c r="C3214" t="s">
        <v>5863</v>
      </c>
      <c r="D3214" t="s">
        <v>7240</v>
      </c>
      <c r="E3214" s="10" t="s">
        <v>7245</v>
      </c>
      <c r="F3214" s="10"/>
      <c r="G3214" s="10"/>
      <c r="H3214" s="10" t="s">
        <v>7245</v>
      </c>
      <c r="I3214" s="14">
        <v>23067.5756552245</v>
      </c>
      <c r="J3214" s="19">
        <v>0</v>
      </c>
      <c r="K3214" s="19">
        <v>0</v>
      </c>
      <c r="L3214" s="19">
        <v>1</v>
      </c>
      <c r="M3214" s="20">
        <v>1</v>
      </c>
      <c r="N3214" s="19">
        <v>0</v>
      </c>
      <c r="O3214" s="19">
        <v>0</v>
      </c>
      <c r="P3214" s="19">
        <v>0</v>
      </c>
      <c r="Q3214" s="19">
        <v>0.23532052777261783</v>
      </c>
      <c r="R3214" s="19">
        <v>0.71745475903165978</v>
      </c>
      <c r="S3214" s="19">
        <v>4.7224713195722419E-2</v>
      </c>
      <c r="T3214" s="20">
        <v>12</v>
      </c>
      <c r="U3214" s="17">
        <v>3</v>
      </c>
      <c r="V3214" s="17">
        <v>36</v>
      </c>
    </row>
    <row r="3215" spans="1:22" x14ac:dyDescent="0.2">
      <c r="A3215" t="s">
        <v>7246</v>
      </c>
      <c r="B3215" t="s">
        <v>5862</v>
      </c>
      <c r="C3215" t="s">
        <v>5863</v>
      </c>
      <c r="D3215" t="s">
        <v>7240</v>
      </c>
      <c r="E3215" s="10" t="s">
        <v>7247</v>
      </c>
      <c r="F3215" s="10"/>
      <c r="G3215" s="10"/>
      <c r="H3215" s="10" t="s">
        <v>7247</v>
      </c>
      <c r="I3215" s="14">
        <v>13818.622915253509</v>
      </c>
      <c r="J3215" s="19">
        <v>0</v>
      </c>
      <c r="K3215" s="19">
        <v>0</v>
      </c>
      <c r="L3215" s="19">
        <v>1</v>
      </c>
      <c r="M3215" s="20">
        <v>1</v>
      </c>
      <c r="N3215" s="19">
        <v>0</v>
      </c>
      <c r="O3215" s="19">
        <v>0</v>
      </c>
      <c r="P3215" s="19">
        <v>0</v>
      </c>
      <c r="Q3215" s="19">
        <v>0.30582285385579233</v>
      </c>
      <c r="R3215" s="19">
        <v>0.63195538449340505</v>
      </c>
      <c r="S3215" s="19">
        <v>6.2221761650802627E-2</v>
      </c>
      <c r="T3215" s="20">
        <v>12</v>
      </c>
      <c r="U3215" s="17">
        <v>3</v>
      </c>
      <c r="V3215" s="17">
        <v>36</v>
      </c>
    </row>
    <row r="3216" spans="1:22" x14ac:dyDescent="0.2">
      <c r="A3216" t="s">
        <v>7248</v>
      </c>
      <c r="B3216" t="s">
        <v>5862</v>
      </c>
      <c r="C3216" t="s">
        <v>5863</v>
      </c>
      <c r="D3216" t="s">
        <v>7240</v>
      </c>
      <c r="E3216" s="10" t="s">
        <v>7249</v>
      </c>
      <c r="F3216" s="10"/>
      <c r="G3216" s="10"/>
      <c r="H3216" s="10" t="s">
        <v>7249</v>
      </c>
      <c r="I3216" s="14">
        <v>12258.747324931435</v>
      </c>
      <c r="J3216" s="19">
        <v>0</v>
      </c>
      <c r="K3216" s="19">
        <v>0</v>
      </c>
      <c r="L3216" s="19">
        <v>1</v>
      </c>
      <c r="M3216" s="20">
        <v>1</v>
      </c>
      <c r="N3216" s="19">
        <v>0</v>
      </c>
      <c r="O3216" s="19">
        <v>0</v>
      </c>
      <c r="P3216" s="19">
        <v>0</v>
      </c>
      <c r="Q3216" s="19">
        <v>0.42836886469483504</v>
      </c>
      <c r="R3216" s="19">
        <v>0.49727378694078356</v>
      </c>
      <c r="S3216" s="19">
        <v>7.4357348364381418E-2</v>
      </c>
      <c r="T3216" s="20">
        <v>12</v>
      </c>
      <c r="U3216" s="17">
        <v>3</v>
      </c>
      <c r="V3216" s="17">
        <v>36</v>
      </c>
    </row>
    <row r="3217" spans="1:22" x14ac:dyDescent="0.2">
      <c r="A3217" t="s">
        <v>7250</v>
      </c>
      <c r="B3217" t="s">
        <v>5862</v>
      </c>
      <c r="C3217" t="s">
        <v>5863</v>
      </c>
      <c r="D3217" t="s">
        <v>7240</v>
      </c>
      <c r="E3217" s="10" t="s">
        <v>7251</v>
      </c>
      <c r="F3217" s="10"/>
      <c r="G3217" s="10"/>
      <c r="H3217" s="10" t="s">
        <v>7251</v>
      </c>
      <c r="I3217" s="14">
        <v>112548.90652253502</v>
      </c>
      <c r="J3217" s="19">
        <v>0</v>
      </c>
      <c r="K3217" s="19">
        <v>0.23376744090538157</v>
      </c>
      <c r="L3217" s="19">
        <v>0.76623255909461851</v>
      </c>
      <c r="M3217" s="20">
        <v>1</v>
      </c>
      <c r="N3217" s="19">
        <v>0.13207897173693481</v>
      </c>
      <c r="O3217" s="19">
        <v>0</v>
      </c>
      <c r="P3217" s="19">
        <v>0.10168846916844676</v>
      </c>
      <c r="Q3217" s="19">
        <v>0.30757861925829755</v>
      </c>
      <c r="R3217" s="19">
        <v>0.38425362843858141</v>
      </c>
      <c r="S3217" s="19">
        <v>7.4400311397739463E-2</v>
      </c>
      <c r="T3217" s="20">
        <v>12</v>
      </c>
      <c r="U3217" s="17">
        <v>3</v>
      </c>
      <c r="V3217" s="17">
        <v>36</v>
      </c>
    </row>
    <row r="3218" spans="1:22" x14ac:dyDescent="0.2">
      <c r="A3218" t="s">
        <v>7252</v>
      </c>
      <c r="B3218" t="s">
        <v>5862</v>
      </c>
      <c r="C3218" t="s">
        <v>5863</v>
      </c>
      <c r="D3218" t="s">
        <v>7240</v>
      </c>
      <c r="E3218" s="10" t="s">
        <v>7253</v>
      </c>
      <c r="F3218" s="10"/>
      <c r="G3218" s="10"/>
      <c r="H3218" s="10" t="s">
        <v>7253</v>
      </c>
      <c r="I3218" s="14">
        <v>58800.370836697643</v>
      </c>
      <c r="J3218" s="19">
        <v>0</v>
      </c>
      <c r="K3218" s="19">
        <v>0.17232312734937441</v>
      </c>
      <c r="L3218" s="19">
        <v>0.82767687265062551</v>
      </c>
      <c r="M3218" s="20">
        <v>1</v>
      </c>
      <c r="N3218" s="19">
        <v>0.10177062041593538</v>
      </c>
      <c r="O3218" s="19">
        <v>1.8378276476019415E-3</v>
      </c>
      <c r="P3218" s="19">
        <v>6.8714679285837091E-2</v>
      </c>
      <c r="Q3218" s="19">
        <v>0.27783726331526043</v>
      </c>
      <c r="R3218" s="19">
        <v>0.45554159405359651</v>
      </c>
      <c r="S3218" s="19">
        <v>9.429801528176851E-2</v>
      </c>
      <c r="T3218" s="20">
        <v>12</v>
      </c>
      <c r="U3218" s="17">
        <v>3</v>
      </c>
      <c r="V3218" s="17">
        <v>36</v>
      </c>
    </row>
    <row r="3219" spans="1:22" x14ac:dyDescent="0.2">
      <c r="A3219" t="s">
        <v>7254</v>
      </c>
      <c r="B3219" t="s">
        <v>5862</v>
      </c>
      <c r="C3219" t="s">
        <v>5863</v>
      </c>
      <c r="D3219" t="s">
        <v>7240</v>
      </c>
      <c r="E3219" s="10" t="s">
        <v>7255</v>
      </c>
      <c r="F3219" s="10"/>
      <c r="G3219" s="10"/>
      <c r="H3219" s="10" t="s">
        <v>7255</v>
      </c>
      <c r="I3219" s="14">
        <v>84118.7258965316</v>
      </c>
      <c r="J3219" s="19">
        <v>0</v>
      </c>
      <c r="K3219" s="19">
        <v>0.1188375028195871</v>
      </c>
      <c r="L3219" s="19">
        <v>0.88116249718041284</v>
      </c>
      <c r="M3219" s="20">
        <v>1</v>
      </c>
      <c r="N3219" s="19">
        <v>0</v>
      </c>
      <c r="O3219" s="19">
        <v>0.1188375028195871</v>
      </c>
      <c r="P3219" s="19">
        <v>0</v>
      </c>
      <c r="Q3219" s="19">
        <v>0.3332256745346005</v>
      </c>
      <c r="R3219" s="19">
        <v>0.49294549027012879</v>
      </c>
      <c r="S3219" s="19">
        <v>5.4991332375683585E-2</v>
      </c>
      <c r="T3219" s="20">
        <v>12</v>
      </c>
      <c r="U3219" s="17">
        <v>3</v>
      </c>
      <c r="V3219" s="17">
        <v>36</v>
      </c>
    </row>
    <row r="3220" spans="1:22" x14ac:dyDescent="0.2">
      <c r="A3220" t="s">
        <v>7256</v>
      </c>
      <c r="B3220" t="s">
        <v>5862</v>
      </c>
      <c r="C3220" t="s">
        <v>5863</v>
      </c>
      <c r="D3220" t="s">
        <v>7240</v>
      </c>
      <c r="E3220" s="10" t="s">
        <v>7257</v>
      </c>
      <c r="F3220" s="10"/>
      <c r="G3220" s="10"/>
      <c r="H3220" s="10" t="s">
        <v>7257</v>
      </c>
      <c r="I3220" s="14">
        <v>58633.887522614794</v>
      </c>
      <c r="J3220" s="19">
        <v>0</v>
      </c>
      <c r="K3220" s="19">
        <v>0.16229779077412798</v>
      </c>
      <c r="L3220" s="19">
        <v>0.83770220922587213</v>
      </c>
      <c r="M3220" s="20">
        <v>1</v>
      </c>
      <c r="N3220" s="19">
        <v>0.10886919015240727</v>
      </c>
      <c r="O3220" s="19">
        <v>0</v>
      </c>
      <c r="P3220" s="19">
        <v>5.3428600621720709E-2</v>
      </c>
      <c r="Q3220" s="19">
        <v>0.42212003824613303</v>
      </c>
      <c r="R3220" s="19">
        <v>0.35495806332940794</v>
      </c>
      <c r="S3220" s="19">
        <v>6.0624107650331015E-2</v>
      </c>
      <c r="T3220" s="20">
        <v>13</v>
      </c>
      <c r="U3220" s="17">
        <v>3</v>
      </c>
      <c r="V3220" s="17">
        <v>36</v>
      </c>
    </row>
    <row r="3221" spans="1:22" x14ac:dyDescent="0.2">
      <c r="A3221" t="s">
        <v>7258</v>
      </c>
      <c r="B3221" t="s">
        <v>5862</v>
      </c>
      <c r="C3221" t="s">
        <v>5863</v>
      </c>
      <c r="D3221" t="s">
        <v>7240</v>
      </c>
      <c r="E3221" s="10" t="s">
        <v>7259</v>
      </c>
      <c r="F3221" s="10"/>
      <c r="G3221" s="10"/>
      <c r="H3221" s="10" t="s">
        <v>7259</v>
      </c>
      <c r="I3221" s="14">
        <v>10356.358571120538</v>
      </c>
      <c r="J3221" s="19">
        <v>0</v>
      </c>
      <c r="K3221" s="19">
        <v>0</v>
      </c>
      <c r="L3221" s="19">
        <v>1</v>
      </c>
      <c r="M3221" s="20">
        <v>1</v>
      </c>
      <c r="N3221" s="19">
        <v>0</v>
      </c>
      <c r="O3221" s="19">
        <v>0</v>
      </c>
      <c r="P3221" s="19">
        <v>0</v>
      </c>
      <c r="Q3221" s="19">
        <v>0.19662495203541555</v>
      </c>
      <c r="R3221" s="19">
        <v>0.72713111190195634</v>
      </c>
      <c r="S3221" s="19">
        <v>7.6243936062628151E-2</v>
      </c>
      <c r="T3221" s="20">
        <v>12</v>
      </c>
      <c r="U3221" s="17">
        <v>3</v>
      </c>
      <c r="V3221" s="17">
        <v>36</v>
      </c>
    </row>
    <row r="3222" spans="1:22" x14ac:dyDescent="0.2">
      <c r="A3222" t="s">
        <v>7260</v>
      </c>
      <c r="B3222" t="s">
        <v>5862</v>
      </c>
      <c r="C3222" t="s">
        <v>5863</v>
      </c>
      <c r="D3222" t="s">
        <v>7240</v>
      </c>
      <c r="E3222" s="10" t="s">
        <v>7261</v>
      </c>
      <c r="F3222" s="10"/>
      <c r="G3222" s="10"/>
      <c r="H3222" s="10" t="s">
        <v>7261</v>
      </c>
      <c r="I3222" s="14">
        <v>87225.353345026029</v>
      </c>
      <c r="J3222" s="19">
        <v>0</v>
      </c>
      <c r="K3222" s="19">
        <v>0.53290805728192459</v>
      </c>
      <c r="L3222" s="19">
        <v>0.46709194271807547</v>
      </c>
      <c r="M3222" s="20">
        <v>2</v>
      </c>
      <c r="N3222" s="19">
        <v>0.32432262317069582</v>
      </c>
      <c r="O3222" s="19">
        <v>0</v>
      </c>
      <c r="P3222" s="19">
        <v>0.20858543411122871</v>
      </c>
      <c r="Q3222" s="19">
        <v>0.11152706011351152</v>
      </c>
      <c r="R3222" s="19">
        <v>0.31259171886411768</v>
      </c>
      <c r="S3222" s="19">
        <v>4.2973163740446275E-2</v>
      </c>
      <c r="T3222" s="20">
        <v>23</v>
      </c>
      <c r="U3222" s="17">
        <v>3</v>
      </c>
      <c r="V3222" s="17">
        <v>36</v>
      </c>
    </row>
    <row r="3223" spans="1:22" x14ac:dyDescent="0.2">
      <c r="A3223" t="s">
        <v>7262</v>
      </c>
      <c r="B3223" t="s">
        <v>5862</v>
      </c>
      <c r="C3223" t="s">
        <v>5863</v>
      </c>
      <c r="D3223" t="s">
        <v>7240</v>
      </c>
      <c r="E3223" s="10" t="s">
        <v>7263</v>
      </c>
      <c r="F3223" s="10"/>
      <c r="G3223" s="10"/>
      <c r="H3223" s="10" t="s">
        <v>7263</v>
      </c>
      <c r="I3223" s="14">
        <v>24170.273722101818</v>
      </c>
      <c r="J3223" s="19">
        <v>0</v>
      </c>
      <c r="K3223" s="19">
        <v>0</v>
      </c>
      <c r="L3223" s="19">
        <v>1</v>
      </c>
      <c r="M3223" s="20">
        <v>1</v>
      </c>
      <c r="N3223" s="19">
        <v>0</v>
      </c>
      <c r="O3223" s="19">
        <v>0</v>
      </c>
      <c r="P3223" s="19">
        <v>0</v>
      </c>
      <c r="Q3223" s="19">
        <v>0.51367387991861457</v>
      </c>
      <c r="R3223" s="19">
        <v>0.39682145284534331</v>
      </c>
      <c r="S3223" s="19">
        <v>8.9504667236042099E-2</v>
      </c>
      <c r="T3223" s="20">
        <v>13</v>
      </c>
      <c r="U3223" s="17">
        <v>3</v>
      </c>
      <c r="V3223" s="17">
        <v>36</v>
      </c>
    </row>
    <row r="3224" spans="1:22" x14ac:dyDescent="0.2">
      <c r="A3224" t="s">
        <v>7264</v>
      </c>
      <c r="B3224" t="s">
        <v>5862</v>
      </c>
      <c r="C3224" t="s">
        <v>5863</v>
      </c>
      <c r="D3224" t="s">
        <v>7240</v>
      </c>
      <c r="E3224" s="10" t="s">
        <v>7265</v>
      </c>
      <c r="F3224" s="10"/>
      <c r="G3224" s="10"/>
      <c r="H3224" s="10" t="s">
        <v>7265</v>
      </c>
      <c r="I3224" s="14">
        <v>21416.113103725598</v>
      </c>
      <c r="J3224" s="19">
        <v>0</v>
      </c>
      <c r="K3224" s="19">
        <v>0</v>
      </c>
      <c r="L3224" s="19">
        <v>1</v>
      </c>
      <c r="M3224" s="20">
        <v>1</v>
      </c>
      <c r="N3224" s="19">
        <v>0</v>
      </c>
      <c r="O3224" s="19">
        <v>0</v>
      </c>
      <c r="P3224" s="19">
        <v>0</v>
      </c>
      <c r="Q3224" s="19">
        <v>0.31333626720009422</v>
      </c>
      <c r="R3224" s="19">
        <v>0.53005053153929138</v>
      </c>
      <c r="S3224" s="19">
        <v>0.1566132012606144</v>
      </c>
      <c r="T3224" s="20">
        <v>12</v>
      </c>
      <c r="U3224" s="17">
        <v>3</v>
      </c>
      <c r="V3224" s="17">
        <v>36</v>
      </c>
    </row>
    <row r="3225" spans="1:22" x14ac:dyDescent="0.2">
      <c r="A3225" t="s">
        <v>7266</v>
      </c>
      <c r="B3225" t="s">
        <v>5862</v>
      </c>
      <c r="C3225" t="s">
        <v>5863</v>
      </c>
      <c r="D3225" t="s">
        <v>7240</v>
      </c>
      <c r="E3225" s="10" t="s">
        <v>7267</v>
      </c>
      <c r="F3225" s="10"/>
      <c r="G3225" s="10"/>
      <c r="H3225" s="10" t="s">
        <v>7267</v>
      </c>
      <c r="I3225" s="14">
        <v>24362.675042250892</v>
      </c>
      <c r="J3225" s="19">
        <v>0</v>
      </c>
      <c r="K3225" s="19">
        <v>0</v>
      </c>
      <c r="L3225" s="19">
        <v>1</v>
      </c>
      <c r="M3225" s="20">
        <v>1</v>
      </c>
      <c r="N3225" s="19">
        <v>0</v>
      </c>
      <c r="O3225" s="19">
        <v>0</v>
      </c>
      <c r="P3225" s="19">
        <v>0</v>
      </c>
      <c r="Q3225" s="19">
        <v>0.56846584506045506</v>
      </c>
      <c r="R3225" s="19">
        <v>0.38146386919730663</v>
      </c>
      <c r="S3225" s="19">
        <v>5.0070285742238263E-2</v>
      </c>
      <c r="T3225" s="20">
        <v>13</v>
      </c>
      <c r="U3225" s="17">
        <v>3</v>
      </c>
      <c r="V3225" s="17">
        <v>36</v>
      </c>
    </row>
    <row r="3226" spans="1:22" x14ac:dyDescent="0.2">
      <c r="A3226" t="s">
        <v>7268</v>
      </c>
      <c r="B3226" t="s">
        <v>5862</v>
      </c>
      <c r="C3226" t="s">
        <v>5863</v>
      </c>
      <c r="D3226" t="s">
        <v>7240</v>
      </c>
      <c r="E3226" s="10" t="s">
        <v>7269</v>
      </c>
      <c r="F3226" s="10"/>
      <c r="G3226" s="10"/>
      <c r="H3226" s="10" t="s">
        <v>7269</v>
      </c>
      <c r="I3226" s="14">
        <v>27489.863190025095</v>
      </c>
      <c r="J3226" s="19">
        <v>0</v>
      </c>
      <c r="K3226" s="19">
        <v>1.6033877786176799E-2</v>
      </c>
      <c r="L3226" s="19">
        <v>0.98396612221382318</v>
      </c>
      <c r="M3226" s="20">
        <v>1</v>
      </c>
      <c r="N3226" s="19">
        <v>0</v>
      </c>
      <c r="O3226" s="19">
        <v>1.6033877786176799E-2</v>
      </c>
      <c r="P3226" s="19">
        <v>0</v>
      </c>
      <c r="Q3226" s="19">
        <v>0.41464389326642737</v>
      </c>
      <c r="R3226" s="19">
        <v>0.5117377125952568</v>
      </c>
      <c r="S3226" s="19">
        <v>5.7584516352138869E-2</v>
      </c>
      <c r="T3226" s="20">
        <v>12</v>
      </c>
      <c r="U3226" s="17">
        <v>3</v>
      </c>
      <c r="V3226" s="17">
        <v>36</v>
      </c>
    </row>
    <row r="3227" spans="1:22" x14ac:dyDescent="0.2">
      <c r="A3227" t="s">
        <v>7270</v>
      </c>
      <c r="B3227" t="s">
        <v>5862</v>
      </c>
      <c r="C3227" t="s">
        <v>5863</v>
      </c>
      <c r="D3227" t="s">
        <v>7240</v>
      </c>
      <c r="E3227" s="10" t="s">
        <v>7271</v>
      </c>
      <c r="F3227" s="10"/>
      <c r="G3227" s="10"/>
      <c r="H3227" s="10" t="s">
        <v>7271</v>
      </c>
      <c r="I3227" s="14">
        <v>28377.953143367078</v>
      </c>
      <c r="J3227" s="19">
        <v>0</v>
      </c>
      <c r="K3227" s="19">
        <v>1.7139508736769775E-2</v>
      </c>
      <c r="L3227" s="19">
        <v>0.98286049126323016</v>
      </c>
      <c r="M3227" s="20">
        <v>1</v>
      </c>
      <c r="N3227" s="19">
        <v>1.705628903692832E-2</v>
      </c>
      <c r="O3227" s="19">
        <v>0</v>
      </c>
      <c r="P3227" s="19">
        <v>8.321969984145286E-5</v>
      </c>
      <c r="Q3227" s="19">
        <v>0.43869796638797942</v>
      </c>
      <c r="R3227" s="19">
        <v>0.4633537139589648</v>
      </c>
      <c r="S3227" s="19">
        <v>8.0808810916286E-2</v>
      </c>
      <c r="T3227" s="20">
        <v>12</v>
      </c>
      <c r="U3227" s="17">
        <v>3</v>
      </c>
      <c r="V3227" s="17">
        <v>36</v>
      </c>
    </row>
    <row r="3228" spans="1:22" x14ac:dyDescent="0.2">
      <c r="A3228" t="s">
        <v>7272</v>
      </c>
      <c r="B3228" t="s">
        <v>5862</v>
      </c>
      <c r="C3228" t="s">
        <v>5863</v>
      </c>
      <c r="D3228" t="s">
        <v>7240</v>
      </c>
      <c r="E3228" s="10" t="s">
        <v>7273</v>
      </c>
      <c r="F3228" s="10"/>
      <c r="G3228" s="10"/>
      <c r="H3228" s="10" t="s">
        <v>7273</v>
      </c>
      <c r="I3228" s="14">
        <v>40554.377704780083</v>
      </c>
      <c r="J3228" s="19">
        <v>0</v>
      </c>
      <c r="K3228" s="19">
        <v>0</v>
      </c>
      <c r="L3228" s="19">
        <v>1</v>
      </c>
      <c r="M3228" s="20">
        <v>1</v>
      </c>
      <c r="N3228" s="19">
        <v>0</v>
      </c>
      <c r="O3228" s="19">
        <v>0</v>
      </c>
      <c r="P3228" s="19">
        <v>0</v>
      </c>
      <c r="Q3228" s="19">
        <v>0.43231603506872718</v>
      </c>
      <c r="R3228" s="19">
        <v>0.52271285888497088</v>
      </c>
      <c r="S3228" s="19">
        <v>4.4971106046301931E-2</v>
      </c>
      <c r="T3228" s="20">
        <v>12</v>
      </c>
      <c r="U3228" s="17">
        <v>3</v>
      </c>
      <c r="V3228" s="17">
        <v>36</v>
      </c>
    </row>
    <row r="3229" spans="1:22" x14ac:dyDescent="0.2">
      <c r="A3229" t="s">
        <v>7274</v>
      </c>
      <c r="B3229" t="s">
        <v>5862</v>
      </c>
      <c r="C3229" t="s">
        <v>5863</v>
      </c>
      <c r="D3229" t="s">
        <v>7240</v>
      </c>
      <c r="E3229" s="10" t="s">
        <v>7275</v>
      </c>
      <c r="F3229" s="10"/>
      <c r="G3229" s="10"/>
      <c r="H3229" s="10" t="s">
        <v>7275</v>
      </c>
      <c r="I3229" s="14">
        <v>47907.010612460203</v>
      </c>
      <c r="J3229" s="19">
        <v>0</v>
      </c>
      <c r="K3229" s="19">
        <v>0.16819206893095279</v>
      </c>
      <c r="L3229" s="19">
        <v>0.83180793106904716</v>
      </c>
      <c r="M3229" s="20">
        <v>1</v>
      </c>
      <c r="N3229" s="19">
        <v>0</v>
      </c>
      <c r="O3229" s="19">
        <v>0.16819206893095279</v>
      </c>
      <c r="P3229" s="19">
        <v>0</v>
      </c>
      <c r="Q3229" s="19">
        <v>0.34680045554775424</v>
      </c>
      <c r="R3229" s="19">
        <v>0.42945839109559086</v>
      </c>
      <c r="S3229" s="19">
        <v>5.5549084425702125E-2</v>
      </c>
      <c r="T3229" s="20">
        <v>12</v>
      </c>
      <c r="U3229" s="17">
        <v>3</v>
      </c>
      <c r="V3229" s="17">
        <v>36</v>
      </c>
    </row>
    <row r="3230" spans="1:22" x14ac:dyDescent="0.2">
      <c r="A3230" t="s">
        <v>7276</v>
      </c>
      <c r="B3230" t="s">
        <v>5862</v>
      </c>
      <c r="C3230" t="s">
        <v>5863</v>
      </c>
      <c r="D3230" t="s">
        <v>7240</v>
      </c>
      <c r="E3230" s="10" t="s">
        <v>7277</v>
      </c>
      <c r="F3230" s="10"/>
      <c r="G3230" s="10"/>
      <c r="H3230" s="10" t="s">
        <v>7277</v>
      </c>
      <c r="I3230" s="14">
        <v>29876.766325216973</v>
      </c>
      <c r="J3230" s="19">
        <v>0</v>
      </c>
      <c r="K3230" s="19">
        <v>0.26772507115659366</v>
      </c>
      <c r="L3230" s="19">
        <v>0.73227492884340639</v>
      </c>
      <c r="M3230" s="20">
        <v>1</v>
      </c>
      <c r="N3230" s="19">
        <v>0</v>
      </c>
      <c r="O3230" s="19">
        <v>0.26772507115659366</v>
      </c>
      <c r="P3230" s="19">
        <v>0</v>
      </c>
      <c r="Q3230" s="19">
        <v>0.273438780845355</v>
      </c>
      <c r="R3230" s="19">
        <v>0.41193626075296236</v>
      </c>
      <c r="S3230" s="19">
        <v>4.6899887245088964E-2</v>
      </c>
      <c r="T3230" s="20">
        <v>12</v>
      </c>
      <c r="U3230" s="17">
        <v>3</v>
      </c>
      <c r="V3230" s="17">
        <v>36</v>
      </c>
    </row>
    <row r="3231" spans="1:22" x14ac:dyDescent="0.2">
      <c r="A3231" t="s">
        <v>7278</v>
      </c>
      <c r="B3231" t="s">
        <v>5862</v>
      </c>
      <c r="C3231" t="s">
        <v>5863</v>
      </c>
      <c r="D3231" t="s">
        <v>7240</v>
      </c>
      <c r="E3231" s="10" t="s">
        <v>7279</v>
      </c>
      <c r="F3231" s="10"/>
      <c r="G3231" s="10"/>
      <c r="H3231" s="10" t="s">
        <v>7279</v>
      </c>
      <c r="I3231" s="14">
        <v>64554.395737268496</v>
      </c>
      <c r="J3231" s="19">
        <v>0</v>
      </c>
      <c r="K3231" s="19">
        <v>0.21689279359497596</v>
      </c>
      <c r="L3231" s="19">
        <v>0.78310720640502407</v>
      </c>
      <c r="M3231" s="20">
        <v>1</v>
      </c>
      <c r="N3231" s="19">
        <v>0.12180572774036735</v>
      </c>
      <c r="O3231" s="19">
        <v>0</v>
      </c>
      <c r="P3231" s="19">
        <v>9.5087065854608618E-2</v>
      </c>
      <c r="Q3231" s="19">
        <v>0.25723178308324768</v>
      </c>
      <c r="R3231" s="19">
        <v>0.48877945240515142</v>
      </c>
      <c r="S3231" s="19">
        <v>3.7095970916624983E-2</v>
      </c>
      <c r="T3231" s="20">
        <v>12</v>
      </c>
      <c r="U3231" s="17">
        <v>3</v>
      </c>
      <c r="V3231" s="17">
        <v>36</v>
      </c>
    </row>
    <row r="3232" spans="1:22" x14ac:dyDescent="0.2">
      <c r="A3232" t="s">
        <v>7280</v>
      </c>
      <c r="B3232" t="s">
        <v>5862</v>
      </c>
      <c r="C3232" t="s">
        <v>5863</v>
      </c>
      <c r="D3232" t="s">
        <v>7240</v>
      </c>
      <c r="E3232" s="10" t="s">
        <v>7281</v>
      </c>
      <c r="F3232" s="10"/>
      <c r="G3232" s="10"/>
      <c r="H3232" s="10" t="s">
        <v>7281</v>
      </c>
      <c r="I3232" s="14">
        <v>26314.387815665104</v>
      </c>
      <c r="J3232" s="19">
        <v>0</v>
      </c>
      <c r="K3232" s="19">
        <v>0</v>
      </c>
      <c r="L3232" s="19">
        <v>1</v>
      </c>
      <c r="M3232" s="20">
        <v>1</v>
      </c>
      <c r="N3232" s="19">
        <v>0</v>
      </c>
      <c r="O3232" s="19">
        <v>0</v>
      </c>
      <c r="P3232" s="19">
        <v>0</v>
      </c>
      <c r="Q3232" s="19">
        <v>0.26230571882293191</v>
      </c>
      <c r="R3232" s="19">
        <v>0.65350726731494346</v>
      </c>
      <c r="S3232" s="19">
        <v>8.4187013862124627E-2</v>
      </c>
      <c r="T3232" s="20">
        <v>12</v>
      </c>
      <c r="U3232" s="17">
        <v>3</v>
      </c>
      <c r="V3232" s="17">
        <v>36</v>
      </c>
    </row>
    <row r="3233" spans="1:22" x14ac:dyDescent="0.2">
      <c r="A3233" t="s">
        <v>7282</v>
      </c>
      <c r="B3233" t="s">
        <v>5862</v>
      </c>
      <c r="C3233" t="s">
        <v>5863</v>
      </c>
      <c r="D3233" t="s">
        <v>7240</v>
      </c>
      <c r="E3233" s="10" t="s">
        <v>7283</v>
      </c>
      <c r="F3233" s="10"/>
      <c r="G3233" s="10"/>
      <c r="H3233" s="10" t="s">
        <v>7283</v>
      </c>
      <c r="I3233" s="14">
        <v>23536.85697601386</v>
      </c>
      <c r="J3233" s="19">
        <v>0</v>
      </c>
      <c r="K3233" s="19">
        <v>0.26094892922069779</v>
      </c>
      <c r="L3233" s="19">
        <v>0.73905107077930243</v>
      </c>
      <c r="M3233" s="20">
        <v>1</v>
      </c>
      <c r="N3233" s="19">
        <v>0</v>
      </c>
      <c r="O3233" s="19">
        <v>0.26094892922069779</v>
      </c>
      <c r="P3233" s="19">
        <v>0</v>
      </c>
      <c r="Q3233" s="19">
        <v>0.43519780677539299</v>
      </c>
      <c r="R3233" s="19">
        <v>0.24755947277382376</v>
      </c>
      <c r="S3233" s="19">
        <v>5.6293791230085606E-2</v>
      </c>
      <c r="T3233" s="20">
        <v>13</v>
      </c>
      <c r="U3233" s="17">
        <v>3</v>
      </c>
      <c r="V3233" s="17">
        <v>36</v>
      </c>
    </row>
    <row r="3234" spans="1:22" x14ac:dyDescent="0.2">
      <c r="A3234" t="s">
        <v>7284</v>
      </c>
      <c r="B3234" t="s">
        <v>5862</v>
      </c>
      <c r="C3234" t="s">
        <v>5863</v>
      </c>
      <c r="D3234" t="s">
        <v>7285</v>
      </c>
      <c r="E3234" s="10" t="s">
        <v>7286</v>
      </c>
      <c r="F3234" s="10"/>
      <c r="G3234" s="10"/>
      <c r="H3234" s="10" t="s">
        <v>7286</v>
      </c>
      <c r="I3234" s="14">
        <v>22653.389187026885</v>
      </c>
      <c r="J3234" s="19">
        <v>0</v>
      </c>
      <c r="K3234" s="19">
        <v>0.45231083763147822</v>
      </c>
      <c r="L3234" s="19">
        <v>0.54768916236852183</v>
      </c>
      <c r="M3234" s="20">
        <v>1</v>
      </c>
      <c r="N3234" s="19">
        <v>0</v>
      </c>
      <c r="O3234" s="19">
        <v>0.45231083763147822</v>
      </c>
      <c r="P3234" s="19">
        <v>0</v>
      </c>
      <c r="Q3234" s="19">
        <v>6.2370045756208678E-3</v>
      </c>
      <c r="R3234" s="19">
        <v>0.48958023727473871</v>
      </c>
      <c r="S3234" s="19">
        <v>5.1871920518162216E-2</v>
      </c>
      <c r="T3234" s="20">
        <v>12</v>
      </c>
      <c r="U3234" s="17">
        <v>3</v>
      </c>
      <c r="V3234" s="17">
        <v>36</v>
      </c>
    </row>
    <row r="3235" spans="1:22" x14ac:dyDescent="0.2">
      <c r="A3235" t="s">
        <v>7287</v>
      </c>
      <c r="B3235" t="s">
        <v>5862</v>
      </c>
      <c r="C3235" t="s">
        <v>5863</v>
      </c>
      <c r="D3235" t="s">
        <v>7285</v>
      </c>
      <c r="E3235" s="10" t="s">
        <v>7288</v>
      </c>
      <c r="F3235" s="10"/>
      <c r="G3235" s="10"/>
      <c r="H3235" s="10" t="s">
        <v>7288</v>
      </c>
      <c r="I3235" s="14">
        <v>38090.472633948433</v>
      </c>
      <c r="J3235" s="19">
        <v>0</v>
      </c>
      <c r="K3235" s="19">
        <v>0.41358379838070525</v>
      </c>
      <c r="L3235" s="19">
        <v>0.58641620161929475</v>
      </c>
      <c r="M3235" s="20">
        <v>1</v>
      </c>
      <c r="N3235" s="19">
        <v>0</v>
      </c>
      <c r="O3235" s="19">
        <v>0</v>
      </c>
      <c r="P3235" s="19">
        <v>0.41358379838070525</v>
      </c>
      <c r="Q3235" s="19">
        <v>0.18222587627709524</v>
      </c>
      <c r="R3235" s="19">
        <v>0.37090082403228308</v>
      </c>
      <c r="S3235" s="19">
        <v>3.3289501309916383E-2</v>
      </c>
      <c r="T3235" s="20">
        <v>12</v>
      </c>
      <c r="U3235" s="17">
        <v>3</v>
      </c>
      <c r="V3235" s="17">
        <v>36</v>
      </c>
    </row>
    <row r="3236" spans="1:22" x14ac:dyDescent="0.2">
      <c r="A3236" t="s">
        <v>7289</v>
      </c>
      <c r="B3236" t="s">
        <v>5862</v>
      </c>
      <c r="C3236" t="s">
        <v>5863</v>
      </c>
      <c r="D3236" t="s">
        <v>7285</v>
      </c>
      <c r="E3236" s="10" t="s">
        <v>7290</v>
      </c>
      <c r="F3236" s="10"/>
      <c r="G3236" s="10"/>
      <c r="H3236" s="10" t="s">
        <v>7290</v>
      </c>
      <c r="I3236" s="14">
        <v>17768.697922358755</v>
      </c>
      <c r="J3236" s="19">
        <v>0</v>
      </c>
      <c r="K3236" s="19">
        <v>0.36777415525089291</v>
      </c>
      <c r="L3236" s="19">
        <v>0.63222584474910704</v>
      </c>
      <c r="M3236" s="20">
        <v>1</v>
      </c>
      <c r="N3236" s="19">
        <v>0</v>
      </c>
      <c r="O3236" s="19">
        <v>0.36777415525089291</v>
      </c>
      <c r="P3236" s="19">
        <v>0</v>
      </c>
      <c r="Q3236" s="19">
        <v>0.1092933224034993</v>
      </c>
      <c r="R3236" s="19">
        <v>0.48587814169611265</v>
      </c>
      <c r="S3236" s="19">
        <v>3.7054380649495143E-2</v>
      </c>
      <c r="T3236" s="20">
        <v>12</v>
      </c>
      <c r="U3236" s="17">
        <v>3</v>
      </c>
      <c r="V3236" s="17">
        <v>36</v>
      </c>
    </row>
    <row r="3237" spans="1:22" x14ac:dyDescent="0.2">
      <c r="A3237" t="s">
        <v>7291</v>
      </c>
      <c r="B3237" t="s">
        <v>5862</v>
      </c>
      <c r="C3237" t="s">
        <v>5863</v>
      </c>
      <c r="D3237" t="s">
        <v>7285</v>
      </c>
      <c r="E3237" s="10" t="s">
        <v>7292</v>
      </c>
      <c r="F3237" s="10"/>
      <c r="G3237" s="10"/>
      <c r="H3237" s="10" t="s">
        <v>7292</v>
      </c>
      <c r="I3237" s="14">
        <v>34626.502667206572</v>
      </c>
      <c r="J3237" s="19">
        <v>0</v>
      </c>
      <c r="K3237" s="19">
        <v>0.6701094377392347</v>
      </c>
      <c r="L3237" s="19">
        <v>0.3298905622607653</v>
      </c>
      <c r="M3237" s="20">
        <v>2</v>
      </c>
      <c r="N3237" s="19">
        <v>0.44608538059698361</v>
      </c>
      <c r="O3237" s="19">
        <v>0</v>
      </c>
      <c r="P3237" s="19">
        <v>0.22402405714225115</v>
      </c>
      <c r="Q3237" s="19">
        <v>5.0632620453385943E-2</v>
      </c>
      <c r="R3237" s="19">
        <v>0.26407979602949355</v>
      </c>
      <c r="S3237" s="19">
        <v>1.5178145777885782E-2</v>
      </c>
      <c r="T3237" s="20">
        <v>23</v>
      </c>
      <c r="U3237" s="17">
        <v>3</v>
      </c>
      <c r="V3237" s="17">
        <v>36</v>
      </c>
    </row>
    <row r="3238" spans="1:22" x14ac:dyDescent="0.2">
      <c r="A3238" t="s">
        <v>7293</v>
      </c>
      <c r="B3238" t="s">
        <v>5862</v>
      </c>
      <c r="C3238" t="s">
        <v>5863</v>
      </c>
      <c r="D3238" t="s">
        <v>7285</v>
      </c>
      <c r="E3238" s="10" t="s">
        <v>7294</v>
      </c>
      <c r="F3238" s="10"/>
      <c r="G3238" s="10"/>
      <c r="H3238" s="10" t="s">
        <v>7294</v>
      </c>
      <c r="I3238" s="14">
        <v>16098.462049963884</v>
      </c>
      <c r="J3238" s="19">
        <v>0</v>
      </c>
      <c r="K3238" s="19">
        <v>0.65735081679738783</v>
      </c>
      <c r="L3238" s="19">
        <v>0.34264918320261223</v>
      </c>
      <c r="M3238" s="20">
        <v>2</v>
      </c>
      <c r="N3238" s="19">
        <v>0</v>
      </c>
      <c r="O3238" s="19">
        <v>0.61846050925115126</v>
      </c>
      <c r="P3238" s="19">
        <v>3.8890307546236479E-2</v>
      </c>
      <c r="Q3238" s="19">
        <v>6.2254471534071284E-3</v>
      </c>
      <c r="R3238" s="19">
        <v>0.31627857300037537</v>
      </c>
      <c r="S3238" s="19">
        <v>2.0145163048829705E-2</v>
      </c>
      <c r="T3238" s="20">
        <v>22</v>
      </c>
      <c r="U3238" s="17">
        <v>3</v>
      </c>
      <c r="V3238" s="17">
        <v>36</v>
      </c>
    </row>
    <row r="3239" spans="1:22" x14ac:dyDescent="0.2">
      <c r="A3239" t="s">
        <v>7295</v>
      </c>
      <c r="B3239" t="s">
        <v>5862</v>
      </c>
      <c r="C3239" t="s">
        <v>5863</v>
      </c>
      <c r="D3239" t="s">
        <v>7285</v>
      </c>
      <c r="E3239" s="10" t="s">
        <v>7296</v>
      </c>
      <c r="F3239" s="10"/>
      <c r="G3239" s="10"/>
      <c r="H3239" s="10" t="s">
        <v>7296</v>
      </c>
      <c r="I3239" s="14">
        <v>9703.1659661752637</v>
      </c>
      <c r="J3239" s="19">
        <v>0</v>
      </c>
      <c r="K3239" s="19">
        <v>0.67603869234976266</v>
      </c>
      <c r="L3239" s="19">
        <v>0.3239613076502374</v>
      </c>
      <c r="M3239" s="20">
        <v>2</v>
      </c>
      <c r="N3239" s="19">
        <v>0</v>
      </c>
      <c r="O3239" s="19">
        <v>0.67603869234976266</v>
      </c>
      <c r="P3239" s="19">
        <v>0</v>
      </c>
      <c r="Q3239" s="19">
        <v>2.4036060042909708E-2</v>
      </c>
      <c r="R3239" s="19">
        <v>0.28106421561170231</v>
      </c>
      <c r="S3239" s="19">
        <v>1.8861031995625374E-2</v>
      </c>
      <c r="T3239" s="20">
        <v>22</v>
      </c>
      <c r="U3239" s="17">
        <v>3</v>
      </c>
      <c r="V3239" s="17">
        <v>36</v>
      </c>
    </row>
    <row r="3240" spans="1:22" x14ac:dyDescent="0.2">
      <c r="A3240" t="s">
        <v>7297</v>
      </c>
      <c r="B3240" t="s">
        <v>5862</v>
      </c>
      <c r="C3240" t="s">
        <v>5863</v>
      </c>
      <c r="D3240" t="s">
        <v>7298</v>
      </c>
      <c r="E3240" s="10" t="s">
        <v>7299</v>
      </c>
      <c r="F3240" s="10"/>
      <c r="G3240" s="10"/>
      <c r="H3240" s="10" t="s">
        <v>7299</v>
      </c>
      <c r="I3240" s="14">
        <v>40586.584192582872</v>
      </c>
      <c r="J3240" s="19">
        <v>0.24434671104497807</v>
      </c>
      <c r="K3240" s="19">
        <v>0.46933493881484245</v>
      </c>
      <c r="L3240" s="19">
        <v>0.28631835014017948</v>
      </c>
      <c r="M3240" s="20">
        <v>2</v>
      </c>
      <c r="N3240" s="19">
        <v>0</v>
      </c>
      <c r="O3240" s="19">
        <v>0</v>
      </c>
      <c r="P3240" s="19">
        <v>0.46933493881484245</v>
      </c>
      <c r="Q3240" s="19">
        <v>8.8844729455399788E-3</v>
      </c>
      <c r="R3240" s="19">
        <v>0.26060911683860272</v>
      </c>
      <c r="S3240" s="19">
        <v>1.6824760356036774E-2</v>
      </c>
      <c r="T3240" s="20">
        <v>23</v>
      </c>
      <c r="U3240" s="17">
        <v>3</v>
      </c>
      <c r="V3240" s="17">
        <v>36</v>
      </c>
    </row>
    <row r="3241" spans="1:22" x14ac:dyDescent="0.2">
      <c r="A3241" t="s">
        <v>7300</v>
      </c>
      <c r="B3241" t="s">
        <v>5862</v>
      </c>
      <c r="C3241" t="s">
        <v>5863</v>
      </c>
      <c r="D3241" t="s">
        <v>7298</v>
      </c>
      <c r="E3241" s="10" t="s">
        <v>7301</v>
      </c>
      <c r="F3241" s="10"/>
      <c r="G3241" s="10"/>
      <c r="H3241" s="10" t="s">
        <v>7301</v>
      </c>
      <c r="I3241" s="14">
        <v>142670.0322944019</v>
      </c>
      <c r="J3241" s="19">
        <v>0</v>
      </c>
      <c r="K3241" s="19">
        <v>0.63822256714469083</v>
      </c>
      <c r="L3241" s="19">
        <v>0.36177743285530928</v>
      </c>
      <c r="M3241" s="20">
        <v>2</v>
      </c>
      <c r="N3241" s="19">
        <v>0.20875259660719322</v>
      </c>
      <c r="O3241" s="19">
        <v>0.11559344532499358</v>
      </c>
      <c r="P3241" s="19">
        <v>0.31387652521250392</v>
      </c>
      <c r="Q3241" s="19">
        <v>0.11526891420763191</v>
      </c>
      <c r="R3241" s="19">
        <v>0.22721196001854851</v>
      </c>
      <c r="S3241" s="19">
        <v>1.9296558629128858E-2</v>
      </c>
      <c r="T3241" s="20">
        <v>23</v>
      </c>
      <c r="U3241" s="17">
        <v>3</v>
      </c>
      <c r="V3241" s="17">
        <v>36</v>
      </c>
    </row>
    <row r="3242" spans="1:22" x14ac:dyDescent="0.2">
      <c r="A3242" t="s">
        <v>7302</v>
      </c>
      <c r="B3242" t="s">
        <v>5862</v>
      </c>
      <c r="C3242" t="s">
        <v>5863</v>
      </c>
      <c r="D3242" t="s">
        <v>7298</v>
      </c>
      <c r="E3242" s="10" t="s">
        <v>7303</v>
      </c>
      <c r="F3242" s="10"/>
      <c r="G3242" s="10"/>
      <c r="H3242" s="10" t="s">
        <v>7303</v>
      </c>
      <c r="I3242" s="14">
        <v>503410.71159016667</v>
      </c>
      <c r="J3242" s="19">
        <v>0.79264233279238672</v>
      </c>
      <c r="K3242" s="19">
        <v>0.14227707825135025</v>
      </c>
      <c r="L3242" s="19">
        <v>6.5080588956263064E-2</v>
      </c>
      <c r="M3242" s="20">
        <v>3</v>
      </c>
      <c r="N3242" s="19">
        <v>0</v>
      </c>
      <c r="O3242" s="19">
        <v>0</v>
      </c>
      <c r="P3242" s="19">
        <v>0.14227707825135025</v>
      </c>
      <c r="Q3242" s="19">
        <v>5.1309109157880659E-3</v>
      </c>
      <c r="R3242" s="19">
        <v>5.2879677529561124E-2</v>
      </c>
      <c r="S3242" s="19">
        <v>7.0700005109138727E-3</v>
      </c>
      <c r="T3242" s="20">
        <v>30</v>
      </c>
      <c r="U3242" s="17">
        <v>3</v>
      </c>
      <c r="V3242" s="17">
        <v>36</v>
      </c>
    </row>
    <row r="3243" spans="1:22" x14ac:dyDescent="0.2">
      <c r="A3243" t="s">
        <v>7304</v>
      </c>
      <c r="B3243" t="s">
        <v>5862</v>
      </c>
      <c r="C3243" t="s">
        <v>5863</v>
      </c>
      <c r="D3243" t="s">
        <v>7298</v>
      </c>
      <c r="E3243" s="10" t="s">
        <v>7305</v>
      </c>
      <c r="F3243" s="10"/>
      <c r="G3243" s="10"/>
      <c r="H3243" s="10" t="s">
        <v>7305</v>
      </c>
      <c r="I3243" s="14">
        <v>28873.159683018457</v>
      </c>
      <c r="J3243" s="19">
        <v>0</v>
      </c>
      <c r="K3243" s="19">
        <v>0.4091676653423858</v>
      </c>
      <c r="L3243" s="19">
        <v>0.5908323346576142</v>
      </c>
      <c r="M3243" s="20">
        <v>1</v>
      </c>
      <c r="N3243" s="19">
        <v>0</v>
      </c>
      <c r="O3243" s="19">
        <v>0</v>
      </c>
      <c r="P3243" s="19">
        <v>0.4091676653423858</v>
      </c>
      <c r="Q3243" s="19">
        <v>0.17611910444163886</v>
      </c>
      <c r="R3243" s="19">
        <v>0.36255633872189502</v>
      </c>
      <c r="S3243" s="19">
        <v>5.2156891494080281E-2</v>
      </c>
      <c r="T3243" s="20">
        <v>12</v>
      </c>
      <c r="U3243" s="17">
        <v>3</v>
      </c>
      <c r="V3243" s="17">
        <v>36</v>
      </c>
    </row>
    <row r="3244" spans="1:22" x14ac:dyDescent="0.2">
      <c r="A3244" t="s">
        <v>7306</v>
      </c>
      <c r="B3244" t="s">
        <v>5862</v>
      </c>
      <c r="C3244" t="s">
        <v>5863</v>
      </c>
      <c r="D3244" t="s">
        <v>7298</v>
      </c>
      <c r="E3244" s="10" t="s">
        <v>7307</v>
      </c>
      <c r="F3244" s="10"/>
      <c r="G3244" s="10"/>
      <c r="H3244" s="10" t="s">
        <v>7307</v>
      </c>
      <c r="I3244" s="14">
        <v>43037.701315752231</v>
      </c>
      <c r="J3244" s="19">
        <v>0</v>
      </c>
      <c r="K3244" s="19">
        <v>0.29939915155669339</v>
      </c>
      <c r="L3244" s="19">
        <v>0.70060084844330661</v>
      </c>
      <c r="M3244" s="20">
        <v>1</v>
      </c>
      <c r="N3244" s="19">
        <v>0.11915637499638002</v>
      </c>
      <c r="O3244" s="19">
        <v>9.0539346386860536E-2</v>
      </c>
      <c r="P3244" s="19">
        <v>8.9703430173452864E-2</v>
      </c>
      <c r="Q3244" s="19">
        <v>0.31759385076858554</v>
      </c>
      <c r="R3244" s="19">
        <v>0.36264661470327508</v>
      </c>
      <c r="S3244" s="19">
        <v>2.0360382971445958E-2</v>
      </c>
      <c r="T3244" s="20">
        <v>12</v>
      </c>
      <c r="U3244" s="17">
        <v>3</v>
      </c>
      <c r="V3244" s="17">
        <v>36</v>
      </c>
    </row>
    <row r="3245" spans="1:22" x14ac:dyDescent="0.2">
      <c r="A3245" t="s">
        <v>7308</v>
      </c>
      <c r="B3245" t="s">
        <v>5862</v>
      </c>
      <c r="C3245" t="s">
        <v>5863</v>
      </c>
      <c r="D3245" t="s">
        <v>7298</v>
      </c>
      <c r="E3245" s="10" t="s">
        <v>7309</v>
      </c>
      <c r="F3245" s="10"/>
      <c r="G3245" s="10"/>
      <c r="H3245" s="10" t="s">
        <v>7309</v>
      </c>
      <c r="I3245" s="14">
        <v>23133.336506091062</v>
      </c>
      <c r="J3245" s="19">
        <v>0</v>
      </c>
      <c r="K3245" s="19">
        <v>0.6421923893636684</v>
      </c>
      <c r="L3245" s="19">
        <v>0.35780761063633149</v>
      </c>
      <c r="M3245" s="20">
        <v>2</v>
      </c>
      <c r="N3245" s="19">
        <v>0</v>
      </c>
      <c r="O3245" s="19">
        <v>0.6421923893636684</v>
      </c>
      <c r="P3245" s="19">
        <v>0</v>
      </c>
      <c r="Q3245" s="19">
        <v>8.6280892941418746E-2</v>
      </c>
      <c r="R3245" s="19">
        <v>0.2452971054511919</v>
      </c>
      <c r="S3245" s="19">
        <v>2.6229612243720828E-2</v>
      </c>
      <c r="T3245" s="20">
        <v>22</v>
      </c>
      <c r="U3245" s="17">
        <v>3</v>
      </c>
      <c r="V3245" s="17">
        <v>36</v>
      </c>
    </row>
    <row r="3246" spans="1:22" x14ac:dyDescent="0.2">
      <c r="A3246" t="s">
        <v>7310</v>
      </c>
      <c r="B3246" t="s">
        <v>5862</v>
      </c>
      <c r="C3246" t="s">
        <v>5863</v>
      </c>
      <c r="D3246" t="s">
        <v>7298</v>
      </c>
      <c r="E3246" s="10" t="s">
        <v>7311</v>
      </c>
      <c r="F3246" s="10"/>
      <c r="G3246" s="10"/>
      <c r="H3246" s="10" t="s">
        <v>7311</v>
      </c>
      <c r="I3246" s="14">
        <v>251750.82351603406</v>
      </c>
      <c r="J3246" s="19">
        <v>0.84587823128713635</v>
      </c>
      <c r="K3246" s="19">
        <v>0.13140050539556067</v>
      </c>
      <c r="L3246" s="19">
        <v>2.2721263317302988E-2</v>
      </c>
      <c r="M3246" s="20">
        <v>3</v>
      </c>
      <c r="N3246" s="19">
        <v>1.3824698516193403E-3</v>
      </c>
      <c r="O3246" s="19">
        <v>2.9870452686090433E-2</v>
      </c>
      <c r="P3246" s="19">
        <v>0.10014758285785089</v>
      </c>
      <c r="Q3246" s="19">
        <v>0</v>
      </c>
      <c r="R3246" s="19">
        <v>2.1661113753367732E-2</v>
      </c>
      <c r="S3246" s="19">
        <v>1.060149563935257E-3</v>
      </c>
      <c r="T3246" s="20">
        <v>30</v>
      </c>
      <c r="U3246" s="17">
        <v>3</v>
      </c>
      <c r="V3246" s="17">
        <v>36</v>
      </c>
    </row>
    <row r="3247" spans="1:22" x14ac:dyDescent="0.2">
      <c r="A3247" t="s">
        <v>7312</v>
      </c>
      <c r="B3247" t="s">
        <v>5862</v>
      </c>
      <c r="C3247" t="s">
        <v>5863</v>
      </c>
      <c r="D3247" t="s">
        <v>7298</v>
      </c>
      <c r="E3247" s="10" t="s">
        <v>7313</v>
      </c>
      <c r="F3247" s="10"/>
      <c r="G3247" s="10"/>
      <c r="H3247" s="10" t="s">
        <v>7313</v>
      </c>
      <c r="I3247" s="14">
        <v>31924.321515962478</v>
      </c>
      <c r="J3247" s="19">
        <v>0</v>
      </c>
      <c r="K3247" s="19">
        <v>0.7591850506265958</v>
      </c>
      <c r="L3247" s="19">
        <v>0.24081494937340436</v>
      </c>
      <c r="M3247" s="20">
        <v>2</v>
      </c>
      <c r="N3247" s="19">
        <v>0.21518984734594543</v>
      </c>
      <c r="O3247" s="19">
        <v>0</v>
      </c>
      <c r="P3247" s="19">
        <v>0.54399520328065032</v>
      </c>
      <c r="Q3247" s="19">
        <v>9.2562346560133735E-2</v>
      </c>
      <c r="R3247" s="19">
        <v>0.13625665450912547</v>
      </c>
      <c r="S3247" s="19">
        <v>1.1995948304145151E-2</v>
      </c>
      <c r="T3247" s="20">
        <v>21</v>
      </c>
      <c r="U3247" s="17">
        <v>3</v>
      </c>
      <c r="V3247" s="17">
        <v>36</v>
      </c>
    </row>
    <row r="3248" spans="1:22" x14ac:dyDescent="0.2">
      <c r="A3248" t="s">
        <v>7314</v>
      </c>
      <c r="B3248" t="s">
        <v>5862</v>
      </c>
      <c r="C3248" t="s">
        <v>5863</v>
      </c>
      <c r="D3248" t="s">
        <v>7298</v>
      </c>
      <c r="E3248" s="10" t="s">
        <v>7315</v>
      </c>
      <c r="F3248" s="10"/>
      <c r="G3248" s="10"/>
      <c r="H3248" s="10" t="s">
        <v>7315</v>
      </c>
      <c r="I3248" s="14">
        <v>69014.704060601071</v>
      </c>
      <c r="J3248" s="19">
        <v>0</v>
      </c>
      <c r="K3248" s="19">
        <v>0.4198000547779146</v>
      </c>
      <c r="L3248" s="19">
        <v>0.5801999452220854</v>
      </c>
      <c r="M3248" s="20">
        <v>1</v>
      </c>
      <c r="N3248" s="19">
        <v>0.16468332704429167</v>
      </c>
      <c r="O3248" s="19">
        <v>0</v>
      </c>
      <c r="P3248" s="19">
        <v>0.25511672773362293</v>
      </c>
      <c r="Q3248" s="19">
        <v>0.14643113721575424</v>
      </c>
      <c r="R3248" s="19">
        <v>0.38464692533642969</v>
      </c>
      <c r="S3248" s="19">
        <v>4.9121882669901515E-2</v>
      </c>
      <c r="T3248" s="20">
        <v>12</v>
      </c>
      <c r="U3248" s="17">
        <v>3</v>
      </c>
      <c r="V3248" s="17">
        <v>36</v>
      </c>
    </row>
    <row r="3249" spans="1:22" x14ac:dyDescent="0.2">
      <c r="A3249" t="s">
        <v>7316</v>
      </c>
      <c r="B3249" t="s">
        <v>5862</v>
      </c>
      <c r="C3249" t="s">
        <v>5863</v>
      </c>
      <c r="D3249" t="s">
        <v>7298</v>
      </c>
      <c r="E3249" s="10" t="s">
        <v>7317</v>
      </c>
      <c r="F3249" s="10"/>
      <c r="G3249" s="10"/>
      <c r="H3249" s="10" t="s">
        <v>7317</v>
      </c>
      <c r="I3249" s="14">
        <v>97784.020163557492</v>
      </c>
      <c r="J3249" s="19">
        <v>0</v>
      </c>
      <c r="K3249" s="19">
        <v>0.77733177790817609</v>
      </c>
      <c r="L3249" s="19">
        <v>0.22266822209182396</v>
      </c>
      <c r="M3249" s="20">
        <v>2</v>
      </c>
      <c r="N3249" s="19">
        <v>8.6671847150497777E-2</v>
      </c>
      <c r="O3249" s="19">
        <v>0.19161426743922264</v>
      </c>
      <c r="P3249" s="19">
        <v>0.49904566331845562</v>
      </c>
      <c r="Q3249" s="19">
        <v>5.6073022360597864E-2</v>
      </c>
      <c r="R3249" s="19">
        <v>0.15404014415924272</v>
      </c>
      <c r="S3249" s="19">
        <v>1.2555055571983392E-2</v>
      </c>
      <c r="T3249" s="20">
        <v>22</v>
      </c>
      <c r="U3249" s="17">
        <v>3</v>
      </c>
      <c r="V3249" s="17">
        <v>36</v>
      </c>
    </row>
    <row r="3250" spans="1:22" x14ac:dyDescent="0.2">
      <c r="A3250" t="s">
        <v>7318</v>
      </c>
      <c r="B3250" t="s">
        <v>5862</v>
      </c>
      <c r="C3250" t="s">
        <v>5863</v>
      </c>
      <c r="D3250" t="s">
        <v>7298</v>
      </c>
      <c r="E3250" s="10" t="s">
        <v>7319</v>
      </c>
      <c r="F3250" s="10"/>
      <c r="G3250" s="10"/>
      <c r="H3250" s="10" t="s">
        <v>7319</v>
      </c>
      <c r="I3250" s="14">
        <v>101641.92524420749</v>
      </c>
      <c r="J3250" s="19">
        <v>0</v>
      </c>
      <c r="K3250" s="19">
        <v>0.61438308112550599</v>
      </c>
      <c r="L3250" s="19">
        <v>0.3856169188744939</v>
      </c>
      <c r="M3250" s="20">
        <v>2</v>
      </c>
      <c r="N3250" s="19">
        <v>7.0201668858689906E-2</v>
      </c>
      <c r="O3250" s="19">
        <v>7.0854290648124504E-4</v>
      </c>
      <c r="P3250" s="19">
        <v>0.5434728693603349</v>
      </c>
      <c r="Q3250" s="19">
        <v>3.063264526442613E-2</v>
      </c>
      <c r="R3250" s="19">
        <v>0.3319743814274303</v>
      </c>
      <c r="S3250" s="19">
        <v>2.3009892182637506E-2</v>
      </c>
      <c r="T3250" s="20">
        <v>21</v>
      </c>
      <c r="U3250" s="17">
        <v>3</v>
      </c>
      <c r="V3250" s="17">
        <v>36</v>
      </c>
    </row>
    <row r="3251" spans="1:22" x14ac:dyDescent="0.2">
      <c r="A3251" t="s">
        <v>7320</v>
      </c>
      <c r="B3251" t="s">
        <v>5862</v>
      </c>
      <c r="C3251" t="s">
        <v>5863</v>
      </c>
      <c r="D3251" t="s">
        <v>7298</v>
      </c>
      <c r="E3251" s="10" t="s">
        <v>7321</v>
      </c>
      <c r="F3251" s="10"/>
      <c r="G3251" s="10"/>
      <c r="H3251" s="10" t="s">
        <v>7321</v>
      </c>
      <c r="I3251" s="14">
        <v>70161.947896312457</v>
      </c>
      <c r="J3251" s="19">
        <v>0</v>
      </c>
      <c r="K3251" s="19">
        <v>0.20086676939923151</v>
      </c>
      <c r="L3251" s="19">
        <v>0.79913323060076846</v>
      </c>
      <c r="M3251" s="20">
        <v>1</v>
      </c>
      <c r="N3251" s="19">
        <v>0</v>
      </c>
      <c r="O3251" s="19">
        <v>0.20086676939923151</v>
      </c>
      <c r="P3251" s="19">
        <v>0</v>
      </c>
      <c r="Q3251" s="19">
        <v>0.35946539189749077</v>
      </c>
      <c r="R3251" s="19">
        <v>0.39837918984161885</v>
      </c>
      <c r="S3251" s="19">
        <v>4.1288648861658873E-2</v>
      </c>
      <c r="T3251" s="20">
        <v>12</v>
      </c>
      <c r="U3251" s="17">
        <v>3</v>
      </c>
      <c r="V3251" s="17">
        <v>36</v>
      </c>
    </row>
    <row r="3252" spans="1:22" x14ac:dyDescent="0.2">
      <c r="A3252" t="s">
        <v>7322</v>
      </c>
      <c r="B3252" t="s">
        <v>5862</v>
      </c>
      <c r="C3252" t="s">
        <v>5863</v>
      </c>
      <c r="D3252" t="s">
        <v>7298</v>
      </c>
      <c r="E3252" s="10" t="s">
        <v>7323</v>
      </c>
      <c r="F3252" s="10"/>
      <c r="G3252" s="10"/>
      <c r="H3252" s="10" t="s">
        <v>7323</v>
      </c>
      <c r="I3252" s="14">
        <v>128422.32480310649</v>
      </c>
      <c r="J3252" s="19">
        <v>0</v>
      </c>
      <c r="K3252" s="19">
        <v>0.66586052678479934</v>
      </c>
      <c r="L3252" s="19">
        <v>0.33413947321520071</v>
      </c>
      <c r="M3252" s="20">
        <v>2</v>
      </c>
      <c r="N3252" s="19">
        <v>0.41775468195955279</v>
      </c>
      <c r="O3252" s="19">
        <v>4.090457281112389E-2</v>
      </c>
      <c r="P3252" s="19">
        <v>0.20720127201412258</v>
      </c>
      <c r="Q3252" s="19">
        <v>6.9520995625146367E-2</v>
      </c>
      <c r="R3252" s="19">
        <v>0.21310592700775641</v>
      </c>
      <c r="S3252" s="19">
        <v>5.1512550582297915E-2</v>
      </c>
      <c r="T3252" s="20">
        <v>23</v>
      </c>
      <c r="U3252" s="17">
        <v>3</v>
      </c>
      <c r="V3252" s="17">
        <v>36</v>
      </c>
    </row>
    <row r="3253" spans="1:22" x14ac:dyDescent="0.2">
      <c r="A3253" t="s">
        <v>7324</v>
      </c>
      <c r="B3253" t="s">
        <v>5862</v>
      </c>
      <c r="C3253" t="s">
        <v>5863</v>
      </c>
      <c r="D3253" t="s">
        <v>7298</v>
      </c>
      <c r="E3253" s="10" t="s">
        <v>7325</v>
      </c>
      <c r="F3253" s="10"/>
      <c r="G3253" s="10"/>
      <c r="H3253" s="10" t="s">
        <v>7325</v>
      </c>
      <c r="I3253" s="14">
        <v>65984.065838688985</v>
      </c>
      <c r="J3253" s="19">
        <v>0</v>
      </c>
      <c r="K3253" s="19">
        <v>0.85981548005963027</v>
      </c>
      <c r="L3253" s="19">
        <v>0.1401845199403696</v>
      </c>
      <c r="M3253" s="20">
        <v>2</v>
      </c>
      <c r="N3253" s="19">
        <v>0.14393244762547219</v>
      </c>
      <c r="O3253" s="19">
        <v>7.2860930034269175E-2</v>
      </c>
      <c r="P3253" s="19">
        <v>0.643022102399889</v>
      </c>
      <c r="Q3253" s="19">
        <v>4.4935661303335261E-2</v>
      </c>
      <c r="R3253" s="19">
        <v>8.7945963926742907E-2</v>
      </c>
      <c r="S3253" s="19">
        <v>7.3028947102914193E-3</v>
      </c>
      <c r="T3253" s="20">
        <v>21</v>
      </c>
      <c r="U3253" s="17">
        <v>3</v>
      </c>
      <c r="V3253" s="17">
        <v>36</v>
      </c>
    </row>
    <row r="3254" spans="1:22" x14ac:dyDescent="0.2">
      <c r="A3254" t="s">
        <v>7326</v>
      </c>
      <c r="B3254" t="s">
        <v>5862</v>
      </c>
      <c r="C3254" t="s">
        <v>5863</v>
      </c>
      <c r="D3254" t="s">
        <v>7298</v>
      </c>
      <c r="E3254" s="10" t="s">
        <v>7327</v>
      </c>
      <c r="F3254" s="10"/>
      <c r="G3254" s="10"/>
      <c r="H3254" s="10" t="s">
        <v>7327</v>
      </c>
      <c r="I3254" s="14">
        <v>99461.319012865424</v>
      </c>
      <c r="J3254" s="19">
        <v>6.7021895581288755E-3</v>
      </c>
      <c r="K3254" s="19">
        <v>0.91314342597110265</v>
      </c>
      <c r="L3254" s="19">
        <v>8.0154384470768475E-2</v>
      </c>
      <c r="M3254" s="20">
        <v>2</v>
      </c>
      <c r="N3254" s="19">
        <v>0.33967243019893628</v>
      </c>
      <c r="O3254" s="19">
        <v>5.0561334580727105E-2</v>
      </c>
      <c r="P3254" s="19">
        <v>0.52290966119143922</v>
      </c>
      <c r="Q3254" s="19">
        <v>1.6633247990937919E-2</v>
      </c>
      <c r="R3254" s="19">
        <v>5.7843049555978174E-2</v>
      </c>
      <c r="S3254" s="19">
        <v>5.678086923852391E-3</v>
      </c>
      <c r="T3254" s="20">
        <v>21</v>
      </c>
      <c r="U3254" s="17">
        <v>3</v>
      </c>
      <c r="V3254" s="17">
        <v>36</v>
      </c>
    </row>
    <row r="3255" spans="1:22" x14ac:dyDescent="0.2">
      <c r="A3255" t="s">
        <v>7328</v>
      </c>
      <c r="B3255" t="s">
        <v>5862</v>
      </c>
      <c r="C3255" t="s">
        <v>5863</v>
      </c>
      <c r="D3255" t="s">
        <v>7298</v>
      </c>
      <c r="E3255" s="10" t="s">
        <v>6834</v>
      </c>
      <c r="F3255" s="10"/>
      <c r="G3255" s="10"/>
      <c r="H3255" s="10" t="s">
        <v>6834</v>
      </c>
      <c r="I3255" s="14">
        <v>191.61084087844935</v>
      </c>
      <c r="J3255" s="19">
        <v>0</v>
      </c>
      <c r="K3255" s="19">
        <v>0.62104895566086848</v>
      </c>
      <c r="L3255" s="19">
        <v>0.37895104433913163</v>
      </c>
      <c r="M3255" s="20">
        <v>2</v>
      </c>
      <c r="N3255" s="19">
        <v>0</v>
      </c>
      <c r="O3255" s="19">
        <v>0.21366414597134897</v>
      </c>
      <c r="P3255" s="19">
        <v>0.40738480968951957</v>
      </c>
      <c r="Q3255" s="19">
        <v>0.17317736909579876</v>
      </c>
      <c r="R3255" s="19">
        <v>0.19301510913391484</v>
      </c>
      <c r="S3255" s="19">
        <v>1.2758566109418015E-2</v>
      </c>
      <c r="T3255" s="20">
        <v>22</v>
      </c>
      <c r="U3255" s="17">
        <v>3</v>
      </c>
      <c r="V3255" s="17">
        <v>36</v>
      </c>
    </row>
    <row r="3256" spans="1:22" x14ac:dyDescent="0.2">
      <c r="A3256" t="s">
        <v>7329</v>
      </c>
      <c r="B3256" t="s">
        <v>5862</v>
      </c>
      <c r="C3256" t="s">
        <v>5863</v>
      </c>
      <c r="D3256" t="s">
        <v>7298</v>
      </c>
      <c r="E3256" s="10" t="s">
        <v>7330</v>
      </c>
      <c r="F3256" s="10"/>
      <c r="G3256" s="10"/>
      <c r="H3256" s="10" t="s">
        <v>7330</v>
      </c>
      <c r="I3256" s="14">
        <v>81074.474504514597</v>
      </c>
      <c r="J3256" s="19">
        <v>0</v>
      </c>
      <c r="K3256" s="19">
        <v>0.29208115756379954</v>
      </c>
      <c r="L3256" s="19">
        <v>0.70791884243620051</v>
      </c>
      <c r="M3256" s="20">
        <v>1</v>
      </c>
      <c r="N3256" s="19">
        <v>0</v>
      </c>
      <c r="O3256" s="19">
        <v>0.29110086583029726</v>
      </c>
      <c r="P3256" s="19">
        <v>9.8029173350228701E-4</v>
      </c>
      <c r="Q3256" s="19">
        <v>0.22914354471145457</v>
      </c>
      <c r="R3256" s="19">
        <v>0.43240922168908891</v>
      </c>
      <c r="S3256" s="19">
        <v>4.6366076035657004E-2</v>
      </c>
      <c r="T3256" s="20">
        <v>12</v>
      </c>
      <c r="U3256" s="17">
        <v>3</v>
      </c>
      <c r="V3256" s="17">
        <v>36</v>
      </c>
    </row>
    <row r="3257" spans="1:22" x14ac:dyDescent="0.2">
      <c r="A3257" t="s">
        <v>7331</v>
      </c>
      <c r="B3257" t="s">
        <v>5862</v>
      </c>
      <c r="C3257" t="s">
        <v>5863</v>
      </c>
      <c r="D3257" t="s">
        <v>7332</v>
      </c>
      <c r="E3257" s="10" t="s">
        <v>7333</v>
      </c>
      <c r="F3257" s="10"/>
      <c r="G3257" s="10"/>
      <c r="H3257" s="10" t="s">
        <v>7333</v>
      </c>
      <c r="I3257" s="14">
        <v>42951.336049029604</v>
      </c>
      <c r="J3257" s="19">
        <v>0</v>
      </c>
      <c r="K3257" s="19">
        <v>0.12420903666327407</v>
      </c>
      <c r="L3257" s="19">
        <v>0.8757909633367259</v>
      </c>
      <c r="M3257" s="20">
        <v>1</v>
      </c>
      <c r="N3257" s="19">
        <v>0</v>
      </c>
      <c r="O3257" s="19">
        <v>0.12420903666327407</v>
      </c>
      <c r="P3257" s="19">
        <v>0</v>
      </c>
      <c r="Q3257" s="19">
        <v>0.26047264388760732</v>
      </c>
      <c r="R3257" s="19">
        <v>0.49413459210664828</v>
      </c>
      <c r="S3257" s="19">
        <v>0.12118372734247033</v>
      </c>
      <c r="T3257" s="20">
        <v>12</v>
      </c>
      <c r="U3257" s="17">
        <v>3</v>
      </c>
      <c r="V3257" s="17">
        <v>36</v>
      </c>
    </row>
    <row r="3258" spans="1:22" x14ac:dyDescent="0.2">
      <c r="A3258" t="s">
        <v>7334</v>
      </c>
      <c r="B3258" t="s">
        <v>5862</v>
      </c>
      <c r="C3258" t="s">
        <v>5863</v>
      </c>
      <c r="D3258" t="s">
        <v>7332</v>
      </c>
      <c r="E3258" s="10" t="s">
        <v>7335</v>
      </c>
      <c r="F3258" s="10"/>
      <c r="G3258" s="10"/>
      <c r="H3258" s="10" t="s">
        <v>7335</v>
      </c>
      <c r="I3258" s="14">
        <v>58905.870468886802</v>
      </c>
      <c r="J3258" s="19">
        <v>0</v>
      </c>
      <c r="K3258" s="19">
        <v>0.33112326263040764</v>
      </c>
      <c r="L3258" s="19">
        <v>0.66887673736959241</v>
      </c>
      <c r="M3258" s="20">
        <v>1</v>
      </c>
      <c r="N3258" s="19">
        <v>0</v>
      </c>
      <c r="O3258" s="19">
        <v>0.33112326263040764</v>
      </c>
      <c r="P3258" s="19">
        <v>0</v>
      </c>
      <c r="Q3258" s="19">
        <v>0.14572241032584965</v>
      </c>
      <c r="R3258" s="19">
        <v>0.46227309078162832</v>
      </c>
      <c r="S3258" s="19">
        <v>6.0881236262114391E-2</v>
      </c>
      <c r="T3258" s="20">
        <v>12</v>
      </c>
      <c r="U3258" s="17">
        <v>3</v>
      </c>
      <c r="V3258" s="17">
        <v>36</v>
      </c>
    </row>
    <row r="3259" spans="1:22" x14ac:dyDescent="0.2">
      <c r="A3259" t="s">
        <v>7336</v>
      </c>
      <c r="B3259" t="s">
        <v>5862</v>
      </c>
      <c r="C3259" t="s">
        <v>5863</v>
      </c>
      <c r="D3259" t="s">
        <v>7332</v>
      </c>
      <c r="E3259" s="10" t="s">
        <v>7337</v>
      </c>
      <c r="F3259" s="10"/>
      <c r="G3259" s="10"/>
      <c r="H3259" s="10" t="s">
        <v>7337</v>
      </c>
      <c r="I3259" s="14">
        <v>63373.575053834356</v>
      </c>
      <c r="J3259" s="19">
        <v>0</v>
      </c>
      <c r="K3259" s="19">
        <v>0.2688715016016841</v>
      </c>
      <c r="L3259" s="19">
        <v>0.73112849839831584</v>
      </c>
      <c r="M3259" s="20">
        <v>1</v>
      </c>
      <c r="N3259" s="19">
        <v>0</v>
      </c>
      <c r="O3259" s="19">
        <v>0.2688715016016841</v>
      </c>
      <c r="P3259" s="19">
        <v>0</v>
      </c>
      <c r="Q3259" s="19">
        <v>0.24719052063810501</v>
      </c>
      <c r="R3259" s="19">
        <v>0.43796194605464278</v>
      </c>
      <c r="S3259" s="19">
        <v>4.5976031705568077E-2</v>
      </c>
      <c r="T3259" s="20">
        <v>12</v>
      </c>
      <c r="U3259" s="17">
        <v>3</v>
      </c>
      <c r="V3259" s="17">
        <v>36</v>
      </c>
    </row>
    <row r="3260" spans="1:22" x14ac:dyDescent="0.2">
      <c r="A3260" t="s">
        <v>7338</v>
      </c>
      <c r="B3260" t="s">
        <v>5862</v>
      </c>
      <c r="C3260" t="s">
        <v>5863</v>
      </c>
      <c r="D3260" t="s">
        <v>7332</v>
      </c>
      <c r="E3260" s="10" t="s">
        <v>7339</v>
      </c>
      <c r="F3260" s="10"/>
      <c r="G3260" s="10"/>
      <c r="H3260" s="10" t="s">
        <v>7339</v>
      </c>
      <c r="I3260" s="14">
        <v>120285.26838177581</v>
      </c>
      <c r="J3260" s="19">
        <v>0</v>
      </c>
      <c r="K3260" s="19">
        <v>0.71977745221242939</v>
      </c>
      <c r="L3260" s="19">
        <v>0.28022254778757072</v>
      </c>
      <c r="M3260" s="20">
        <v>2</v>
      </c>
      <c r="N3260" s="19">
        <v>0.43985371199569562</v>
      </c>
      <c r="O3260" s="19">
        <v>0</v>
      </c>
      <c r="P3260" s="19">
        <v>0.27992374021673377</v>
      </c>
      <c r="Q3260" s="19">
        <v>5.0491982547468263E-2</v>
      </c>
      <c r="R3260" s="19">
        <v>0.19526179746607247</v>
      </c>
      <c r="S3260" s="19">
        <v>3.4468767774030004E-2</v>
      </c>
      <c r="T3260" s="20">
        <v>23</v>
      </c>
      <c r="U3260" s="17">
        <v>3</v>
      </c>
      <c r="V3260" s="17">
        <v>36</v>
      </c>
    </row>
    <row r="3261" spans="1:22" x14ac:dyDescent="0.2">
      <c r="A3261" t="s">
        <v>7340</v>
      </c>
      <c r="B3261" t="s">
        <v>5862</v>
      </c>
      <c r="C3261" t="s">
        <v>5863</v>
      </c>
      <c r="D3261" t="s">
        <v>7332</v>
      </c>
      <c r="E3261" s="10" t="s">
        <v>7341</v>
      </c>
      <c r="F3261" s="10"/>
      <c r="G3261" s="10"/>
      <c r="H3261" s="10" t="s">
        <v>7341</v>
      </c>
      <c r="I3261" s="14">
        <v>88745.511238662759</v>
      </c>
      <c r="J3261" s="19">
        <v>0</v>
      </c>
      <c r="K3261" s="19">
        <v>0.62438298725288599</v>
      </c>
      <c r="L3261" s="19">
        <v>0.37561701274711395</v>
      </c>
      <c r="M3261" s="20">
        <v>2</v>
      </c>
      <c r="N3261" s="19">
        <v>0.26598254860055348</v>
      </c>
      <c r="O3261" s="19">
        <v>6.3928520561878324E-2</v>
      </c>
      <c r="P3261" s="19">
        <v>0.29447191809045425</v>
      </c>
      <c r="Q3261" s="19">
        <v>7.7050642627638846E-2</v>
      </c>
      <c r="R3261" s="19">
        <v>0.25251666585124066</v>
      </c>
      <c r="S3261" s="19">
        <v>4.6049704268234445E-2</v>
      </c>
      <c r="T3261" s="20">
        <v>23</v>
      </c>
      <c r="U3261" s="17">
        <v>3</v>
      </c>
      <c r="V3261" s="17">
        <v>36</v>
      </c>
    </row>
    <row r="3262" spans="1:22" x14ac:dyDescent="0.2">
      <c r="A3262" t="s">
        <v>7342</v>
      </c>
      <c r="B3262" t="s">
        <v>5862</v>
      </c>
      <c r="C3262" t="s">
        <v>5863</v>
      </c>
      <c r="D3262" t="s">
        <v>7332</v>
      </c>
      <c r="E3262" s="10" t="s">
        <v>7343</v>
      </c>
      <c r="F3262" s="10"/>
      <c r="G3262" s="10"/>
      <c r="H3262" s="10" t="s">
        <v>7343</v>
      </c>
      <c r="I3262" s="14">
        <v>30133.252161126118</v>
      </c>
      <c r="J3262" s="19">
        <v>0</v>
      </c>
      <c r="K3262" s="19">
        <v>0.32026167856860283</v>
      </c>
      <c r="L3262" s="19">
        <v>0.67973832143139712</v>
      </c>
      <c r="M3262" s="20">
        <v>1</v>
      </c>
      <c r="N3262" s="19">
        <v>0</v>
      </c>
      <c r="O3262" s="19">
        <v>0.32026167856860283</v>
      </c>
      <c r="P3262" s="19">
        <v>0</v>
      </c>
      <c r="Q3262" s="19">
        <v>0.19889963666924843</v>
      </c>
      <c r="R3262" s="19">
        <v>0.44538738239172981</v>
      </c>
      <c r="S3262" s="19">
        <v>3.5451302370418943E-2</v>
      </c>
      <c r="T3262" s="20">
        <v>12</v>
      </c>
      <c r="U3262" s="17">
        <v>3</v>
      </c>
      <c r="V3262" s="17">
        <v>36</v>
      </c>
    </row>
    <row r="3263" spans="1:22" x14ac:dyDescent="0.2">
      <c r="A3263" t="s">
        <v>7344</v>
      </c>
      <c r="B3263" t="s">
        <v>5862</v>
      </c>
      <c r="C3263" t="s">
        <v>5863</v>
      </c>
      <c r="D3263" t="s">
        <v>7332</v>
      </c>
      <c r="E3263" s="10" t="s">
        <v>7345</v>
      </c>
      <c r="F3263" s="10"/>
      <c r="G3263" s="10"/>
      <c r="H3263" s="10" t="s">
        <v>7345</v>
      </c>
      <c r="I3263" s="14">
        <v>71925.580947079463</v>
      </c>
      <c r="J3263" s="19">
        <v>0</v>
      </c>
      <c r="K3263" s="19">
        <v>0.41564254546760099</v>
      </c>
      <c r="L3263" s="19">
        <v>0.58435745453239907</v>
      </c>
      <c r="M3263" s="20">
        <v>1</v>
      </c>
      <c r="N3263" s="19">
        <v>0.15253995166746678</v>
      </c>
      <c r="O3263" s="19">
        <v>0</v>
      </c>
      <c r="P3263" s="19">
        <v>0.26310259380013418</v>
      </c>
      <c r="Q3263" s="19">
        <v>0.15910656795743655</v>
      </c>
      <c r="R3263" s="19">
        <v>0.36253273235190686</v>
      </c>
      <c r="S3263" s="19">
        <v>6.2718154223055655E-2</v>
      </c>
      <c r="T3263" s="20">
        <v>12</v>
      </c>
      <c r="U3263" s="17">
        <v>3</v>
      </c>
      <c r="V3263" s="17">
        <v>36</v>
      </c>
    </row>
    <row r="3264" spans="1:22" x14ac:dyDescent="0.2">
      <c r="A3264" t="s">
        <v>7346</v>
      </c>
      <c r="B3264" t="s">
        <v>5862</v>
      </c>
      <c r="C3264" t="s">
        <v>5863</v>
      </c>
      <c r="D3264" t="s">
        <v>7332</v>
      </c>
      <c r="E3264" s="10" t="s">
        <v>7347</v>
      </c>
      <c r="F3264" s="10"/>
      <c r="G3264" s="10"/>
      <c r="H3264" s="10" t="s">
        <v>7347</v>
      </c>
      <c r="I3264" s="14">
        <v>94536.546816545539</v>
      </c>
      <c r="J3264" s="19">
        <v>0</v>
      </c>
      <c r="K3264" s="19">
        <v>0.46621154810727683</v>
      </c>
      <c r="L3264" s="19">
        <v>0.53378845189272317</v>
      </c>
      <c r="M3264" s="20">
        <v>1</v>
      </c>
      <c r="N3264" s="19">
        <v>0.13205663206945192</v>
      </c>
      <c r="O3264" s="19">
        <v>0.17219392294196156</v>
      </c>
      <c r="P3264" s="19">
        <v>0.16196099309586331</v>
      </c>
      <c r="Q3264" s="19">
        <v>8.5490950494734042E-2</v>
      </c>
      <c r="R3264" s="19">
        <v>0.35381724009842558</v>
      </c>
      <c r="S3264" s="19">
        <v>9.4480261299563592E-2</v>
      </c>
      <c r="T3264" s="20">
        <v>12</v>
      </c>
      <c r="U3264" s="17">
        <v>3</v>
      </c>
      <c r="V3264" s="17">
        <v>36</v>
      </c>
    </row>
    <row r="3265" spans="1:22" x14ac:dyDescent="0.2">
      <c r="A3265" t="s">
        <v>7348</v>
      </c>
      <c r="B3265" t="s">
        <v>5862</v>
      </c>
      <c r="C3265" t="s">
        <v>5863</v>
      </c>
      <c r="D3265" t="s">
        <v>7332</v>
      </c>
      <c r="E3265" s="10" t="s">
        <v>7349</v>
      </c>
      <c r="F3265" s="10"/>
      <c r="G3265" s="10"/>
      <c r="H3265" s="10" t="s">
        <v>7349</v>
      </c>
      <c r="I3265" s="14">
        <v>49628.497914789943</v>
      </c>
      <c r="J3265" s="19">
        <v>0</v>
      </c>
      <c r="K3265" s="19">
        <v>0.65056022183453122</v>
      </c>
      <c r="L3265" s="19">
        <v>0.34943977816546884</v>
      </c>
      <c r="M3265" s="20">
        <v>2</v>
      </c>
      <c r="N3265" s="19">
        <v>0.24924215027396826</v>
      </c>
      <c r="O3265" s="19">
        <v>0</v>
      </c>
      <c r="P3265" s="19">
        <v>0.40131807156056293</v>
      </c>
      <c r="Q3265" s="19">
        <v>3.9051331502764665E-2</v>
      </c>
      <c r="R3265" s="19">
        <v>0.25232871923889205</v>
      </c>
      <c r="S3265" s="19">
        <v>5.8059727423812102E-2</v>
      </c>
      <c r="T3265" s="20">
        <v>23</v>
      </c>
      <c r="U3265" s="17">
        <v>3</v>
      </c>
      <c r="V3265" s="17">
        <v>36</v>
      </c>
    </row>
    <row r="3266" spans="1:22" x14ac:dyDescent="0.2">
      <c r="A3266" t="s">
        <v>7350</v>
      </c>
      <c r="B3266" t="s">
        <v>5862</v>
      </c>
      <c r="C3266" t="s">
        <v>5863</v>
      </c>
      <c r="D3266" t="s">
        <v>7351</v>
      </c>
      <c r="E3266" s="10" t="s">
        <v>7352</v>
      </c>
      <c r="F3266" s="10"/>
      <c r="G3266" s="10"/>
      <c r="H3266" s="10" t="s">
        <v>7352</v>
      </c>
      <c r="I3266" s="14">
        <v>137619.01379376464</v>
      </c>
      <c r="J3266" s="19">
        <v>0</v>
      </c>
      <c r="K3266" s="19">
        <v>0.73523895857372612</v>
      </c>
      <c r="L3266" s="19">
        <v>0.26476104142627388</v>
      </c>
      <c r="M3266" s="20">
        <v>2</v>
      </c>
      <c r="N3266" s="19">
        <v>0.10333024467036615</v>
      </c>
      <c r="O3266" s="19">
        <v>2.4168120940942051E-2</v>
      </c>
      <c r="P3266" s="19">
        <v>0.60774059296241789</v>
      </c>
      <c r="Q3266" s="19">
        <v>3.5794367219366838E-2</v>
      </c>
      <c r="R3266" s="19">
        <v>0.21733425214321195</v>
      </c>
      <c r="S3266" s="19">
        <v>1.1632422063695099E-2</v>
      </c>
      <c r="T3266" s="20">
        <v>21</v>
      </c>
      <c r="U3266" s="17">
        <v>3</v>
      </c>
      <c r="V3266" s="17">
        <v>36</v>
      </c>
    </row>
    <row r="3267" spans="1:22" x14ac:dyDescent="0.2">
      <c r="A3267" t="s">
        <v>7353</v>
      </c>
      <c r="B3267" t="s">
        <v>5862</v>
      </c>
      <c r="C3267" t="s">
        <v>5863</v>
      </c>
      <c r="D3267" t="s">
        <v>7351</v>
      </c>
      <c r="E3267" s="10" t="s">
        <v>7354</v>
      </c>
      <c r="F3267" s="10"/>
      <c r="G3267" s="10"/>
      <c r="H3267" s="10" t="s">
        <v>7354</v>
      </c>
      <c r="I3267" s="14">
        <v>54791.110672830371</v>
      </c>
      <c r="J3267" s="19">
        <v>0</v>
      </c>
      <c r="K3267" s="19">
        <v>0.21026389609444759</v>
      </c>
      <c r="L3267" s="19">
        <v>0.78973610390555238</v>
      </c>
      <c r="M3267" s="20">
        <v>1</v>
      </c>
      <c r="N3267" s="19">
        <v>0.13861029528913812</v>
      </c>
      <c r="O3267" s="19">
        <v>0</v>
      </c>
      <c r="P3267" s="19">
        <v>7.1653600805309484E-2</v>
      </c>
      <c r="Q3267" s="19">
        <v>0.14024935238766806</v>
      </c>
      <c r="R3267" s="19">
        <v>0.52420291873686053</v>
      </c>
      <c r="S3267" s="19">
        <v>0.12528383278102381</v>
      </c>
      <c r="T3267" s="20">
        <v>12</v>
      </c>
      <c r="U3267" s="17">
        <v>3</v>
      </c>
      <c r="V3267" s="17">
        <v>36</v>
      </c>
    </row>
    <row r="3268" spans="1:22" x14ac:dyDescent="0.2">
      <c r="A3268" t="s">
        <v>7355</v>
      </c>
      <c r="B3268" t="s">
        <v>5862</v>
      </c>
      <c r="C3268" t="s">
        <v>5863</v>
      </c>
      <c r="D3268" t="s">
        <v>7351</v>
      </c>
      <c r="E3268" s="10" t="s">
        <v>7356</v>
      </c>
      <c r="F3268" s="10"/>
      <c r="G3268" s="10"/>
      <c r="H3268" s="10" t="s">
        <v>7356</v>
      </c>
      <c r="I3268" s="14">
        <v>69266.659384541796</v>
      </c>
      <c r="J3268" s="19">
        <v>0</v>
      </c>
      <c r="K3268" s="19">
        <v>0.30803618789460085</v>
      </c>
      <c r="L3268" s="19">
        <v>0.69196381210539915</v>
      </c>
      <c r="M3268" s="20">
        <v>1</v>
      </c>
      <c r="N3268" s="19">
        <v>0</v>
      </c>
      <c r="O3268" s="19">
        <v>0.30803618789460085</v>
      </c>
      <c r="P3268" s="19">
        <v>0</v>
      </c>
      <c r="Q3268" s="19">
        <v>0.18318130338025082</v>
      </c>
      <c r="R3268" s="19">
        <v>0.46461459213210676</v>
      </c>
      <c r="S3268" s="19">
        <v>4.4167916593041527E-2</v>
      </c>
      <c r="T3268" s="20">
        <v>12</v>
      </c>
      <c r="U3268" s="17">
        <v>3</v>
      </c>
      <c r="V3268" s="17">
        <v>36</v>
      </c>
    </row>
    <row r="3269" spans="1:22" x14ac:dyDescent="0.2">
      <c r="A3269" t="s">
        <v>7357</v>
      </c>
      <c r="B3269" t="s">
        <v>5862</v>
      </c>
      <c r="C3269" t="s">
        <v>5863</v>
      </c>
      <c r="D3269" t="s">
        <v>7351</v>
      </c>
      <c r="E3269" s="10" t="s">
        <v>7358</v>
      </c>
      <c r="F3269" s="10"/>
      <c r="G3269" s="10"/>
      <c r="H3269" s="10" t="s">
        <v>7358</v>
      </c>
      <c r="I3269" s="14">
        <v>41082.643430816126</v>
      </c>
      <c r="J3269" s="19">
        <v>0</v>
      </c>
      <c r="K3269" s="19">
        <v>2.7935800251629173E-3</v>
      </c>
      <c r="L3269" s="19">
        <v>0.99720641997483705</v>
      </c>
      <c r="M3269" s="20">
        <v>1</v>
      </c>
      <c r="N3269" s="19">
        <v>0</v>
      </c>
      <c r="O3269" s="19">
        <v>2.7935800251629173E-3</v>
      </c>
      <c r="P3269" s="19">
        <v>0</v>
      </c>
      <c r="Q3269" s="19">
        <v>0.17354242272287623</v>
      </c>
      <c r="R3269" s="19">
        <v>0.77978739905146266</v>
      </c>
      <c r="S3269" s="19">
        <v>4.3876598200498183E-2</v>
      </c>
      <c r="T3269" s="20">
        <v>12</v>
      </c>
      <c r="U3269" s="17">
        <v>3</v>
      </c>
      <c r="V3269" s="17">
        <v>36</v>
      </c>
    </row>
    <row r="3270" spans="1:22" x14ac:dyDescent="0.2">
      <c r="A3270" t="s">
        <v>7359</v>
      </c>
      <c r="B3270" t="s">
        <v>5862</v>
      </c>
      <c r="C3270" t="s">
        <v>5863</v>
      </c>
      <c r="D3270" t="s">
        <v>7351</v>
      </c>
      <c r="E3270" s="10" t="s">
        <v>7360</v>
      </c>
      <c r="F3270" s="10"/>
      <c r="G3270" s="10"/>
      <c r="H3270" s="10" t="s">
        <v>7360</v>
      </c>
      <c r="I3270" s="14">
        <v>250350.66134234727</v>
      </c>
      <c r="J3270" s="19">
        <v>0.32072732252041691</v>
      </c>
      <c r="K3270" s="19">
        <v>0.46459416418135974</v>
      </c>
      <c r="L3270" s="19">
        <v>0.21467851329822329</v>
      </c>
      <c r="M3270" s="20">
        <v>2</v>
      </c>
      <c r="N3270" s="19">
        <v>6.9942956149530042E-2</v>
      </c>
      <c r="O3270" s="19">
        <v>3.007774929966231E-2</v>
      </c>
      <c r="P3270" s="19">
        <v>0.3645734587321674</v>
      </c>
      <c r="Q3270" s="19">
        <v>5.4633507999391664E-2</v>
      </c>
      <c r="R3270" s="19">
        <v>0.15465710866902557</v>
      </c>
      <c r="S3270" s="19">
        <v>5.3878966298060863E-3</v>
      </c>
      <c r="T3270" s="20">
        <v>23</v>
      </c>
      <c r="U3270" s="17">
        <v>3</v>
      </c>
      <c r="V3270" s="17">
        <v>36</v>
      </c>
    </row>
    <row r="3271" spans="1:22" x14ac:dyDescent="0.2">
      <c r="A3271" t="s">
        <v>7361</v>
      </c>
      <c r="B3271" t="s">
        <v>5862</v>
      </c>
      <c r="C3271" t="s">
        <v>5863</v>
      </c>
      <c r="D3271" t="s">
        <v>7351</v>
      </c>
      <c r="E3271" s="10" t="s">
        <v>7362</v>
      </c>
      <c r="F3271" s="10"/>
      <c r="G3271" s="10"/>
      <c r="H3271" s="10" t="s">
        <v>7362</v>
      </c>
      <c r="I3271" s="14">
        <v>44460.673369754921</v>
      </c>
      <c r="J3271" s="19">
        <v>0</v>
      </c>
      <c r="K3271" s="19">
        <v>0.1186315262826515</v>
      </c>
      <c r="L3271" s="19">
        <v>0.8813684737173485</v>
      </c>
      <c r="M3271" s="20">
        <v>1</v>
      </c>
      <c r="N3271" s="19">
        <v>0</v>
      </c>
      <c r="O3271" s="19">
        <v>0.1136343376041636</v>
      </c>
      <c r="P3271" s="19">
        <v>4.9971886784878966E-3</v>
      </c>
      <c r="Q3271" s="19">
        <v>3.1672778665906932E-2</v>
      </c>
      <c r="R3271" s="19">
        <v>0.77242387823212333</v>
      </c>
      <c r="S3271" s="19">
        <v>7.7271816819318301E-2</v>
      </c>
      <c r="T3271" s="20">
        <v>12</v>
      </c>
      <c r="U3271" s="17">
        <v>3</v>
      </c>
      <c r="V3271" s="17">
        <v>36</v>
      </c>
    </row>
    <row r="3272" spans="1:22" x14ac:dyDescent="0.2">
      <c r="A3272" t="s">
        <v>7363</v>
      </c>
      <c r="B3272" t="s">
        <v>5862</v>
      </c>
      <c r="C3272" t="s">
        <v>5863</v>
      </c>
      <c r="D3272" t="s">
        <v>7351</v>
      </c>
      <c r="E3272" s="10" t="s">
        <v>7364</v>
      </c>
      <c r="F3272" s="10"/>
      <c r="G3272" s="10"/>
      <c r="H3272" s="10" t="s">
        <v>7364</v>
      </c>
      <c r="I3272" s="14">
        <v>51819.450421649264</v>
      </c>
      <c r="J3272" s="19">
        <v>0</v>
      </c>
      <c r="K3272" s="19">
        <v>0.32266465090714758</v>
      </c>
      <c r="L3272" s="19">
        <v>0.67733534909285242</v>
      </c>
      <c r="M3272" s="20">
        <v>1</v>
      </c>
      <c r="N3272" s="19">
        <v>0</v>
      </c>
      <c r="O3272" s="19">
        <v>1.9703191158992497E-3</v>
      </c>
      <c r="P3272" s="19">
        <v>0.32069433179124834</v>
      </c>
      <c r="Q3272" s="19">
        <v>0.12485589410427363</v>
      </c>
      <c r="R3272" s="19">
        <v>0.51489396188996306</v>
      </c>
      <c r="S3272" s="19">
        <v>3.7585493098615717E-2</v>
      </c>
      <c r="T3272" s="20">
        <v>12</v>
      </c>
      <c r="U3272" s="17">
        <v>3</v>
      </c>
      <c r="V3272" s="17">
        <v>36</v>
      </c>
    </row>
    <row r="3273" spans="1:22" x14ac:dyDescent="0.2">
      <c r="A3273" t="s">
        <v>7365</v>
      </c>
      <c r="B3273" t="s">
        <v>5862</v>
      </c>
      <c r="C3273" t="s">
        <v>5863</v>
      </c>
      <c r="D3273" t="s">
        <v>7351</v>
      </c>
      <c r="E3273" s="10" t="s">
        <v>7366</v>
      </c>
      <c r="F3273" s="10"/>
      <c r="G3273" s="10"/>
      <c r="H3273" s="10" t="s">
        <v>7366</v>
      </c>
      <c r="I3273" s="14">
        <v>57864.974784581114</v>
      </c>
      <c r="J3273" s="19">
        <v>0</v>
      </c>
      <c r="K3273" s="19">
        <v>0.39765748745173746</v>
      </c>
      <c r="L3273" s="19">
        <v>0.60234251254826243</v>
      </c>
      <c r="M3273" s="20">
        <v>1</v>
      </c>
      <c r="N3273" s="19">
        <v>0</v>
      </c>
      <c r="O3273" s="19">
        <v>0</v>
      </c>
      <c r="P3273" s="19">
        <v>0.39765748745173746</v>
      </c>
      <c r="Q3273" s="19">
        <v>0.14393750936357616</v>
      </c>
      <c r="R3273" s="19">
        <v>0.44359639427309994</v>
      </c>
      <c r="S3273" s="19">
        <v>1.4808608911586332E-2</v>
      </c>
      <c r="T3273" s="20">
        <v>12</v>
      </c>
      <c r="U3273" s="17">
        <v>3</v>
      </c>
      <c r="V3273" s="17">
        <v>36</v>
      </c>
    </row>
    <row r="3274" spans="1:22" x14ac:dyDescent="0.2">
      <c r="A3274" t="s">
        <v>7367</v>
      </c>
      <c r="B3274" t="s">
        <v>5862</v>
      </c>
      <c r="C3274" t="s">
        <v>5863</v>
      </c>
      <c r="D3274" t="s">
        <v>7351</v>
      </c>
      <c r="E3274" s="10" t="s">
        <v>7368</v>
      </c>
      <c r="F3274" s="10"/>
      <c r="G3274" s="10"/>
      <c r="H3274" s="10" t="s">
        <v>7368</v>
      </c>
      <c r="I3274" s="14">
        <v>115835.03449877247</v>
      </c>
      <c r="J3274" s="19">
        <v>0</v>
      </c>
      <c r="K3274" s="19">
        <v>0.4110388476017654</v>
      </c>
      <c r="L3274" s="19">
        <v>0.58896115239823466</v>
      </c>
      <c r="M3274" s="20">
        <v>1</v>
      </c>
      <c r="N3274" s="19">
        <v>6.6230748014670757E-2</v>
      </c>
      <c r="O3274" s="19">
        <v>0.13481716332864743</v>
      </c>
      <c r="P3274" s="19">
        <v>0.2099909362584472</v>
      </c>
      <c r="Q3274" s="19">
        <v>0.12209571541740426</v>
      </c>
      <c r="R3274" s="19">
        <v>0.4255850886114248</v>
      </c>
      <c r="S3274" s="19">
        <v>4.1280348369405556E-2</v>
      </c>
      <c r="T3274" s="20">
        <v>12</v>
      </c>
      <c r="U3274" s="17">
        <v>3</v>
      </c>
      <c r="V3274" s="17">
        <v>36</v>
      </c>
    </row>
    <row r="3275" spans="1:22" x14ac:dyDescent="0.2">
      <c r="A3275" t="s">
        <v>7369</v>
      </c>
      <c r="B3275" t="s">
        <v>5862</v>
      </c>
      <c r="C3275" t="s">
        <v>5863</v>
      </c>
      <c r="D3275" t="s">
        <v>7351</v>
      </c>
      <c r="E3275" s="10" t="s">
        <v>7370</v>
      </c>
      <c r="F3275" s="10"/>
      <c r="G3275" s="10"/>
      <c r="H3275" s="10" t="s">
        <v>7370</v>
      </c>
      <c r="I3275" s="14">
        <v>109020.28445800242</v>
      </c>
      <c r="J3275" s="19">
        <v>0</v>
      </c>
      <c r="K3275" s="19">
        <v>0.37997547857446251</v>
      </c>
      <c r="L3275" s="19">
        <v>0.62002452142553743</v>
      </c>
      <c r="M3275" s="20">
        <v>1</v>
      </c>
      <c r="N3275" s="19">
        <v>0.10863708039420575</v>
      </c>
      <c r="O3275" s="19">
        <v>7.2969204948470479E-2</v>
      </c>
      <c r="P3275" s="19">
        <v>0.19836919323178631</v>
      </c>
      <c r="Q3275" s="19">
        <v>0.22411481289489085</v>
      </c>
      <c r="R3275" s="19">
        <v>0.35513616463407349</v>
      </c>
      <c r="S3275" s="19">
        <v>4.0773543896573117E-2</v>
      </c>
      <c r="T3275" s="20">
        <v>12</v>
      </c>
      <c r="U3275" s="17">
        <v>3</v>
      </c>
      <c r="V3275" s="17">
        <v>36</v>
      </c>
    </row>
    <row r="3276" spans="1:22" x14ac:dyDescent="0.2">
      <c r="A3276" t="s">
        <v>7371</v>
      </c>
      <c r="B3276" t="s">
        <v>5862</v>
      </c>
      <c r="C3276" t="s">
        <v>5863</v>
      </c>
      <c r="D3276" t="s">
        <v>7372</v>
      </c>
      <c r="E3276" s="10" t="s">
        <v>7373</v>
      </c>
      <c r="F3276" s="10"/>
      <c r="G3276" s="10"/>
      <c r="H3276" s="10" t="s">
        <v>7373</v>
      </c>
      <c r="I3276" s="14">
        <v>23043.194650667254</v>
      </c>
      <c r="J3276" s="19">
        <v>0</v>
      </c>
      <c r="K3276" s="19">
        <v>0.34098959260259626</v>
      </c>
      <c r="L3276" s="19">
        <v>0.6590104073974038</v>
      </c>
      <c r="M3276" s="20">
        <v>1</v>
      </c>
      <c r="N3276" s="19">
        <v>0</v>
      </c>
      <c r="O3276" s="19">
        <v>0.34098959260259626</v>
      </c>
      <c r="P3276" s="19">
        <v>0</v>
      </c>
      <c r="Q3276" s="19">
        <v>6.6660784425004629E-2</v>
      </c>
      <c r="R3276" s="19">
        <v>0.5283575917571417</v>
      </c>
      <c r="S3276" s="19">
        <v>6.3992031215257428E-2</v>
      </c>
      <c r="T3276" s="20">
        <v>12</v>
      </c>
      <c r="U3276" s="17">
        <v>3</v>
      </c>
      <c r="V3276" s="17">
        <v>36</v>
      </c>
    </row>
    <row r="3277" spans="1:22" x14ac:dyDescent="0.2">
      <c r="A3277" t="s">
        <v>7374</v>
      </c>
      <c r="B3277" t="s">
        <v>5862</v>
      </c>
      <c r="C3277" t="s">
        <v>5863</v>
      </c>
      <c r="D3277" t="s">
        <v>7372</v>
      </c>
      <c r="E3277" s="10" t="s">
        <v>7375</v>
      </c>
      <c r="F3277" s="10"/>
      <c r="G3277" s="10"/>
      <c r="H3277" s="10" t="s">
        <v>7375</v>
      </c>
      <c r="I3277" s="14">
        <v>81587.380238749553</v>
      </c>
      <c r="J3277" s="19">
        <v>0</v>
      </c>
      <c r="K3277" s="19">
        <v>0.52163550234807821</v>
      </c>
      <c r="L3277" s="19">
        <v>0.47836449765192179</v>
      </c>
      <c r="M3277" s="20">
        <v>2</v>
      </c>
      <c r="N3277" s="19">
        <v>0.13420195670455179</v>
      </c>
      <c r="O3277" s="19">
        <v>0.13209168248826314</v>
      </c>
      <c r="P3277" s="19">
        <v>0.25534186315526325</v>
      </c>
      <c r="Q3277" s="19">
        <v>6.3714275101424203E-2</v>
      </c>
      <c r="R3277" s="19">
        <v>0.37573620838859595</v>
      </c>
      <c r="S3277" s="19">
        <v>3.8914014161901621E-2</v>
      </c>
      <c r="T3277" s="20">
        <v>23</v>
      </c>
      <c r="U3277" s="17">
        <v>3</v>
      </c>
      <c r="V3277" s="17">
        <v>36</v>
      </c>
    </row>
    <row r="3278" spans="1:22" x14ac:dyDescent="0.2">
      <c r="A3278" t="s">
        <v>7376</v>
      </c>
      <c r="B3278" t="s">
        <v>5862</v>
      </c>
      <c r="C3278" t="s">
        <v>5863</v>
      </c>
      <c r="D3278" t="s">
        <v>7372</v>
      </c>
      <c r="E3278" s="10" t="s">
        <v>7377</v>
      </c>
      <c r="F3278" s="10"/>
      <c r="G3278" s="10"/>
      <c r="H3278" s="10" t="s">
        <v>7377</v>
      </c>
      <c r="I3278" s="14">
        <v>16509.760186864063</v>
      </c>
      <c r="J3278" s="19">
        <v>0</v>
      </c>
      <c r="K3278" s="19">
        <v>0</v>
      </c>
      <c r="L3278" s="19">
        <v>1</v>
      </c>
      <c r="M3278" s="20">
        <v>1</v>
      </c>
      <c r="N3278" s="19">
        <v>0</v>
      </c>
      <c r="O3278" s="19">
        <v>0</v>
      </c>
      <c r="P3278" s="19">
        <v>0</v>
      </c>
      <c r="Q3278" s="19">
        <v>0.3914042915422386</v>
      </c>
      <c r="R3278" s="19">
        <v>0.48310199682384852</v>
      </c>
      <c r="S3278" s="19">
        <v>0.12549371163391287</v>
      </c>
      <c r="T3278" s="20">
        <v>12</v>
      </c>
      <c r="U3278" s="17">
        <v>3</v>
      </c>
      <c r="V3278" s="17">
        <v>36</v>
      </c>
    </row>
    <row r="3279" spans="1:22" x14ac:dyDescent="0.2">
      <c r="A3279" t="s">
        <v>7378</v>
      </c>
      <c r="B3279" t="s">
        <v>5862</v>
      </c>
      <c r="C3279" t="s">
        <v>5863</v>
      </c>
      <c r="D3279" t="s">
        <v>7372</v>
      </c>
      <c r="E3279" s="10" t="s">
        <v>7379</v>
      </c>
      <c r="F3279" s="10"/>
      <c r="G3279" s="10"/>
      <c r="H3279" s="10" t="s">
        <v>7379</v>
      </c>
      <c r="I3279" s="14">
        <v>23104.270436211027</v>
      </c>
      <c r="J3279" s="19">
        <v>0</v>
      </c>
      <c r="K3279" s="19">
        <v>0</v>
      </c>
      <c r="L3279" s="19">
        <v>1</v>
      </c>
      <c r="M3279" s="20">
        <v>1</v>
      </c>
      <c r="N3279" s="19">
        <v>0</v>
      </c>
      <c r="O3279" s="19">
        <v>0</v>
      </c>
      <c r="P3279" s="19">
        <v>0</v>
      </c>
      <c r="Q3279" s="19">
        <v>0.130304064958841</v>
      </c>
      <c r="R3279" s="19">
        <v>0.71442058948221943</v>
      </c>
      <c r="S3279" s="19">
        <v>0.1552753455589394</v>
      </c>
      <c r="T3279" s="20">
        <v>12</v>
      </c>
      <c r="U3279" s="17">
        <v>3</v>
      </c>
      <c r="V3279" s="17">
        <v>36</v>
      </c>
    </row>
    <row r="3280" spans="1:22" x14ac:dyDescent="0.2">
      <c r="A3280" t="s">
        <v>7380</v>
      </c>
      <c r="B3280" t="s">
        <v>5862</v>
      </c>
      <c r="C3280" t="s">
        <v>5863</v>
      </c>
      <c r="D3280" t="s">
        <v>7372</v>
      </c>
      <c r="E3280" s="10" t="s">
        <v>7381</v>
      </c>
      <c r="F3280" s="10"/>
      <c r="G3280" s="10"/>
      <c r="H3280" s="10" t="s">
        <v>7381</v>
      </c>
      <c r="I3280" s="14">
        <v>53149.69919359521</v>
      </c>
      <c r="J3280" s="19">
        <v>0</v>
      </c>
      <c r="K3280" s="19">
        <v>0.18474634951781527</v>
      </c>
      <c r="L3280" s="19">
        <v>0.81525365048218457</v>
      </c>
      <c r="M3280" s="20">
        <v>1</v>
      </c>
      <c r="N3280" s="19">
        <v>0</v>
      </c>
      <c r="O3280" s="19">
        <v>0.18474634951781527</v>
      </c>
      <c r="P3280" s="19">
        <v>0</v>
      </c>
      <c r="Q3280" s="19">
        <v>0.13141750963445956</v>
      </c>
      <c r="R3280" s="19">
        <v>0.57171350788739594</v>
      </c>
      <c r="S3280" s="19">
        <v>0.11212263296032918</v>
      </c>
      <c r="T3280" s="20">
        <v>12</v>
      </c>
      <c r="U3280" s="17">
        <v>3</v>
      </c>
      <c r="V3280" s="17">
        <v>36</v>
      </c>
    </row>
    <row r="3281" spans="1:22" x14ac:dyDescent="0.2">
      <c r="A3281" t="s">
        <v>7382</v>
      </c>
      <c r="B3281" t="s">
        <v>5862</v>
      </c>
      <c r="C3281" t="s">
        <v>5863</v>
      </c>
      <c r="D3281" t="s">
        <v>7372</v>
      </c>
      <c r="E3281" s="10" t="s">
        <v>7383</v>
      </c>
      <c r="F3281" s="10"/>
      <c r="G3281" s="10"/>
      <c r="H3281" s="10" t="s">
        <v>7383</v>
      </c>
      <c r="I3281" s="14">
        <v>40490.264619573951</v>
      </c>
      <c r="J3281" s="19">
        <v>0</v>
      </c>
      <c r="K3281" s="19">
        <v>0.38858915894242124</v>
      </c>
      <c r="L3281" s="19">
        <v>0.6114108410575787</v>
      </c>
      <c r="M3281" s="20">
        <v>1</v>
      </c>
      <c r="N3281" s="19">
        <v>0.27451788199470878</v>
      </c>
      <c r="O3281" s="19">
        <v>0</v>
      </c>
      <c r="P3281" s="19">
        <v>0.1140712769477125</v>
      </c>
      <c r="Q3281" s="19">
        <v>0.13102391744687206</v>
      </c>
      <c r="R3281" s="19">
        <v>0.41106311058459621</v>
      </c>
      <c r="S3281" s="19">
        <v>6.9323813026110445E-2</v>
      </c>
      <c r="T3281" s="20">
        <v>12</v>
      </c>
      <c r="U3281" s="17">
        <v>3</v>
      </c>
      <c r="V3281" s="17">
        <v>36</v>
      </c>
    </row>
    <row r="3282" spans="1:22" x14ac:dyDescent="0.2">
      <c r="A3282" t="s">
        <v>7384</v>
      </c>
      <c r="B3282" t="s">
        <v>5862</v>
      </c>
      <c r="C3282" t="s">
        <v>5863</v>
      </c>
      <c r="D3282" t="s">
        <v>7372</v>
      </c>
      <c r="E3282" s="10" t="s">
        <v>7385</v>
      </c>
      <c r="F3282" s="10"/>
      <c r="G3282" s="10"/>
      <c r="H3282" s="10" t="s">
        <v>7385</v>
      </c>
      <c r="I3282" s="14">
        <v>12052.120677014347</v>
      </c>
      <c r="J3282" s="19">
        <v>0</v>
      </c>
      <c r="K3282" s="19">
        <v>0</v>
      </c>
      <c r="L3282" s="19">
        <v>1</v>
      </c>
      <c r="M3282" s="20">
        <v>1</v>
      </c>
      <c r="N3282" s="19">
        <v>0</v>
      </c>
      <c r="O3282" s="19">
        <v>0</v>
      </c>
      <c r="P3282" s="19">
        <v>0</v>
      </c>
      <c r="Q3282" s="19">
        <v>2.7031009493804214E-2</v>
      </c>
      <c r="R3282" s="19">
        <v>0.75382757245711718</v>
      </c>
      <c r="S3282" s="19">
        <v>0.21914141804907861</v>
      </c>
      <c r="T3282" s="20">
        <v>12</v>
      </c>
      <c r="U3282" s="17">
        <v>3</v>
      </c>
      <c r="V3282" s="17">
        <v>36</v>
      </c>
    </row>
    <row r="3283" spans="1:22" x14ac:dyDescent="0.2">
      <c r="A3283" t="s">
        <v>7386</v>
      </c>
      <c r="B3283" t="s">
        <v>5862</v>
      </c>
      <c r="C3283" t="s">
        <v>5863</v>
      </c>
      <c r="D3283" t="s">
        <v>7372</v>
      </c>
      <c r="E3283" s="10" t="s">
        <v>7387</v>
      </c>
      <c r="F3283" s="10"/>
      <c r="G3283" s="10"/>
      <c r="H3283" s="10" t="s">
        <v>7387</v>
      </c>
      <c r="I3283" s="14">
        <v>110890.89274284628</v>
      </c>
      <c r="J3283" s="19">
        <v>0.14409335997737191</v>
      </c>
      <c r="K3283" s="19">
        <v>0.15658306507256101</v>
      </c>
      <c r="L3283" s="19">
        <v>0.69932357495006714</v>
      </c>
      <c r="M3283" s="20">
        <v>1</v>
      </c>
      <c r="N3283" s="19">
        <v>0</v>
      </c>
      <c r="O3283" s="19">
        <v>0</v>
      </c>
      <c r="P3283" s="19">
        <v>0.15658306507256101</v>
      </c>
      <c r="Q3283" s="19">
        <v>0.1505696498497032</v>
      </c>
      <c r="R3283" s="19">
        <v>0.47631200713498439</v>
      </c>
      <c r="S3283" s="19">
        <v>7.2441917965379507E-2</v>
      </c>
      <c r="T3283" s="20">
        <v>12</v>
      </c>
      <c r="U3283" s="17">
        <v>3</v>
      </c>
      <c r="V3283" s="17">
        <v>36</v>
      </c>
    </row>
    <row r="3284" spans="1:22" x14ac:dyDescent="0.2">
      <c r="A3284" t="s">
        <v>7388</v>
      </c>
      <c r="B3284" t="s">
        <v>5862</v>
      </c>
      <c r="C3284" t="s">
        <v>5863</v>
      </c>
      <c r="D3284" t="s">
        <v>7372</v>
      </c>
      <c r="E3284" s="10" t="s">
        <v>7389</v>
      </c>
      <c r="F3284" s="10"/>
      <c r="G3284" s="10"/>
      <c r="H3284" s="10" t="s">
        <v>7389</v>
      </c>
      <c r="I3284" s="14">
        <v>40055.417693394702</v>
      </c>
      <c r="J3284" s="19">
        <v>0</v>
      </c>
      <c r="K3284" s="19">
        <v>0</v>
      </c>
      <c r="L3284" s="19">
        <v>1</v>
      </c>
      <c r="M3284" s="20">
        <v>1</v>
      </c>
      <c r="N3284" s="19">
        <v>0</v>
      </c>
      <c r="O3284" s="19">
        <v>0</v>
      </c>
      <c r="P3284" s="19">
        <v>0</v>
      </c>
      <c r="Q3284" s="19">
        <v>0.16966029446754616</v>
      </c>
      <c r="R3284" s="19">
        <v>0.66321171221296948</v>
      </c>
      <c r="S3284" s="19">
        <v>0.16712799331948447</v>
      </c>
      <c r="T3284" s="20">
        <v>12</v>
      </c>
      <c r="U3284" s="17">
        <v>3</v>
      </c>
      <c r="V3284" s="17">
        <v>36</v>
      </c>
    </row>
    <row r="3285" spans="1:22" x14ac:dyDescent="0.2">
      <c r="A3285" t="s">
        <v>7390</v>
      </c>
      <c r="B3285" t="s">
        <v>5862</v>
      </c>
      <c r="C3285" t="s">
        <v>5863</v>
      </c>
      <c r="D3285" t="s">
        <v>7372</v>
      </c>
      <c r="E3285" s="10" t="s">
        <v>7391</v>
      </c>
      <c r="F3285" s="10"/>
      <c r="G3285" s="10"/>
      <c r="H3285" s="10" t="s">
        <v>7391</v>
      </c>
      <c r="I3285" s="14">
        <v>41300.881804382894</v>
      </c>
      <c r="J3285" s="19">
        <v>0</v>
      </c>
      <c r="K3285" s="19">
        <v>0</v>
      </c>
      <c r="L3285" s="19">
        <v>1</v>
      </c>
      <c r="M3285" s="20">
        <v>1</v>
      </c>
      <c r="N3285" s="19">
        <v>0</v>
      </c>
      <c r="O3285" s="19">
        <v>0</v>
      </c>
      <c r="P3285" s="19">
        <v>0</v>
      </c>
      <c r="Q3285" s="19">
        <v>0.24704120245684105</v>
      </c>
      <c r="R3285" s="19">
        <v>0.6195663884983007</v>
      </c>
      <c r="S3285" s="19">
        <v>0.13339240904485827</v>
      </c>
      <c r="T3285" s="20">
        <v>12</v>
      </c>
      <c r="U3285" s="17">
        <v>3</v>
      </c>
      <c r="V3285" s="17">
        <v>36</v>
      </c>
    </row>
    <row r="3286" spans="1:22" x14ac:dyDescent="0.2">
      <c r="A3286" t="s">
        <v>7392</v>
      </c>
      <c r="B3286" t="s">
        <v>5862</v>
      </c>
      <c r="C3286" t="s">
        <v>5863</v>
      </c>
      <c r="D3286" t="s">
        <v>7372</v>
      </c>
      <c r="E3286" s="10" t="s">
        <v>7393</v>
      </c>
      <c r="F3286" s="10"/>
      <c r="G3286" s="10"/>
      <c r="H3286" s="10" t="s">
        <v>7393</v>
      </c>
      <c r="I3286" s="14">
        <v>11798.44082925882</v>
      </c>
      <c r="J3286" s="19">
        <v>0</v>
      </c>
      <c r="K3286" s="19">
        <v>0</v>
      </c>
      <c r="L3286" s="19">
        <v>1</v>
      </c>
      <c r="M3286" s="20">
        <v>1</v>
      </c>
      <c r="N3286" s="19">
        <v>0</v>
      </c>
      <c r="O3286" s="19">
        <v>0</v>
      </c>
      <c r="P3286" s="19">
        <v>0</v>
      </c>
      <c r="Q3286" s="19">
        <v>0.55823581294756397</v>
      </c>
      <c r="R3286" s="19">
        <v>0.37398343547344431</v>
      </c>
      <c r="S3286" s="19">
        <v>6.7780751578991674E-2</v>
      </c>
      <c r="T3286" s="20">
        <v>13</v>
      </c>
      <c r="U3286" s="17">
        <v>3</v>
      </c>
      <c r="V3286" s="17">
        <v>36</v>
      </c>
    </row>
    <row r="3287" spans="1:22" x14ac:dyDescent="0.2">
      <c r="A3287" t="s">
        <v>7394</v>
      </c>
      <c r="B3287" t="s">
        <v>5862</v>
      </c>
      <c r="C3287" t="s">
        <v>5863</v>
      </c>
      <c r="D3287" t="s">
        <v>7372</v>
      </c>
      <c r="E3287" s="10" t="s">
        <v>7395</v>
      </c>
      <c r="F3287" s="10"/>
      <c r="G3287" s="10"/>
      <c r="H3287" s="10" t="s">
        <v>7395</v>
      </c>
      <c r="I3287" s="14">
        <v>41881.419557646324</v>
      </c>
      <c r="J3287" s="19">
        <v>0</v>
      </c>
      <c r="K3287" s="19">
        <v>0.60246350721809327</v>
      </c>
      <c r="L3287" s="19">
        <v>0.39753649278190678</v>
      </c>
      <c r="M3287" s="20">
        <v>2</v>
      </c>
      <c r="N3287" s="19">
        <v>0.18236057676623196</v>
      </c>
      <c r="O3287" s="19">
        <v>0</v>
      </c>
      <c r="P3287" s="19">
        <v>0.42010293045186126</v>
      </c>
      <c r="Q3287" s="19">
        <v>0.13760127809878367</v>
      </c>
      <c r="R3287" s="19">
        <v>0.2278044222727825</v>
      </c>
      <c r="S3287" s="19">
        <v>3.2130792410340579E-2</v>
      </c>
      <c r="T3287" s="20">
        <v>23</v>
      </c>
      <c r="U3287" s="17">
        <v>3</v>
      </c>
      <c r="V3287" s="17">
        <v>36</v>
      </c>
    </row>
    <row r="3288" spans="1:22" x14ac:dyDescent="0.2">
      <c r="A3288" t="s">
        <v>7396</v>
      </c>
      <c r="B3288" t="s">
        <v>5862</v>
      </c>
      <c r="C3288" t="s">
        <v>5863</v>
      </c>
      <c r="D3288" t="s">
        <v>7372</v>
      </c>
      <c r="E3288" s="10" t="s">
        <v>7397</v>
      </c>
      <c r="F3288" s="10"/>
      <c r="G3288" s="10"/>
      <c r="H3288" s="10" t="s">
        <v>7397</v>
      </c>
      <c r="I3288" s="14">
        <v>165812.57331531402</v>
      </c>
      <c r="J3288" s="19">
        <v>0.67033626214422282</v>
      </c>
      <c r="K3288" s="19">
        <v>0.21435034637458988</v>
      </c>
      <c r="L3288" s="19">
        <v>0.11531339148118729</v>
      </c>
      <c r="M3288" s="20">
        <v>3</v>
      </c>
      <c r="N3288" s="19">
        <v>0</v>
      </c>
      <c r="O3288" s="19">
        <v>0</v>
      </c>
      <c r="P3288" s="19">
        <v>0.21435034637458988</v>
      </c>
      <c r="Q3288" s="19">
        <v>2.5419956602947104E-3</v>
      </c>
      <c r="R3288" s="19">
        <v>9.9269111458098552E-2</v>
      </c>
      <c r="S3288" s="19">
        <v>1.3502284362794027E-2</v>
      </c>
      <c r="T3288" s="20">
        <v>30</v>
      </c>
      <c r="U3288" s="17">
        <v>3</v>
      </c>
      <c r="V3288" s="17">
        <v>36</v>
      </c>
    </row>
    <row r="3289" spans="1:22" x14ac:dyDescent="0.2">
      <c r="A3289" t="s">
        <v>7398</v>
      </c>
      <c r="B3289" t="s">
        <v>5862</v>
      </c>
      <c r="C3289" t="s">
        <v>5863</v>
      </c>
      <c r="D3289" t="s">
        <v>7372</v>
      </c>
      <c r="E3289" s="10" t="s">
        <v>7399</v>
      </c>
      <c r="F3289" s="10"/>
      <c r="G3289" s="10"/>
      <c r="H3289" s="10" t="s">
        <v>7399</v>
      </c>
      <c r="I3289" s="14">
        <v>32125.901799162388</v>
      </c>
      <c r="J3289" s="19">
        <v>0</v>
      </c>
      <c r="K3289" s="19">
        <v>0</v>
      </c>
      <c r="L3289" s="19">
        <v>1</v>
      </c>
      <c r="M3289" s="20">
        <v>1</v>
      </c>
      <c r="N3289" s="19">
        <v>0</v>
      </c>
      <c r="O3289" s="19">
        <v>0</v>
      </c>
      <c r="P3289" s="19">
        <v>0</v>
      </c>
      <c r="Q3289" s="19">
        <v>0.11771597080526924</v>
      </c>
      <c r="R3289" s="19">
        <v>0.6985465944365622</v>
      </c>
      <c r="S3289" s="19">
        <v>0.18373743475816842</v>
      </c>
      <c r="T3289" s="20">
        <v>12</v>
      </c>
      <c r="U3289" s="17">
        <v>3</v>
      </c>
      <c r="V3289" s="17">
        <v>36</v>
      </c>
    </row>
    <row r="3290" spans="1:22" x14ac:dyDescent="0.2">
      <c r="A3290" t="s">
        <v>7400</v>
      </c>
      <c r="B3290" t="s">
        <v>5862</v>
      </c>
      <c r="C3290" t="s">
        <v>5863</v>
      </c>
      <c r="D3290" t="s">
        <v>7372</v>
      </c>
      <c r="E3290" s="10" t="s">
        <v>7401</v>
      </c>
      <c r="F3290" s="10"/>
      <c r="G3290" s="10"/>
      <c r="H3290" s="10" t="s">
        <v>7401</v>
      </c>
      <c r="I3290" s="14">
        <v>99230.042437311597</v>
      </c>
      <c r="J3290" s="19">
        <v>0</v>
      </c>
      <c r="K3290" s="19">
        <v>0.43342552784618887</v>
      </c>
      <c r="L3290" s="19">
        <v>0.56657447215381129</v>
      </c>
      <c r="M3290" s="20">
        <v>1</v>
      </c>
      <c r="N3290" s="19">
        <v>9.2549763292619935E-2</v>
      </c>
      <c r="O3290" s="19">
        <v>0.14812700783142385</v>
      </c>
      <c r="P3290" s="19">
        <v>0.19274875672214509</v>
      </c>
      <c r="Q3290" s="19">
        <v>3.9501031795458302E-2</v>
      </c>
      <c r="R3290" s="19">
        <v>0.43612759925032424</v>
      </c>
      <c r="S3290" s="19">
        <v>9.0945841108028752E-2</v>
      </c>
      <c r="T3290" s="20">
        <v>12</v>
      </c>
      <c r="U3290" s="17">
        <v>3</v>
      </c>
      <c r="V3290" s="17">
        <v>36</v>
      </c>
    </row>
    <row r="3291" spans="1:22" x14ac:dyDescent="0.2">
      <c r="A3291" t="s">
        <v>7402</v>
      </c>
      <c r="B3291" t="s">
        <v>5862</v>
      </c>
      <c r="C3291" t="s">
        <v>5863</v>
      </c>
      <c r="D3291" t="s">
        <v>7372</v>
      </c>
      <c r="E3291" s="10" t="s">
        <v>7403</v>
      </c>
      <c r="F3291" s="10"/>
      <c r="G3291" s="10"/>
      <c r="H3291" s="10" t="s">
        <v>7403</v>
      </c>
      <c r="I3291" s="14">
        <v>64726.901353480993</v>
      </c>
      <c r="J3291" s="19">
        <v>0</v>
      </c>
      <c r="K3291" s="19">
        <v>0.22960724730113222</v>
      </c>
      <c r="L3291" s="19">
        <v>0.77039275269886776</v>
      </c>
      <c r="M3291" s="20">
        <v>1</v>
      </c>
      <c r="N3291" s="19">
        <v>0</v>
      </c>
      <c r="O3291" s="19">
        <v>0.22960724730113222</v>
      </c>
      <c r="P3291" s="19">
        <v>0</v>
      </c>
      <c r="Q3291" s="19">
        <v>4.0526145491350064E-2</v>
      </c>
      <c r="R3291" s="19">
        <v>0.62260572402493697</v>
      </c>
      <c r="S3291" s="19">
        <v>0.10726088318258079</v>
      </c>
      <c r="T3291" s="20">
        <v>12</v>
      </c>
      <c r="U3291" s="17">
        <v>3</v>
      </c>
      <c r="V3291" s="17">
        <v>36</v>
      </c>
    </row>
    <row r="3292" spans="1:22" x14ac:dyDescent="0.2">
      <c r="A3292" t="s">
        <v>7404</v>
      </c>
      <c r="B3292" t="s">
        <v>5862</v>
      </c>
      <c r="C3292" t="s">
        <v>5863</v>
      </c>
      <c r="D3292" t="s">
        <v>7372</v>
      </c>
      <c r="E3292" s="10" t="s">
        <v>7405</v>
      </c>
      <c r="F3292" s="10"/>
      <c r="G3292" s="10"/>
      <c r="H3292" s="10" t="s">
        <v>7405</v>
      </c>
      <c r="I3292" s="14">
        <v>53410.481319105485</v>
      </c>
      <c r="J3292" s="19">
        <v>0</v>
      </c>
      <c r="K3292" s="19">
        <v>0.11026629239361919</v>
      </c>
      <c r="L3292" s="19">
        <v>0.88973370760638071</v>
      </c>
      <c r="M3292" s="20">
        <v>1</v>
      </c>
      <c r="N3292" s="19">
        <v>0</v>
      </c>
      <c r="O3292" s="19">
        <v>0.11026629239361919</v>
      </c>
      <c r="P3292" s="19">
        <v>0</v>
      </c>
      <c r="Q3292" s="19">
        <v>0.14103320049293072</v>
      </c>
      <c r="R3292" s="19">
        <v>0.62306395739826936</v>
      </c>
      <c r="S3292" s="19">
        <v>0.12563654971518076</v>
      </c>
      <c r="T3292" s="20">
        <v>12</v>
      </c>
      <c r="U3292" s="17">
        <v>3</v>
      </c>
      <c r="V3292" s="17">
        <v>36</v>
      </c>
    </row>
    <row r="3293" spans="1:22" x14ac:dyDescent="0.2">
      <c r="A3293" t="s">
        <v>7406</v>
      </c>
      <c r="B3293" t="s">
        <v>5862</v>
      </c>
      <c r="C3293" t="s">
        <v>5863</v>
      </c>
      <c r="D3293" t="s">
        <v>7372</v>
      </c>
      <c r="E3293" s="10" t="s">
        <v>7296</v>
      </c>
      <c r="F3293" s="10"/>
      <c r="G3293" s="10"/>
      <c r="H3293" s="10" t="s">
        <v>7296</v>
      </c>
      <c r="I3293" s="14">
        <v>35421.40802059113</v>
      </c>
      <c r="J3293" s="19">
        <v>0</v>
      </c>
      <c r="K3293" s="19">
        <v>1.4373203152233836E-5</v>
      </c>
      <c r="L3293" s="19">
        <v>0.99998562679684777</v>
      </c>
      <c r="M3293" s="20">
        <v>1</v>
      </c>
      <c r="N3293" s="19">
        <v>0</v>
      </c>
      <c r="O3293" s="19">
        <v>1.4373203152233836E-5</v>
      </c>
      <c r="P3293" s="19">
        <v>0</v>
      </c>
      <c r="Q3293" s="19">
        <v>0.29552172145727812</v>
      </c>
      <c r="R3293" s="19">
        <v>0.49253688188384531</v>
      </c>
      <c r="S3293" s="19">
        <v>0.21192702345572437</v>
      </c>
      <c r="T3293" s="20">
        <v>12</v>
      </c>
      <c r="U3293" s="17">
        <v>3</v>
      </c>
      <c r="V3293" s="17">
        <v>36</v>
      </c>
    </row>
    <row r="3294" spans="1:22" x14ac:dyDescent="0.2">
      <c r="A3294" t="s">
        <v>7407</v>
      </c>
      <c r="B3294" t="s">
        <v>5862</v>
      </c>
      <c r="C3294" t="s">
        <v>5863</v>
      </c>
      <c r="D3294" t="s">
        <v>7372</v>
      </c>
      <c r="E3294" s="10" t="s">
        <v>6682</v>
      </c>
      <c r="F3294" s="10"/>
      <c r="G3294" s="10"/>
      <c r="H3294" s="10" t="s">
        <v>6682</v>
      </c>
      <c r="I3294" s="14">
        <v>68811.12351949187</v>
      </c>
      <c r="J3294" s="19">
        <v>0</v>
      </c>
      <c r="K3294" s="19">
        <v>0.61595703931944212</v>
      </c>
      <c r="L3294" s="19">
        <v>0.38404296068055788</v>
      </c>
      <c r="M3294" s="20">
        <v>2</v>
      </c>
      <c r="N3294" s="19">
        <v>0.29747177263321695</v>
      </c>
      <c r="O3294" s="19">
        <v>0.10239575625412278</v>
      </c>
      <c r="P3294" s="19">
        <v>0.21608951043210242</v>
      </c>
      <c r="Q3294" s="19">
        <v>2.7489268203665537E-2</v>
      </c>
      <c r="R3294" s="19">
        <v>0.32456606566498841</v>
      </c>
      <c r="S3294" s="19">
        <v>3.1987626811903883E-2</v>
      </c>
      <c r="T3294" s="20">
        <v>23</v>
      </c>
      <c r="U3294" s="17">
        <v>3</v>
      </c>
      <c r="V3294" s="17">
        <v>36</v>
      </c>
    </row>
    <row r="3295" spans="1:22" x14ac:dyDescent="0.2">
      <c r="A3295" t="s">
        <v>7408</v>
      </c>
      <c r="B3295" t="s">
        <v>5862</v>
      </c>
      <c r="C3295" t="s">
        <v>5863</v>
      </c>
      <c r="D3295" t="s">
        <v>7409</v>
      </c>
      <c r="E3295" s="10" t="s">
        <v>7410</v>
      </c>
      <c r="F3295" s="10"/>
      <c r="G3295" s="10"/>
      <c r="H3295" s="10" t="s">
        <v>7410</v>
      </c>
      <c r="I3295" s="14">
        <v>24163.727588750422</v>
      </c>
      <c r="J3295" s="19">
        <v>0</v>
      </c>
      <c r="K3295" s="19">
        <v>3.4145755170083864E-2</v>
      </c>
      <c r="L3295" s="19">
        <v>0.96585424482991611</v>
      </c>
      <c r="M3295" s="20">
        <v>1</v>
      </c>
      <c r="N3295" s="19">
        <v>8.4860384970379156E-3</v>
      </c>
      <c r="O3295" s="19">
        <v>0</v>
      </c>
      <c r="P3295" s="19">
        <v>2.5659716673045951E-2</v>
      </c>
      <c r="Q3295" s="19">
        <v>0.34808269476670434</v>
      </c>
      <c r="R3295" s="19">
        <v>0.54700395970716065</v>
      </c>
      <c r="S3295" s="19">
        <v>7.076759035605111E-2</v>
      </c>
      <c r="T3295" s="20">
        <v>12</v>
      </c>
      <c r="U3295" s="17">
        <v>3</v>
      </c>
      <c r="V3295" s="17">
        <v>36</v>
      </c>
    </row>
    <row r="3296" spans="1:22" x14ac:dyDescent="0.2">
      <c r="A3296" t="s">
        <v>7411</v>
      </c>
      <c r="B3296" t="s">
        <v>5862</v>
      </c>
      <c r="C3296" t="s">
        <v>5863</v>
      </c>
      <c r="D3296" t="s">
        <v>7409</v>
      </c>
      <c r="E3296" s="10" t="s">
        <v>7412</v>
      </c>
      <c r="F3296" s="10"/>
      <c r="G3296" s="10"/>
      <c r="H3296" s="10" t="s">
        <v>7412</v>
      </c>
      <c r="I3296" s="14">
        <v>38609.506613778882</v>
      </c>
      <c r="J3296" s="19">
        <v>0</v>
      </c>
      <c r="K3296" s="19">
        <v>0</v>
      </c>
      <c r="L3296" s="19">
        <v>1</v>
      </c>
      <c r="M3296" s="20">
        <v>1</v>
      </c>
      <c r="N3296" s="19">
        <v>0</v>
      </c>
      <c r="O3296" s="19">
        <v>0</v>
      </c>
      <c r="P3296" s="19">
        <v>0</v>
      </c>
      <c r="Q3296" s="19">
        <v>0.47064172986132435</v>
      </c>
      <c r="R3296" s="19">
        <v>0.48076104599995956</v>
      </c>
      <c r="S3296" s="19">
        <v>4.8597224138716054E-2</v>
      </c>
      <c r="T3296" s="20">
        <v>12</v>
      </c>
      <c r="U3296" s="17">
        <v>3</v>
      </c>
      <c r="V3296" s="17">
        <v>36</v>
      </c>
    </row>
    <row r="3297" spans="1:22" x14ac:dyDescent="0.2">
      <c r="A3297" t="s">
        <v>7413</v>
      </c>
      <c r="B3297" t="s">
        <v>5862</v>
      </c>
      <c r="C3297" t="s">
        <v>5863</v>
      </c>
      <c r="D3297" t="s">
        <v>7409</v>
      </c>
      <c r="E3297" s="10" t="s">
        <v>7414</v>
      </c>
      <c r="F3297" s="10"/>
      <c r="G3297" s="10"/>
      <c r="H3297" s="10" t="s">
        <v>7414</v>
      </c>
      <c r="I3297" s="14">
        <v>43958.436717560515</v>
      </c>
      <c r="J3297" s="19">
        <v>0</v>
      </c>
      <c r="K3297" s="19">
        <v>2.3237234978520781E-2</v>
      </c>
      <c r="L3297" s="19">
        <v>0.97676276502147918</v>
      </c>
      <c r="M3297" s="20">
        <v>1</v>
      </c>
      <c r="N3297" s="19">
        <v>1.6448072979464986E-2</v>
      </c>
      <c r="O3297" s="19">
        <v>0</v>
      </c>
      <c r="P3297" s="19">
        <v>6.7891619990557896E-3</v>
      </c>
      <c r="Q3297" s="19">
        <v>0.40256088705081577</v>
      </c>
      <c r="R3297" s="19">
        <v>0.51778760300367277</v>
      </c>
      <c r="S3297" s="19">
        <v>5.6414274966990752E-2</v>
      </c>
      <c r="T3297" s="20">
        <v>12</v>
      </c>
      <c r="U3297" s="17">
        <v>3</v>
      </c>
      <c r="V3297" s="17">
        <v>36</v>
      </c>
    </row>
    <row r="3298" spans="1:22" x14ac:dyDescent="0.2">
      <c r="A3298" t="s">
        <v>7415</v>
      </c>
      <c r="B3298" t="s">
        <v>5862</v>
      </c>
      <c r="C3298" t="s">
        <v>5863</v>
      </c>
      <c r="D3298" t="s">
        <v>7409</v>
      </c>
      <c r="E3298" s="10" t="s">
        <v>7416</v>
      </c>
      <c r="F3298" s="10"/>
      <c r="G3298" s="10"/>
      <c r="H3298" s="10" t="s">
        <v>7416</v>
      </c>
      <c r="I3298" s="14">
        <v>22669.903253138065</v>
      </c>
      <c r="J3298" s="19">
        <v>0</v>
      </c>
      <c r="K3298" s="19">
        <v>0</v>
      </c>
      <c r="L3298" s="19">
        <v>1</v>
      </c>
      <c r="M3298" s="20">
        <v>1</v>
      </c>
      <c r="N3298" s="19">
        <v>0</v>
      </c>
      <c r="O3298" s="19">
        <v>0</v>
      </c>
      <c r="P3298" s="19">
        <v>0</v>
      </c>
      <c r="Q3298" s="19">
        <v>0.45786572540416004</v>
      </c>
      <c r="R3298" s="19">
        <v>0.4980143166712222</v>
      </c>
      <c r="S3298" s="19">
        <v>4.4119957924617759E-2</v>
      </c>
      <c r="T3298" s="20">
        <v>12</v>
      </c>
      <c r="U3298" s="17">
        <v>3</v>
      </c>
      <c r="V3298" s="17">
        <v>36</v>
      </c>
    </row>
    <row r="3299" spans="1:22" x14ac:dyDescent="0.2">
      <c r="A3299" t="s">
        <v>7417</v>
      </c>
      <c r="B3299" t="s">
        <v>5862</v>
      </c>
      <c r="C3299" t="s">
        <v>5863</v>
      </c>
      <c r="D3299" t="s">
        <v>7409</v>
      </c>
      <c r="E3299" s="10" t="s">
        <v>7418</v>
      </c>
      <c r="F3299" s="10"/>
      <c r="G3299" s="10"/>
      <c r="H3299" s="10" t="s">
        <v>7418</v>
      </c>
      <c r="I3299" s="14">
        <v>22441.222953957506</v>
      </c>
      <c r="J3299" s="19">
        <v>0</v>
      </c>
      <c r="K3299" s="19">
        <v>0.22341395572613942</v>
      </c>
      <c r="L3299" s="19">
        <v>0.77658604427386058</v>
      </c>
      <c r="M3299" s="20">
        <v>1</v>
      </c>
      <c r="N3299" s="19">
        <v>0</v>
      </c>
      <c r="O3299" s="19">
        <v>0.22341395572613942</v>
      </c>
      <c r="P3299" s="19">
        <v>0</v>
      </c>
      <c r="Q3299" s="19">
        <v>0.21563374219659814</v>
      </c>
      <c r="R3299" s="19">
        <v>0.5162747111113678</v>
      </c>
      <c r="S3299" s="19">
        <v>4.4677590965894576E-2</v>
      </c>
      <c r="T3299" s="20">
        <v>12</v>
      </c>
      <c r="U3299" s="17">
        <v>3</v>
      </c>
      <c r="V3299" s="17">
        <v>36</v>
      </c>
    </row>
    <row r="3300" spans="1:22" x14ac:dyDescent="0.2">
      <c r="A3300" t="s">
        <v>7419</v>
      </c>
      <c r="B3300" t="s">
        <v>5862</v>
      </c>
      <c r="C3300" t="s">
        <v>5863</v>
      </c>
      <c r="D3300" t="s">
        <v>7409</v>
      </c>
      <c r="E3300" s="10" t="s">
        <v>7420</v>
      </c>
      <c r="F3300" s="10"/>
      <c r="G3300" s="10"/>
      <c r="H3300" s="10" t="s">
        <v>7420</v>
      </c>
      <c r="I3300" s="14">
        <v>22477.772561260033</v>
      </c>
      <c r="J3300" s="19">
        <v>0</v>
      </c>
      <c r="K3300" s="19">
        <v>0</v>
      </c>
      <c r="L3300" s="19">
        <v>1</v>
      </c>
      <c r="M3300" s="20">
        <v>1</v>
      </c>
      <c r="N3300" s="19">
        <v>0</v>
      </c>
      <c r="O3300" s="19">
        <v>0</v>
      </c>
      <c r="P3300" s="19">
        <v>0</v>
      </c>
      <c r="Q3300" s="19">
        <v>0.55247186925534508</v>
      </c>
      <c r="R3300" s="19">
        <v>0.37567893703667382</v>
      </c>
      <c r="S3300" s="19">
        <v>7.1849193707981068E-2</v>
      </c>
      <c r="T3300" s="20">
        <v>13</v>
      </c>
      <c r="U3300" s="17">
        <v>3</v>
      </c>
      <c r="V3300" s="17">
        <v>36</v>
      </c>
    </row>
    <row r="3301" spans="1:22" x14ac:dyDescent="0.2">
      <c r="A3301" t="s">
        <v>7421</v>
      </c>
      <c r="B3301" t="s">
        <v>5862</v>
      </c>
      <c r="C3301" t="s">
        <v>5863</v>
      </c>
      <c r="D3301" t="s">
        <v>7409</v>
      </c>
      <c r="E3301" s="10" t="s">
        <v>7422</v>
      </c>
      <c r="F3301" s="10"/>
      <c r="G3301" s="10"/>
      <c r="H3301" s="10" t="s">
        <v>7422</v>
      </c>
      <c r="I3301" s="14">
        <v>28101.186624709517</v>
      </c>
      <c r="J3301" s="19">
        <v>0</v>
      </c>
      <c r="K3301" s="19">
        <v>0</v>
      </c>
      <c r="L3301" s="19">
        <v>1</v>
      </c>
      <c r="M3301" s="20">
        <v>1</v>
      </c>
      <c r="N3301" s="19">
        <v>0</v>
      </c>
      <c r="O3301" s="19">
        <v>0</v>
      </c>
      <c r="P3301" s="19">
        <v>0</v>
      </c>
      <c r="Q3301" s="19">
        <v>0.44061939875987644</v>
      </c>
      <c r="R3301" s="19">
        <v>0.50363153307835107</v>
      </c>
      <c r="S3301" s="19">
        <v>5.5749068161772525E-2</v>
      </c>
      <c r="T3301" s="20">
        <v>12</v>
      </c>
      <c r="U3301" s="17">
        <v>3</v>
      </c>
      <c r="V3301" s="17">
        <v>36</v>
      </c>
    </row>
    <row r="3302" spans="1:22" x14ac:dyDescent="0.2">
      <c r="A3302" t="s">
        <v>7423</v>
      </c>
      <c r="B3302" t="s">
        <v>5862</v>
      </c>
      <c r="C3302" t="s">
        <v>5863</v>
      </c>
      <c r="D3302" t="s">
        <v>7409</v>
      </c>
      <c r="E3302" s="10" t="s">
        <v>7424</v>
      </c>
      <c r="F3302" s="10"/>
      <c r="G3302" s="10"/>
      <c r="H3302" s="10" t="s">
        <v>7424</v>
      </c>
      <c r="I3302" s="14">
        <v>40387.468109778361</v>
      </c>
      <c r="J3302" s="19">
        <v>0</v>
      </c>
      <c r="K3302" s="19">
        <v>9.4329274494664656E-4</v>
      </c>
      <c r="L3302" s="19">
        <v>0.99905670725505336</v>
      </c>
      <c r="M3302" s="20">
        <v>1</v>
      </c>
      <c r="N3302" s="19">
        <v>9.4329274494664656E-4</v>
      </c>
      <c r="O3302" s="19">
        <v>0</v>
      </c>
      <c r="P3302" s="19">
        <v>0</v>
      </c>
      <c r="Q3302" s="19">
        <v>0.53292716587465472</v>
      </c>
      <c r="R3302" s="19">
        <v>0.41232588283166188</v>
      </c>
      <c r="S3302" s="19">
        <v>5.3803658548736748E-2</v>
      </c>
      <c r="T3302" s="20">
        <v>13</v>
      </c>
      <c r="U3302" s="17">
        <v>3</v>
      </c>
      <c r="V3302" s="17">
        <v>36</v>
      </c>
    </row>
    <row r="3303" spans="1:22" x14ac:dyDescent="0.2">
      <c r="A3303" t="s">
        <v>7425</v>
      </c>
      <c r="B3303" t="s">
        <v>5862</v>
      </c>
      <c r="C3303" t="s">
        <v>5863</v>
      </c>
      <c r="D3303" t="s">
        <v>7409</v>
      </c>
      <c r="E3303" s="10" t="s">
        <v>7426</v>
      </c>
      <c r="F3303" s="10"/>
      <c r="G3303" s="10"/>
      <c r="H3303" s="10" t="s">
        <v>7426</v>
      </c>
      <c r="I3303" s="14">
        <v>18730.030281732325</v>
      </c>
      <c r="J3303" s="19">
        <v>0</v>
      </c>
      <c r="K3303" s="19">
        <v>0</v>
      </c>
      <c r="L3303" s="19">
        <v>1</v>
      </c>
      <c r="M3303" s="20">
        <v>1</v>
      </c>
      <c r="N3303" s="19">
        <v>0</v>
      </c>
      <c r="O3303" s="19">
        <v>0</v>
      </c>
      <c r="P3303" s="19">
        <v>0</v>
      </c>
      <c r="Q3303" s="19">
        <v>0.23954524755301226</v>
      </c>
      <c r="R3303" s="19">
        <v>0.67545911948490966</v>
      </c>
      <c r="S3303" s="19">
        <v>8.4995632962078127E-2</v>
      </c>
      <c r="T3303" s="20">
        <v>12</v>
      </c>
      <c r="U3303" s="17">
        <v>3</v>
      </c>
      <c r="V3303" s="17">
        <v>36</v>
      </c>
    </row>
    <row r="3304" spans="1:22" x14ac:dyDescent="0.2">
      <c r="A3304" t="s">
        <v>7427</v>
      </c>
      <c r="B3304" t="s">
        <v>5862</v>
      </c>
      <c r="C3304" t="s">
        <v>5863</v>
      </c>
      <c r="D3304" t="s">
        <v>7409</v>
      </c>
      <c r="E3304" s="10" t="s">
        <v>7428</v>
      </c>
      <c r="F3304" s="10"/>
      <c r="G3304" s="10"/>
      <c r="H3304" s="10" t="s">
        <v>7428</v>
      </c>
      <c r="I3304" s="14">
        <v>160820.92488348857</v>
      </c>
      <c r="J3304" s="19">
        <v>0</v>
      </c>
      <c r="K3304" s="19">
        <v>0.45038384365482681</v>
      </c>
      <c r="L3304" s="19">
        <v>0.54961615634517313</v>
      </c>
      <c r="M3304" s="20">
        <v>1</v>
      </c>
      <c r="N3304" s="19">
        <v>0.26062202372140542</v>
      </c>
      <c r="O3304" s="19">
        <v>0</v>
      </c>
      <c r="P3304" s="19">
        <v>0.18976181993342142</v>
      </c>
      <c r="Q3304" s="19">
        <v>0.1102957325845164</v>
      </c>
      <c r="R3304" s="19">
        <v>0.39692192030036166</v>
      </c>
      <c r="S3304" s="19">
        <v>4.2398503460295105E-2</v>
      </c>
      <c r="T3304" s="20">
        <v>12</v>
      </c>
      <c r="U3304" s="17">
        <v>3</v>
      </c>
      <c r="V3304" s="17">
        <v>36</v>
      </c>
    </row>
    <row r="3305" spans="1:22" x14ac:dyDescent="0.2">
      <c r="A3305" t="s">
        <v>7429</v>
      </c>
      <c r="B3305" t="s">
        <v>5862</v>
      </c>
      <c r="C3305" t="s">
        <v>5863</v>
      </c>
      <c r="D3305" t="s">
        <v>7409</v>
      </c>
      <c r="E3305" s="10" t="s">
        <v>7430</v>
      </c>
      <c r="F3305" s="10"/>
      <c r="G3305" s="10"/>
      <c r="H3305" s="10" t="s">
        <v>7430</v>
      </c>
      <c r="I3305" s="14">
        <v>97519.120724309352</v>
      </c>
      <c r="J3305" s="19">
        <v>0</v>
      </c>
      <c r="K3305" s="19">
        <v>0.14660919634119832</v>
      </c>
      <c r="L3305" s="19">
        <v>0.8533908036588016</v>
      </c>
      <c r="M3305" s="20">
        <v>1</v>
      </c>
      <c r="N3305" s="19">
        <v>7.9396765546236259E-2</v>
      </c>
      <c r="O3305" s="19">
        <v>0</v>
      </c>
      <c r="P3305" s="19">
        <v>6.7212430794962058E-2</v>
      </c>
      <c r="Q3305" s="19">
        <v>0.25106232180491239</v>
      </c>
      <c r="R3305" s="19">
        <v>0.54584380637373675</v>
      </c>
      <c r="S3305" s="19">
        <v>5.6484675480152569E-2</v>
      </c>
      <c r="T3305" s="20">
        <v>12</v>
      </c>
      <c r="U3305" s="17">
        <v>3</v>
      </c>
      <c r="V3305" s="17">
        <v>36</v>
      </c>
    </row>
    <row r="3306" spans="1:22" x14ac:dyDescent="0.2">
      <c r="A3306" t="s">
        <v>7431</v>
      </c>
      <c r="B3306" t="s">
        <v>5862</v>
      </c>
      <c r="C3306" t="s">
        <v>5863</v>
      </c>
      <c r="D3306" t="s">
        <v>7409</v>
      </c>
      <c r="E3306" s="10" t="s">
        <v>7432</v>
      </c>
      <c r="F3306" s="10"/>
      <c r="G3306" s="10"/>
      <c r="H3306" s="10" t="s">
        <v>7432</v>
      </c>
      <c r="I3306" s="14">
        <v>59688.806439967353</v>
      </c>
      <c r="J3306" s="19">
        <v>0</v>
      </c>
      <c r="K3306" s="19">
        <v>0.23232175582039494</v>
      </c>
      <c r="L3306" s="19">
        <v>0.76767824417960506</v>
      </c>
      <c r="M3306" s="20">
        <v>1</v>
      </c>
      <c r="N3306" s="19">
        <v>9.736428050460029E-2</v>
      </c>
      <c r="O3306" s="19">
        <v>0</v>
      </c>
      <c r="P3306" s="19">
        <v>0.13495747531579463</v>
      </c>
      <c r="Q3306" s="19">
        <v>0.36099545728336668</v>
      </c>
      <c r="R3306" s="19">
        <v>0.36777062453656001</v>
      </c>
      <c r="S3306" s="19">
        <v>3.8912162359678489E-2</v>
      </c>
      <c r="T3306" s="20">
        <v>12</v>
      </c>
      <c r="U3306" s="17">
        <v>3</v>
      </c>
      <c r="V3306" s="17">
        <v>36</v>
      </c>
    </row>
    <row r="3307" spans="1:22" x14ac:dyDescent="0.2">
      <c r="A3307" t="s">
        <v>7433</v>
      </c>
      <c r="B3307" t="s">
        <v>5862</v>
      </c>
      <c r="C3307" t="s">
        <v>5863</v>
      </c>
      <c r="D3307" t="s">
        <v>7409</v>
      </c>
      <c r="E3307" s="10" t="s">
        <v>7434</v>
      </c>
      <c r="F3307" s="10"/>
      <c r="G3307" s="10"/>
      <c r="H3307" s="10" t="s">
        <v>7434</v>
      </c>
      <c r="I3307" s="14">
        <v>34323.800639789086</v>
      </c>
      <c r="J3307" s="19">
        <v>0</v>
      </c>
      <c r="K3307" s="19">
        <v>0.19010014270778902</v>
      </c>
      <c r="L3307" s="19">
        <v>0.80989985729221092</v>
      </c>
      <c r="M3307" s="20">
        <v>1</v>
      </c>
      <c r="N3307" s="19">
        <v>0</v>
      </c>
      <c r="O3307" s="19">
        <v>0.19010014270778902</v>
      </c>
      <c r="P3307" s="19">
        <v>0</v>
      </c>
      <c r="Q3307" s="19">
        <v>0.32381815835028205</v>
      </c>
      <c r="R3307" s="19">
        <v>0.44473958281782616</v>
      </c>
      <c r="S3307" s="19">
        <v>4.1342116124102816E-2</v>
      </c>
      <c r="T3307" s="20">
        <v>12</v>
      </c>
      <c r="U3307" s="17">
        <v>3</v>
      </c>
      <c r="V3307" s="17">
        <v>36</v>
      </c>
    </row>
    <row r="3308" spans="1:22" x14ac:dyDescent="0.2">
      <c r="A3308" t="s">
        <v>7435</v>
      </c>
      <c r="B3308" t="s">
        <v>5862</v>
      </c>
      <c r="C3308" t="s">
        <v>5863</v>
      </c>
      <c r="D3308" t="s">
        <v>7409</v>
      </c>
      <c r="E3308" s="10" t="s">
        <v>7436</v>
      </c>
      <c r="F3308" s="10"/>
      <c r="G3308" s="10"/>
      <c r="H3308" s="10" t="s">
        <v>7436</v>
      </c>
      <c r="I3308" s="14">
        <v>77660.212964097271</v>
      </c>
      <c r="J3308" s="19">
        <v>0</v>
      </c>
      <c r="K3308" s="19">
        <v>0.13530300185222457</v>
      </c>
      <c r="L3308" s="19">
        <v>0.86469699814777545</v>
      </c>
      <c r="M3308" s="20">
        <v>1</v>
      </c>
      <c r="N3308" s="19">
        <v>7.098543874979811E-2</v>
      </c>
      <c r="O3308" s="19">
        <v>0</v>
      </c>
      <c r="P3308" s="19">
        <v>6.4317563102426464E-2</v>
      </c>
      <c r="Q3308" s="19">
        <v>0.36696829575262102</v>
      </c>
      <c r="R3308" s="19">
        <v>0.43600786965117933</v>
      </c>
      <c r="S3308" s="19">
        <v>6.1720832743975114E-2</v>
      </c>
      <c r="T3308" s="20">
        <v>12</v>
      </c>
      <c r="U3308" s="17">
        <v>3</v>
      </c>
      <c r="V3308" s="17">
        <v>36</v>
      </c>
    </row>
    <row r="3309" spans="1:22" x14ac:dyDescent="0.2">
      <c r="A3309" t="s">
        <v>7437</v>
      </c>
      <c r="B3309" t="s">
        <v>5862</v>
      </c>
      <c r="C3309" t="s">
        <v>5863</v>
      </c>
      <c r="D3309" t="s">
        <v>7409</v>
      </c>
      <c r="E3309" s="10" t="s">
        <v>7438</v>
      </c>
      <c r="F3309" s="10"/>
      <c r="G3309" s="10"/>
      <c r="H3309" s="10" t="s">
        <v>7438</v>
      </c>
      <c r="I3309" s="14">
        <v>29035.645252568647</v>
      </c>
      <c r="J3309" s="19">
        <v>0</v>
      </c>
      <c r="K3309" s="19">
        <v>0.18782632818216852</v>
      </c>
      <c r="L3309" s="19">
        <v>0.81217367181783151</v>
      </c>
      <c r="M3309" s="20">
        <v>1</v>
      </c>
      <c r="N3309" s="19">
        <v>0</v>
      </c>
      <c r="O3309" s="19">
        <v>0.18782632818216852</v>
      </c>
      <c r="P3309" s="19">
        <v>0</v>
      </c>
      <c r="Q3309" s="19">
        <v>0.3018859301219729</v>
      </c>
      <c r="R3309" s="19">
        <v>0.45859811896749142</v>
      </c>
      <c r="S3309" s="19">
        <v>5.1689622728367191E-2</v>
      </c>
      <c r="T3309" s="20">
        <v>12</v>
      </c>
      <c r="U3309" s="17">
        <v>3</v>
      </c>
      <c r="V3309" s="17">
        <v>36</v>
      </c>
    </row>
    <row r="3310" spans="1:22" x14ac:dyDescent="0.2">
      <c r="A3310" t="s">
        <v>7439</v>
      </c>
      <c r="B3310" t="s">
        <v>5862</v>
      </c>
      <c r="C3310" t="s">
        <v>5863</v>
      </c>
      <c r="D3310" t="s">
        <v>7409</v>
      </c>
      <c r="E3310" s="10" t="s">
        <v>7440</v>
      </c>
      <c r="F3310" s="10"/>
      <c r="G3310" s="10"/>
      <c r="H3310" s="10" t="s">
        <v>7440</v>
      </c>
      <c r="I3310" s="14">
        <v>89840.767457125243</v>
      </c>
      <c r="J3310" s="19">
        <v>0</v>
      </c>
      <c r="K3310" s="19">
        <v>0.14011052662468093</v>
      </c>
      <c r="L3310" s="19">
        <v>0.85988947337531907</v>
      </c>
      <c r="M3310" s="20">
        <v>1</v>
      </c>
      <c r="N3310" s="19">
        <v>8.0466643570913474E-2</v>
      </c>
      <c r="O3310" s="19">
        <v>0</v>
      </c>
      <c r="P3310" s="19">
        <v>5.9643883053767437E-2</v>
      </c>
      <c r="Q3310" s="19">
        <v>0.34834070856349292</v>
      </c>
      <c r="R3310" s="19">
        <v>0.46214450387919132</v>
      </c>
      <c r="S3310" s="19">
        <v>4.9404260932634864E-2</v>
      </c>
      <c r="T3310" s="20">
        <v>12</v>
      </c>
      <c r="U3310" s="17">
        <v>3</v>
      </c>
      <c r="V3310" s="17">
        <v>36</v>
      </c>
    </row>
    <row r="3311" spans="1:22" x14ac:dyDescent="0.2">
      <c r="A3311" t="s">
        <v>7441</v>
      </c>
      <c r="B3311" t="s">
        <v>5862</v>
      </c>
      <c r="C3311" t="s">
        <v>5863</v>
      </c>
      <c r="D3311" t="s">
        <v>7409</v>
      </c>
      <c r="E3311" s="10" t="s">
        <v>7442</v>
      </c>
      <c r="F3311" s="10"/>
      <c r="G3311" s="10"/>
      <c r="H3311" s="10" t="s">
        <v>7442</v>
      </c>
      <c r="I3311" s="14">
        <v>62728.425438298378</v>
      </c>
      <c r="J3311" s="19">
        <v>0</v>
      </c>
      <c r="K3311" s="19">
        <v>0.16561455263144267</v>
      </c>
      <c r="L3311" s="19">
        <v>0.83438544736855735</v>
      </c>
      <c r="M3311" s="20">
        <v>1</v>
      </c>
      <c r="N3311" s="19">
        <v>8.834915155573278E-2</v>
      </c>
      <c r="O3311" s="19">
        <v>0</v>
      </c>
      <c r="P3311" s="19">
        <v>7.726540107570988E-2</v>
      </c>
      <c r="Q3311" s="19">
        <v>0.37008597084242773</v>
      </c>
      <c r="R3311" s="19">
        <v>0.41064035493036438</v>
      </c>
      <c r="S3311" s="19">
        <v>5.3659121595765198E-2</v>
      </c>
      <c r="T3311" s="20">
        <v>12</v>
      </c>
      <c r="U3311" s="17">
        <v>3</v>
      </c>
      <c r="V3311" s="17">
        <v>36</v>
      </c>
    </row>
    <row r="3312" spans="1:22" x14ac:dyDescent="0.2">
      <c r="A3312" t="s">
        <v>7443</v>
      </c>
      <c r="B3312" t="s">
        <v>5862</v>
      </c>
      <c r="C3312" t="s">
        <v>5863</v>
      </c>
      <c r="D3312" t="s">
        <v>7444</v>
      </c>
      <c r="E3312" s="10" t="s">
        <v>7445</v>
      </c>
      <c r="F3312" s="10"/>
      <c r="G3312" s="10"/>
      <c r="H3312" s="10" t="s">
        <v>7445</v>
      </c>
      <c r="I3312" s="14">
        <v>50557.358827513643</v>
      </c>
      <c r="J3312" s="19">
        <v>0</v>
      </c>
      <c r="K3312" s="19">
        <v>0.37884803114285065</v>
      </c>
      <c r="L3312" s="19">
        <v>0.62115196885714929</v>
      </c>
      <c r="M3312" s="20">
        <v>1</v>
      </c>
      <c r="N3312" s="19">
        <v>0</v>
      </c>
      <c r="O3312" s="19">
        <v>0.37884803114285065</v>
      </c>
      <c r="P3312" s="19">
        <v>0</v>
      </c>
      <c r="Q3312" s="19">
        <v>0.24496633994979625</v>
      </c>
      <c r="R3312" s="19">
        <v>0.30663745884712168</v>
      </c>
      <c r="S3312" s="19">
        <v>6.9548170060231437E-2</v>
      </c>
      <c r="T3312" s="20">
        <v>12</v>
      </c>
      <c r="U3312" s="17">
        <v>3</v>
      </c>
      <c r="V3312" s="17">
        <v>36</v>
      </c>
    </row>
    <row r="3313" spans="1:22" x14ac:dyDescent="0.2">
      <c r="A3313" t="s">
        <v>7446</v>
      </c>
      <c r="B3313" t="s">
        <v>5862</v>
      </c>
      <c r="C3313" t="s">
        <v>5863</v>
      </c>
      <c r="D3313" t="s">
        <v>7444</v>
      </c>
      <c r="E3313" s="10" t="s">
        <v>7447</v>
      </c>
      <c r="F3313" s="10"/>
      <c r="G3313" s="10"/>
      <c r="H3313" s="10" t="s">
        <v>7447</v>
      </c>
      <c r="I3313" s="14">
        <v>32535.578361009248</v>
      </c>
      <c r="J3313" s="19">
        <v>0</v>
      </c>
      <c r="K3313" s="19">
        <v>0.23594161525319329</v>
      </c>
      <c r="L3313" s="19">
        <v>0.76405838474680676</v>
      </c>
      <c r="M3313" s="20">
        <v>1</v>
      </c>
      <c r="N3313" s="19">
        <v>0</v>
      </c>
      <c r="O3313" s="19">
        <v>0.23594161525319329</v>
      </c>
      <c r="P3313" s="19">
        <v>0</v>
      </c>
      <c r="Q3313" s="19">
        <v>0.20048583780873977</v>
      </c>
      <c r="R3313" s="19">
        <v>0.4953452277002573</v>
      </c>
      <c r="S3313" s="19">
        <v>6.8227319237809683E-2</v>
      </c>
      <c r="T3313" s="20">
        <v>12</v>
      </c>
      <c r="U3313" s="17">
        <v>3</v>
      </c>
      <c r="V3313" s="17">
        <v>36</v>
      </c>
    </row>
    <row r="3314" spans="1:22" x14ac:dyDescent="0.2">
      <c r="A3314" t="s">
        <v>7448</v>
      </c>
      <c r="B3314" t="s">
        <v>5862</v>
      </c>
      <c r="C3314" t="s">
        <v>5863</v>
      </c>
      <c r="D3314" t="s">
        <v>7444</v>
      </c>
      <c r="E3314" s="10" t="s">
        <v>7449</v>
      </c>
      <c r="F3314" s="10"/>
      <c r="G3314" s="10"/>
      <c r="H3314" s="10" t="s">
        <v>7449</v>
      </c>
      <c r="I3314" s="14">
        <v>47846.380621617536</v>
      </c>
      <c r="J3314" s="19">
        <v>0</v>
      </c>
      <c r="K3314" s="19">
        <v>0.56651381172737447</v>
      </c>
      <c r="L3314" s="19">
        <v>0.43348618827262569</v>
      </c>
      <c r="M3314" s="20">
        <v>2</v>
      </c>
      <c r="N3314" s="19">
        <v>0.32544130737681365</v>
      </c>
      <c r="O3314" s="19">
        <v>0.10413992688739418</v>
      </c>
      <c r="P3314" s="19">
        <v>0.13693257746316667</v>
      </c>
      <c r="Q3314" s="19">
        <v>5.0060045603032302E-2</v>
      </c>
      <c r="R3314" s="19">
        <v>0.25784163128947662</v>
      </c>
      <c r="S3314" s="19">
        <v>0.1255845113801167</v>
      </c>
      <c r="T3314" s="20">
        <v>23</v>
      </c>
      <c r="U3314" s="17">
        <v>3</v>
      </c>
      <c r="V3314" s="17">
        <v>36</v>
      </c>
    </row>
    <row r="3315" spans="1:22" x14ac:dyDescent="0.2">
      <c r="A3315" t="s">
        <v>7450</v>
      </c>
      <c r="B3315" t="s">
        <v>5862</v>
      </c>
      <c r="C3315" t="s">
        <v>5863</v>
      </c>
      <c r="D3315" t="s">
        <v>7444</v>
      </c>
      <c r="E3315" s="10" t="s">
        <v>7451</v>
      </c>
      <c r="F3315" s="10"/>
      <c r="G3315" s="10"/>
      <c r="H3315" s="10" t="s">
        <v>7451</v>
      </c>
      <c r="I3315" s="14">
        <v>114501.24440891983</v>
      </c>
      <c r="J3315" s="19">
        <v>8.80822364184871E-2</v>
      </c>
      <c r="K3315" s="19">
        <v>0.61810303634196706</v>
      </c>
      <c r="L3315" s="19">
        <v>0.29381472723954588</v>
      </c>
      <c r="M3315" s="20">
        <v>2</v>
      </c>
      <c r="N3315" s="19">
        <v>0.30033153651825972</v>
      </c>
      <c r="O3315" s="19">
        <v>0.12606134694177798</v>
      </c>
      <c r="P3315" s="19">
        <v>0.1917101528819293</v>
      </c>
      <c r="Q3315" s="19">
        <v>7.1498814917506134E-2</v>
      </c>
      <c r="R3315" s="19">
        <v>0.16432579976766365</v>
      </c>
      <c r="S3315" s="19">
        <v>5.7990112554376111E-2</v>
      </c>
      <c r="T3315" s="20">
        <v>23</v>
      </c>
      <c r="U3315" s="17">
        <v>3</v>
      </c>
      <c r="V3315" s="17">
        <v>36</v>
      </c>
    </row>
    <row r="3316" spans="1:22" x14ac:dyDescent="0.2">
      <c r="A3316" t="s">
        <v>7452</v>
      </c>
      <c r="B3316" t="s">
        <v>5862</v>
      </c>
      <c r="C3316" t="s">
        <v>5863</v>
      </c>
      <c r="D3316" t="s">
        <v>7444</v>
      </c>
      <c r="E3316" s="10" t="s">
        <v>7453</v>
      </c>
      <c r="F3316" s="10"/>
      <c r="G3316" s="10"/>
      <c r="H3316" s="10" t="s">
        <v>7453</v>
      </c>
      <c r="I3316" s="14">
        <v>121472.69817870529</v>
      </c>
      <c r="J3316" s="19">
        <v>0</v>
      </c>
      <c r="K3316" s="19">
        <v>0.55359717097041294</v>
      </c>
      <c r="L3316" s="19">
        <v>0.446402829029587</v>
      </c>
      <c r="M3316" s="20">
        <v>2</v>
      </c>
      <c r="N3316" s="19">
        <v>0.33886951989418201</v>
      </c>
      <c r="O3316" s="19">
        <v>3.6618341930381786E-4</v>
      </c>
      <c r="P3316" s="19">
        <v>0.21436146765692718</v>
      </c>
      <c r="Q3316" s="19">
        <v>8.8865618679640754E-2</v>
      </c>
      <c r="R3316" s="19">
        <v>0.29847804816893736</v>
      </c>
      <c r="S3316" s="19">
        <v>5.9059162181008928E-2</v>
      </c>
      <c r="T3316" s="20">
        <v>23</v>
      </c>
      <c r="U3316" s="17">
        <v>3</v>
      </c>
      <c r="V3316" s="17">
        <v>36</v>
      </c>
    </row>
    <row r="3317" spans="1:22" x14ac:dyDescent="0.2">
      <c r="A3317" t="s">
        <v>7454</v>
      </c>
      <c r="B3317" t="s">
        <v>5862</v>
      </c>
      <c r="C3317" t="s">
        <v>5863</v>
      </c>
      <c r="D3317" t="s">
        <v>7444</v>
      </c>
      <c r="E3317" s="10" t="s">
        <v>7455</v>
      </c>
      <c r="F3317" s="10"/>
      <c r="G3317" s="10"/>
      <c r="H3317" s="10" t="s">
        <v>7455</v>
      </c>
      <c r="I3317" s="14">
        <v>49831.900193443289</v>
      </c>
      <c r="J3317" s="19">
        <v>0</v>
      </c>
      <c r="K3317" s="19">
        <v>0.14807713597756919</v>
      </c>
      <c r="L3317" s="19">
        <v>0.85192286402243089</v>
      </c>
      <c r="M3317" s="20">
        <v>1</v>
      </c>
      <c r="N3317" s="19">
        <v>0</v>
      </c>
      <c r="O3317" s="19">
        <v>0.14807713597756919</v>
      </c>
      <c r="P3317" s="19">
        <v>0</v>
      </c>
      <c r="Q3317" s="19">
        <v>0.44576459946415986</v>
      </c>
      <c r="R3317" s="19">
        <v>0.31614014957915132</v>
      </c>
      <c r="S3317" s="19">
        <v>9.0018114979119643E-2</v>
      </c>
      <c r="T3317" s="20">
        <v>13</v>
      </c>
      <c r="U3317" s="17">
        <v>3</v>
      </c>
      <c r="V3317" s="17">
        <v>36</v>
      </c>
    </row>
    <row r="3318" spans="1:22" x14ac:dyDescent="0.2">
      <c r="A3318" t="s">
        <v>7456</v>
      </c>
      <c r="B3318" t="s">
        <v>5862</v>
      </c>
      <c r="C3318" t="s">
        <v>5863</v>
      </c>
      <c r="D3318" t="s">
        <v>7444</v>
      </c>
      <c r="E3318" s="10" t="s">
        <v>7457</v>
      </c>
      <c r="F3318" s="10"/>
      <c r="G3318" s="10"/>
      <c r="H3318" s="10" t="s">
        <v>7457</v>
      </c>
      <c r="I3318" s="14">
        <v>36879.24745340948</v>
      </c>
      <c r="J3318" s="19">
        <v>0</v>
      </c>
      <c r="K3318" s="19">
        <v>0.16474246597853279</v>
      </c>
      <c r="L3318" s="19">
        <v>0.83525753402146719</v>
      </c>
      <c r="M3318" s="20">
        <v>1</v>
      </c>
      <c r="N3318" s="19">
        <v>0</v>
      </c>
      <c r="O3318" s="19">
        <v>0.16474246597853279</v>
      </c>
      <c r="P3318" s="19">
        <v>0</v>
      </c>
      <c r="Q3318" s="19">
        <v>0.33632005782347535</v>
      </c>
      <c r="R3318" s="19">
        <v>0.40794173091875385</v>
      </c>
      <c r="S3318" s="19">
        <v>9.0995745279238052E-2</v>
      </c>
      <c r="T3318" s="20">
        <v>12</v>
      </c>
      <c r="U3318" s="17">
        <v>3</v>
      </c>
      <c r="V3318" s="17">
        <v>36</v>
      </c>
    </row>
    <row r="3319" spans="1:22" x14ac:dyDescent="0.2">
      <c r="A3319" t="s">
        <v>7458</v>
      </c>
      <c r="B3319" t="s">
        <v>5862</v>
      </c>
      <c r="C3319" t="s">
        <v>5863</v>
      </c>
      <c r="D3319" t="s">
        <v>7444</v>
      </c>
      <c r="E3319" s="10" t="s">
        <v>7459</v>
      </c>
      <c r="F3319" s="10"/>
      <c r="G3319" s="10"/>
      <c r="H3319" s="10" t="s">
        <v>7459</v>
      </c>
      <c r="I3319" s="14">
        <v>62941.324509770609</v>
      </c>
      <c r="J3319" s="19">
        <v>0</v>
      </c>
      <c r="K3319" s="19">
        <v>0.25843490514738215</v>
      </c>
      <c r="L3319" s="19">
        <v>0.7415650948526179</v>
      </c>
      <c r="M3319" s="20">
        <v>1</v>
      </c>
      <c r="N3319" s="19">
        <v>0.1977236363753424</v>
      </c>
      <c r="O3319" s="19">
        <v>1.3370260224704606E-2</v>
      </c>
      <c r="P3319" s="19">
        <v>4.7341008547335126E-2</v>
      </c>
      <c r="Q3319" s="19">
        <v>0.26403230855064458</v>
      </c>
      <c r="R3319" s="19">
        <v>0.37721296449853547</v>
      </c>
      <c r="S3319" s="19">
        <v>0.10031982180343779</v>
      </c>
      <c r="T3319" s="20">
        <v>12</v>
      </c>
      <c r="U3319" s="17">
        <v>3</v>
      </c>
      <c r="V3319" s="17">
        <v>36</v>
      </c>
    </row>
    <row r="3320" spans="1:22" x14ac:dyDescent="0.2">
      <c r="A3320" t="s">
        <v>7460</v>
      </c>
      <c r="B3320" t="s">
        <v>5862</v>
      </c>
      <c r="C3320" t="s">
        <v>5863</v>
      </c>
      <c r="D3320" t="s">
        <v>7444</v>
      </c>
      <c r="E3320" s="10" t="s">
        <v>7461</v>
      </c>
      <c r="F3320" s="10"/>
      <c r="G3320" s="10"/>
      <c r="H3320" s="10" t="s">
        <v>7461</v>
      </c>
      <c r="I3320" s="14">
        <v>23631.212990910979</v>
      </c>
      <c r="J3320" s="19">
        <v>0</v>
      </c>
      <c r="K3320" s="19">
        <v>0</v>
      </c>
      <c r="L3320" s="19">
        <v>1</v>
      </c>
      <c r="M3320" s="20">
        <v>1</v>
      </c>
      <c r="N3320" s="19">
        <v>0</v>
      </c>
      <c r="O3320" s="19">
        <v>0</v>
      </c>
      <c r="P3320" s="19">
        <v>0</v>
      </c>
      <c r="Q3320" s="19">
        <v>0.31722894786178535</v>
      </c>
      <c r="R3320" s="19">
        <v>0.52458820350172541</v>
      </c>
      <c r="S3320" s="19">
        <v>0.15818284863648929</v>
      </c>
      <c r="T3320" s="20">
        <v>12</v>
      </c>
      <c r="U3320" s="17">
        <v>3</v>
      </c>
      <c r="V3320" s="17">
        <v>36</v>
      </c>
    </row>
    <row r="3321" spans="1:22" x14ac:dyDescent="0.2">
      <c r="A3321" t="s">
        <v>7462</v>
      </c>
      <c r="B3321" t="s">
        <v>5862</v>
      </c>
      <c r="C3321" t="s">
        <v>5863</v>
      </c>
      <c r="D3321" t="s">
        <v>7463</v>
      </c>
      <c r="E3321" s="10" t="s">
        <v>7464</v>
      </c>
      <c r="F3321" s="10"/>
      <c r="G3321" s="10"/>
      <c r="H3321" s="10" t="s">
        <v>7464</v>
      </c>
      <c r="I3321" s="14">
        <v>83975.176774416817</v>
      </c>
      <c r="J3321" s="19">
        <v>0</v>
      </c>
      <c r="K3321" s="19">
        <v>0.22398061635574601</v>
      </c>
      <c r="L3321" s="19">
        <v>0.77601938364425394</v>
      </c>
      <c r="M3321" s="20">
        <v>1</v>
      </c>
      <c r="N3321" s="19">
        <v>7.7993315453153786E-2</v>
      </c>
      <c r="O3321" s="19">
        <v>0</v>
      </c>
      <c r="P3321" s="19">
        <v>0.14598730090259224</v>
      </c>
      <c r="Q3321" s="19">
        <v>0.16568092897892403</v>
      </c>
      <c r="R3321" s="19">
        <v>0.55573844866509348</v>
      </c>
      <c r="S3321" s="19">
        <v>5.4600006000236512E-2</v>
      </c>
      <c r="T3321" s="20">
        <v>12</v>
      </c>
      <c r="U3321" s="17">
        <v>3</v>
      </c>
      <c r="V3321" s="17">
        <v>36</v>
      </c>
    </row>
    <row r="3322" spans="1:22" x14ac:dyDescent="0.2">
      <c r="A3322" t="s">
        <v>7465</v>
      </c>
      <c r="B3322" t="s">
        <v>5862</v>
      </c>
      <c r="C3322" t="s">
        <v>5863</v>
      </c>
      <c r="D3322" t="s">
        <v>7463</v>
      </c>
      <c r="E3322" s="10" t="s">
        <v>7466</v>
      </c>
      <c r="F3322" s="10"/>
      <c r="G3322" s="10"/>
      <c r="H3322" s="10" t="s">
        <v>7466</v>
      </c>
      <c r="I3322" s="14">
        <v>13345.082670714706</v>
      </c>
      <c r="J3322" s="19">
        <v>0</v>
      </c>
      <c r="K3322" s="19">
        <v>0</v>
      </c>
      <c r="L3322" s="19">
        <v>1</v>
      </c>
      <c r="M3322" s="20">
        <v>1</v>
      </c>
      <c r="N3322" s="19">
        <v>0</v>
      </c>
      <c r="O3322" s="19">
        <v>0</v>
      </c>
      <c r="P3322" s="19">
        <v>0</v>
      </c>
      <c r="Q3322" s="19">
        <v>0.31482637199644598</v>
      </c>
      <c r="R3322" s="19">
        <v>0.64064726005513184</v>
      </c>
      <c r="S3322" s="19">
        <v>4.4526367948422171E-2</v>
      </c>
      <c r="T3322" s="20">
        <v>12</v>
      </c>
      <c r="U3322" s="17">
        <v>3</v>
      </c>
      <c r="V3322" s="17">
        <v>36</v>
      </c>
    </row>
    <row r="3323" spans="1:22" x14ac:dyDescent="0.2">
      <c r="A3323" t="s">
        <v>7467</v>
      </c>
      <c r="B3323" t="s">
        <v>5862</v>
      </c>
      <c r="C3323" t="s">
        <v>5863</v>
      </c>
      <c r="D3323" t="s">
        <v>7463</v>
      </c>
      <c r="E3323" s="10" t="s">
        <v>7468</v>
      </c>
      <c r="F3323" s="10"/>
      <c r="G3323" s="10"/>
      <c r="H3323" s="10" t="s">
        <v>7468</v>
      </c>
      <c r="I3323" s="14">
        <v>72943.605518209282</v>
      </c>
      <c r="J3323" s="19">
        <v>0</v>
      </c>
      <c r="K3323" s="19">
        <v>0.48024316195100286</v>
      </c>
      <c r="L3323" s="19">
        <v>0.51975683804899708</v>
      </c>
      <c r="M3323" s="20">
        <v>1</v>
      </c>
      <c r="N3323" s="19">
        <v>0.25636054501758154</v>
      </c>
      <c r="O3323" s="19">
        <v>0</v>
      </c>
      <c r="P3323" s="19">
        <v>0.22388261693342135</v>
      </c>
      <c r="Q3323" s="19">
        <v>7.5446363880974782E-2</v>
      </c>
      <c r="R3323" s="19">
        <v>0.38058381978108724</v>
      </c>
      <c r="S3323" s="19">
        <v>6.3726654386935103E-2</v>
      </c>
      <c r="T3323" s="20">
        <v>12</v>
      </c>
      <c r="U3323" s="17">
        <v>3</v>
      </c>
      <c r="V3323" s="17">
        <v>36</v>
      </c>
    </row>
    <row r="3324" spans="1:22" x14ac:dyDescent="0.2">
      <c r="A3324" t="s">
        <v>7469</v>
      </c>
      <c r="B3324" t="s">
        <v>5862</v>
      </c>
      <c r="C3324" t="s">
        <v>5863</v>
      </c>
      <c r="D3324" t="s">
        <v>7463</v>
      </c>
      <c r="E3324" s="10" t="s">
        <v>7470</v>
      </c>
      <c r="F3324" s="10"/>
      <c r="G3324" s="10"/>
      <c r="H3324" s="10" t="s">
        <v>7470</v>
      </c>
      <c r="I3324" s="14">
        <v>136674.87969216285</v>
      </c>
      <c r="J3324" s="19">
        <v>0.52987772619948781</v>
      </c>
      <c r="K3324" s="19">
        <v>0.22983382990350709</v>
      </c>
      <c r="L3324" s="19">
        <v>0.2402884438970051</v>
      </c>
      <c r="M3324" s="20">
        <v>3</v>
      </c>
      <c r="N3324" s="19">
        <v>0</v>
      </c>
      <c r="O3324" s="19">
        <v>0</v>
      </c>
      <c r="P3324" s="19">
        <v>0.22983382990350709</v>
      </c>
      <c r="Q3324" s="19">
        <v>2.4364537489087866E-2</v>
      </c>
      <c r="R3324" s="19">
        <v>0.19638741365715673</v>
      </c>
      <c r="S3324" s="19">
        <v>1.9536492750760505E-2</v>
      </c>
      <c r="T3324" s="20">
        <v>30</v>
      </c>
      <c r="U3324" s="17">
        <v>3</v>
      </c>
      <c r="V3324" s="17">
        <v>36</v>
      </c>
    </row>
    <row r="3325" spans="1:22" x14ac:dyDescent="0.2">
      <c r="A3325" t="s">
        <v>7471</v>
      </c>
      <c r="B3325" t="s">
        <v>5862</v>
      </c>
      <c r="C3325" t="s">
        <v>5863</v>
      </c>
      <c r="D3325" t="s">
        <v>7463</v>
      </c>
      <c r="E3325" s="10" t="s">
        <v>7472</v>
      </c>
      <c r="F3325" s="10"/>
      <c r="G3325" s="10"/>
      <c r="H3325" s="10" t="s">
        <v>7472</v>
      </c>
      <c r="I3325" s="14">
        <v>39097.451808537822</v>
      </c>
      <c r="J3325" s="19">
        <v>0</v>
      </c>
      <c r="K3325" s="19">
        <v>0.50302224452941979</v>
      </c>
      <c r="L3325" s="19">
        <v>0.49697775547058015</v>
      </c>
      <c r="M3325" s="20">
        <v>2</v>
      </c>
      <c r="N3325" s="19">
        <v>0</v>
      </c>
      <c r="O3325" s="19">
        <v>0</v>
      </c>
      <c r="P3325" s="19">
        <v>0.50302224452941979</v>
      </c>
      <c r="Q3325" s="19">
        <v>0.10969515862824511</v>
      </c>
      <c r="R3325" s="19">
        <v>0.37496592343514656</v>
      </c>
      <c r="S3325" s="19">
        <v>1.2316673407188476E-2</v>
      </c>
      <c r="T3325" s="20">
        <v>21</v>
      </c>
      <c r="U3325" s="17">
        <v>3</v>
      </c>
      <c r="V3325" s="17">
        <v>36</v>
      </c>
    </row>
    <row r="3326" spans="1:22" x14ac:dyDescent="0.2">
      <c r="A3326" t="s">
        <v>7473</v>
      </c>
      <c r="B3326" t="s">
        <v>5862</v>
      </c>
      <c r="C3326" t="s">
        <v>5863</v>
      </c>
      <c r="D3326" t="s">
        <v>7463</v>
      </c>
      <c r="E3326" s="10" t="s">
        <v>7474</v>
      </c>
      <c r="F3326" s="10"/>
      <c r="G3326" s="10"/>
      <c r="H3326" s="10" t="s">
        <v>7474</v>
      </c>
      <c r="I3326" s="14">
        <v>57304.758276192006</v>
      </c>
      <c r="J3326" s="19">
        <v>0</v>
      </c>
      <c r="K3326" s="19">
        <v>0.12919080762454238</v>
      </c>
      <c r="L3326" s="19">
        <v>0.87080919237545762</v>
      </c>
      <c r="M3326" s="20">
        <v>1</v>
      </c>
      <c r="N3326" s="19">
        <v>5.4970748553544412E-3</v>
      </c>
      <c r="O3326" s="19">
        <v>0.10628728498281032</v>
      </c>
      <c r="P3326" s="19">
        <v>1.7406447786377621E-2</v>
      </c>
      <c r="Q3326" s="19">
        <v>0.24988190289496817</v>
      </c>
      <c r="R3326" s="19">
        <v>0.52606393687495989</v>
      </c>
      <c r="S3326" s="19">
        <v>9.4863352605529527E-2</v>
      </c>
      <c r="T3326" s="20">
        <v>12</v>
      </c>
      <c r="U3326" s="17">
        <v>3</v>
      </c>
      <c r="V3326" s="17">
        <v>36</v>
      </c>
    </row>
    <row r="3327" spans="1:22" x14ac:dyDescent="0.2">
      <c r="A3327" t="s">
        <v>7475</v>
      </c>
      <c r="B3327" t="s">
        <v>5862</v>
      </c>
      <c r="C3327" t="s">
        <v>5863</v>
      </c>
      <c r="D3327" t="s">
        <v>7463</v>
      </c>
      <c r="E3327" s="10" t="s">
        <v>7476</v>
      </c>
      <c r="F3327" s="10"/>
      <c r="G3327" s="10"/>
      <c r="H3327" s="10" t="s">
        <v>7476</v>
      </c>
      <c r="I3327" s="14">
        <v>24057.650576534099</v>
      </c>
      <c r="J3327" s="19">
        <v>0</v>
      </c>
      <c r="K3327" s="19">
        <v>7.7863473553977949E-2</v>
      </c>
      <c r="L3327" s="19">
        <v>0.92213652644602206</v>
      </c>
      <c r="M3327" s="20">
        <v>1</v>
      </c>
      <c r="N3327" s="19">
        <v>0</v>
      </c>
      <c r="O3327" s="19">
        <v>7.7863473553977949E-2</v>
      </c>
      <c r="P3327" s="19">
        <v>0</v>
      </c>
      <c r="Q3327" s="19">
        <v>0.16898545210607238</v>
      </c>
      <c r="R3327" s="19">
        <v>0.69601271900440753</v>
      </c>
      <c r="S3327" s="19">
        <v>5.7138355335542179E-2</v>
      </c>
      <c r="T3327" s="20">
        <v>12</v>
      </c>
      <c r="U3327" s="17">
        <v>3</v>
      </c>
      <c r="V3327" s="17">
        <v>36</v>
      </c>
    </row>
    <row r="3328" spans="1:22" x14ac:dyDescent="0.2">
      <c r="A3328" t="s">
        <v>7477</v>
      </c>
      <c r="B3328" t="s">
        <v>5862</v>
      </c>
      <c r="C3328" t="s">
        <v>5863</v>
      </c>
      <c r="D3328" t="s">
        <v>7463</v>
      </c>
      <c r="E3328" s="10" t="s">
        <v>7478</v>
      </c>
      <c r="F3328" s="10"/>
      <c r="G3328" s="10"/>
      <c r="H3328" s="10" t="s">
        <v>7478</v>
      </c>
      <c r="I3328" s="14">
        <v>28950.38924445794</v>
      </c>
      <c r="J3328" s="19">
        <v>0</v>
      </c>
      <c r="K3328" s="19">
        <v>0</v>
      </c>
      <c r="L3328" s="19">
        <v>1</v>
      </c>
      <c r="M3328" s="20">
        <v>1</v>
      </c>
      <c r="N3328" s="19">
        <v>0</v>
      </c>
      <c r="O3328" s="19">
        <v>0</v>
      </c>
      <c r="P3328" s="19">
        <v>0</v>
      </c>
      <c r="Q3328" s="19">
        <v>0.20272837781760558</v>
      </c>
      <c r="R3328" s="19">
        <v>0.64553843591251303</v>
      </c>
      <c r="S3328" s="19">
        <v>0.15173318626988136</v>
      </c>
      <c r="T3328" s="20">
        <v>12</v>
      </c>
      <c r="U3328" s="17">
        <v>3</v>
      </c>
      <c r="V3328" s="17">
        <v>36</v>
      </c>
    </row>
    <row r="3329" spans="1:22" x14ac:dyDescent="0.2">
      <c r="A3329" t="s">
        <v>7479</v>
      </c>
      <c r="B3329" t="s">
        <v>5862</v>
      </c>
      <c r="C3329" t="s">
        <v>5863</v>
      </c>
      <c r="D3329" t="s">
        <v>7463</v>
      </c>
      <c r="E3329" s="10" t="s">
        <v>7480</v>
      </c>
      <c r="F3329" s="10"/>
      <c r="G3329" s="10"/>
      <c r="H3329" s="10" t="s">
        <v>7480</v>
      </c>
      <c r="I3329" s="14">
        <v>33590.698236169759</v>
      </c>
      <c r="J3329" s="19">
        <v>0</v>
      </c>
      <c r="K3329" s="19">
        <v>0</v>
      </c>
      <c r="L3329" s="19">
        <v>1</v>
      </c>
      <c r="M3329" s="20">
        <v>1</v>
      </c>
      <c r="N3329" s="19">
        <v>0</v>
      </c>
      <c r="O3329" s="19">
        <v>0</v>
      </c>
      <c r="P3329" s="19">
        <v>0</v>
      </c>
      <c r="Q3329" s="19">
        <v>0.15903844132895176</v>
      </c>
      <c r="R3329" s="19">
        <v>0.69882971878593758</v>
      </c>
      <c r="S3329" s="19">
        <v>0.14213183988511063</v>
      </c>
      <c r="T3329" s="20">
        <v>12</v>
      </c>
      <c r="U3329" s="17">
        <v>3</v>
      </c>
      <c r="V3329" s="17">
        <v>36</v>
      </c>
    </row>
    <row r="3330" spans="1:22" x14ac:dyDescent="0.2">
      <c r="A3330" t="s">
        <v>7481</v>
      </c>
      <c r="B3330" t="s">
        <v>5862</v>
      </c>
      <c r="C3330" t="s">
        <v>5863</v>
      </c>
      <c r="D3330" t="s">
        <v>7463</v>
      </c>
      <c r="E3330" s="10" t="s">
        <v>7482</v>
      </c>
      <c r="F3330" s="10"/>
      <c r="G3330" s="10"/>
      <c r="H3330" s="10" t="s">
        <v>7482</v>
      </c>
      <c r="I3330" s="14">
        <v>58930.700009461027</v>
      </c>
      <c r="J3330" s="19">
        <v>0</v>
      </c>
      <c r="K3330" s="19">
        <v>0.31845179153013176</v>
      </c>
      <c r="L3330" s="19">
        <v>0.68154820846986841</v>
      </c>
      <c r="M3330" s="20">
        <v>1</v>
      </c>
      <c r="N3330" s="19">
        <v>0.14546273607107968</v>
      </c>
      <c r="O3330" s="19">
        <v>0</v>
      </c>
      <c r="P3330" s="19">
        <v>0.17298905545905205</v>
      </c>
      <c r="Q3330" s="19">
        <v>0.11770118637779353</v>
      </c>
      <c r="R3330" s="19">
        <v>0.52808467789298752</v>
      </c>
      <c r="S3330" s="19">
        <v>3.5762344199087165E-2</v>
      </c>
      <c r="T3330" s="20">
        <v>12</v>
      </c>
      <c r="U3330" s="17">
        <v>3</v>
      </c>
      <c r="V3330" s="17">
        <v>36</v>
      </c>
    </row>
    <row r="3331" spans="1:22" x14ac:dyDescent="0.2">
      <c r="A3331" t="s">
        <v>7483</v>
      </c>
      <c r="B3331" t="s">
        <v>5862</v>
      </c>
      <c r="C3331" t="s">
        <v>5863</v>
      </c>
      <c r="D3331" t="s">
        <v>7484</v>
      </c>
      <c r="E3331" s="10" t="s">
        <v>7485</v>
      </c>
      <c r="F3331" s="10"/>
      <c r="G3331" s="10"/>
      <c r="H3331" s="10" t="s">
        <v>7485</v>
      </c>
      <c r="I3331" s="14">
        <v>46018.377907041926</v>
      </c>
      <c r="J3331" s="19">
        <v>0</v>
      </c>
      <c r="K3331" s="19">
        <v>0.31752313660125592</v>
      </c>
      <c r="L3331" s="19">
        <v>0.68247686339874403</v>
      </c>
      <c r="M3331" s="20">
        <v>1</v>
      </c>
      <c r="N3331" s="19">
        <v>0.16526379011053979</v>
      </c>
      <c r="O3331" s="19">
        <v>0</v>
      </c>
      <c r="P3331" s="19">
        <v>0.1522593464907161</v>
      </c>
      <c r="Q3331" s="19">
        <v>0.17307805364887249</v>
      </c>
      <c r="R3331" s="19">
        <v>0.41640845364103413</v>
      </c>
      <c r="S3331" s="19">
        <v>9.2990356108837449E-2</v>
      </c>
      <c r="T3331" s="20">
        <v>12</v>
      </c>
      <c r="U3331" s="17">
        <v>3</v>
      </c>
      <c r="V3331" s="17">
        <v>36</v>
      </c>
    </row>
    <row r="3332" spans="1:22" x14ac:dyDescent="0.2">
      <c r="A3332" t="s">
        <v>7486</v>
      </c>
      <c r="B3332" t="s">
        <v>5862</v>
      </c>
      <c r="C3332" t="s">
        <v>5863</v>
      </c>
      <c r="D3332" t="s">
        <v>7484</v>
      </c>
      <c r="E3332" s="10" t="s">
        <v>7487</v>
      </c>
      <c r="F3332" s="10"/>
      <c r="G3332" s="10"/>
      <c r="H3332" s="10" t="s">
        <v>7487</v>
      </c>
      <c r="I3332" s="14">
        <v>5020.3699866133975</v>
      </c>
      <c r="J3332" s="19">
        <v>0</v>
      </c>
      <c r="K3332" s="19">
        <v>0</v>
      </c>
      <c r="L3332" s="19">
        <v>1</v>
      </c>
      <c r="M3332" s="20">
        <v>1</v>
      </c>
      <c r="N3332" s="19">
        <v>0</v>
      </c>
      <c r="O3332" s="19">
        <v>0</v>
      </c>
      <c r="P3332" s="19">
        <v>0</v>
      </c>
      <c r="Q3332" s="19">
        <v>0.2461346928421119</v>
      </c>
      <c r="R3332" s="19">
        <v>0.60868876101036073</v>
      </c>
      <c r="S3332" s="19">
        <v>0.14517654614752748</v>
      </c>
      <c r="T3332" s="20">
        <v>12</v>
      </c>
      <c r="U3332" s="17">
        <v>3</v>
      </c>
      <c r="V3332" s="17">
        <v>36</v>
      </c>
    </row>
    <row r="3333" spans="1:22" x14ac:dyDescent="0.2">
      <c r="A3333" t="s">
        <v>7488</v>
      </c>
      <c r="B3333" t="s">
        <v>5862</v>
      </c>
      <c r="C3333" t="s">
        <v>5863</v>
      </c>
      <c r="D3333" t="s">
        <v>7484</v>
      </c>
      <c r="E3333" s="10" t="s">
        <v>7489</v>
      </c>
      <c r="F3333" s="10"/>
      <c r="G3333" s="10"/>
      <c r="H3333" s="10" t="s">
        <v>7489</v>
      </c>
      <c r="I3333" s="14">
        <v>2309.6166844102554</v>
      </c>
      <c r="J3333" s="19">
        <v>0</v>
      </c>
      <c r="K3333" s="19">
        <v>0</v>
      </c>
      <c r="L3333" s="19">
        <v>1</v>
      </c>
      <c r="M3333" s="20">
        <v>1</v>
      </c>
      <c r="N3333" s="19">
        <v>0</v>
      </c>
      <c r="O3333" s="19">
        <v>0</v>
      </c>
      <c r="P3333" s="19">
        <v>0</v>
      </c>
      <c r="Q3333" s="19">
        <v>0</v>
      </c>
      <c r="R3333" s="19">
        <v>0.77789260571595831</v>
      </c>
      <c r="S3333" s="19">
        <v>0.22210739428404183</v>
      </c>
      <c r="T3333" s="20">
        <v>12</v>
      </c>
      <c r="U3333" s="17">
        <v>3</v>
      </c>
      <c r="V3333" s="17">
        <v>36</v>
      </c>
    </row>
    <row r="3334" spans="1:22" x14ac:dyDescent="0.2">
      <c r="A3334" t="s">
        <v>7490</v>
      </c>
      <c r="B3334" t="s">
        <v>5862</v>
      </c>
      <c r="C3334" t="s">
        <v>5863</v>
      </c>
      <c r="D3334" t="s">
        <v>7484</v>
      </c>
      <c r="E3334" s="10" t="s">
        <v>7491</v>
      </c>
      <c r="F3334" s="10"/>
      <c r="G3334" s="10"/>
      <c r="H3334" s="10" t="s">
        <v>7491</v>
      </c>
      <c r="I3334" s="14">
        <v>46906.438228135463</v>
      </c>
      <c r="J3334" s="19">
        <v>0</v>
      </c>
      <c r="K3334" s="19">
        <v>1.0588612123625303E-2</v>
      </c>
      <c r="L3334" s="19">
        <v>0.98941138787637473</v>
      </c>
      <c r="M3334" s="20">
        <v>1</v>
      </c>
      <c r="N3334" s="19">
        <v>0</v>
      </c>
      <c r="O3334" s="19">
        <v>0</v>
      </c>
      <c r="P3334" s="19">
        <v>1.0588612123625303E-2</v>
      </c>
      <c r="Q3334" s="19">
        <v>0.22037940172844109</v>
      </c>
      <c r="R3334" s="19">
        <v>0.6327473951655328</v>
      </c>
      <c r="S3334" s="19">
        <v>0.13628459098240087</v>
      </c>
      <c r="T3334" s="20">
        <v>12</v>
      </c>
      <c r="U3334" s="17">
        <v>3</v>
      </c>
      <c r="V3334" s="17">
        <v>36</v>
      </c>
    </row>
    <row r="3335" spans="1:22" x14ac:dyDescent="0.2">
      <c r="A3335" t="s">
        <v>7492</v>
      </c>
      <c r="B3335" t="s">
        <v>5862</v>
      </c>
      <c r="C3335" t="s">
        <v>5863</v>
      </c>
      <c r="D3335" t="s">
        <v>7484</v>
      </c>
      <c r="E3335" s="10" t="s">
        <v>7493</v>
      </c>
      <c r="F3335" s="10"/>
      <c r="G3335" s="10"/>
      <c r="H3335" s="10" t="s">
        <v>7493</v>
      </c>
      <c r="I3335" s="14">
        <v>29011.721167232376</v>
      </c>
      <c r="J3335" s="19">
        <v>0</v>
      </c>
      <c r="K3335" s="19">
        <v>0.73382552521936018</v>
      </c>
      <c r="L3335" s="19">
        <v>0.26617447478063988</v>
      </c>
      <c r="M3335" s="20">
        <v>2</v>
      </c>
      <c r="N3335" s="19">
        <v>0.43794452024380048</v>
      </c>
      <c r="O3335" s="19">
        <v>1.279207125163326E-2</v>
      </c>
      <c r="P3335" s="19">
        <v>0.28308893372392641</v>
      </c>
      <c r="Q3335" s="19">
        <v>0.11684870495458861</v>
      </c>
      <c r="R3335" s="19">
        <v>0.13348870905050469</v>
      </c>
      <c r="S3335" s="19">
        <v>1.5837060775546571E-2</v>
      </c>
      <c r="T3335" s="20">
        <v>23</v>
      </c>
      <c r="U3335" s="17">
        <v>3</v>
      </c>
      <c r="V3335" s="17">
        <v>36</v>
      </c>
    </row>
    <row r="3336" spans="1:22" x14ac:dyDescent="0.2">
      <c r="A3336" t="s">
        <v>7494</v>
      </c>
      <c r="B3336" t="s">
        <v>5862</v>
      </c>
      <c r="C3336" t="s">
        <v>5863</v>
      </c>
      <c r="D3336" t="s">
        <v>7484</v>
      </c>
      <c r="E3336" s="10" t="s">
        <v>7495</v>
      </c>
      <c r="F3336" s="10"/>
      <c r="G3336" s="10"/>
      <c r="H3336" s="10" t="s">
        <v>7495</v>
      </c>
      <c r="I3336" s="14">
        <v>20501.933159632608</v>
      </c>
      <c r="J3336" s="19">
        <v>0</v>
      </c>
      <c r="K3336" s="19">
        <v>0.41610488664861672</v>
      </c>
      <c r="L3336" s="19">
        <v>0.58389511335138333</v>
      </c>
      <c r="M3336" s="20">
        <v>1</v>
      </c>
      <c r="N3336" s="19">
        <v>0</v>
      </c>
      <c r="O3336" s="19">
        <v>0.32970273441362236</v>
      </c>
      <c r="P3336" s="19">
        <v>8.6402152234994367E-2</v>
      </c>
      <c r="Q3336" s="19">
        <v>9.3167291508717887E-2</v>
      </c>
      <c r="R3336" s="19">
        <v>0.42623162887924654</v>
      </c>
      <c r="S3336" s="19">
        <v>6.449619296341888E-2</v>
      </c>
      <c r="T3336" s="20">
        <v>12</v>
      </c>
      <c r="U3336" s="17">
        <v>3</v>
      </c>
      <c r="V3336" s="17">
        <v>36</v>
      </c>
    </row>
    <row r="3337" spans="1:22" x14ac:dyDescent="0.2">
      <c r="A3337" t="s">
        <v>7496</v>
      </c>
      <c r="B3337" t="s">
        <v>5862</v>
      </c>
      <c r="C3337" t="s">
        <v>5863</v>
      </c>
      <c r="D3337" t="s">
        <v>7484</v>
      </c>
      <c r="E3337" s="10" t="s">
        <v>7497</v>
      </c>
      <c r="F3337" s="10"/>
      <c r="G3337" s="10"/>
      <c r="H3337" s="10" t="s">
        <v>7497</v>
      </c>
      <c r="I3337" s="14">
        <v>103632.12258868665</v>
      </c>
      <c r="J3337" s="19">
        <v>0</v>
      </c>
      <c r="K3337" s="19">
        <v>0.5602516423232542</v>
      </c>
      <c r="L3337" s="19">
        <v>0.43974835767674575</v>
      </c>
      <c r="M3337" s="20">
        <v>2</v>
      </c>
      <c r="N3337" s="19">
        <v>0.33049002131506355</v>
      </c>
      <c r="O3337" s="19">
        <v>0</v>
      </c>
      <c r="P3337" s="19">
        <v>0.22976162100819061</v>
      </c>
      <c r="Q3337" s="19">
        <v>3.1242487692906936E-2</v>
      </c>
      <c r="R3337" s="19">
        <v>0.34107815165461491</v>
      </c>
      <c r="S3337" s="19">
        <v>6.7427718329223965E-2</v>
      </c>
      <c r="T3337" s="20">
        <v>23</v>
      </c>
      <c r="U3337" s="17">
        <v>3</v>
      </c>
      <c r="V3337" s="17">
        <v>36</v>
      </c>
    </row>
    <row r="3338" spans="1:22" x14ac:dyDescent="0.2">
      <c r="A3338" t="s">
        <v>7498</v>
      </c>
      <c r="B3338" t="s">
        <v>5862</v>
      </c>
      <c r="C3338" t="s">
        <v>5863</v>
      </c>
      <c r="D3338" t="s">
        <v>7499</v>
      </c>
      <c r="E3338" s="10" t="s">
        <v>7500</v>
      </c>
      <c r="F3338" s="10"/>
      <c r="G3338" s="10"/>
      <c r="H3338" s="10" t="s">
        <v>7500</v>
      </c>
      <c r="I3338" s="14">
        <v>80236.499870349886</v>
      </c>
      <c r="J3338" s="19">
        <v>0</v>
      </c>
      <c r="K3338" s="19">
        <v>8.8388125323824465E-2</v>
      </c>
      <c r="L3338" s="19">
        <v>0.91161187467617555</v>
      </c>
      <c r="M3338" s="20">
        <v>1</v>
      </c>
      <c r="N3338" s="19">
        <v>0</v>
      </c>
      <c r="O3338" s="19">
        <v>8.8388125323824465E-2</v>
      </c>
      <c r="P3338" s="19">
        <v>0</v>
      </c>
      <c r="Q3338" s="19">
        <v>0.49603197282455275</v>
      </c>
      <c r="R3338" s="19">
        <v>0.310293754856588</v>
      </c>
      <c r="S3338" s="19">
        <v>0.10528614699503482</v>
      </c>
      <c r="T3338" s="20">
        <v>13</v>
      </c>
      <c r="U3338" s="17">
        <v>3</v>
      </c>
      <c r="V3338" s="17">
        <v>36</v>
      </c>
    </row>
    <row r="3339" spans="1:22" x14ac:dyDescent="0.2">
      <c r="A3339" t="s">
        <v>7501</v>
      </c>
      <c r="B3339" t="s">
        <v>5862</v>
      </c>
      <c r="C3339" t="s">
        <v>5863</v>
      </c>
      <c r="D3339" t="s">
        <v>7499</v>
      </c>
      <c r="E3339" s="10" t="s">
        <v>7502</v>
      </c>
      <c r="F3339" s="10"/>
      <c r="G3339" s="10"/>
      <c r="H3339" s="10" t="s">
        <v>7502</v>
      </c>
      <c r="I3339" s="14">
        <v>152844.12109239027</v>
      </c>
      <c r="J3339" s="19">
        <v>0</v>
      </c>
      <c r="K3339" s="19">
        <v>0.21894396739564814</v>
      </c>
      <c r="L3339" s="19">
        <v>0.78105603260435186</v>
      </c>
      <c r="M3339" s="20">
        <v>1</v>
      </c>
      <c r="N3339" s="19">
        <v>0.11408138244690766</v>
      </c>
      <c r="O3339" s="19">
        <v>0</v>
      </c>
      <c r="P3339" s="19">
        <v>0.10486258494874048</v>
      </c>
      <c r="Q3339" s="19">
        <v>0.31408736107762519</v>
      </c>
      <c r="R3339" s="19">
        <v>0.37359186031457459</v>
      </c>
      <c r="S3339" s="19">
        <v>9.3376811212152064E-2</v>
      </c>
      <c r="T3339" s="20">
        <v>12</v>
      </c>
      <c r="U3339" s="17">
        <v>3</v>
      </c>
      <c r="V3339" s="17">
        <v>36</v>
      </c>
    </row>
    <row r="3340" spans="1:22" x14ac:dyDescent="0.2">
      <c r="A3340" t="s">
        <v>7503</v>
      </c>
      <c r="B3340" t="s">
        <v>5862</v>
      </c>
      <c r="C3340" t="s">
        <v>5863</v>
      </c>
      <c r="D3340" t="s">
        <v>7499</v>
      </c>
      <c r="E3340" s="10" t="s">
        <v>7504</v>
      </c>
      <c r="F3340" s="10"/>
      <c r="G3340" s="10"/>
      <c r="H3340" s="10" t="s">
        <v>7504</v>
      </c>
      <c r="I3340" s="14">
        <v>24656.719730116427</v>
      </c>
      <c r="J3340" s="19">
        <v>0</v>
      </c>
      <c r="K3340" s="19">
        <v>1.02112213535531E-3</v>
      </c>
      <c r="L3340" s="19">
        <v>0.99897887786464468</v>
      </c>
      <c r="M3340" s="20">
        <v>1</v>
      </c>
      <c r="N3340" s="19">
        <v>0</v>
      </c>
      <c r="O3340" s="19">
        <v>1.02112213535531E-3</v>
      </c>
      <c r="P3340" s="19">
        <v>0</v>
      </c>
      <c r="Q3340" s="19">
        <v>0.53942616093217965</v>
      </c>
      <c r="R3340" s="19">
        <v>0.38098210579619762</v>
      </c>
      <c r="S3340" s="19">
        <v>7.8570611136267426E-2</v>
      </c>
      <c r="T3340" s="20">
        <v>13</v>
      </c>
      <c r="U3340" s="17">
        <v>3</v>
      </c>
      <c r="V3340" s="17">
        <v>36</v>
      </c>
    </row>
    <row r="3341" spans="1:22" x14ac:dyDescent="0.2">
      <c r="A3341" t="s">
        <v>7505</v>
      </c>
      <c r="B3341" t="s">
        <v>5862</v>
      </c>
      <c r="C3341" t="s">
        <v>5863</v>
      </c>
      <c r="D3341" t="s">
        <v>7499</v>
      </c>
      <c r="E3341" s="10" t="s">
        <v>7506</v>
      </c>
      <c r="F3341" s="10"/>
      <c r="G3341" s="10"/>
      <c r="H3341" s="10" t="s">
        <v>7506</v>
      </c>
      <c r="I3341" s="14">
        <v>23356.067079256172</v>
      </c>
      <c r="J3341" s="19">
        <v>0</v>
      </c>
      <c r="K3341" s="19">
        <v>0</v>
      </c>
      <c r="L3341" s="19">
        <v>1</v>
      </c>
      <c r="M3341" s="20">
        <v>1</v>
      </c>
      <c r="N3341" s="19">
        <v>0</v>
      </c>
      <c r="O3341" s="19">
        <v>0</v>
      </c>
      <c r="P3341" s="19">
        <v>0</v>
      </c>
      <c r="Q3341" s="19">
        <v>0.17617399135002018</v>
      </c>
      <c r="R3341" s="19">
        <v>0.74432182534454128</v>
      </c>
      <c r="S3341" s="19">
        <v>7.95041833054385E-2</v>
      </c>
      <c r="T3341" s="20">
        <v>12</v>
      </c>
      <c r="U3341" s="17">
        <v>3</v>
      </c>
      <c r="V3341" s="17">
        <v>36</v>
      </c>
    </row>
    <row r="3342" spans="1:22" x14ac:dyDescent="0.2">
      <c r="A3342" t="s">
        <v>7507</v>
      </c>
      <c r="B3342" t="s">
        <v>5862</v>
      </c>
      <c r="C3342" t="s">
        <v>5863</v>
      </c>
      <c r="D3342" t="s">
        <v>7499</v>
      </c>
      <c r="E3342" s="10" t="s">
        <v>7508</v>
      </c>
      <c r="F3342" s="10"/>
      <c r="G3342" s="10"/>
      <c r="H3342" s="10" t="s">
        <v>7508</v>
      </c>
      <c r="I3342" s="14">
        <v>32460.40576089872</v>
      </c>
      <c r="J3342" s="19">
        <v>0</v>
      </c>
      <c r="K3342" s="19">
        <v>0</v>
      </c>
      <c r="L3342" s="19">
        <v>1</v>
      </c>
      <c r="M3342" s="20">
        <v>1</v>
      </c>
      <c r="N3342" s="19">
        <v>0</v>
      </c>
      <c r="O3342" s="19">
        <v>0</v>
      </c>
      <c r="P3342" s="19">
        <v>0</v>
      </c>
      <c r="Q3342" s="19">
        <v>0.21770674743285162</v>
      </c>
      <c r="R3342" s="19">
        <v>0.75384965141177673</v>
      </c>
      <c r="S3342" s="19">
        <v>2.8443601155371642E-2</v>
      </c>
      <c r="T3342" s="20">
        <v>12</v>
      </c>
      <c r="U3342" s="17">
        <v>3</v>
      </c>
      <c r="V3342" s="17">
        <v>36</v>
      </c>
    </row>
    <row r="3343" spans="1:22" x14ac:dyDescent="0.2">
      <c r="A3343" t="s">
        <v>7509</v>
      </c>
      <c r="B3343" t="s">
        <v>5862</v>
      </c>
      <c r="C3343" t="s">
        <v>5863</v>
      </c>
      <c r="D3343" t="s">
        <v>7499</v>
      </c>
      <c r="E3343" s="10" t="s">
        <v>7510</v>
      </c>
      <c r="F3343" s="10"/>
      <c r="G3343" s="10"/>
      <c r="H3343" s="10" t="s">
        <v>7510</v>
      </c>
      <c r="I3343" s="14">
        <v>22296.742930328241</v>
      </c>
      <c r="J3343" s="19">
        <v>0</v>
      </c>
      <c r="K3343" s="19">
        <v>9.7444093406708187E-3</v>
      </c>
      <c r="L3343" s="19">
        <v>0.99025559065932922</v>
      </c>
      <c r="M3343" s="20">
        <v>1</v>
      </c>
      <c r="N3343" s="19">
        <v>0</v>
      </c>
      <c r="O3343" s="19">
        <v>0</v>
      </c>
      <c r="P3343" s="19">
        <v>9.7444093406708187E-3</v>
      </c>
      <c r="Q3343" s="19">
        <v>0.40358898259500586</v>
      </c>
      <c r="R3343" s="19">
        <v>0.44538490582500156</v>
      </c>
      <c r="S3343" s="19">
        <v>0.14128170223932177</v>
      </c>
      <c r="T3343" s="20">
        <v>12</v>
      </c>
      <c r="U3343" s="17">
        <v>3</v>
      </c>
      <c r="V3343" s="17">
        <v>36</v>
      </c>
    </row>
    <row r="3344" spans="1:22" x14ac:dyDescent="0.2">
      <c r="A3344" t="s">
        <v>7511</v>
      </c>
      <c r="B3344" t="s">
        <v>5862</v>
      </c>
      <c r="C3344" t="s">
        <v>5863</v>
      </c>
      <c r="D3344" t="s">
        <v>7499</v>
      </c>
      <c r="E3344" s="10" t="s">
        <v>7512</v>
      </c>
      <c r="F3344" s="10"/>
      <c r="G3344" s="10"/>
      <c r="H3344" s="10" t="s">
        <v>7512</v>
      </c>
      <c r="I3344" s="14">
        <v>27256.969327097526</v>
      </c>
      <c r="J3344" s="19">
        <v>0</v>
      </c>
      <c r="K3344" s="19">
        <v>0</v>
      </c>
      <c r="L3344" s="19">
        <v>1</v>
      </c>
      <c r="M3344" s="20">
        <v>1</v>
      </c>
      <c r="N3344" s="19">
        <v>0</v>
      </c>
      <c r="O3344" s="19">
        <v>0</v>
      </c>
      <c r="P3344" s="19">
        <v>0</v>
      </c>
      <c r="Q3344" s="19">
        <v>0.50452468408842921</v>
      </c>
      <c r="R3344" s="19">
        <v>0.41728836427040017</v>
      </c>
      <c r="S3344" s="19">
        <v>7.8186951641170635E-2</v>
      </c>
      <c r="T3344" s="20">
        <v>13</v>
      </c>
      <c r="U3344" s="17">
        <v>3</v>
      </c>
      <c r="V3344" s="17">
        <v>36</v>
      </c>
    </row>
    <row r="3345" spans="1:22" x14ac:dyDescent="0.2">
      <c r="A3345" t="s">
        <v>7513</v>
      </c>
      <c r="B3345" t="s">
        <v>5862</v>
      </c>
      <c r="C3345" t="s">
        <v>5863</v>
      </c>
      <c r="D3345" t="s">
        <v>7499</v>
      </c>
      <c r="E3345" s="10" t="s">
        <v>7514</v>
      </c>
      <c r="F3345" s="10"/>
      <c r="G3345" s="10"/>
      <c r="H3345" s="10" t="s">
        <v>7514</v>
      </c>
      <c r="I3345" s="14">
        <v>27613.308381382143</v>
      </c>
      <c r="J3345" s="19">
        <v>0</v>
      </c>
      <c r="K3345" s="19">
        <v>1.7245081161406321E-2</v>
      </c>
      <c r="L3345" s="19">
        <v>0.98275491883859378</v>
      </c>
      <c r="M3345" s="20">
        <v>1</v>
      </c>
      <c r="N3345" s="19">
        <v>0</v>
      </c>
      <c r="O3345" s="19">
        <v>1.7245081161406321E-2</v>
      </c>
      <c r="P3345" s="19">
        <v>0</v>
      </c>
      <c r="Q3345" s="19">
        <v>0.29899942151271558</v>
      </c>
      <c r="R3345" s="19">
        <v>0.60441372313905783</v>
      </c>
      <c r="S3345" s="19">
        <v>7.9341774186820216E-2</v>
      </c>
      <c r="T3345" s="20">
        <v>12</v>
      </c>
      <c r="U3345" s="17">
        <v>3</v>
      </c>
      <c r="V3345" s="17">
        <v>36</v>
      </c>
    </row>
    <row r="3346" spans="1:22" x14ac:dyDescent="0.2">
      <c r="A3346" t="s">
        <v>7515</v>
      </c>
      <c r="B3346" t="s">
        <v>5862</v>
      </c>
      <c r="C3346" t="s">
        <v>5863</v>
      </c>
      <c r="D3346" t="s">
        <v>7499</v>
      </c>
      <c r="E3346" s="10" t="s">
        <v>7516</v>
      </c>
      <c r="F3346" s="10"/>
      <c r="G3346" s="10"/>
      <c r="H3346" s="10" t="s">
        <v>7516</v>
      </c>
      <c r="I3346" s="14">
        <v>69942.766342097195</v>
      </c>
      <c r="J3346" s="19">
        <v>0</v>
      </c>
      <c r="K3346" s="19">
        <v>0.17978064866948196</v>
      </c>
      <c r="L3346" s="19">
        <v>0.82021935133051793</v>
      </c>
      <c r="M3346" s="20">
        <v>1</v>
      </c>
      <c r="N3346" s="19">
        <v>8.7417784513207225E-2</v>
      </c>
      <c r="O3346" s="19">
        <v>0</v>
      </c>
      <c r="P3346" s="19">
        <v>9.2362864156274718E-2</v>
      </c>
      <c r="Q3346" s="19">
        <v>0.17914369608041403</v>
      </c>
      <c r="R3346" s="19">
        <v>0.56701298595527805</v>
      </c>
      <c r="S3346" s="19">
        <v>7.4062669294825939E-2</v>
      </c>
      <c r="T3346" s="20">
        <v>12</v>
      </c>
      <c r="U3346" s="17">
        <v>3</v>
      </c>
      <c r="V3346" s="17">
        <v>36</v>
      </c>
    </row>
    <row r="3347" spans="1:22" x14ac:dyDescent="0.2">
      <c r="A3347" t="s">
        <v>7517</v>
      </c>
      <c r="B3347" t="s">
        <v>5862</v>
      </c>
      <c r="C3347" t="s">
        <v>5863</v>
      </c>
      <c r="D3347" t="s">
        <v>7499</v>
      </c>
      <c r="E3347" s="10" t="s">
        <v>7518</v>
      </c>
      <c r="F3347" s="10"/>
      <c r="G3347" s="10"/>
      <c r="H3347" s="10" t="s">
        <v>7518</v>
      </c>
      <c r="I3347" s="14">
        <v>28443.121743484866</v>
      </c>
      <c r="J3347" s="19">
        <v>0</v>
      </c>
      <c r="K3347" s="19">
        <v>0.13989523636271728</v>
      </c>
      <c r="L3347" s="19">
        <v>0.86010476363728272</v>
      </c>
      <c r="M3347" s="20">
        <v>1</v>
      </c>
      <c r="N3347" s="19">
        <v>0</v>
      </c>
      <c r="O3347" s="19">
        <v>0.13989523636271728</v>
      </c>
      <c r="P3347" s="19">
        <v>0</v>
      </c>
      <c r="Q3347" s="19">
        <v>0.23205091549842433</v>
      </c>
      <c r="R3347" s="19">
        <v>0.48428878642265294</v>
      </c>
      <c r="S3347" s="19">
        <v>0.1437650617162054</v>
      </c>
      <c r="T3347" s="20">
        <v>12</v>
      </c>
      <c r="U3347" s="17">
        <v>3</v>
      </c>
      <c r="V3347" s="17">
        <v>36</v>
      </c>
    </row>
    <row r="3348" spans="1:22" x14ac:dyDescent="0.2">
      <c r="A3348" t="s">
        <v>7519</v>
      </c>
      <c r="B3348" t="s">
        <v>5862</v>
      </c>
      <c r="C3348" t="s">
        <v>5863</v>
      </c>
      <c r="D3348" t="s">
        <v>7499</v>
      </c>
      <c r="E3348" s="10" t="s">
        <v>7520</v>
      </c>
      <c r="F3348" s="10"/>
      <c r="G3348" s="10"/>
      <c r="H3348" s="10" t="s">
        <v>7520</v>
      </c>
      <c r="I3348" s="14">
        <v>102154.41487766011</v>
      </c>
      <c r="J3348" s="19">
        <v>0</v>
      </c>
      <c r="K3348" s="19">
        <v>0.14504985556763131</v>
      </c>
      <c r="L3348" s="19">
        <v>0.85495014443236872</v>
      </c>
      <c r="M3348" s="20">
        <v>1</v>
      </c>
      <c r="N3348" s="19">
        <v>0</v>
      </c>
      <c r="O3348" s="19">
        <v>0.14504985556763131</v>
      </c>
      <c r="P3348" s="19">
        <v>0</v>
      </c>
      <c r="Q3348" s="19">
        <v>0.57123212100549237</v>
      </c>
      <c r="R3348" s="19">
        <v>0.22932383135100892</v>
      </c>
      <c r="S3348" s="19">
        <v>5.4394192075867417E-2</v>
      </c>
      <c r="T3348" s="20">
        <v>13</v>
      </c>
      <c r="U3348" s="17">
        <v>3</v>
      </c>
      <c r="V3348" s="17">
        <v>36</v>
      </c>
    </row>
    <row r="3349" spans="1:22" x14ac:dyDescent="0.2">
      <c r="A3349" t="s">
        <v>7521</v>
      </c>
      <c r="B3349" t="s">
        <v>5862</v>
      </c>
      <c r="C3349" t="s">
        <v>5863</v>
      </c>
      <c r="D3349" t="s">
        <v>7499</v>
      </c>
      <c r="E3349" s="10" t="s">
        <v>7522</v>
      </c>
      <c r="F3349" s="10"/>
      <c r="G3349" s="10"/>
      <c r="H3349" s="10" t="s">
        <v>7522</v>
      </c>
      <c r="I3349" s="14">
        <v>38148.864292678532</v>
      </c>
      <c r="J3349" s="19">
        <v>0</v>
      </c>
      <c r="K3349" s="19">
        <v>0</v>
      </c>
      <c r="L3349" s="19">
        <v>1</v>
      </c>
      <c r="M3349" s="20">
        <v>1</v>
      </c>
      <c r="N3349" s="19">
        <v>0</v>
      </c>
      <c r="O3349" s="19">
        <v>0</v>
      </c>
      <c r="P3349" s="19">
        <v>0</v>
      </c>
      <c r="Q3349" s="19">
        <v>0.33429148503814543</v>
      </c>
      <c r="R3349" s="19">
        <v>0.56599895638132502</v>
      </c>
      <c r="S3349" s="19">
        <v>9.9709558580529697E-2</v>
      </c>
      <c r="T3349" s="20">
        <v>12</v>
      </c>
      <c r="U3349" s="17">
        <v>3</v>
      </c>
      <c r="V3349" s="17">
        <v>36</v>
      </c>
    </row>
    <row r="3350" spans="1:22" x14ac:dyDescent="0.2">
      <c r="A3350" t="s">
        <v>7523</v>
      </c>
      <c r="B3350" t="s">
        <v>5862</v>
      </c>
      <c r="C3350" t="s">
        <v>5863</v>
      </c>
      <c r="D3350" t="s">
        <v>7499</v>
      </c>
      <c r="E3350" s="10" t="s">
        <v>7524</v>
      </c>
      <c r="F3350" s="10"/>
      <c r="G3350" s="10"/>
      <c r="H3350" s="10" t="s">
        <v>7524</v>
      </c>
      <c r="I3350" s="14">
        <v>76560.866535276975</v>
      </c>
      <c r="J3350" s="19">
        <v>0</v>
      </c>
      <c r="K3350" s="19">
        <v>7.8445573568923524E-2</v>
      </c>
      <c r="L3350" s="19">
        <v>0.92155442643107666</v>
      </c>
      <c r="M3350" s="20">
        <v>1</v>
      </c>
      <c r="N3350" s="19">
        <v>7.1918079699564444E-2</v>
      </c>
      <c r="O3350" s="19">
        <v>0</v>
      </c>
      <c r="P3350" s="19">
        <v>6.5274938693590679E-3</v>
      </c>
      <c r="Q3350" s="19">
        <v>0.31470147885098965</v>
      </c>
      <c r="R3350" s="19">
        <v>0.53066150631021691</v>
      </c>
      <c r="S3350" s="19">
        <v>7.6191441269870097E-2</v>
      </c>
      <c r="T3350" s="20">
        <v>12</v>
      </c>
      <c r="U3350" s="17">
        <v>3</v>
      </c>
      <c r="V3350" s="17">
        <v>36</v>
      </c>
    </row>
    <row r="3351" spans="1:22" x14ac:dyDescent="0.2">
      <c r="A3351" t="s">
        <v>7525</v>
      </c>
      <c r="B3351" t="s">
        <v>5862</v>
      </c>
      <c r="C3351" t="s">
        <v>5863</v>
      </c>
      <c r="D3351" t="s">
        <v>7499</v>
      </c>
      <c r="E3351" s="10" t="s">
        <v>7526</v>
      </c>
      <c r="F3351" s="10"/>
      <c r="G3351" s="10"/>
      <c r="H3351" s="10" t="s">
        <v>7526</v>
      </c>
      <c r="I3351" s="14">
        <v>289321.77389008866</v>
      </c>
      <c r="J3351" s="19">
        <v>0.69264578463408022</v>
      </c>
      <c r="K3351" s="19">
        <v>0.14148956273291108</v>
      </c>
      <c r="L3351" s="19">
        <v>0.1658646526330087</v>
      </c>
      <c r="M3351" s="20">
        <v>3</v>
      </c>
      <c r="N3351" s="19">
        <v>0</v>
      </c>
      <c r="O3351" s="19">
        <v>0</v>
      </c>
      <c r="P3351" s="19">
        <v>0.14148956273291108</v>
      </c>
      <c r="Q3351" s="19">
        <v>4.2503056007315215E-2</v>
      </c>
      <c r="R3351" s="19">
        <v>0.11380978223551398</v>
      </c>
      <c r="S3351" s="19">
        <v>9.5518143901795281E-3</v>
      </c>
      <c r="T3351" s="20">
        <v>30</v>
      </c>
      <c r="U3351" s="17">
        <v>3</v>
      </c>
      <c r="V3351" s="17">
        <v>36</v>
      </c>
    </row>
    <row r="3352" spans="1:22" x14ac:dyDescent="0.2">
      <c r="A3352" t="s">
        <v>7527</v>
      </c>
      <c r="B3352" t="s">
        <v>5862</v>
      </c>
      <c r="C3352" t="s">
        <v>5863</v>
      </c>
      <c r="D3352" t="s">
        <v>7499</v>
      </c>
      <c r="E3352" s="10" t="s">
        <v>7528</v>
      </c>
      <c r="F3352" s="10"/>
      <c r="G3352" s="10"/>
      <c r="H3352" s="10" t="s">
        <v>7528</v>
      </c>
      <c r="I3352" s="14">
        <v>49501.296453428688</v>
      </c>
      <c r="J3352" s="19">
        <v>0</v>
      </c>
      <c r="K3352" s="19">
        <v>0.20519139990056953</v>
      </c>
      <c r="L3352" s="19">
        <v>0.79480860009943044</v>
      </c>
      <c r="M3352" s="20">
        <v>1</v>
      </c>
      <c r="N3352" s="19">
        <v>0.13499630880382182</v>
      </c>
      <c r="O3352" s="19">
        <v>0</v>
      </c>
      <c r="P3352" s="19">
        <v>7.0195091096747708E-2</v>
      </c>
      <c r="Q3352" s="19">
        <v>0.34071734687056143</v>
      </c>
      <c r="R3352" s="19">
        <v>0.32731469480609998</v>
      </c>
      <c r="S3352" s="19">
        <v>0.12677655842276908</v>
      </c>
      <c r="T3352" s="20">
        <v>13</v>
      </c>
      <c r="U3352" s="17">
        <v>3</v>
      </c>
      <c r="V3352" s="17">
        <v>36</v>
      </c>
    </row>
    <row r="3353" spans="1:22" x14ac:dyDescent="0.2">
      <c r="A3353" t="s">
        <v>7529</v>
      </c>
      <c r="B3353" t="s">
        <v>5862</v>
      </c>
      <c r="C3353" t="s">
        <v>5863</v>
      </c>
      <c r="D3353" t="s">
        <v>7499</v>
      </c>
      <c r="E3353" s="10" t="s">
        <v>7530</v>
      </c>
      <c r="F3353" s="10"/>
      <c r="G3353" s="10"/>
      <c r="H3353" s="10" t="s">
        <v>7530</v>
      </c>
      <c r="I3353" s="14">
        <v>61787.941118122668</v>
      </c>
      <c r="J3353" s="19">
        <v>0</v>
      </c>
      <c r="K3353" s="19">
        <v>0.21153692336089561</v>
      </c>
      <c r="L3353" s="19">
        <v>0.78846307663910442</v>
      </c>
      <c r="M3353" s="20">
        <v>1</v>
      </c>
      <c r="N3353" s="19">
        <v>0.14096737364029371</v>
      </c>
      <c r="O3353" s="19">
        <v>0</v>
      </c>
      <c r="P3353" s="19">
        <v>7.0569549720601893E-2</v>
      </c>
      <c r="Q3353" s="19">
        <v>0.30843596589585115</v>
      </c>
      <c r="R3353" s="19">
        <v>0.4000788565929686</v>
      </c>
      <c r="S3353" s="19">
        <v>7.9948254150284462E-2</v>
      </c>
      <c r="T3353" s="20">
        <v>12</v>
      </c>
      <c r="U3353" s="17">
        <v>3</v>
      </c>
      <c r="V3353" s="17">
        <v>36</v>
      </c>
    </row>
    <row r="3354" spans="1:22" x14ac:dyDescent="0.2">
      <c r="A3354" t="s">
        <v>7531</v>
      </c>
      <c r="B3354" t="s">
        <v>5862</v>
      </c>
      <c r="C3354" t="s">
        <v>5863</v>
      </c>
      <c r="D3354" t="s">
        <v>7499</v>
      </c>
      <c r="E3354" s="10" t="s">
        <v>7532</v>
      </c>
      <c r="F3354" s="10"/>
      <c r="G3354" s="10"/>
      <c r="H3354" s="10" t="s">
        <v>7532</v>
      </c>
      <c r="I3354" s="14">
        <v>122643.99942634684</v>
      </c>
      <c r="J3354" s="19">
        <v>0</v>
      </c>
      <c r="K3354" s="19">
        <v>0.2527825207231037</v>
      </c>
      <c r="L3354" s="19">
        <v>0.74721747927689652</v>
      </c>
      <c r="M3354" s="20">
        <v>1</v>
      </c>
      <c r="N3354" s="19">
        <v>0.13562377094205214</v>
      </c>
      <c r="O3354" s="19">
        <v>1.7819968440279537E-2</v>
      </c>
      <c r="P3354" s="19">
        <v>9.9338781340771995E-2</v>
      </c>
      <c r="Q3354" s="19">
        <v>0.18015639779524009</v>
      </c>
      <c r="R3354" s="19">
        <v>0.4956592242071422</v>
      </c>
      <c r="S3354" s="19">
        <v>7.1401857274514119E-2</v>
      </c>
      <c r="T3354" s="20">
        <v>12</v>
      </c>
      <c r="U3354" s="17">
        <v>3</v>
      </c>
      <c r="V3354" s="17">
        <v>36</v>
      </c>
    </row>
    <row r="3355" spans="1:22" x14ac:dyDescent="0.2">
      <c r="A3355" t="s">
        <v>7533</v>
      </c>
      <c r="B3355" t="s">
        <v>5862</v>
      </c>
      <c r="C3355" t="s">
        <v>5863</v>
      </c>
      <c r="D3355" t="s">
        <v>7499</v>
      </c>
      <c r="E3355" s="10" t="s">
        <v>7534</v>
      </c>
      <c r="F3355" s="10"/>
      <c r="G3355" s="10"/>
      <c r="H3355" s="10" t="s">
        <v>7534</v>
      </c>
      <c r="I3355" s="14">
        <v>37845.904522066005</v>
      </c>
      <c r="J3355" s="19">
        <v>0</v>
      </c>
      <c r="K3355" s="19">
        <v>0</v>
      </c>
      <c r="L3355" s="19">
        <v>1</v>
      </c>
      <c r="M3355" s="20">
        <v>1</v>
      </c>
      <c r="N3355" s="19">
        <v>0</v>
      </c>
      <c r="O3355" s="19">
        <v>0</v>
      </c>
      <c r="P3355" s="19">
        <v>0</v>
      </c>
      <c r="Q3355" s="19">
        <v>0.23264722412104377</v>
      </c>
      <c r="R3355" s="19">
        <v>0.62397662954864941</v>
      </c>
      <c r="S3355" s="19">
        <v>0.14337614633030676</v>
      </c>
      <c r="T3355" s="20">
        <v>12</v>
      </c>
      <c r="U3355" s="17">
        <v>3</v>
      </c>
      <c r="V3355" s="17">
        <v>36</v>
      </c>
    </row>
    <row r="3356" spans="1:22" x14ac:dyDescent="0.2">
      <c r="A3356" t="s">
        <v>7535</v>
      </c>
      <c r="B3356" t="s">
        <v>5862</v>
      </c>
      <c r="C3356" t="s">
        <v>5863</v>
      </c>
      <c r="D3356" t="s">
        <v>7499</v>
      </c>
      <c r="E3356" s="10" t="s">
        <v>7536</v>
      </c>
      <c r="F3356" s="10"/>
      <c r="G3356" s="10"/>
      <c r="H3356" s="10" t="s">
        <v>7536</v>
      </c>
      <c r="I3356" s="14">
        <v>67008.057153628208</v>
      </c>
      <c r="J3356" s="19">
        <v>0</v>
      </c>
      <c r="K3356" s="19">
        <v>0.11816840371157583</v>
      </c>
      <c r="L3356" s="19">
        <v>0.88183159628842422</v>
      </c>
      <c r="M3356" s="20">
        <v>1</v>
      </c>
      <c r="N3356" s="19">
        <v>0</v>
      </c>
      <c r="O3356" s="19">
        <v>0.11816840371157583</v>
      </c>
      <c r="P3356" s="19">
        <v>0</v>
      </c>
      <c r="Q3356" s="19">
        <v>0.35905709065935298</v>
      </c>
      <c r="R3356" s="19">
        <v>0.46920801231445142</v>
      </c>
      <c r="S3356" s="19">
        <v>5.3566493314619767E-2</v>
      </c>
      <c r="T3356" s="20">
        <v>12</v>
      </c>
      <c r="U3356" s="17">
        <v>3</v>
      </c>
      <c r="V3356" s="17">
        <v>36</v>
      </c>
    </row>
    <row r="3357" spans="1:22" x14ac:dyDescent="0.2">
      <c r="A3357" t="s">
        <v>7537</v>
      </c>
      <c r="B3357" t="s">
        <v>5862</v>
      </c>
      <c r="C3357" t="s">
        <v>5863</v>
      </c>
      <c r="D3357" t="s">
        <v>7499</v>
      </c>
      <c r="E3357" s="10" t="s">
        <v>7538</v>
      </c>
      <c r="F3357" s="10"/>
      <c r="G3357" s="10"/>
      <c r="H3357" s="10" t="s">
        <v>7538</v>
      </c>
      <c r="I3357" s="14">
        <v>58562.176763635594</v>
      </c>
      <c r="J3357" s="19">
        <v>0</v>
      </c>
      <c r="K3357" s="19">
        <v>0.16934997714791317</v>
      </c>
      <c r="L3357" s="19">
        <v>0.83065002285208678</v>
      </c>
      <c r="M3357" s="20">
        <v>1</v>
      </c>
      <c r="N3357" s="19">
        <v>9.2594088155593002E-2</v>
      </c>
      <c r="O3357" s="19">
        <v>0</v>
      </c>
      <c r="P3357" s="19">
        <v>7.6755888992320179E-2</v>
      </c>
      <c r="Q3357" s="19">
        <v>0.15435366163545261</v>
      </c>
      <c r="R3357" s="19">
        <v>0.53847417044110502</v>
      </c>
      <c r="S3357" s="19">
        <v>0.13782219077552918</v>
      </c>
      <c r="T3357" s="20">
        <v>12</v>
      </c>
      <c r="U3357" s="17">
        <v>3</v>
      </c>
      <c r="V3357" s="17">
        <v>36</v>
      </c>
    </row>
    <row r="3358" spans="1:22" x14ac:dyDescent="0.2">
      <c r="A3358" t="s">
        <v>7539</v>
      </c>
      <c r="B3358" t="s">
        <v>5862</v>
      </c>
      <c r="C3358" t="s">
        <v>5863</v>
      </c>
      <c r="D3358" t="s">
        <v>7499</v>
      </c>
      <c r="E3358" s="10" t="s">
        <v>7540</v>
      </c>
      <c r="F3358" s="10"/>
      <c r="G3358" s="10"/>
      <c r="H3358" s="10" t="s">
        <v>7540</v>
      </c>
      <c r="I3358" s="14">
        <v>40978.566985407961</v>
      </c>
      <c r="J3358" s="19">
        <v>0</v>
      </c>
      <c r="K3358" s="19">
        <v>1.8333912118983126E-2</v>
      </c>
      <c r="L3358" s="19">
        <v>0.98166608788101684</v>
      </c>
      <c r="M3358" s="20">
        <v>1</v>
      </c>
      <c r="N3358" s="19">
        <v>0</v>
      </c>
      <c r="O3358" s="19">
        <v>1.8333912118983126E-2</v>
      </c>
      <c r="P3358" s="19">
        <v>0</v>
      </c>
      <c r="Q3358" s="19">
        <v>0.2574681853499437</v>
      </c>
      <c r="R3358" s="19">
        <v>0.61843363481837321</v>
      </c>
      <c r="S3358" s="19">
        <v>0.10576426771269996</v>
      </c>
      <c r="T3358" s="20">
        <v>12</v>
      </c>
      <c r="U3358" s="17">
        <v>3</v>
      </c>
      <c r="V3358" s="17">
        <v>36</v>
      </c>
    </row>
    <row r="3359" spans="1:22" x14ac:dyDescent="0.2">
      <c r="A3359" t="s">
        <v>7541</v>
      </c>
      <c r="B3359" t="s">
        <v>5862</v>
      </c>
      <c r="C3359" t="s">
        <v>5863</v>
      </c>
      <c r="D3359" t="s">
        <v>7499</v>
      </c>
      <c r="E3359" s="10" t="s">
        <v>7542</v>
      </c>
      <c r="F3359" s="10"/>
      <c r="G3359" s="10"/>
      <c r="H3359" s="10" t="s">
        <v>7542</v>
      </c>
      <c r="I3359" s="14">
        <v>29186.13021789724</v>
      </c>
      <c r="J3359" s="19">
        <v>0</v>
      </c>
      <c r="K3359" s="19">
        <v>0.2292156602961693</v>
      </c>
      <c r="L3359" s="19">
        <v>0.77078433970383065</v>
      </c>
      <c r="M3359" s="20">
        <v>1</v>
      </c>
      <c r="N3359" s="19">
        <v>0</v>
      </c>
      <c r="O3359" s="19">
        <v>0.2292156602961693</v>
      </c>
      <c r="P3359" s="19">
        <v>0</v>
      </c>
      <c r="Q3359" s="19">
        <v>0.27624926808360406</v>
      </c>
      <c r="R3359" s="19">
        <v>0.36454594086368347</v>
      </c>
      <c r="S3359" s="19">
        <v>0.12998913075654311</v>
      </c>
      <c r="T3359" s="20">
        <v>12</v>
      </c>
      <c r="U3359" s="17">
        <v>3</v>
      </c>
      <c r="V3359" s="17">
        <v>36</v>
      </c>
    </row>
    <row r="3360" spans="1:22" x14ac:dyDescent="0.2">
      <c r="A3360" t="s">
        <v>7543</v>
      </c>
      <c r="B3360" t="s">
        <v>5862</v>
      </c>
      <c r="C3360" t="s">
        <v>5863</v>
      </c>
      <c r="D3360" t="s">
        <v>7499</v>
      </c>
      <c r="E3360" s="10" t="s">
        <v>7544</v>
      </c>
      <c r="F3360" s="10"/>
      <c r="G3360" s="10"/>
      <c r="H3360" s="10" t="s">
        <v>7544</v>
      </c>
      <c r="I3360" s="14">
        <v>24753.895726044197</v>
      </c>
      <c r="J3360" s="19">
        <v>0</v>
      </c>
      <c r="K3360" s="19">
        <v>0</v>
      </c>
      <c r="L3360" s="19">
        <v>1</v>
      </c>
      <c r="M3360" s="20">
        <v>1</v>
      </c>
      <c r="N3360" s="19">
        <v>0</v>
      </c>
      <c r="O3360" s="19">
        <v>0</v>
      </c>
      <c r="P3360" s="19">
        <v>0</v>
      </c>
      <c r="Q3360" s="19">
        <v>0.31459342418918146</v>
      </c>
      <c r="R3360" s="19">
        <v>0.5879271746185194</v>
      </c>
      <c r="S3360" s="19">
        <v>9.7479401192299198E-2</v>
      </c>
      <c r="T3360" s="20">
        <v>12</v>
      </c>
      <c r="U3360" s="17">
        <v>3</v>
      </c>
      <c r="V3360" s="17">
        <v>36</v>
      </c>
    </row>
    <row r="3361" spans="1:22" x14ac:dyDescent="0.2">
      <c r="A3361" t="s">
        <v>7545</v>
      </c>
      <c r="B3361" t="s">
        <v>5862</v>
      </c>
      <c r="C3361" t="s">
        <v>5863</v>
      </c>
      <c r="D3361" t="s">
        <v>7499</v>
      </c>
      <c r="E3361" s="10" t="s">
        <v>7546</v>
      </c>
      <c r="F3361" s="10"/>
      <c r="G3361" s="10"/>
      <c r="H3361" s="10" t="s">
        <v>7546</v>
      </c>
      <c r="I3361" s="14">
        <v>111871.59950715759</v>
      </c>
      <c r="J3361" s="19">
        <v>0</v>
      </c>
      <c r="K3361" s="19">
        <v>0.15866668229179515</v>
      </c>
      <c r="L3361" s="19">
        <v>0.84133331770820474</v>
      </c>
      <c r="M3361" s="20">
        <v>1</v>
      </c>
      <c r="N3361" s="19">
        <v>6.3213417849940376E-2</v>
      </c>
      <c r="O3361" s="19">
        <v>0</v>
      </c>
      <c r="P3361" s="19">
        <v>9.5453264441854771E-2</v>
      </c>
      <c r="Q3361" s="19">
        <v>0.25245881114045471</v>
      </c>
      <c r="R3361" s="19">
        <v>0.48295396194140172</v>
      </c>
      <c r="S3361" s="19">
        <v>0.10592054462634831</v>
      </c>
      <c r="T3361" s="20">
        <v>12</v>
      </c>
      <c r="U3361" s="17">
        <v>3</v>
      </c>
      <c r="V3361" s="17">
        <v>36</v>
      </c>
    </row>
    <row r="3362" spans="1:22" x14ac:dyDescent="0.2">
      <c r="A3362" t="s">
        <v>7547</v>
      </c>
      <c r="B3362" t="s">
        <v>5862</v>
      </c>
      <c r="C3362" t="s">
        <v>5863</v>
      </c>
      <c r="D3362" t="s">
        <v>7499</v>
      </c>
      <c r="E3362" s="10" t="s">
        <v>7548</v>
      </c>
      <c r="F3362" s="10"/>
      <c r="G3362" s="10"/>
      <c r="H3362" s="10" t="s">
        <v>7548</v>
      </c>
      <c r="I3362" s="14">
        <v>198541.72267431673</v>
      </c>
      <c r="J3362" s="19">
        <v>0.38648670539194563</v>
      </c>
      <c r="K3362" s="19">
        <v>0.36250416863127993</v>
      </c>
      <c r="L3362" s="19">
        <v>0.25100912597677444</v>
      </c>
      <c r="M3362" s="20">
        <v>2</v>
      </c>
      <c r="N3362" s="19">
        <v>3.8862903481084773E-2</v>
      </c>
      <c r="O3362" s="19">
        <v>3.0056572824197946E-2</v>
      </c>
      <c r="P3362" s="19">
        <v>0.29358469232599721</v>
      </c>
      <c r="Q3362" s="19">
        <v>0.10395815462156471</v>
      </c>
      <c r="R3362" s="19">
        <v>0.12537863501477767</v>
      </c>
      <c r="S3362" s="19">
        <v>2.1672336340432079E-2</v>
      </c>
      <c r="T3362" s="20">
        <v>23</v>
      </c>
      <c r="U3362" s="17">
        <v>3</v>
      </c>
      <c r="V3362" s="17">
        <v>36</v>
      </c>
    </row>
    <row r="3363" spans="1:22" x14ac:dyDescent="0.2">
      <c r="A3363" t="s">
        <v>7549</v>
      </c>
      <c r="B3363" t="s">
        <v>5862</v>
      </c>
      <c r="C3363" t="s">
        <v>5863</v>
      </c>
      <c r="D3363" t="s">
        <v>7550</v>
      </c>
      <c r="E3363" s="10" t="s">
        <v>7551</v>
      </c>
      <c r="F3363" s="10"/>
      <c r="G3363" s="10"/>
      <c r="H3363" s="10" t="s">
        <v>7551</v>
      </c>
      <c r="I3363" s="14">
        <v>81147.917317374144</v>
      </c>
      <c r="J3363" s="19">
        <v>0</v>
      </c>
      <c r="K3363" s="19">
        <v>0.18286694757908373</v>
      </c>
      <c r="L3363" s="19">
        <v>0.81713305242091616</v>
      </c>
      <c r="M3363" s="20">
        <v>1</v>
      </c>
      <c r="N3363" s="19">
        <v>0.13242193499837204</v>
      </c>
      <c r="O3363" s="19">
        <v>0</v>
      </c>
      <c r="P3363" s="19">
        <v>5.0445012580711705E-2</v>
      </c>
      <c r="Q3363" s="19">
        <v>0.38822001569025105</v>
      </c>
      <c r="R3363" s="19">
        <v>0.3571512240982227</v>
      </c>
      <c r="S3363" s="19">
        <v>7.1761812632442509E-2</v>
      </c>
      <c r="T3363" s="20">
        <v>13</v>
      </c>
      <c r="U3363" s="17">
        <v>3</v>
      </c>
      <c r="V3363" s="17">
        <v>36</v>
      </c>
    </row>
    <row r="3364" spans="1:22" x14ac:dyDescent="0.2">
      <c r="A3364" t="s">
        <v>7552</v>
      </c>
      <c r="B3364" t="s">
        <v>5862</v>
      </c>
      <c r="C3364" t="s">
        <v>5863</v>
      </c>
      <c r="D3364" t="s">
        <v>7550</v>
      </c>
      <c r="E3364" s="10" t="s">
        <v>7553</v>
      </c>
      <c r="F3364" s="10"/>
      <c r="G3364" s="10"/>
      <c r="H3364" s="10" t="s">
        <v>7553</v>
      </c>
      <c r="I3364" s="14">
        <v>72849.798532068962</v>
      </c>
      <c r="J3364" s="19">
        <v>0</v>
      </c>
      <c r="K3364" s="19">
        <v>0.10325123537594386</v>
      </c>
      <c r="L3364" s="19">
        <v>0.89674876462405617</v>
      </c>
      <c r="M3364" s="20">
        <v>1</v>
      </c>
      <c r="N3364" s="19">
        <v>8.7491576519192912E-2</v>
      </c>
      <c r="O3364" s="19">
        <v>0</v>
      </c>
      <c r="P3364" s="19">
        <v>1.5759658856750933E-2</v>
      </c>
      <c r="Q3364" s="19">
        <v>0.39802634343398979</v>
      </c>
      <c r="R3364" s="19">
        <v>0.40394863117448959</v>
      </c>
      <c r="S3364" s="19">
        <v>9.4773790015576773E-2</v>
      </c>
      <c r="T3364" s="20">
        <v>12</v>
      </c>
      <c r="U3364" s="17">
        <v>3</v>
      </c>
      <c r="V3364" s="17">
        <v>36</v>
      </c>
    </row>
    <row r="3365" spans="1:22" x14ac:dyDescent="0.2">
      <c r="A3365" t="s">
        <v>7554</v>
      </c>
      <c r="B3365" t="s">
        <v>5862</v>
      </c>
      <c r="C3365" t="s">
        <v>5863</v>
      </c>
      <c r="D3365" t="s">
        <v>7550</v>
      </c>
      <c r="E3365" s="10" t="s">
        <v>7555</v>
      </c>
      <c r="F3365" s="10"/>
      <c r="G3365" s="10"/>
      <c r="H3365" s="10" t="s">
        <v>7555</v>
      </c>
      <c r="I3365" s="14">
        <v>25452.59257187997</v>
      </c>
      <c r="J3365" s="19">
        <v>0</v>
      </c>
      <c r="K3365" s="19">
        <v>0</v>
      </c>
      <c r="L3365" s="19">
        <v>1</v>
      </c>
      <c r="M3365" s="20">
        <v>1</v>
      </c>
      <c r="N3365" s="19">
        <v>0</v>
      </c>
      <c r="O3365" s="19">
        <v>0</v>
      </c>
      <c r="P3365" s="19">
        <v>0</v>
      </c>
      <c r="Q3365" s="19">
        <v>0.71904479163928825</v>
      </c>
      <c r="R3365" s="19">
        <v>0.1827590605043968</v>
      </c>
      <c r="S3365" s="19">
        <v>9.8196147856314919E-2</v>
      </c>
      <c r="T3365" s="20">
        <v>13</v>
      </c>
      <c r="U3365" s="17">
        <v>3</v>
      </c>
      <c r="V3365" s="17">
        <v>36</v>
      </c>
    </row>
    <row r="3366" spans="1:22" x14ac:dyDescent="0.2">
      <c r="A3366" t="s">
        <v>7556</v>
      </c>
      <c r="B3366" t="s">
        <v>5862</v>
      </c>
      <c r="C3366" t="s">
        <v>5863</v>
      </c>
      <c r="D3366" t="s">
        <v>7550</v>
      </c>
      <c r="E3366" s="10" t="s">
        <v>7557</v>
      </c>
      <c r="F3366" s="10"/>
      <c r="G3366" s="10"/>
      <c r="H3366" s="10" t="s">
        <v>7557</v>
      </c>
      <c r="I3366" s="14">
        <v>15075.493264041725</v>
      </c>
      <c r="J3366" s="19">
        <v>0</v>
      </c>
      <c r="K3366" s="19">
        <v>0</v>
      </c>
      <c r="L3366" s="19">
        <v>1</v>
      </c>
      <c r="M3366" s="20">
        <v>1</v>
      </c>
      <c r="N3366" s="19">
        <v>0</v>
      </c>
      <c r="O3366" s="19">
        <v>0</v>
      </c>
      <c r="P3366" s="19">
        <v>0</v>
      </c>
      <c r="Q3366" s="19">
        <v>0.61661882562772585</v>
      </c>
      <c r="R3366" s="19">
        <v>0.32277279042834867</v>
      </c>
      <c r="S3366" s="19">
        <v>6.0608383943925481E-2</v>
      </c>
      <c r="T3366" s="20">
        <v>13</v>
      </c>
      <c r="U3366" s="17">
        <v>3</v>
      </c>
      <c r="V3366" s="17">
        <v>36</v>
      </c>
    </row>
    <row r="3367" spans="1:22" x14ac:dyDescent="0.2">
      <c r="A3367" t="s">
        <v>7558</v>
      </c>
      <c r="B3367" t="s">
        <v>5862</v>
      </c>
      <c r="C3367" t="s">
        <v>5863</v>
      </c>
      <c r="D3367" t="s">
        <v>7550</v>
      </c>
      <c r="E3367" s="10" t="s">
        <v>7559</v>
      </c>
      <c r="F3367" s="10"/>
      <c r="G3367" s="10"/>
      <c r="H3367" s="10" t="s">
        <v>7559</v>
      </c>
      <c r="I3367" s="14">
        <v>17594.754847185919</v>
      </c>
      <c r="J3367" s="19">
        <v>0</v>
      </c>
      <c r="K3367" s="19">
        <v>0</v>
      </c>
      <c r="L3367" s="19">
        <v>1</v>
      </c>
      <c r="M3367" s="20">
        <v>1</v>
      </c>
      <c r="N3367" s="19">
        <v>0</v>
      </c>
      <c r="O3367" s="19">
        <v>0</v>
      </c>
      <c r="P3367" s="19">
        <v>0</v>
      </c>
      <c r="Q3367" s="19">
        <v>0.60345085969104306</v>
      </c>
      <c r="R3367" s="19">
        <v>0.34554976160083667</v>
      </c>
      <c r="S3367" s="19">
        <v>5.0999378708120241E-2</v>
      </c>
      <c r="T3367" s="20">
        <v>13</v>
      </c>
      <c r="U3367" s="17">
        <v>3</v>
      </c>
      <c r="V3367" s="17">
        <v>36</v>
      </c>
    </row>
    <row r="3368" spans="1:22" x14ac:dyDescent="0.2">
      <c r="A3368" t="s">
        <v>7560</v>
      </c>
      <c r="B3368" t="s">
        <v>5862</v>
      </c>
      <c r="C3368" t="s">
        <v>5863</v>
      </c>
      <c r="D3368" t="s">
        <v>7550</v>
      </c>
      <c r="E3368" s="10" t="s">
        <v>7561</v>
      </c>
      <c r="F3368" s="10"/>
      <c r="G3368" s="10"/>
      <c r="H3368" s="10" t="s">
        <v>7561</v>
      </c>
      <c r="I3368" s="14">
        <v>87855.385043101734</v>
      </c>
      <c r="J3368" s="19">
        <v>0</v>
      </c>
      <c r="K3368" s="19">
        <v>0.33514878465634046</v>
      </c>
      <c r="L3368" s="19">
        <v>0.66485121534365943</v>
      </c>
      <c r="M3368" s="20">
        <v>1</v>
      </c>
      <c r="N3368" s="19">
        <v>0.14572104974095695</v>
      </c>
      <c r="O3368" s="19">
        <v>0.11964580893202936</v>
      </c>
      <c r="P3368" s="19">
        <v>6.9781925983354212E-2</v>
      </c>
      <c r="Q3368" s="19">
        <v>0.37542500362190973</v>
      </c>
      <c r="R3368" s="19">
        <v>0.25264475226300837</v>
      </c>
      <c r="S3368" s="19">
        <v>3.6781459458741388E-2</v>
      </c>
      <c r="T3368" s="20">
        <v>13</v>
      </c>
      <c r="U3368" s="17">
        <v>3</v>
      </c>
      <c r="V3368" s="17">
        <v>36</v>
      </c>
    </row>
    <row r="3369" spans="1:22" x14ac:dyDescent="0.2">
      <c r="A3369" t="s">
        <v>7562</v>
      </c>
      <c r="B3369" t="s">
        <v>5862</v>
      </c>
      <c r="C3369" t="s">
        <v>5863</v>
      </c>
      <c r="D3369" t="s">
        <v>7550</v>
      </c>
      <c r="E3369" s="10" t="s">
        <v>7563</v>
      </c>
      <c r="F3369" s="10"/>
      <c r="G3369" s="10"/>
      <c r="H3369" s="10" t="s">
        <v>7563</v>
      </c>
      <c r="I3369" s="14">
        <v>42573.348792818375</v>
      </c>
      <c r="J3369" s="19">
        <v>0</v>
      </c>
      <c r="K3369" s="19">
        <v>0</v>
      </c>
      <c r="L3369" s="19">
        <v>1</v>
      </c>
      <c r="M3369" s="20">
        <v>1</v>
      </c>
      <c r="N3369" s="19">
        <v>0</v>
      </c>
      <c r="O3369" s="19">
        <v>0</v>
      </c>
      <c r="P3369" s="19">
        <v>0</v>
      </c>
      <c r="Q3369" s="19">
        <v>0.5846292074615913</v>
      </c>
      <c r="R3369" s="19">
        <v>0.33846191126980896</v>
      </c>
      <c r="S3369" s="19">
        <v>7.6908881268599669E-2</v>
      </c>
      <c r="T3369" s="20">
        <v>13</v>
      </c>
      <c r="U3369" s="17">
        <v>3</v>
      </c>
      <c r="V3369" s="17">
        <v>36</v>
      </c>
    </row>
    <row r="3370" spans="1:22" x14ac:dyDescent="0.2">
      <c r="A3370" t="s">
        <v>7564</v>
      </c>
      <c r="B3370" t="s">
        <v>5862</v>
      </c>
      <c r="C3370" t="s">
        <v>5863</v>
      </c>
      <c r="D3370" t="s">
        <v>7550</v>
      </c>
      <c r="E3370" s="10" t="s">
        <v>7565</v>
      </c>
      <c r="F3370" s="10"/>
      <c r="G3370" s="10"/>
      <c r="H3370" s="10" t="s">
        <v>7565</v>
      </c>
      <c r="I3370" s="14">
        <v>283414.27105927037</v>
      </c>
      <c r="J3370" s="19">
        <v>0.51481333709711552</v>
      </c>
      <c r="K3370" s="19">
        <v>0.18500353506302766</v>
      </c>
      <c r="L3370" s="19">
        <v>0.30018312783985679</v>
      </c>
      <c r="M3370" s="20">
        <v>3</v>
      </c>
      <c r="N3370" s="19">
        <v>0</v>
      </c>
      <c r="O3370" s="19">
        <v>3.4568838545412595E-2</v>
      </c>
      <c r="P3370" s="19">
        <v>0.15043469651761507</v>
      </c>
      <c r="Q3370" s="19">
        <v>7.9223465812523888E-2</v>
      </c>
      <c r="R3370" s="19">
        <v>0.1951163740967439</v>
      </c>
      <c r="S3370" s="19">
        <v>2.5843287930589008E-2</v>
      </c>
      <c r="T3370" s="20">
        <v>30</v>
      </c>
      <c r="U3370" s="17">
        <v>3</v>
      </c>
      <c r="V3370" s="17">
        <v>36</v>
      </c>
    </row>
    <row r="3371" spans="1:22" x14ac:dyDescent="0.2">
      <c r="A3371" t="s">
        <v>7566</v>
      </c>
      <c r="B3371" t="s">
        <v>5862</v>
      </c>
      <c r="C3371" t="s">
        <v>5863</v>
      </c>
      <c r="D3371" t="s">
        <v>7550</v>
      </c>
      <c r="E3371" s="10" t="s">
        <v>7567</v>
      </c>
      <c r="F3371" s="10"/>
      <c r="G3371" s="10"/>
      <c r="H3371" s="10" t="s">
        <v>7567</v>
      </c>
      <c r="I3371" s="14">
        <v>16939.04495061608</v>
      </c>
      <c r="J3371" s="19">
        <v>0</v>
      </c>
      <c r="K3371" s="19">
        <v>0</v>
      </c>
      <c r="L3371" s="19">
        <v>1</v>
      </c>
      <c r="M3371" s="20">
        <v>1</v>
      </c>
      <c r="N3371" s="19">
        <v>0</v>
      </c>
      <c r="O3371" s="19">
        <v>0</v>
      </c>
      <c r="P3371" s="19">
        <v>0</v>
      </c>
      <c r="Q3371" s="19">
        <v>0.27238129419452667</v>
      </c>
      <c r="R3371" s="19">
        <v>0.61866066383722018</v>
      </c>
      <c r="S3371" s="19">
        <v>0.10895804196825311</v>
      </c>
      <c r="T3371" s="20">
        <v>12</v>
      </c>
      <c r="U3371" s="17">
        <v>3</v>
      </c>
      <c r="V3371" s="17">
        <v>36</v>
      </c>
    </row>
    <row r="3372" spans="1:22" x14ac:dyDescent="0.2">
      <c r="A3372" t="s">
        <v>7568</v>
      </c>
      <c r="B3372" t="s">
        <v>5862</v>
      </c>
      <c r="C3372" t="s">
        <v>5863</v>
      </c>
      <c r="D3372" t="s">
        <v>7550</v>
      </c>
      <c r="E3372" s="10" t="s">
        <v>7569</v>
      </c>
      <c r="F3372" s="10"/>
      <c r="G3372" s="10"/>
      <c r="H3372" s="10" t="s">
        <v>7569</v>
      </c>
      <c r="I3372" s="14">
        <v>37684.360030180542</v>
      </c>
      <c r="J3372" s="19">
        <v>0</v>
      </c>
      <c r="K3372" s="19">
        <v>0.30097173451010067</v>
      </c>
      <c r="L3372" s="19">
        <v>0.69902826548989938</v>
      </c>
      <c r="M3372" s="20">
        <v>1</v>
      </c>
      <c r="N3372" s="19">
        <v>0.21519167653015878</v>
      </c>
      <c r="O3372" s="19">
        <v>0</v>
      </c>
      <c r="P3372" s="19">
        <v>8.5780057979941898E-2</v>
      </c>
      <c r="Q3372" s="19">
        <v>0.33023982941795327</v>
      </c>
      <c r="R3372" s="19">
        <v>0.28653725799670821</v>
      </c>
      <c r="S3372" s="19">
        <v>8.2251178075237838E-2</v>
      </c>
      <c r="T3372" s="20">
        <v>13</v>
      </c>
      <c r="U3372" s="17">
        <v>3</v>
      </c>
      <c r="V3372" s="17">
        <v>36</v>
      </c>
    </row>
    <row r="3373" spans="1:22" x14ac:dyDescent="0.2">
      <c r="A3373" t="s">
        <v>7570</v>
      </c>
      <c r="B3373" t="s">
        <v>5862</v>
      </c>
      <c r="C3373" t="s">
        <v>5863</v>
      </c>
      <c r="D3373" t="s">
        <v>7550</v>
      </c>
      <c r="E3373" s="10" t="s">
        <v>7571</v>
      </c>
      <c r="F3373" s="10"/>
      <c r="G3373" s="10"/>
      <c r="H3373" s="10" t="s">
        <v>7571</v>
      </c>
      <c r="I3373" s="14">
        <v>33256.867128729587</v>
      </c>
      <c r="J3373" s="19">
        <v>0</v>
      </c>
      <c r="K3373" s="19">
        <v>0</v>
      </c>
      <c r="L3373" s="19">
        <v>1</v>
      </c>
      <c r="M3373" s="20">
        <v>1</v>
      </c>
      <c r="N3373" s="19">
        <v>0</v>
      </c>
      <c r="O3373" s="19">
        <v>0</v>
      </c>
      <c r="P3373" s="19">
        <v>0</v>
      </c>
      <c r="Q3373" s="19">
        <v>0.7156241681912715</v>
      </c>
      <c r="R3373" s="19">
        <v>0.22911048225586392</v>
      </c>
      <c r="S3373" s="19">
        <v>5.5265349552864586E-2</v>
      </c>
      <c r="T3373" s="20">
        <v>13</v>
      </c>
      <c r="U3373" s="17">
        <v>3</v>
      </c>
      <c r="V3373" s="17">
        <v>36</v>
      </c>
    </row>
    <row r="3374" spans="1:22" x14ac:dyDescent="0.2">
      <c r="A3374" t="s">
        <v>7572</v>
      </c>
      <c r="B3374" t="s">
        <v>5862</v>
      </c>
      <c r="C3374" t="s">
        <v>5863</v>
      </c>
      <c r="D3374" t="s">
        <v>7550</v>
      </c>
      <c r="E3374" s="10" t="s">
        <v>7573</v>
      </c>
      <c r="F3374" s="10"/>
      <c r="G3374" s="10"/>
      <c r="H3374" s="10" t="s">
        <v>7573</v>
      </c>
      <c r="I3374" s="14">
        <v>84129.599322566995</v>
      </c>
      <c r="J3374" s="19">
        <v>0</v>
      </c>
      <c r="K3374" s="19">
        <v>9.2324094990094488E-2</v>
      </c>
      <c r="L3374" s="19">
        <v>0.90767590500990547</v>
      </c>
      <c r="M3374" s="20">
        <v>1</v>
      </c>
      <c r="N3374" s="19">
        <v>6.127886665264929E-2</v>
      </c>
      <c r="O3374" s="19">
        <v>0</v>
      </c>
      <c r="P3374" s="19">
        <v>3.1045228337445198E-2</v>
      </c>
      <c r="Q3374" s="19">
        <v>0.50448560322061298</v>
      </c>
      <c r="R3374" s="19">
        <v>0.32959883709704518</v>
      </c>
      <c r="S3374" s="19">
        <v>7.3591464692247352E-2</v>
      </c>
      <c r="T3374" s="20">
        <v>13</v>
      </c>
      <c r="U3374" s="17">
        <v>3</v>
      </c>
      <c r="V3374" s="17">
        <v>36</v>
      </c>
    </row>
    <row r="3375" spans="1:22" x14ac:dyDescent="0.2">
      <c r="A3375" t="s">
        <v>7574</v>
      </c>
      <c r="B3375" t="s">
        <v>5862</v>
      </c>
      <c r="C3375" t="s">
        <v>5863</v>
      </c>
      <c r="D3375" t="s">
        <v>7550</v>
      </c>
      <c r="E3375" s="10" t="s">
        <v>7215</v>
      </c>
      <c r="F3375" s="10"/>
      <c r="G3375" s="10"/>
      <c r="H3375" s="10" t="s">
        <v>7215</v>
      </c>
      <c r="I3375" s="14">
        <v>10464.972314543324</v>
      </c>
      <c r="J3375" s="19">
        <v>0</v>
      </c>
      <c r="K3375" s="19">
        <v>0</v>
      </c>
      <c r="L3375" s="19">
        <v>1</v>
      </c>
      <c r="M3375" s="20">
        <v>1</v>
      </c>
      <c r="N3375" s="19">
        <v>0</v>
      </c>
      <c r="O3375" s="19">
        <v>0</v>
      </c>
      <c r="P3375" s="19">
        <v>0</v>
      </c>
      <c r="Q3375" s="19">
        <v>0.51189420010301401</v>
      </c>
      <c r="R3375" s="19">
        <v>0.38568746243591756</v>
      </c>
      <c r="S3375" s="19">
        <v>0.10241833746106845</v>
      </c>
      <c r="T3375" s="20">
        <v>13</v>
      </c>
      <c r="U3375" s="17">
        <v>3</v>
      </c>
      <c r="V3375" s="17">
        <v>36</v>
      </c>
    </row>
    <row r="3376" spans="1:22" x14ac:dyDescent="0.2">
      <c r="A3376" t="s">
        <v>7575</v>
      </c>
      <c r="B3376" t="s">
        <v>5862</v>
      </c>
      <c r="C3376" t="s">
        <v>5863</v>
      </c>
      <c r="D3376" t="s">
        <v>7550</v>
      </c>
      <c r="E3376" s="10" t="s">
        <v>7576</v>
      </c>
      <c r="F3376" s="10"/>
      <c r="G3376" s="10"/>
      <c r="H3376" s="10" t="s">
        <v>7576</v>
      </c>
      <c r="I3376" s="14">
        <v>42563.648905549198</v>
      </c>
      <c r="J3376" s="19">
        <v>0</v>
      </c>
      <c r="K3376" s="19">
        <v>0.34948679413516476</v>
      </c>
      <c r="L3376" s="19">
        <v>0.6505132058648353</v>
      </c>
      <c r="M3376" s="20">
        <v>1</v>
      </c>
      <c r="N3376" s="19">
        <v>0</v>
      </c>
      <c r="O3376" s="19">
        <v>0.34948679413516476</v>
      </c>
      <c r="P3376" s="19">
        <v>0</v>
      </c>
      <c r="Q3376" s="19">
        <v>0.41353981495678088</v>
      </c>
      <c r="R3376" s="19">
        <v>0.1785831832471427</v>
      </c>
      <c r="S3376" s="19">
        <v>5.83902076609117E-2</v>
      </c>
      <c r="T3376" s="20">
        <v>13</v>
      </c>
      <c r="U3376" s="17">
        <v>3</v>
      </c>
      <c r="V3376" s="17">
        <v>36</v>
      </c>
    </row>
    <row r="3377" spans="1:22" x14ac:dyDescent="0.2">
      <c r="A3377" t="s">
        <v>7577</v>
      </c>
      <c r="B3377" t="s">
        <v>5862</v>
      </c>
      <c r="C3377" t="s">
        <v>5863</v>
      </c>
      <c r="D3377" t="s">
        <v>7550</v>
      </c>
      <c r="E3377" s="10" t="s">
        <v>7578</v>
      </c>
      <c r="F3377" s="10"/>
      <c r="G3377" s="10"/>
      <c r="H3377" s="10" t="s">
        <v>7578</v>
      </c>
      <c r="I3377" s="14">
        <v>73220.395190489595</v>
      </c>
      <c r="J3377" s="19">
        <v>0</v>
      </c>
      <c r="K3377" s="19">
        <v>8.7851135973093672E-2</v>
      </c>
      <c r="L3377" s="19">
        <v>0.91214886402690643</v>
      </c>
      <c r="M3377" s="20">
        <v>1</v>
      </c>
      <c r="N3377" s="19">
        <v>0</v>
      </c>
      <c r="O3377" s="19">
        <v>8.7851135973093672E-2</v>
      </c>
      <c r="P3377" s="19">
        <v>0</v>
      </c>
      <c r="Q3377" s="19">
        <v>0.36938476415929056</v>
      </c>
      <c r="R3377" s="19">
        <v>0.45181247762140364</v>
      </c>
      <c r="S3377" s="19">
        <v>9.0951622246212158E-2</v>
      </c>
      <c r="T3377" s="20">
        <v>12</v>
      </c>
      <c r="U3377" s="17">
        <v>3</v>
      </c>
      <c r="V3377" s="17">
        <v>36</v>
      </c>
    </row>
    <row r="3378" spans="1:22" x14ac:dyDescent="0.2">
      <c r="A3378" t="s">
        <v>7579</v>
      </c>
      <c r="B3378" t="s">
        <v>5862</v>
      </c>
      <c r="C3378" t="s">
        <v>5863</v>
      </c>
      <c r="D3378" t="s">
        <v>7550</v>
      </c>
      <c r="E3378" s="10" t="s">
        <v>7580</v>
      </c>
      <c r="F3378" s="10"/>
      <c r="G3378" s="10"/>
      <c r="H3378" s="10" t="s">
        <v>7580</v>
      </c>
      <c r="I3378" s="14">
        <v>16336.881195871627</v>
      </c>
      <c r="J3378" s="19">
        <v>0</v>
      </c>
      <c r="K3378" s="19">
        <v>0</v>
      </c>
      <c r="L3378" s="19">
        <v>1</v>
      </c>
      <c r="M3378" s="20">
        <v>1</v>
      </c>
      <c r="N3378" s="19">
        <v>0</v>
      </c>
      <c r="O3378" s="19">
        <v>0</v>
      </c>
      <c r="P3378" s="19">
        <v>0</v>
      </c>
      <c r="Q3378" s="19">
        <v>0.50836969614183503</v>
      </c>
      <c r="R3378" s="19">
        <v>0.38559156055492227</v>
      </c>
      <c r="S3378" s="19">
        <v>0.10603874330324255</v>
      </c>
      <c r="T3378" s="20">
        <v>13</v>
      </c>
      <c r="U3378" s="17">
        <v>3</v>
      </c>
      <c r="V3378" s="17">
        <v>36</v>
      </c>
    </row>
    <row r="3379" spans="1:22" x14ac:dyDescent="0.2">
      <c r="A3379" t="s">
        <v>7581</v>
      </c>
      <c r="B3379" t="s">
        <v>5862</v>
      </c>
      <c r="C3379" t="s">
        <v>5863</v>
      </c>
      <c r="D3379" t="s">
        <v>7550</v>
      </c>
      <c r="E3379" s="10" t="s">
        <v>6737</v>
      </c>
      <c r="F3379" s="10"/>
      <c r="G3379" s="10"/>
      <c r="H3379" s="10" t="s">
        <v>6737</v>
      </c>
      <c r="I3379" s="14">
        <v>19392.562711511971</v>
      </c>
      <c r="J3379" s="19">
        <v>0</v>
      </c>
      <c r="K3379" s="19">
        <v>0</v>
      </c>
      <c r="L3379" s="19">
        <v>1</v>
      </c>
      <c r="M3379" s="20">
        <v>1</v>
      </c>
      <c r="N3379" s="19">
        <v>0</v>
      </c>
      <c r="O3379" s="19">
        <v>0</v>
      </c>
      <c r="P3379" s="19">
        <v>0</v>
      </c>
      <c r="Q3379" s="19">
        <v>0.51930515598305993</v>
      </c>
      <c r="R3379" s="19">
        <v>0.38960083744819574</v>
      </c>
      <c r="S3379" s="19">
        <v>9.1094006568744307E-2</v>
      </c>
      <c r="T3379" s="20">
        <v>13</v>
      </c>
      <c r="U3379" s="17">
        <v>3</v>
      </c>
      <c r="V3379" s="17">
        <v>36</v>
      </c>
    </row>
    <row r="3380" spans="1:22" x14ac:dyDescent="0.2">
      <c r="A3380" t="s">
        <v>7582</v>
      </c>
      <c r="B3380" t="s">
        <v>5862</v>
      </c>
      <c r="C3380" t="s">
        <v>5863</v>
      </c>
      <c r="D3380" t="s">
        <v>7550</v>
      </c>
      <c r="E3380" s="10" t="s">
        <v>7583</v>
      </c>
      <c r="F3380" s="10"/>
      <c r="G3380" s="10"/>
      <c r="H3380" s="10" t="s">
        <v>7583</v>
      </c>
      <c r="I3380" s="14">
        <v>32189.795767225092</v>
      </c>
      <c r="J3380" s="19">
        <v>0</v>
      </c>
      <c r="K3380" s="19">
        <v>0.19256613262090708</v>
      </c>
      <c r="L3380" s="19">
        <v>0.80743386737909295</v>
      </c>
      <c r="M3380" s="20">
        <v>1</v>
      </c>
      <c r="N3380" s="19">
        <v>0</v>
      </c>
      <c r="O3380" s="19">
        <v>0.19256613262090708</v>
      </c>
      <c r="P3380" s="19">
        <v>0</v>
      </c>
      <c r="Q3380" s="19">
        <v>0.42226796494152552</v>
      </c>
      <c r="R3380" s="19">
        <v>0.29691929391456129</v>
      </c>
      <c r="S3380" s="19">
        <v>8.8246608523006115E-2</v>
      </c>
      <c r="T3380" s="20">
        <v>13</v>
      </c>
      <c r="U3380" s="17">
        <v>3</v>
      </c>
      <c r="V3380" s="17">
        <v>36</v>
      </c>
    </row>
    <row r="3381" spans="1:22" x14ac:dyDescent="0.2">
      <c r="A3381" t="s">
        <v>7584</v>
      </c>
      <c r="B3381" t="s">
        <v>5862</v>
      </c>
      <c r="C3381" t="s">
        <v>5863</v>
      </c>
      <c r="D3381" t="s">
        <v>7550</v>
      </c>
      <c r="E3381" s="10" t="s">
        <v>7585</v>
      </c>
      <c r="F3381" s="10"/>
      <c r="G3381" s="10"/>
      <c r="H3381" s="10" t="s">
        <v>7585</v>
      </c>
      <c r="I3381" s="14">
        <v>22339.425575137604</v>
      </c>
      <c r="J3381" s="19">
        <v>0</v>
      </c>
      <c r="K3381" s="19">
        <v>0</v>
      </c>
      <c r="L3381" s="19">
        <v>1</v>
      </c>
      <c r="M3381" s="20">
        <v>1</v>
      </c>
      <c r="N3381" s="19">
        <v>0</v>
      </c>
      <c r="O3381" s="19">
        <v>0</v>
      </c>
      <c r="P3381" s="19">
        <v>0</v>
      </c>
      <c r="Q3381" s="19">
        <v>0.60907035541906174</v>
      </c>
      <c r="R3381" s="19">
        <v>0.27525749202068517</v>
      </c>
      <c r="S3381" s="19">
        <v>0.11567215256025312</v>
      </c>
      <c r="T3381" s="20">
        <v>13</v>
      </c>
      <c r="U3381" s="17">
        <v>3</v>
      </c>
      <c r="V3381" s="17">
        <v>36</v>
      </c>
    </row>
    <row r="3382" spans="1:22" x14ac:dyDescent="0.2">
      <c r="A3382" t="s">
        <v>7586</v>
      </c>
      <c r="B3382" t="s">
        <v>5862</v>
      </c>
      <c r="C3382" t="s">
        <v>5863</v>
      </c>
      <c r="D3382" t="s">
        <v>7550</v>
      </c>
      <c r="E3382" s="10" t="s">
        <v>7587</v>
      </c>
      <c r="F3382" s="10"/>
      <c r="G3382" s="10"/>
      <c r="H3382" s="10" t="s">
        <v>7587</v>
      </c>
      <c r="I3382" s="14">
        <v>36960.006380414357</v>
      </c>
      <c r="J3382" s="19">
        <v>0</v>
      </c>
      <c r="K3382" s="19">
        <v>0.22543897475650473</v>
      </c>
      <c r="L3382" s="19">
        <v>0.77456102524349513</v>
      </c>
      <c r="M3382" s="20">
        <v>1</v>
      </c>
      <c r="N3382" s="19">
        <v>0.14294541209622524</v>
      </c>
      <c r="O3382" s="19">
        <v>0</v>
      </c>
      <c r="P3382" s="19">
        <v>8.249356266027949E-2</v>
      </c>
      <c r="Q3382" s="19">
        <v>0.29206115342112354</v>
      </c>
      <c r="R3382" s="19">
        <v>0.3964220540802546</v>
      </c>
      <c r="S3382" s="19">
        <v>8.6077817742117133E-2</v>
      </c>
      <c r="T3382" s="20">
        <v>12</v>
      </c>
      <c r="U3382" s="17">
        <v>3</v>
      </c>
      <c r="V3382" s="17">
        <v>36</v>
      </c>
    </row>
    <row r="3383" spans="1:22" x14ac:dyDescent="0.2">
      <c r="A3383" t="s">
        <v>7588</v>
      </c>
      <c r="B3383" t="s">
        <v>5862</v>
      </c>
      <c r="C3383" t="s">
        <v>5863</v>
      </c>
      <c r="D3383" t="s">
        <v>7589</v>
      </c>
      <c r="E3383" s="10" t="s">
        <v>7590</v>
      </c>
      <c r="F3383" s="10"/>
      <c r="G3383" s="10"/>
      <c r="H3383" s="10" t="s">
        <v>7590</v>
      </c>
      <c r="I3383" s="14">
        <v>51664.232317600632</v>
      </c>
      <c r="J3383" s="19">
        <v>0</v>
      </c>
      <c r="K3383" s="19">
        <v>9.889712035863886E-2</v>
      </c>
      <c r="L3383" s="19">
        <v>0.90110287964136104</v>
      </c>
      <c r="M3383" s="20">
        <v>1</v>
      </c>
      <c r="N3383" s="19">
        <v>0</v>
      </c>
      <c r="O3383" s="19">
        <v>9.889712035863886E-2</v>
      </c>
      <c r="P3383" s="19">
        <v>0</v>
      </c>
      <c r="Q3383" s="19">
        <v>0.13987186630718029</v>
      </c>
      <c r="R3383" s="19">
        <v>0.58326588758919118</v>
      </c>
      <c r="S3383" s="19">
        <v>0.17796512574498971</v>
      </c>
      <c r="T3383" s="20">
        <v>12</v>
      </c>
      <c r="U3383" s="17">
        <v>3</v>
      </c>
      <c r="V3383" s="17">
        <v>36</v>
      </c>
    </row>
    <row r="3384" spans="1:22" x14ac:dyDescent="0.2">
      <c r="A3384" t="s">
        <v>7591</v>
      </c>
      <c r="B3384" t="s">
        <v>5862</v>
      </c>
      <c r="C3384" t="s">
        <v>5863</v>
      </c>
      <c r="D3384" t="s">
        <v>7589</v>
      </c>
      <c r="E3384" s="10" t="s">
        <v>7592</v>
      </c>
      <c r="F3384" s="10"/>
      <c r="G3384" s="10"/>
      <c r="H3384" s="10" t="s">
        <v>7592</v>
      </c>
      <c r="I3384" s="14">
        <v>15098.599612997845</v>
      </c>
      <c r="J3384" s="19">
        <v>0</v>
      </c>
      <c r="K3384" s="19">
        <v>0</v>
      </c>
      <c r="L3384" s="19">
        <v>1</v>
      </c>
      <c r="M3384" s="20">
        <v>1</v>
      </c>
      <c r="N3384" s="19">
        <v>0</v>
      </c>
      <c r="O3384" s="19">
        <v>0</v>
      </c>
      <c r="P3384" s="19">
        <v>0</v>
      </c>
      <c r="Q3384" s="19">
        <v>0</v>
      </c>
      <c r="R3384" s="19">
        <v>0.84436646092708112</v>
      </c>
      <c r="S3384" s="19">
        <v>0.15563353907291885</v>
      </c>
      <c r="T3384" s="20">
        <v>12</v>
      </c>
      <c r="U3384" s="17">
        <v>3</v>
      </c>
      <c r="V3384" s="17">
        <v>36</v>
      </c>
    </row>
    <row r="3385" spans="1:22" x14ac:dyDescent="0.2">
      <c r="A3385" t="s">
        <v>7593</v>
      </c>
      <c r="B3385" t="s">
        <v>5862</v>
      </c>
      <c r="C3385" t="s">
        <v>5863</v>
      </c>
      <c r="D3385" t="s">
        <v>7589</v>
      </c>
      <c r="E3385" s="10" t="s">
        <v>7594</v>
      </c>
      <c r="F3385" s="10"/>
      <c r="G3385" s="10"/>
      <c r="H3385" s="10" t="s">
        <v>7594</v>
      </c>
      <c r="I3385" s="14">
        <v>46829.780599021586</v>
      </c>
      <c r="J3385" s="19">
        <v>0</v>
      </c>
      <c r="K3385" s="19">
        <v>0</v>
      </c>
      <c r="L3385" s="19">
        <v>1</v>
      </c>
      <c r="M3385" s="20">
        <v>1</v>
      </c>
      <c r="N3385" s="19">
        <v>0</v>
      </c>
      <c r="O3385" s="19">
        <v>0</v>
      </c>
      <c r="P3385" s="19">
        <v>0</v>
      </c>
      <c r="Q3385" s="19">
        <v>0.15277890640618008</v>
      </c>
      <c r="R3385" s="19">
        <v>0.67895471314755662</v>
      </c>
      <c r="S3385" s="19">
        <v>0.16826638044626341</v>
      </c>
      <c r="T3385" s="20">
        <v>12</v>
      </c>
      <c r="U3385" s="17">
        <v>3</v>
      </c>
      <c r="V3385" s="17">
        <v>36</v>
      </c>
    </row>
    <row r="3386" spans="1:22" x14ac:dyDescent="0.2">
      <c r="A3386" t="s">
        <v>7595</v>
      </c>
      <c r="B3386" t="s">
        <v>5862</v>
      </c>
      <c r="C3386" t="s">
        <v>5863</v>
      </c>
      <c r="D3386" t="s">
        <v>7589</v>
      </c>
      <c r="E3386" s="10" t="s">
        <v>7596</v>
      </c>
      <c r="F3386" s="10"/>
      <c r="G3386" s="10"/>
      <c r="H3386" s="10" t="s">
        <v>7596</v>
      </c>
      <c r="I3386" s="14">
        <v>43700.027483105776</v>
      </c>
      <c r="J3386" s="19">
        <v>0</v>
      </c>
      <c r="K3386" s="19">
        <v>0.52232204844175933</v>
      </c>
      <c r="L3386" s="19">
        <v>0.47767795155824078</v>
      </c>
      <c r="M3386" s="20">
        <v>2</v>
      </c>
      <c r="N3386" s="19">
        <v>0.32293013469221626</v>
      </c>
      <c r="O3386" s="19">
        <v>0</v>
      </c>
      <c r="P3386" s="19">
        <v>0.19939191374954301</v>
      </c>
      <c r="Q3386" s="19">
        <v>6.5327542092187135E-2</v>
      </c>
      <c r="R3386" s="19">
        <v>0.36563923513166213</v>
      </c>
      <c r="S3386" s="19">
        <v>4.6711174334391418E-2</v>
      </c>
      <c r="T3386" s="20">
        <v>23</v>
      </c>
      <c r="U3386" s="17">
        <v>3</v>
      </c>
      <c r="V3386" s="17">
        <v>36</v>
      </c>
    </row>
    <row r="3387" spans="1:22" x14ac:dyDescent="0.2">
      <c r="A3387" t="s">
        <v>7597</v>
      </c>
      <c r="B3387" t="s">
        <v>5862</v>
      </c>
      <c r="C3387" t="s">
        <v>5863</v>
      </c>
      <c r="D3387" t="s">
        <v>7589</v>
      </c>
      <c r="E3387" s="10" t="s">
        <v>7598</v>
      </c>
      <c r="F3387" s="10"/>
      <c r="G3387" s="10"/>
      <c r="H3387" s="10" t="s">
        <v>7598</v>
      </c>
      <c r="I3387" s="14">
        <v>38312.455164681654</v>
      </c>
      <c r="J3387" s="19">
        <v>0</v>
      </c>
      <c r="K3387" s="19">
        <v>0.15476181303257766</v>
      </c>
      <c r="L3387" s="19">
        <v>0.84523818696742237</v>
      </c>
      <c r="M3387" s="20">
        <v>1</v>
      </c>
      <c r="N3387" s="19">
        <v>0</v>
      </c>
      <c r="O3387" s="19">
        <v>0.15476181303257766</v>
      </c>
      <c r="P3387" s="19">
        <v>0</v>
      </c>
      <c r="Q3387" s="19">
        <v>4.0125410585786565E-2</v>
      </c>
      <c r="R3387" s="19">
        <v>0.72646350495238599</v>
      </c>
      <c r="S3387" s="19">
        <v>7.8649271429249754E-2</v>
      </c>
      <c r="T3387" s="20">
        <v>12</v>
      </c>
      <c r="U3387" s="17">
        <v>3</v>
      </c>
      <c r="V3387" s="17">
        <v>36</v>
      </c>
    </row>
    <row r="3388" spans="1:22" x14ac:dyDescent="0.2">
      <c r="A3388" t="s">
        <v>7599</v>
      </c>
      <c r="B3388" t="s">
        <v>5862</v>
      </c>
      <c r="C3388" t="s">
        <v>5863</v>
      </c>
      <c r="D3388" t="s">
        <v>7589</v>
      </c>
      <c r="E3388" s="10" t="s">
        <v>7600</v>
      </c>
      <c r="F3388" s="10"/>
      <c r="G3388" s="10"/>
      <c r="H3388" s="10" t="s">
        <v>7600</v>
      </c>
      <c r="I3388" s="14">
        <v>13735.047405171324</v>
      </c>
      <c r="J3388" s="19">
        <v>0</v>
      </c>
      <c r="K3388" s="19">
        <v>2.1092095362004494E-3</v>
      </c>
      <c r="L3388" s="19">
        <v>0.99789079046379958</v>
      </c>
      <c r="M3388" s="20">
        <v>1</v>
      </c>
      <c r="N3388" s="19">
        <v>0</v>
      </c>
      <c r="O3388" s="19">
        <v>0</v>
      </c>
      <c r="P3388" s="19">
        <v>2.1092095362004494E-3</v>
      </c>
      <c r="Q3388" s="19">
        <v>4.9410010463584314E-2</v>
      </c>
      <c r="R3388" s="19">
        <v>0.84326476236335268</v>
      </c>
      <c r="S3388" s="19">
        <v>0.10521601763686252</v>
      </c>
      <c r="T3388" s="20">
        <v>12</v>
      </c>
      <c r="U3388" s="17">
        <v>3</v>
      </c>
      <c r="V3388" s="17">
        <v>36</v>
      </c>
    </row>
    <row r="3389" spans="1:22" x14ac:dyDescent="0.2">
      <c r="A3389" t="s">
        <v>7601</v>
      </c>
      <c r="B3389" t="s">
        <v>5862</v>
      </c>
      <c r="C3389" t="s">
        <v>5863</v>
      </c>
      <c r="D3389" t="s">
        <v>7589</v>
      </c>
      <c r="E3389" s="10" t="s">
        <v>7602</v>
      </c>
      <c r="F3389" s="10"/>
      <c r="G3389" s="10"/>
      <c r="H3389" s="10" t="s">
        <v>7602</v>
      </c>
      <c r="I3389" s="14">
        <v>24999.870962577985</v>
      </c>
      <c r="J3389" s="19">
        <v>0</v>
      </c>
      <c r="K3389" s="19">
        <v>0</v>
      </c>
      <c r="L3389" s="19">
        <v>1</v>
      </c>
      <c r="M3389" s="20">
        <v>1</v>
      </c>
      <c r="N3389" s="19">
        <v>0</v>
      </c>
      <c r="O3389" s="19">
        <v>0</v>
      </c>
      <c r="P3389" s="19">
        <v>0</v>
      </c>
      <c r="Q3389" s="19">
        <v>0.1504948307781577</v>
      </c>
      <c r="R3389" s="19">
        <v>0.70939399750990129</v>
      </c>
      <c r="S3389" s="19">
        <v>0.14011117171194121</v>
      </c>
      <c r="T3389" s="20">
        <v>12</v>
      </c>
      <c r="U3389" s="17">
        <v>3</v>
      </c>
      <c r="V3389" s="17">
        <v>36</v>
      </c>
    </row>
    <row r="3390" spans="1:22" x14ac:dyDescent="0.2">
      <c r="A3390" t="s">
        <v>7603</v>
      </c>
      <c r="B3390" t="s">
        <v>5862</v>
      </c>
      <c r="C3390" t="s">
        <v>5863</v>
      </c>
      <c r="D3390" t="s">
        <v>7589</v>
      </c>
      <c r="E3390" s="10" t="s">
        <v>7604</v>
      </c>
      <c r="F3390" s="10"/>
      <c r="G3390" s="10"/>
      <c r="H3390" s="10" t="s">
        <v>7604</v>
      </c>
      <c r="I3390" s="14">
        <v>31381.019830819569</v>
      </c>
      <c r="J3390" s="19">
        <v>0</v>
      </c>
      <c r="K3390" s="19">
        <v>0</v>
      </c>
      <c r="L3390" s="19">
        <v>1</v>
      </c>
      <c r="M3390" s="20">
        <v>1</v>
      </c>
      <c r="N3390" s="19">
        <v>0</v>
      </c>
      <c r="O3390" s="19">
        <v>0</v>
      </c>
      <c r="P3390" s="19">
        <v>0</v>
      </c>
      <c r="Q3390" s="19">
        <v>0.16273889965709565</v>
      </c>
      <c r="R3390" s="19">
        <v>0.74418530334043498</v>
      </c>
      <c r="S3390" s="19">
        <v>9.307579700246954E-2</v>
      </c>
      <c r="T3390" s="20">
        <v>12</v>
      </c>
      <c r="U3390" s="17">
        <v>3</v>
      </c>
      <c r="V3390" s="17">
        <v>36</v>
      </c>
    </row>
    <row r="3391" spans="1:22" x14ac:dyDescent="0.2">
      <c r="A3391" t="s">
        <v>7605</v>
      </c>
      <c r="B3391" t="s">
        <v>5862</v>
      </c>
      <c r="C3391" t="s">
        <v>5863</v>
      </c>
      <c r="D3391" t="s">
        <v>7606</v>
      </c>
      <c r="E3391" s="10" t="s">
        <v>7607</v>
      </c>
      <c r="F3391" s="10"/>
      <c r="G3391" s="10"/>
      <c r="H3391" s="10" t="s">
        <v>7607</v>
      </c>
      <c r="I3391" s="14">
        <v>12043.343139190227</v>
      </c>
      <c r="J3391" s="19">
        <v>0</v>
      </c>
      <c r="K3391" s="19">
        <v>0</v>
      </c>
      <c r="L3391" s="19">
        <v>1</v>
      </c>
      <c r="M3391" s="20">
        <v>1</v>
      </c>
      <c r="N3391" s="19">
        <v>0</v>
      </c>
      <c r="O3391" s="19">
        <v>0</v>
      </c>
      <c r="P3391" s="19">
        <v>0</v>
      </c>
      <c r="Q3391" s="19">
        <v>0.1267304947691941</v>
      </c>
      <c r="R3391" s="19">
        <v>0.61231836536761874</v>
      </c>
      <c r="S3391" s="19">
        <v>0.26095113986318724</v>
      </c>
      <c r="T3391" s="20">
        <v>12</v>
      </c>
      <c r="U3391" s="17">
        <v>3</v>
      </c>
      <c r="V3391" s="17">
        <v>36</v>
      </c>
    </row>
    <row r="3392" spans="1:22" x14ac:dyDescent="0.2">
      <c r="A3392" t="s">
        <v>7608</v>
      </c>
      <c r="B3392" t="s">
        <v>5862</v>
      </c>
      <c r="C3392" t="s">
        <v>5863</v>
      </c>
      <c r="D3392" t="s">
        <v>7606</v>
      </c>
      <c r="E3392" s="10" t="s">
        <v>7609</v>
      </c>
      <c r="F3392" s="10"/>
      <c r="G3392" s="10"/>
      <c r="H3392" s="10" t="s">
        <v>7609</v>
      </c>
      <c r="I3392" s="14">
        <v>13583.778923836537</v>
      </c>
      <c r="J3392" s="19">
        <v>0</v>
      </c>
      <c r="K3392" s="19">
        <v>0</v>
      </c>
      <c r="L3392" s="19">
        <v>1</v>
      </c>
      <c r="M3392" s="20">
        <v>1</v>
      </c>
      <c r="N3392" s="19">
        <v>0</v>
      </c>
      <c r="O3392" s="19">
        <v>0</v>
      </c>
      <c r="P3392" s="19">
        <v>0</v>
      </c>
      <c r="Q3392" s="19">
        <v>0.44472688258083332</v>
      </c>
      <c r="R3392" s="19">
        <v>0.46997115624537589</v>
      </c>
      <c r="S3392" s="19">
        <v>8.5301961173790811E-2</v>
      </c>
      <c r="T3392" s="20">
        <v>12</v>
      </c>
      <c r="U3392" s="17">
        <v>3</v>
      </c>
      <c r="V3392" s="17">
        <v>36</v>
      </c>
    </row>
    <row r="3393" spans="1:22" x14ac:dyDescent="0.2">
      <c r="A3393" t="s">
        <v>7610</v>
      </c>
      <c r="B3393" t="s">
        <v>5862</v>
      </c>
      <c r="C3393" t="s">
        <v>5863</v>
      </c>
      <c r="D3393" t="s">
        <v>7606</v>
      </c>
      <c r="E3393" s="10" t="s">
        <v>7611</v>
      </c>
      <c r="F3393" s="10"/>
      <c r="G3393" s="10"/>
      <c r="H3393" s="10" t="s">
        <v>7611</v>
      </c>
      <c r="I3393" s="14">
        <v>46729.109363224823</v>
      </c>
      <c r="J3393" s="19">
        <v>1.3669873768372746E-3</v>
      </c>
      <c r="K3393" s="19">
        <v>0.6520734099998492</v>
      </c>
      <c r="L3393" s="19">
        <v>0.34655960262331353</v>
      </c>
      <c r="M3393" s="20">
        <v>2</v>
      </c>
      <c r="N3393" s="19">
        <v>0</v>
      </c>
      <c r="O3393" s="19">
        <v>0.33552873086659391</v>
      </c>
      <c r="P3393" s="19">
        <v>0.31654467913325529</v>
      </c>
      <c r="Q3393" s="19">
        <v>3.8742486200194826E-2</v>
      </c>
      <c r="R3393" s="19">
        <v>0.25567920633681496</v>
      </c>
      <c r="S3393" s="19">
        <v>5.2137910086303758E-2</v>
      </c>
      <c r="T3393" s="20">
        <v>22</v>
      </c>
      <c r="U3393" s="17">
        <v>3</v>
      </c>
      <c r="V3393" s="17">
        <v>36</v>
      </c>
    </row>
    <row r="3394" spans="1:22" x14ac:dyDescent="0.2">
      <c r="A3394" t="s">
        <v>7612</v>
      </c>
      <c r="B3394" t="s">
        <v>5862</v>
      </c>
      <c r="C3394" t="s">
        <v>5863</v>
      </c>
      <c r="D3394" t="s">
        <v>7606</v>
      </c>
      <c r="E3394" s="10" t="s">
        <v>7613</v>
      </c>
      <c r="F3394" s="10"/>
      <c r="G3394" s="10"/>
      <c r="H3394" s="10" t="s">
        <v>7613</v>
      </c>
      <c r="I3394" s="14">
        <v>229442.56108684512</v>
      </c>
      <c r="J3394" s="19">
        <v>0.41599204057508554</v>
      </c>
      <c r="K3394" s="19">
        <v>0.42588040897700025</v>
      </c>
      <c r="L3394" s="19">
        <v>0.15812755044791418</v>
      </c>
      <c r="M3394" s="20">
        <v>2</v>
      </c>
      <c r="N3394" s="19">
        <v>4.1454660687838957E-2</v>
      </c>
      <c r="O3394" s="19">
        <v>4.8002443912069467E-2</v>
      </c>
      <c r="P3394" s="19">
        <v>0.33642330437709178</v>
      </c>
      <c r="Q3394" s="19">
        <v>2.4794523472958165E-2</v>
      </c>
      <c r="R3394" s="19">
        <v>0.11681412743404732</v>
      </c>
      <c r="S3394" s="19">
        <v>1.6518899540908714E-2</v>
      </c>
      <c r="T3394" s="20">
        <v>22</v>
      </c>
      <c r="U3394" s="17">
        <v>3</v>
      </c>
      <c r="V3394" s="17">
        <v>36</v>
      </c>
    </row>
    <row r="3395" spans="1:22" x14ac:dyDescent="0.2">
      <c r="A3395" t="s">
        <v>7614</v>
      </c>
      <c r="B3395" t="s">
        <v>5862</v>
      </c>
      <c r="C3395" t="s">
        <v>5863</v>
      </c>
      <c r="D3395" t="s">
        <v>7606</v>
      </c>
      <c r="E3395" s="10" t="s">
        <v>7615</v>
      </c>
      <c r="F3395" s="10"/>
      <c r="G3395" s="10"/>
      <c r="H3395" s="10" t="s">
        <v>7615</v>
      </c>
      <c r="I3395" s="14">
        <v>25844.910911452607</v>
      </c>
      <c r="J3395" s="19">
        <v>0</v>
      </c>
      <c r="K3395" s="19">
        <v>0.22041178820507873</v>
      </c>
      <c r="L3395" s="19">
        <v>0.77958821179492133</v>
      </c>
      <c r="M3395" s="20">
        <v>1</v>
      </c>
      <c r="N3395" s="19">
        <v>0</v>
      </c>
      <c r="O3395" s="19">
        <v>0.22041178820507873</v>
      </c>
      <c r="P3395" s="19">
        <v>0</v>
      </c>
      <c r="Q3395" s="19">
        <v>0.24081911040360798</v>
      </c>
      <c r="R3395" s="19">
        <v>0.45775136019664481</v>
      </c>
      <c r="S3395" s="19">
        <v>8.1017741194668494E-2</v>
      </c>
      <c r="T3395" s="20">
        <v>12</v>
      </c>
      <c r="U3395" s="17">
        <v>3</v>
      </c>
      <c r="V3395" s="17">
        <v>36</v>
      </c>
    </row>
    <row r="3396" spans="1:22" x14ac:dyDescent="0.2">
      <c r="A3396" t="s">
        <v>7616</v>
      </c>
      <c r="B3396" t="s">
        <v>5862</v>
      </c>
      <c r="C3396" t="s">
        <v>5863</v>
      </c>
      <c r="D3396" t="s">
        <v>7606</v>
      </c>
      <c r="E3396" s="10" t="s">
        <v>7617</v>
      </c>
      <c r="F3396" s="10"/>
      <c r="G3396" s="10"/>
      <c r="H3396" s="10" t="s">
        <v>7617</v>
      </c>
      <c r="I3396" s="14">
        <v>62478.026760716224</v>
      </c>
      <c r="J3396" s="19">
        <v>0</v>
      </c>
      <c r="K3396" s="19">
        <v>0.27217356732692505</v>
      </c>
      <c r="L3396" s="19">
        <v>0.7278264326730749</v>
      </c>
      <c r="M3396" s="20">
        <v>1</v>
      </c>
      <c r="N3396" s="19">
        <v>0</v>
      </c>
      <c r="O3396" s="19">
        <v>0.27217356732692505</v>
      </c>
      <c r="P3396" s="19">
        <v>0</v>
      </c>
      <c r="Q3396" s="19">
        <v>0.31862831993976048</v>
      </c>
      <c r="R3396" s="19">
        <v>0.3459871076844207</v>
      </c>
      <c r="S3396" s="19">
        <v>6.3211005048893723E-2</v>
      </c>
      <c r="T3396" s="20">
        <v>12</v>
      </c>
      <c r="U3396" s="17">
        <v>3</v>
      </c>
      <c r="V3396" s="17">
        <v>36</v>
      </c>
    </row>
    <row r="3397" spans="1:22" x14ac:dyDescent="0.2">
      <c r="A3397" t="s">
        <v>7618</v>
      </c>
      <c r="B3397" t="s">
        <v>5862</v>
      </c>
      <c r="C3397" t="s">
        <v>5863</v>
      </c>
      <c r="D3397" t="s">
        <v>7606</v>
      </c>
      <c r="E3397" s="10" t="s">
        <v>7619</v>
      </c>
      <c r="F3397" s="10"/>
      <c r="G3397" s="10"/>
      <c r="H3397" s="10" t="s">
        <v>7619</v>
      </c>
      <c r="I3397" s="14">
        <v>38372.71271390561</v>
      </c>
      <c r="J3397" s="19">
        <v>0</v>
      </c>
      <c r="K3397" s="19">
        <v>0.18225855933965276</v>
      </c>
      <c r="L3397" s="19">
        <v>0.81774144066034726</v>
      </c>
      <c r="M3397" s="20">
        <v>1</v>
      </c>
      <c r="N3397" s="19">
        <v>0</v>
      </c>
      <c r="O3397" s="19">
        <v>0.18225855933965276</v>
      </c>
      <c r="P3397" s="19">
        <v>0</v>
      </c>
      <c r="Q3397" s="19">
        <v>0.19758483729102055</v>
      </c>
      <c r="R3397" s="19">
        <v>0.56971059146588388</v>
      </c>
      <c r="S3397" s="19">
        <v>5.044601190344275E-2</v>
      </c>
      <c r="T3397" s="20">
        <v>12</v>
      </c>
      <c r="U3397" s="17">
        <v>3</v>
      </c>
      <c r="V3397" s="17">
        <v>36</v>
      </c>
    </row>
    <row r="3398" spans="1:22" x14ac:dyDescent="0.2">
      <c r="A3398" t="s">
        <v>7620</v>
      </c>
      <c r="B3398" t="s">
        <v>5862</v>
      </c>
      <c r="C3398" t="s">
        <v>5863</v>
      </c>
      <c r="D3398" t="s">
        <v>7606</v>
      </c>
      <c r="E3398" s="10" t="s">
        <v>7621</v>
      </c>
      <c r="F3398" s="10"/>
      <c r="G3398" s="10"/>
      <c r="H3398" s="10" t="s">
        <v>7621</v>
      </c>
      <c r="I3398" s="14">
        <v>26688.686540343682</v>
      </c>
      <c r="J3398" s="19">
        <v>0</v>
      </c>
      <c r="K3398" s="19">
        <v>2.0413099921529537E-4</v>
      </c>
      <c r="L3398" s="19">
        <v>0.99979586900078454</v>
      </c>
      <c r="M3398" s="20">
        <v>1</v>
      </c>
      <c r="N3398" s="19">
        <v>0</v>
      </c>
      <c r="O3398" s="19">
        <v>2.0413099921529537E-4</v>
      </c>
      <c r="P3398" s="19">
        <v>0</v>
      </c>
      <c r="Q3398" s="19">
        <v>0.48570624581003641</v>
      </c>
      <c r="R3398" s="19">
        <v>0.40652411741511718</v>
      </c>
      <c r="S3398" s="19">
        <v>0.10756550577563111</v>
      </c>
      <c r="T3398" s="20">
        <v>13</v>
      </c>
      <c r="U3398" s="17">
        <v>3</v>
      </c>
      <c r="V3398" s="17">
        <v>36</v>
      </c>
    </row>
    <row r="3399" spans="1:22" x14ac:dyDescent="0.2">
      <c r="A3399" t="s">
        <v>7622</v>
      </c>
      <c r="B3399" t="s">
        <v>5862</v>
      </c>
      <c r="C3399" t="s">
        <v>5863</v>
      </c>
      <c r="D3399" t="s">
        <v>7606</v>
      </c>
      <c r="E3399" s="10" t="s">
        <v>7623</v>
      </c>
      <c r="F3399" s="10"/>
      <c r="G3399" s="10"/>
      <c r="H3399" s="10" t="s">
        <v>7623</v>
      </c>
      <c r="I3399" s="14">
        <v>29182.099606622705</v>
      </c>
      <c r="J3399" s="19">
        <v>0</v>
      </c>
      <c r="K3399" s="19">
        <v>0.61364761231645892</v>
      </c>
      <c r="L3399" s="19">
        <v>0.38635238768354119</v>
      </c>
      <c r="M3399" s="20">
        <v>2</v>
      </c>
      <c r="N3399" s="19">
        <v>0</v>
      </c>
      <c r="O3399" s="19">
        <v>0.42085699367084467</v>
      </c>
      <c r="P3399" s="19">
        <v>0.19279061864561425</v>
      </c>
      <c r="Q3399" s="19">
        <v>5.7215176405226019E-2</v>
      </c>
      <c r="R3399" s="19">
        <v>0.28595131527171058</v>
      </c>
      <c r="S3399" s="19">
        <v>4.3185896006604607E-2</v>
      </c>
      <c r="T3399" s="20">
        <v>22</v>
      </c>
      <c r="U3399" s="17">
        <v>3</v>
      </c>
      <c r="V3399" s="17">
        <v>36</v>
      </c>
    </row>
    <row r="3400" spans="1:22" x14ac:dyDescent="0.2">
      <c r="A3400" t="s">
        <v>7624</v>
      </c>
      <c r="B3400" t="s">
        <v>5862</v>
      </c>
      <c r="C3400" t="s">
        <v>5863</v>
      </c>
      <c r="D3400" t="s">
        <v>7625</v>
      </c>
      <c r="E3400" s="10" t="s">
        <v>7626</v>
      </c>
      <c r="F3400" s="10"/>
      <c r="G3400" s="10"/>
      <c r="H3400" s="10" t="s">
        <v>7626</v>
      </c>
      <c r="I3400" s="14">
        <v>43919.435344125144</v>
      </c>
      <c r="J3400" s="19">
        <v>0</v>
      </c>
      <c r="K3400" s="19">
        <v>0.2768406887929476</v>
      </c>
      <c r="L3400" s="19">
        <v>0.72315931120705235</v>
      </c>
      <c r="M3400" s="20">
        <v>1</v>
      </c>
      <c r="N3400" s="19">
        <v>0</v>
      </c>
      <c r="O3400" s="19">
        <v>0.2768406887929476</v>
      </c>
      <c r="P3400" s="19">
        <v>0</v>
      </c>
      <c r="Q3400" s="19">
        <v>0.19367864802742793</v>
      </c>
      <c r="R3400" s="19">
        <v>0.46638397109498692</v>
      </c>
      <c r="S3400" s="19">
        <v>6.3096692084637571E-2</v>
      </c>
      <c r="T3400" s="20">
        <v>12</v>
      </c>
      <c r="U3400" s="17">
        <v>3</v>
      </c>
      <c r="V3400" s="17">
        <v>36</v>
      </c>
    </row>
    <row r="3401" spans="1:22" x14ac:dyDescent="0.2">
      <c r="A3401" t="s">
        <v>7627</v>
      </c>
      <c r="B3401" t="s">
        <v>5862</v>
      </c>
      <c r="C3401" t="s">
        <v>5863</v>
      </c>
      <c r="D3401" t="s">
        <v>7625</v>
      </c>
      <c r="E3401" s="10" t="s">
        <v>7628</v>
      </c>
      <c r="F3401" s="10"/>
      <c r="G3401" s="10"/>
      <c r="H3401" s="10" t="s">
        <v>7628</v>
      </c>
      <c r="I3401" s="14">
        <v>49947.993935448118</v>
      </c>
      <c r="J3401" s="19">
        <v>0</v>
      </c>
      <c r="K3401" s="19">
        <v>0.67874798460810526</v>
      </c>
      <c r="L3401" s="19">
        <v>0.32125201539189474</v>
      </c>
      <c r="M3401" s="20">
        <v>2</v>
      </c>
      <c r="N3401" s="19">
        <v>0.54924978043601658</v>
      </c>
      <c r="O3401" s="19">
        <v>0</v>
      </c>
      <c r="P3401" s="19">
        <v>0.12949820417208863</v>
      </c>
      <c r="Q3401" s="19">
        <v>1.4452775613494263E-2</v>
      </c>
      <c r="R3401" s="19">
        <v>0.23377567604839361</v>
      </c>
      <c r="S3401" s="19">
        <v>7.3023563730006874E-2</v>
      </c>
      <c r="T3401" s="20">
        <v>23</v>
      </c>
      <c r="U3401" s="17">
        <v>3</v>
      </c>
      <c r="V3401" s="17">
        <v>36</v>
      </c>
    </row>
    <row r="3402" spans="1:22" x14ac:dyDescent="0.2">
      <c r="A3402" t="s">
        <v>7629</v>
      </c>
      <c r="B3402" t="s">
        <v>5862</v>
      </c>
      <c r="C3402" t="s">
        <v>5863</v>
      </c>
      <c r="D3402" t="s">
        <v>7625</v>
      </c>
      <c r="E3402" s="10" t="s">
        <v>7630</v>
      </c>
      <c r="F3402" s="10"/>
      <c r="G3402" s="10"/>
      <c r="H3402" s="10" t="s">
        <v>7630</v>
      </c>
      <c r="I3402" s="14">
        <v>18115.693491829559</v>
      </c>
      <c r="J3402" s="19">
        <v>0</v>
      </c>
      <c r="K3402" s="19">
        <v>0.28469361210334515</v>
      </c>
      <c r="L3402" s="19">
        <v>0.7153063878966549</v>
      </c>
      <c r="M3402" s="20">
        <v>1</v>
      </c>
      <c r="N3402" s="19">
        <v>0</v>
      </c>
      <c r="O3402" s="19">
        <v>0.28469361210334515</v>
      </c>
      <c r="P3402" s="19">
        <v>0</v>
      </c>
      <c r="Q3402" s="19">
        <v>0.13156936430041186</v>
      </c>
      <c r="R3402" s="19">
        <v>0.55106428862314183</v>
      </c>
      <c r="S3402" s="19">
        <v>3.2672734973101199E-2</v>
      </c>
      <c r="T3402" s="20">
        <v>12</v>
      </c>
      <c r="U3402" s="17">
        <v>3</v>
      </c>
      <c r="V3402" s="17">
        <v>36</v>
      </c>
    </row>
    <row r="3403" spans="1:22" x14ac:dyDescent="0.2">
      <c r="A3403" t="s">
        <v>7631</v>
      </c>
      <c r="B3403" t="s">
        <v>5862</v>
      </c>
      <c r="C3403" t="s">
        <v>5863</v>
      </c>
      <c r="D3403" t="s">
        <v>7625</v>
      </c>
      <c r="E3403" s="10" t="s">
        <v>7632</v>
      </c>
      <c r="F3403" s="10"/>
      <c r="G3403" s="10"/>
      <c r="H3403" s="10" t="s">
        <v>7632</v>
      </c>
      <c r="I3403" s="14">
        <v>12786.933324263431</v>
      </c>
      <c r="J3403" s="19">
        <v>0</v>
      </c>
      <c r="K3403" s="19">
        <v>0</v>
      </c>
      <c r="L3403" s="19">
        <v>1</v>
      </c>
      <c r="M3403" s="20">
        <v>1</v>
      </c>
      <c r="N3403" s="19">
        <v>0</v>
      </c>
      <c r="O3403" s="19">
        <v>0</v>
      </c>
      <c r="P3403" s="19">
        <v>0</v>
      </c>
      <c r="Q3403" s="19">
        <v>0.27956545192324456</v>
      </c>
      <c r="R3403" s="19">
        <v>0.61235637843739354</v>
      </c>
      <c r="S3403" s="19">
        <v>0.10807816963936194</v>
      </c>
      <c r="T3403" s="20">
        <v>12</v>
      </c>
      <c r="U3403" s="17">
        <v>3</v>
      </c>
      <c r="V3403" s="17">
        <v>36</v>
      </c>
    </row>
    <row r="3404" spans="1:22" x14ac:dyDescent="0.2">
      <c r="A3404" t="s">
        <v>7633</v>
      </c>
      <c r="B3404" t="s">
        <v>5862</v>
      </c>
      <c r="C3404" t="s">
        <v>5863</v>
      </c>
      <c r="D3404" t="s">
        <v>7625</v>
      </c>
      <c r="E3404" s="10" t="s">
        <v>7634</v>
      </c>
      <c r="F3404" s="10"/>
      <c r="G3404" s="10"/>
      <c r="H3404" s="10" t="s">
        <v>7634</v>
      </c>
      <c r="I3404" s="14">
        <v>153112.97296467284</v>
      </c>
      <c r="J3404" s="19">
        <v>0.72121086203726126</v>
      </c>
      <c r="K3404" s="19">
        <v>0.10418258303002724</v>
      </c>
      <c r="L3404" s="19">
        <v>0.17460655493271152</v>
      </c>
      <c r="M3404" s="20">
        <v>3</v>
      </c>
      <c r="N3404" s="19">
        <v>0</v>
      </c>
      <c r="O3404" s="19">
        <v>9.573603518725788E-4</v>
      </c>
      <c r="P3404" s="19">
        <v>0.10322522267815465</v>
      </c>
      <c r="Q3404" s="19">
        <v>3.1770962826895281E-2</v>
      </c>
      <c r="R3404" s="19">
        <v>0.13481033238729195</v>
      </c>
      <c r="S3404" s="19">
        <v>8.0252597185242799E-3</v>
      </c>
      <c r="T3404" s="20">
        <v>30</v>
      </c>
      <c r="U3404" s="17">
        <v>3</v>
      </c>
      <c r="V3404" s="17">
        <v>36</v>
      </c>
    </row>
    <row r="3405" spans="1:22" x14ac:dyDescent="0.2">
      <c r="A3405" t="s">
        <v>7635</v>
      </c>
      <c r="B3405" t="s">
        <v>5862</v>
      </c>
      <c r="C3405" t="s">
        <v>5863</v>
      </c>
      <c r="D3405" t="s">
        <v>7625</v>
      </c>
      <c r="E3405" s="10" t="s">
        <v>7636</v>
      </c>
      <c r="F3405" s="10"/>
      <c r="G3405" s="10"/>
      <c r="H3405" s="10" t="s">
        <v>7636</v>
      </c>
      <c r="I3405" s="14">
        <v>72626.484251719899</v>
      </c>
      <c r="J3405" s="19">
        <v>0</v>
      </c>
      <c r="K3405" s="19">
        <v>0.33396103055964899</v>
      </c>
      <c r="L3405" s="19">
        <v>0.66603896944035101</v>
      </c>
      <c r="M3405" s="20">
        <v>1</v>
      </c>
      <c r="N3405" s="19">
        <v>0</v>
      </c>
      <c r="O3405" s="19">
        <v>0.33356502832946744</v>
      </c>
      <c r="P3405" s="19">
        <v>3.9600223018153031E-4</v>
      </c>
      <c r="Q3405" s="19">
        <v>0.2301199033823734</v>
      </c>
      <c r="R3405" s="19">
        <v>0.41219237569574463</v>
      </c>
      <c r="S3405" s="19">
        <v>2.3726690362232971E-2</v>
      </c>
      <c r="T3405" s="20">
        <v>12</v>
      </c>
      <c r="U3405" s="17">
        <v>3</v>
      </c>
      <c r="V3405" s="17">
        <v>36</v>
      </c>
    </row>
    <row r="3406" spans="1:22" x14ac:dyDescent="0.2">
      <c r="A3406" t="s">
        <v>7637</v>
      </c>
      <c r="B3406" t="s">
        <v>5862</v>
      </c>
      <c r="C3406" t="s">
        <v>5863</v>
      </c>
      <c r="D3406" t="s">
        <v>7625</v>
      </c>
      <c r="E3406" s="10" t="s">
        <v>7638</v>
      </c>
      <c r="F3406" s="10"/>
      <c r="G3406" s="10"/>
      <c r="H3406" s="10" t="s">
        <v>7638</v>
      </c>
      <c r="I3406" s="14">
        <v>17571.718284227885</v>
      </c>
      <c r="J3406" s="19">
        <v>0</v>
      </c>
      <c r="K3406" s="19">
        <v>0</v>
      </c>
      <c r="L3406" s="19">
        <v>1</v>
      </c>
      <c r="M3406" s="20">
        <v>1</v>
      </c>
      <c r="N3406" s="19">
        <v>0</v>
      </c>
      <c r="O3406" s="19">
        <v>0</v>
      </c>
      <c r="P3406" s="19">
        <v>0</v>
      </c>
      <c r="Q3406" s="19">
        <v>0.19314024539997349</v>
      </c>
      <c r="R3406" s="19">
        <v>0.64395824485031639</v>
      </c>
      <c r="S3406" s="19">
        <v>0.16290150974971013</v>
      </c>
      <c r="T3406" s="20">
        <v>12</v>
      </c>
      <c r="U3406" s="17">
        <v>3</v>
      </c>
      <c r="V3406" s="17">
        <v>36</v>
      </c>
    </row>
    <row r="3407" spans="1:22" x14ac:dyDescent="0.2">
      <c r="A3407" t="s">
        <v>7639</v>
      </c>
      <c r="B3407" t="s">
        <v>5862</v>
      </c>
      <c r="C3407" t="s">
        <v>5863</v>
      </c>
      <c r="D3407" t="s">
        <v>7625</v>
      </c>
      <c r="E3407" s="10" t="s">
        <v>7640</v>
      </c>
      <c r="F3407" s="10"/>
      <c r="G3407" s="10"/>
      <c r="H3407" s="10" t="s">
        <v>7640</v>
      </c>
      <c r="I3407" s="14">
        <v>43194.752585860901</v>
      </c>
      <c r="J3407" s="19">
        <v>0</v>
      </c>
      <c r="K3407" s="19">
        <v>0.27800736111294033</v>
      </c>
      <c r="L3407" s="19">
        <v>0.72199263888705956</v>
      </c>
      <c r="M3407" s="20">
        <v>1</v>
      </c>
      <c r="N3407" s="19">
        <v>0</v>
      </c>
      <c r="O3407" s="19">
        <v>0.27800736111294033</v>
      </c>
      <c r="P3407" s="19">
        <v>0</v>
      </c>
      <c r="Q3407" s="19">
        <v>0.23654401544848211</v>
      </c>
      <c r="R3407" s="19">
        <v>0.44506891829312928</v>
      </c>
      <c r="S3407" s="19">
        <v>4.0379705145448287E-2</v>
      </c>
      <c r="T3407" s="20">
        <v>12</v>
      </c>
      <c r="U3407" s="17">
        <v>3</v>
      </c>
      <c r="V3407" s="17">
        <v>36</v>
      </c>
    </row>
    <row r="3408" spans="1:22" x14ac:dyDescent="0.2">
      <c r="A3408" t="s">
        <v>7641</v>
      </c>
      <c r="B3408" t="s">
        <v>5862</v>
      </c>
      <c r="C3408" t="s">
        <v>5863</v>
      </c>
      <c r="D3408" t="s">
        <v>7642</v>
      </c>
      <c r="E3408" s="10" t="s">
        <v>7643</v>
      </c>
      <c r="F3408" s="10"/>
      <c r="G3408" s="10"/>
      <c r="H3408" s="10" t="s">
        <v>7643</v>
      </c>
      <c r="I3408" s="14">
        <v>92877.753964388859</v>
      </c>
      <c r="J3408" s="19">
        <v>0</v>
      </c>
      <c r="K3408" s="19">
        <v>0.45234051797933755</v>
      </c>
      <c r="L3408" s="19">
        <v>0.5476594820206625</v>
      </c>
      <c r="M3408" s="20">
        <v>1</v>
      </c>
      <c r="N3408" s="19">
        <v>0.26579516165595829</v>
      </c>
      <c r="O3408" s="19">
        <v>0</v>
      </c>
      <c r="P3408" s="19">
        <v>0.18654535632337929</v>
      </c>
      <c r="Q3408" s="19">
        <v>0.20950839612107378</v>
      </c>
      <c r="R3408" s="19">
        <v>0.28703131712371371</v>
      </c>
      <c r="S3408" s="19">
        <v>5.1119768775874985E-2</v>
      </c>
      <c r="T3408" s="20">
        <v>12</v>
      </c>
      <c r="U3408" s="17">
        <v>3</v>
      </c>
      <c r="V3408" s="17">
        <v>36</v>
      </c>
    </row>
    <row r="3409" spans="1:22" x14ac:dyDescent="0.2">
      <c r="A3409" t="s">
        <v>7644</v>
      </c>
      <c r="B3409" t="s">
        <v>5862</v>
      </c>
      <c r="C3409" t="s">
        <v>5863</v>
      </c>
      <c r="D3409" t="s">
        <v>7642</v>
      </c>
      <c r="E3409" s="10" t="s">
        <v>7645</v>
      </c>
      <c r="F3409" s="10"/>
      <c r="G3409" s="10"/>
      <c r="H3409" s="10" t="s">
        <v>7645</v>
      </c>
      <c r="I3409" s="14">
        <v>22848.906338520348</v>
      </c>
      <c r="J3409" s="19">
        <v>0</v>
      </c>
      <c r="K3409" s="19">
        <v>0.26211256011879702</v>
      </c>
      <c r="L3409" s="19">
        <v>0.73788743988120298</v>
      </c>
      <c r="M3409" s="20">
        <v>1</v>
      </c>
      <c r="N3409" s="19">
        <v>0</v>
      </c>
      <c r="O3409" s="19">
        <v>0.26211256011879702</v>
      </c>
      <c r="P3409" s="19">
        <v>0</v>
      </c>
      <c r="Q3409" s="19">
        <v>0.20360561719378686</v>
      </c>
      <c r="R3409" s="19">
        <v>0.44543684662659777</v>
      </c>
      <c r="S3409" s="19">
        <v>8.8844976060818356E-2</v>
      </c>
      <c r="T3409" s="20">
        <v>12</v>
      </c>
      <c r="U3409" s="17">
        <v>3</v>
      </c>
      <c r="V3409" s="17">
        <v>36</v>
      </c>
    </row>
    <row r="3410" spans="1:22" x14ac:dyDescent="0.2">
      <c r="A3410" t="s">
        <v>7646</v>
      </c>
      <c r="B3410" t="s">
        <v>5862</v>
      </c>
      <c r="C3410" t="s">
        <v>5863</v>
      </c>
      <c r="D3410" t="s">
        <v>7642</v>
      </c>
      <c r="E3410" s="10" t="s">
        <v>7647</v>
      </c>
      <c r="F3410" s="10"/>
      <c r="G3410" s="10"/>
      <c r="H3410" s="10" t="s">
        <v>7647</v>
      </c>
      <c r="I3410" s="14">
        <v>53701.0155831991</v>
      </c>
      <c r="J3410" s="19">
        <v>0</v>
      </c>
      <c r="K3410" s="19">
        <v>0.13468801775888986</v>
      </c>
      <c r="L3410" s="19">
        <v>0.86531198224111028</v>
      </c>
      <c r="M3410" s="20">
        <v>1</v>
      </c>
      <c r="N3410" s="19">
        <v>0</v>
      </c>
      <c r="O3410" s="19">
        <v>0.13468801775888986</v>
      </c>
      <c r="P3410" s="19">
        <v>0</v>
      </c>
      <c r="Q3410" s="19">
        <v>0.55441253828585269</v>
      </c>
      <c r="R3410" s="19">
        <v>0.26832872960184728</v>
      </c>
      <c r="S3410" s="19">
        <v>4.2570714353410213E-2</v>
      </c>
      <c r="T3410" s="20">
        <v>13</v>
      </c>
      <c r="U3410" s="17">
        <v>3</v>
      </c>
      <c r="V3410" s="17">
        <v>36</v>
      </c>
    </row>
    <row r="3411" spans="1:22" x14ac:dyDescent="0.2">
      <c r="A3411" t="s">
        <v>7648</v>
      </c>
      <c r="B3411" t="s">
        <v>5862</v>
      </c>
      <c r="C3411" t="s">
        <v>5863</v>
      </c>
      <c r="D3411" t="s">
        <v>7642</v>
      </c>
      <c r="E3411" s="10" t="s">
        <v>7649</v>
      </c>
      <c r="F3411" s="10"/>
      <c r="G3411" s="10"/>
      <c r="H3411" s="10" t="s">
        <v>7649</v>
      </c>
      <c r="I3411" s="14">
        <v>19146.938196645122</v>
      </c>
      <c r="J3411" s="19">
        <v>0</v>
      </c>
      <c r="K3411" s="19">
        <v>0</v>
      </c>
      <c r="L3411" s="19">
        <v>1</v>
      </c>
      <c r="M3411" s="20">
        <v>1</v>
      </c>
      <c r="N3411" s="19">
        <v>0</v>
      </c>
      <c r="O3411" s="19">
        <v>0</v>
      </c>
      <c r="P3411" s="19">
        <v>0</v>
      </c>
      <c r="Q3411" s="19">
        <v>0.64260748695171621</v>
      </c>
      <c r="R3411" s="19">
        <v>0.32984535187600583</v>
      </c>
      <c r="S3411" s="19">
        <v>2.7547161172277717E-2</v>
      </c>
      <c r="T3411" s="20">
        <v>13</v>
      </c>
      <c r="U3411" s="17">
        <v>3</v>
      </c>
      <c r="V3411" s="17">
        <v>36</v>
      </c>
    </row>
    <row r="3412" spans="1:22" x14ac:dyDescent="0.2">
      <c r="A3412" t="s">
        <v>7650</v>
      </c>
      <c r="B3412" t="s">
        <v>5862</v>
      </c>
      <c r="C3412" t="s">
        <v>5863</v>
      </c>
      <c r="D3412" t="s">
        <v>7642</v>
      </c>
      <c r="E3412" s="10" t="s">
        <v>7651</v>
      </c>
      <c r="F3412" s="10"/>
      <c r="G3412" s="10"/>
      <c r="H3412" s="10" t="s">
        <v>7651</v>
      </c>
      <c r="I3412" s="14">
        <v>47142.346601046971</v>
      </c>
      <c r="J3412" s="19">
        <v>0</v>
      </c>
      <c r="K3412" s="19">
        <v>0.14390813940013542</v>
      </c>
      <c r="L3412" s="19">
        <v>0.85609186059986453</v>
      </c>
      <c r="M3412" s="20">
        <v>1</v>
      </c>
      <c r="N3412" s="19">
        <v>0</v>
      </c>
      <c r="O3412" s="19">
        <v>0.14390813940013542</v>
      </c>
      <c r="P3412" s="19">
        <v>0</v>
      </c>
      <c r="Q3412" s="19">
        <v>0.22047120939499851</v>
      </c>
      <c r="R3412" s="19">
        <v>0.52174220195038024</v>
      </c>
      <c r="S3412" s="19">
        <v>0.11387844925448579</v>
      </c>
      <c r="T3412" s="20">
        <v>12</v>
      </c>
      <c r="U3412" s="17">
        <v>3</v>
      </c>
      <c r="V3412" s="17">
        <v>36</v>
      </c>
    </row>
    <row r="3413" spans="1:22" x14ac:dyDescent="0.2">
      <c r="A3413" t="s">
        <v>7652</v>
      </c>
      <c r="B3413" t="s">
        <v>5862</v>
      </c>
      <c r="C3413" t="s">
        <v>5863</v>
      </c>
      <c r="D3413" t="s">
        <v>7642</v>
      </c>
      <c r="E3413" s="10" t="s">
        <v>7653</v>
      </c>
      <c r="F3413" s="10"/>
      <c r="G3413" s="10"/>
      <c r="H3413" s="10" t="s">
        <v>7653</v>
      </c>
      <c r="I3413" s="14">
        <v>66209.973625297425</v>
      </c>
      <c r="J3413" s="19">
        <v>0</v>
      </c>
      <c r="K3413" s="19">
        <v>0.14911122805888496</v>
      </c>
      <c r="L3413" s="19">
        <v>0.85088877194111501</v>
      </c>
      <c r="M3413" s="20">
        <v>1</v>
      </c>
      <c r="N3413" s="19">
        <v>0</v>
      </c>
      <c r="O3413" s="19">
        <v>0.14911122805888496</v>
      </c>
      <c r="P3413" s="19">
        <v>0</v>
      </c>
      <c r="Q3413" s="19">
        <v>0.45054759357926349</v>
      </c>
      <c r="R3413" s="19">
        <v>0.30861236168136397</v>
      </c>
      <c r="S3413" s="19">
        <v>9.1728816680487615E-2</v>
      </c>
      <c r="T3413" s="20">
        <v>13</v>
      </c>
      <c r="U3413" s="17">
        <v>3</v>
      </c>
      <c r="V3413" s="17">
        <v>36</v>
      </c>
    </row>
    <row r="3414" spans="1:22" x14ac:dyDescent="0.2">
      <c r="A3414" t="s">
        <v>7654</v>
      </c>
      <c r="B3414" t="s">
        <v>5862</v>
      </c>
      <c r="C3414" t="s">
        <v>5863</v>
      </c>
      <c r="D3414" t="s">
        <v>7642</v>
      </c>
      <c r="E3414" s="10" t="s">
        <v>7655</v>
      </c>
      <c r="F3414" s="10"/>
      <c r="G3414" s="10"/>
      <c r="H3414" s="10" t="s">
        <v>7655</v>
      </c>
      <c r="I3414" s="14">
        <v>41979.376588182524</v>
      </c>
      <c r="J3414" s="19">
        <v>0</v>
      </c>
      <c r="K3414" s="19">
        <v>0.1645816635451815</v>
      </c>
      <c r="L3414" s="19">
        <v>0.83541833645481844</v>
      </c>
      <c r="M3414" s="20">
        <v>1</v>
      </c>
      <c r="N3414" s="19">
        <v>0</v>
      </c>
      <c r="O3414" s="19">
        <v>0.1645816635451815</v>
      </c>
      <c r="P3414" s="19">
        <v>0</v>
      </c>
      <c r="Q3414" s="19">
        <v>0.51706462132937181</v>
      </c>
      <c r="R3414" s="19">
        <v>0.27894429783846669</v>
      </c>
      <c r="S3414" s="19">
        <v>3.9409417286980004E-2</v>
      </c>
      <c r="T3414" s="20">
        <v>13</v>
      </c>
      <c r="U3414" s="17">
        <v>3</v>
      </c>
      <c r="V3414" s="17">
        <v>36</v>
      </c>
    </row>
    <row r="3415" spans="1:22" x14ac:dyDescent="0.2">
      <c r="A3415" t="s">
        <v>7656</v>
      </c>
      <c r="B3415" t="s">
        <v>5862</v>
      </c>
      <c r="C3415" t="s">
        <v>5863</v>
      </c>
      <c r="D3415" t="s">
        <v>7642</v>
      </c>
      <c r="E3415" s="10" t="s">
        <v>7657</v>
      </c>
      <c r="F3415" s="10"/>
      <c r="G3415" s="10"/>
      <c r="H3415" s="10" t="s">
        <v>7657</v>
      </c>
      <c r="I3415" s="14">
        <v>25199.251440468594</v>
      </c>
      <c r="J3415" s="19">
        <v>0</v>
      </c>
      <c r="K3415" s="19">
        <v>0.22016119357583772</v>
      </c>
      <c r="L3415" s="19">
        <v>0.77983880642416226</v>
      </c>
      <c r="M3415" s="20">
        <v>1</v>
      </c>
      <c r="N3415" s="19">
        <v>0</v>
      </c>
      <c r="O3415" s="19">
        <v>0.22016119357583772</v>
      </c>
      <c r="P3415" s="19">
        <v>0</v>
      </c>
      <c r="Q3415" s="19">
        <v>0.33489984054708011</v>
      </c>
      <c r="R3415" s="19">
        <v>0.34599908026929888</v>
      </c>
      <c r="S3415" s="19">
        <v>9.8939885607783343E-2</v>
      </c>
      <c r="T3415" s="20">
        <v>12</v>
      </c>
      <c r="U3415" s="17">
        <v>3</v>
      </c>
      <c r="V3415" s="17">
        <v>36</v>
      </c>
    </row>
    <row r="3416" spans="1:22" x14ac:dyDescent="0.2">
      <c r="A3416" t="s">
        <v>7658</v>
      </c>
      <c r="B3416" t="s">
        <v>5862</v>
      </c>
      <c r="C3416" t="s">
        <v>5863</v>
      </c>
      <c r="D3416" t="s">
        <v>7642</v>
      </c>
      <c r="E3416" s="10" t="s">
        <v>7659</v>
      </c>
      <c r="F3416" s="10"/>
      <c r="G3416" s="10"/>
      <c r="H3416" s="10" t="s">
        <v>7659</v>
      </c>
      <c r="I3416" s="14">
        <v>20323.2951531664</v>
      </c>
      <c r="J3416" s="19">
        <v>0</v>
      </c>
      <c r="K3416" s="19">
        <v>0</v>
      </c>
      <c r="L3416" s="19">
        <v>1</v>
      </c>
      <c r="M3416" s="20">
        <v>1</v>
      </c>
      <c r="N3416" s="19">
        <v>0</v>
      </c>
      <c r="O3416" s="19">
        <v>0</v>
      </c>
      <c r="P3416" s="19">
        <v>0</v>
      </c>
      <c r="Q3416" s="19">
        <v>0.50681860095901587</v>
      </c>
      <c r="R3416" s="19">
        <v>0.37254372414985382</v>
      </c>
      <c r="S3416" s="19">
        <v>0.12063767489113031</v>
      </c>
      <c r="T3416" s="20">
        <v>13</v>
      </c>
      <c r="U3416" s="17">
        <v>3</v>
      </c>
      <c r="V3416" s="17">
        <v>36</v>
      </c>
    </row>
    <row r="3417" spans="1:22" x14ac:dyDescent="0.2">
      <c r="A3417" t="s">
        <v>7660</v>
      </c>
      <c r="B3417" t="s">
        <v>5862</v>
      </c>
      <c r="C3417" t="s">
        <v>5863</v>
      </c>
      <c r="D3417" t="s">
        <v>7661</v>
      </c>
      <c r="E3417" s="10"/>
      <c r="F3417" s="10"/>
      <c r="G3417" s="10"/>
      <c r="H3417" s="10" t="s">
        <v>7661</v>
      </c>
      <c r="I3417" s="14">
        <v>11368603.269273406</v>
      </c>
      <c r="J3417" s="19">
        <v>0.98303066219857738</v>
      </c>
      <c r="K3417" s="19">
        <v>1.4400128309759005E-2</v>
      </c>
      <c r="L3417" s="19">
        <v>2.5692094916637317E-3</v>
      </c>
      <c r="M3417" s="20">
        <v>3</v>
      </c>
      <c r="N3417" s="19">
        <v>3.4698289728059819E-3</v>
      </c>
      <c r="O3417" s="19">
        <v>0</v>
      </c>
      <c r="P3417" s="19">
        <v>1.0930299336953024E-2</v>
      </c>
      <c r="Q3417" s="19">
        <v>3.6689618319481697E-4</v>
      </c>
      <c r="R3417" s="19">
        <v>2.1580603096906462E-3</v>
      </c>
      <c r="S3417" s="19">
        <v>4.4252998778268413E-5</v>
      </c>
      <c r="T3417" s="20">
        <v>30</v>
      </c>
      <c r="U3417" s="17">
        <v>3</v>
      </c>
      <c r="V3417" s="17">
        <v>36</v>
      </c>
    </row>
    <row r="3418" spans="1:22" x14ac:dyDescent="0.2">
      <c r="A3418" t="s">
        <v>7662</v>
      </c>
      <c r="B3418" t="s">
        <v>5862</v>
      </c>
      <c r="C3418" t="s">
        <v>5863</v>
      </c>
      <c r="D3418" t="s">
        <v>7663</v>
      </c>
      <c r="E3418" s="10"/>
      <c r="F3418" s="10"/>
      <c r="G3418" s="10"/>
      <c r="H3418" s="10" t="s">
        <v>7663</v>
      </c>
      <c r="I3418" s="14">
        <v>1600977.6306020422</v>
      </c>
      <c r="J3418" s="19">
        <v>0.50100098327474829</v>
      </c>
      <c r="K3418" s="19">
        <v>0.31734186821623034</v>
      </c>
      <c r="L3418" s="19">
        <v>0.18165714850902132</v>
      </c>
      <c r="M3418" s="20">
        <v>3</v>
      </c>
      <c r="N3418" s="19">
        <v>7.8973711159759555E-2</v>
      </c>
      <c r="O3418" s="19">
        <v>2.544167514238355E-2</v>
      </c>
      <c r="P3418" s="19">
        <v>0.21292648191408722</v>
      </c>
      <c r="Q3418" s="19">
        <v>2.784104906633059E-2</v>
      </c>
      <c r="R3418" s="19">
        <v>0.1383485892083666</v>
      </c>
      <c r="S3418" s="19">
        <v>1.5467510234324106E-2</v>
      </c>
      <c r="T3418" s="20">
        <v>30</v>
      </c>
      <c r="U3418" s="17">
        <v>3</v>
      </c>
      <c r="V3418" s="17">
        <v>36</v>
      </c>
    </row>
    <row r="3419" spans="1:22" x14ac:dyDescent="0.2">
      <c r="A3419" t="s">
        <v>7664</v>
      </c>
      <c r="B3419" t="s">
        <v>7665</v>
      </c>
      <c r="C3419" t="s">
        <v>7666</v>
      </c>
      <c r="D3419" t="s">
        <v>7667</v>
      </c>
      <c r="E3419" s="10" t="s">
        <v>7668</v>
      </c>
      <c r="F3419" s="10"/>
      <c r="G3419" s="10"/>
      <c r="H3419" s="10" t="s">
        <v>7668</v>
      </c>
      <c r="I3419" s="14">
        <v>185593.62083557944</v>
      </c>
      <c r="J3419" s="19">
        <v>9.4798427672001667E-2</v>
      </c>
      <c r="K3419" s="19">
        <v>0.88433454184781601</v>
      </c>
      <c r="L3419" s="19">
        <v>2.0867030480182423E-2</v>
      </c>
      <c r="M3419" s="20">
        <v>2</v>
      </c>
      <c r="N3419" s="19">
        <v>0.44905434030561087</v>
      </c>
      <c r="O3419" s="19">
        <v>0</v>
      </c>
      <c r="P3419" s="19">
        <v>0.4352802015422052</v>
      </c>
      <c r="Q3419" s="19">
        <v>0</v>
      </c>
      <c r="R3419" s="19">
        <v>1.8474348861159794E-2</v>
      </c>
      <c r="S3419" s="19">
        <v>2.3926816190226298E-3</v>
      </c>
      <c r="T3419" s="20">
        <v>23</v>
      </c>
      <c r="U3419" s="17">
        <v>2</v>
      </c>
      <c r="V3419" s="17">
        <v>36</v>
      </c>
    </row>
    <row r="3420" spans="1:22" x14ac:dyDescent="0.2">
      <c r="A3420" t="s">
        <v>7669</v>
      </c>
      <c r="B3420" t="s">
        <v>7665</v>
      </c>
      <c r="C3420" t="s">
        <v>7666</v>
      </c>
      <c r="D3420" t="s">
        <v>7667</v>
      </c>
      <c r="E3420" s="10" t="s">
        <v>7670</v>
      </c>
      <c r="F3420" s="10"/>
      <c r="G3420" s="10"/>
      <c r="H3420" s="10" t="s">
        <v>7670</v>
      </c>
      <c r="I3420" s="14">
        <v>365039.5961834027</v>
      </c>
      <c r="J3420" s="19">
        <v>0.32499223766652902</v>
      </c>
      <c r="K3420" s="19">
        <v>0.63749764386686458</v>
      </c>
      <c r="L3420" s="19">
        <v>3.751011846660636E-2</v>
      </c>
      <c r="M3420" s="20">
        <v>2</v>
      </c>
      <c r="N3420" s="19">
        <v>0.31277110686244641</v>
      </c>
      <c r="O3420" s="19">
        <v>0</v>
      </c>
      <c r="P3420" s="19">
        <v>0.32472653700441817</v>
      </c>
      <c r="Q3420" s="19">
        <v>0</v>
      </c>
      <c r="R3420" s="19">
        <v>3.5382579340704545E-2</v>
      </c>
      <c r="S3420" s="19">
        <v>2.1275391259018132E-3</v>
      </c>
      <c r="T3420" s="20">
        <v>23</v>
      </c>
      <c r="U3420" s="17">
        <v>2</v>
      </c>
      <c r="V3420" s="17">
        <v>36</v>
      </c>
    </row>
    <row r="3421" spans="1:22" x14ac:dyDescent="0.2">
      <c r="A3421" t="s">
        <v>7671</v>
      </c>
      <c r="B3421" t="s">
        <v>7665</v>
      </c>
      <c r="C3421" t="s">
        <v>7666</v>
      </c>
      <c r="D3421" t="s">
        <v>7667</v>
      </c>
      <c r="E3421" s="10" t="s">
        <v>7672</v>
      </c>
      <c r="F3421" s="10"/>
      <c r="G3421" s="10"/>
      <c r="H3421" s="10" t="s">
        <v>7672</v>
      </c>
      <c r="I3421" s="14">
        <v>119248.8418992283</v>
      </c>
      <c r="J3421" s="19">
        <v>0.68850018109536992</v>
      </c>
      <c r="K3421" s="19">
        <v>0.27303757108642401</v>
      </c>
      <c r="L3421" s="19">
        <v>3.8462247818205952E-2</v>
      </c>
      <c r="M3421" s="20">
        <v>3</v>
      </c>
      <c r="N3421" s="19">
        <v>0.16013527985295364</v>
      </c>
      <c r="O3421" s="19">
        <v>0</v>
      </c>
      <c r="P3421" s="19">
        <v>0.1129022912334704</v>
      </c>
      <c r="Q3421" s="19">
        <v>5.9898196492721443E-3</v>
      </c>
      <c r="R3421" s="19">
        <v>2.9105151723938426E-2</v>
      </c>
      <c r="S3421" s="19">
        <v>3.3672764449953806E-3</v>
      </c>
      <c r="T3421" s="20">
        <v>30</v>
      </c>
      <c r="U3421" s="17">
        <v>2</v>
      </c>
      <c r="V3421" s="17">
        <v>36</v>
      </c>
    </row>
    <row r="3422" spans="1:22" x14ac:dyDescent="0.2">
      <c r="A3422" t="s">
        <v>7673</v>
      </c>
      <c r="B3422" t="s">
        <v>7665</v>
      </c>
      <c r="C3422" t="s">
        <v>7666</v>
      </c>
      <c r="D3422" t="s">
        <v>7667</v>
      </c>
      <c r="E3422" s="10" t="s">
        <v>7674</v>
      </c>
      <c r="F3422" s="10"/>
      <c r="G3422" s="10"/>
      <c r="H3422" s="10" t="s">
        <v>7674</v>
      </c>
      <c r="I3422" s="14">
        <v>254509.79595479509</v>
      </c>
      <c r="J3422" s="19">
        <v>0.53846946875243329</v>
      </c>
      <c r="K3422" s="19">
        <v>0.36488885029404627</v>
      </c>
      <c r="L3422" s="19">
        <v>9.6641680953520423E-2</v>
      </c>
      <c r="M3422" s="20">
        <v>3</v>
      </c>
      <c r="N3422" s="19">
        <v>0.12628568626396491</v>
      </c>
      <c r="O3422" s="19">
        <v>0</v>
      </c>
      <c r="P3422" s="19">
        <v>0.23860316403008139</v>
      </c>
      <c r="Q3422" s="19">
        <v>2.1617076609419337E-2</v>
      </c>
      <c r="R3422" s="19">
        <v>6.6775395943556387E-2</v>
      </c>
      <c r="S3422" s="19">
        <v>8.2492084005446973E-3</v>
      </c>
      <c r="T3422" s="20">
        <v>30</v>
      </c>
      <c r="U3422" s="17">
        <v>2</v>
      </c>
      <c r="V3422" s="17">
        <v>36</v>
      </c>
    </row>
    <row r="3423" spans="1:22" x14ac:dyDescent="0.2">
      <c r="A3423" t="s">
        <v>7675</v>
      </c>
      <c r="B3423" t="s">
        <v>7665</v>
      </c>
      <c r="C3423" t="s">
        <v>7666</v>
      </c>
      <c r="D3423" t="s">
        <v>7667</v>
      </c>
      <c r="E3423" s="10" t="s">
        <v>7676</v>
      </c>
      <c r="F3423" s="10"/>
      <c r="G3423" s="10"/>
      <c r="H3423" s="10" t="s">
        <v>7676</v>
      </c>
      <c r="I3423" s="14">
        <v>178336.82980383816</v>
      </c>
      <c r="J3423" s="19">
        <v>0.47635883117242706</v>
      </c>
      <c r="K3423" s="19">
        <v>0.4322771171780273</v>
      </c>
      <c r="L3423" s="19">
        <v>9.1364051649545641E-2</v>
      </c>
      <c r="M3423" s="20">
        <v>2</v>
      </c>
      <c r="N3423" s="19">
        <v>4.2143378400203393E-2</v>
      </c>
      <c r="O3423" s="19">
        <v>0</v>
      </c>
      <c r="P3423" s="19">
        <v>0.39013373877782392</v>
      </c>
      <c r="Q3423" s="19">
        <v>1.9744807963503939E-2</v>
      </c>
      <c r="R3423" s="19">
        <v>6.0491561119064091E-2</v>
      </c>
      <c r="S3423" s="19">
        <v>1.1127682566977614E-2</v>
      </c>
      <c r="T3423" s="20">
        <v>23</v>
      </c>
      <c r="U3423" s="17">
        <v>2</v>
      </c>
      <c r="V3423" s="17">
        <v>36</v>
      </c>
    </row>
    <row r="3424" spans="1:22" x14ac:dyDescent="0.2">
      <c r="A3424" t="s">
        <v>7677</v>
      </c>
      <c r="B3424" t="s">
        <v>7665</v>
      </c>
      <c r="C3424" t="s">
        <v>7666</v>
      </c>
      <c r="D3424" t="s">
        <v>7667</v>
      </c>
      <c r="E3424" s="10" t="s">
        <v>7678</v>
      </c>
      <c r="F3424" s="10"/>
      <c r="G3424" s="10"/>
      <c r="H3424" s="10" t="s">
        <v>7678</v>
      </c>
      <c r="I3424" s="14">
        <v>275122.85151887452</v>
      </c>
      <c r="J3424" s="19">
        <v>0.94329727452655854</v>
      </c>
      <c r="K3424" s="19">
        <v>4.5233167127579361E-2</v>
      </c>
      <c r="L3424" s="19">
        <v>1.1469558345862118E-2</v>
      </c>
      <c r="M3424" s="20">
        <v>3</v>
      </c>
      <c r="N3424" s="19">
        <v>0</v>
      </c>
      <c r="O3424" s="19">
        <v>0</v>
      </c>
      <c r="P3424" s="19">
        <v>4.5233167127579361E-2</v>
      </c>
      <c r="Q3424" s="19">
        <v>0</v>
      </c>
      <c r="R3424" s="19">
        <v>1.0004091634779324E-2</v>
      </c>
      <c r="S3424" s="19">
        <v>1.4654667110827954E-3</v>
      </c>
      <c r="T3424" s="20">
        <v>30</v>
      </c>
      <c r="U3424" s="17">
        <v>2</v>
      </c>
      <c r="V3424" s="17">
        <v>36</v>
      </c>
    </row>
    <row r="3425" spans="1:22" x14ac:dyDescent="0.2">
      <c r="A3425" t="s">
        <v>7679</v>
      </c>
      <c r="B3425" t="s">
        <v>7665</v>
      </c>
      <c r="C3425" t="s">
        <v>7666</v>
      </c>
      <c r="D3425" t="s">
        <v>7667</v>
      </c>
      <c r="E3425" s="10" t="s">
        <v>7680</v>
      </c>
      <c r="F3425" s="10"/>
      <c r="G3425" s="10"/>
      <c r="H3425" s="10" t="s">
        <v>7680</v>
      </c>
      <c r="I3425" s="14">
        <v>219022.62664157432</v>
      </c>
      <c r="J3425" s="19">
        <v>0.54178737115931441</v>
      </c>
      <c r="K3425" s="19">
        <v>0.40174877285723104</v>
      </c>
      <c r="L3425" s="19">
        <v>5.6463855983454513E-2</v>
      </c>
      <c r="M3425" s="20">
        <v>3</v>
      </c>
      <c r="N3425" s="19">
        <v>0.20772712144001002</v>
      </c>
      <c r="O3425" s="19">
        <v>0</v>
      </c>
      <c r="P3425" s="19">
        <v>0.19402165141722102</v>
      </c>
      <c r="Q3425" s="19">
        <v>1.9566798554399436E-2</v>
      </c>
      <c r="R3425" s="19">
        <v>3.224239585626882E-2</v>
      </c>
      <c r="S3425" s="19">
        <v>4.6546615727862586E-3</v>
      </c>
      <c r="T3425" s="20">
        <v>30</v>
      </c>
      <c r="U3425" s="17">
        <v>2</v>
      </c>
      <c r="V3425" s="17">
        <v>36</v>
      </c>
    </row>
    <row r="3426" spans="1:22" x14ac:dyDescent="0.2">
      <c r="A3426" t="s">
        <v>7681</v>
      </c>
      <c r="B3426" t="s">
        <v>7665</v>
      </c>
      <c r="C3426" t="s">
        <v>7666</v>
      </c>
      <c r="D3426" t="s">
        <v>7667</v>
      </c>
      <c r="E3426" s="10" t="s">
        <v>7682</v>
      </c>
      <c r="F3426" s="10"/>
      <c r="G3426" s="10"/>
      <c r="H3426" s="10" t="s">
        <v>7682</v>
      </c>
      <c r="I3426" s="14">
        <v>126650.96515915962</v>
      </c>
      <c r="J3426" s="19">
        <v>0</v>
      </c>
      <c r="K3426" s="19">
        <v>0.81270975133962908</v>
      </c>
      <c r="L3426" s="19">
        <v>0.18729024866037094</v>
      </c>
      <c r="M3426" s="20">
        <v>2</v>
      </c>
      <c r="N3426" s="19">
        <v>0.3649047473976324</v>
      </c>
      <c r="O3426" s="19">
        <v>0</v>
      </c>
      <c r="P3426" s="19">
        <v>0.44780500394199668</v>
      </c>
      <c r="Q3426" s="19">
        <v>6.6338055175762231E-2</v>
      </c>
      <c r="R3426" s="19">
        <v>0.10562653229744871</v>
      </c>
      <c r="S3426" s="19">
        <v>1.5325661187159983E-2</v>
      </c>
      <c r="T3426" s="20">
        <v>23</v>
      </c>
      <c r="U3426" s="17">
        <v>2</v>
      </c>
      <c r="V3426" s="17">
        <v>36</v>
      </c>
    </row>
    <row r="3427" spans="1:22" x14ac:dyDescent="0.2">
      <c r="A3427" t="s">
        <v>7683</v>
      </c>
      <c r="B3427" t="s">
        <v>7665</v>
      </c>
      <c r="C3427" t="s">
        <v>7666</v>
      </c>
      <c r="D3427" t="s">
        <v>7667</v>
      </c>
      <c r="E3427" s="10" t="s">
        <v>7684</v>
      </c>
      <c r="F3427" s="10"/>
      <c r="G3427" s="10"/>
      <c r="H3427" s="10" t="s">
        <v>7684</v>
      </c>
      <c r="I3427" s="14">
        <v>179708.68339854712</v>
      </c>
      <c r="J3427" s="19">
        <v>0.69241266905587329</v>
      </c>
      <c r="K3427" s="19">
        <v>0.28304915966670052</v>
      </c>
      <c r="L3427" s="19">
        <v>2.4538171277426149E-2</v>
      </c>
      <c r="M3427" s="20">
        <v>3</v>
      </c>
      <c r="N3427" s="19">
        <v>7.7626212780081763E-2</v>
      </c>
      <c r="O3427" s="19">
        <v>0</v>
      </c>
      <c r="P3427" s="19">
        <v>0.20542294688661875</v>
      </c>
      <c r="Q3427" s="19">
        <v>0</v>
      </c>
      <c r="R3427" s="19">
        <v>2.2375835083481312E-2</v>
      </c>
      <c r="S3427" s="19">
        <v>2.1623361939448389E-3</v>
      </c>
      <c r="T3427" s="20">
        <v>30</v>
      </c>
      <c r="U3427" s="17">
        <v>2</v>
      </c>
      <c r="V3427" s="17">
        <v>36</v>
      </c>
    </row>
    <row r="3428" spans="1:22" x14ac:dyDescent="0.2">
      <c r="A3428" t="s">
        <v>7685</v>
      </c>
      <c r="B3428" t="s">
        <v>7665</v>
      </c>
      <c r="C3428" t="s">
        <v>7666</v>
      </c>
      <c r="D3428" t="s">
        <v>7667</v>
      </c>
      <c r="E3428" s="10" t="s">
        <v>7686</v>
      </c>
      <c r="F3428" s="10"/>
      <c r="G3428" s="10"/>
      <c r="H3428" s="10" t="s">
        <v>7686</v>
      </c>
      <c r="I3428" s="14">
        <v>187774.75271907868</v>
      </c>
      <c r="J3428" s="19">
        <v>0.11289372890234581</v>
      </c>
      <c r="K3428" s="19">
        <v>0.7452953804471838</v>
      </c>
      <c r="L3428" s="19">
        <v>0.14181089065047042</v>
      </c>
      <c r="M3428" s="20">
        <v>2</v>
      </c>
      <c r="N3428" s="19">
        <v>0.27393685156539138</v>
      </c>
      <c r="O3428" s="19">
        <v>0</v>
      </c>
      <c r="P3428" s="19">
        <v>0.47135852888179242</v>
      </c>
      <c r="Q3428" s="19">
        <v>8.1330550925805337E-3</v>
      </c>
      <c r="R3428" s="19">
        <v>0.11905551820384461</v>
      </c>
      <c r="S3428" s="19">
        <v>1.4622317354045292E-2</v>
      </c>
      <c r="T3428" s="20">
        <v>23</v>
      </c>
      <c r="U3428" s="17">
        <v>2</v>
      </c>
      <c r="V3428" s="17">
        <v>36</v>
      </c>
    </row>
    <row r="3429" spans="1:22" x14ac:dyDescent="0.2">
      <c r="A3429" t="s">
        <v>7687</v>
      </c>
      <c r="B3429" t="s">
        <v>7665</v>
      </c>
      <c r="C3429" t="s">
        <v>7666</v>
      </c>
      <c r="D3429" t="s">
        <v>7667</v>
      </c>
      <c r="E3429" s="10" t="s">
        <v>7688</v>
      </c>
      <c r="F3429" s="10"/>
      <c r="G3429" s="10"/>
      <c r="H3429" s="10" t="s">
        <v>7688</v>
      </c>
      <c r="I3429" s="14">
        <v>139585.62765012053</v>
      </c>
      <c r="J3429" s="19">
        <v>0</v>
      </c>
      <c r="K3429" s="19">
        <v>0.75162981879115187</v>
      </c>
      <c r="L3429" s="19">
        <v>0.2483701812088481</v>
      </c>
      <c r="M3429" s="20">
        <v>2</v>
      </c>
      <c r="N3429" s="19">
        <v>0.3569608480201793</v>
      </c>
      <c r="O3429" s="19">
        <v>5.7730589092563477E-2</v>
      </c>
      <c r="P3429" s="19">
        <v>0.33693838167840912</v>
      </c>
      <c r="Q3429" s="19">
        <v>6.841053530278958E-2</v>
      </c>
      <c r="R3429" s="19">
        <v>0.15425737561873629</v>
      </c>
      <c r="S3429" s="19">
        <v>2.5702270287322235E-2</v>
      </c>
      <c r="T3429" s="20">
        <v>23</v>
      </c>
      <c r="U3429" s="17">
        <v>2</v>
      </c>
      <c r="V3429" s="17">
        <v>36</v>
      </c>
    </row>
    <row r="3430" spans="1:22" x14ac:dyDescent="0.2">
      <c r="A3430" t="s">
        <v>7689</v>
      </c>
      <c r="B3430" t="s">
        <v>7665</v>
      </c>
      <c r="C3430" t="s">
        <v>7666</v>
      </c>
      <c r="D3430" t="s">
        <v>7690</v>
      </c>
      <c r="E3430" s="10" t="s">
        <v>7690</v>
      </c>
      <c r="F3430" s="10"/>
      <c r="G3430" s="10"/>
      <c r="H3430" s="10" t="s">
        <v>7690</v>
      </c>
      <c r="I3430" s="14">
        <v>161142.66374635231</v>
      </c>
      <c r="J3430" s="19">
        <v>0.72437971581780092</v>
      </c>
      <c r="K3430" s="19">
        <v>0.22910480227674701</v>
      </c>
      <c r="L3430" s="19">
        <v>4.6515481905452079E-2</v>
      </c>
      <c r="M3430" s="20">
        <v>3</v>
      </c>
      <c r="N3430" s="19">
        <v>0</v>
      </c>
      <c r="O3430" s="19">
        <v>0</v>
      </c>
      <c r="P3430" s="19">
        <v>0.22910480227674701</v>
      </c>
      <c r="Q3430" s="19">
        <v>0</v>
      </c>
      <c r="R3430" s="19">
        <v>4.5037382005398634E-2</v>
      </c>
      <c r="S3430" s="19">
        <v>1.4780999000534414E-3</v>
      </c>
      <c r="T3430" s="20">
        <v>30</v>
      </c>
      <c r="U3430" s="17">
        <v>2</v>
      </c>
      <c r="V3430" s="17">
        <v>36</v>
      </c>
    </row>
    <row r="3431" spans="1:22" x14ac:dyDescent="0.2">
      <c r="A3431" t="s">
        <v>7691</v>
      </c>
      <c r="B3431" t="s">
        <v>7665</v>
      </c>
      <c r="C3431" t="s">
        <v>7666</v>
      </c>
      <c r="D3431" t="s">
        <v>7690</v>
      </c>
      <c r="E3431" s="10" t="s">
        <v>7692</v>
      </c>
      <c r="F3431" s="10"/>
      <c r="G3431" s="10"/>
      <c r="H3431" s="10" t="s">
        <v>7692</v>
      </c>
      <c r="I3431" s="14">
        <v>156511.19355393201</v>
      </c>
      <c r="J3431" s="19">
        <v>3.9577801561845394E-3</v>
      </c>
      <c r="K3431" s="19">
        <v>0.75038767625526048</v>
      </c>
      <c r="L3431" s="19">
        <v>0.24565454358855499</v>
      </c>
      <c r="M3431" s="20">
        <v>2</v>
      </c>
      <c r="N3431" s="19">
        <v>0.11563237500934682</v>
      </c>
      <c r="O3431" s="19">
        <v>3.7121051125350427E-2</v>
      </c>
      <c r="P3431" s="19">
        <v>0.59763425012056326</v>
      </c>
      <c r="Q3431" s="19">
        <v>5.7210729946841126E-3</v>
      </c>
      <c r="R3431" s="19">
        <v>0.2363167045891498</v>
      </c>
      <c r="S3431" s="19">
        <v>3.6167660047210855E-3</v>
      </c>
      <c r="T3431" s="20">
        <v>21</v>
      </c>
      <c r="U3431" s="17">
        <v>2</v>
      </c>
      <c r="V3431" s="17">
        <v>36</v>
      </c>
    </row>
    <row r="3432" spans="1:22" x14ac:dyDescent="0.2">
      <c r="A3432" t="s">
        <v>7693</v>
      </c>
      <c r="B3432" t="s">
        <v>7665</v>
      </c>
      <c r="C3432" t="s">
        <v>7666</v>
      </c>
      <c r="D3432" t="s">
        <v>7690</v>
      </c>
      <c r="E3432" s="10" t="s">
        <v>7694</v>
      </c>
      <c r="F3432" s="10"/>
      <c r="G3432" s="10"/>
      <c r="H3432" s="10" t="s">
        <v>7694</v>
      </c>
      <c r="I3432" s="14">
        <v>149178.86724194791</v>
      </c>
      <c r="J3432" s="19">
        <v>0.33343474199641432</v>
      </c>
      <c r="K3432" s="19">
        <v>0.47500047924634498</v>
      </c>
      <c r="L3432" s="19">
        <v>0.19156477875724071</v>
      </c>
      <c r="M3432" s="20">
        <v>2</v>
      </c>
      <c r="N3432" s="19">
        <v>9.6492036371094672E-2</v>
      </c>
      <c r="O3432" s="19">
        <v>0</v>
      </c>
      <c r="P3432" s="19">
        <v>0.37850844287525032</v>
      </c>
      <c r="Q3432" s="19">
        <v>1.0716734616876118E-2</v>
      </c>
      <c r="R3432" s="19">
        <v>0.176141623369478</v>
      </c>
      <c r="S3432" s="19">
        <v>4.7064207708865952E-3</v>
      </c>
      <c r="T3432" s="20">
        <v>23</v>
      </c>
      <c r="U3432" s="17">
        <v>2</v>
      </c>
      <c r="V3432" s="17">
        <v>36</v>
      </c>
    </row>
    <row r="3433" spans="1:22" x14ac:dyDescent="0.2">
      <c r="A3433" t="s">
        <v>7695</v>
      </c>
      <c r="B3433" t="s">
        <v>7665</v>
      </c>
      <c r="C3433" t="s">
        <v>7666</v>
      </c>
      <c r="D3433" t="s">
        <v>7690</v>
      </c>
      <c r="E3433" s="10" t="s">
        <v>7696</v>
      </c>
      <c r="F3433" s="10"/>
      <c r="G3433" s="10"/>
      <c r="H3433" s="10" t="s">
        <v>7696</v>
      </c>
      <c r="I3433" s="14">
        <v>114985.85114466259</v>
      </c>
      <c r="J3433" s="19">
        <v>0</v>
      </c>
      <c r="K3433" s="19">
        <v>0.62593745647382604</v>
      </c>
      <c r="L3433" s="19">
        <v>0.37406254352617396</v>
      </c>
      <c r="M3433" s="20">
        <v>2</v>
      </c>
      <c r="N3433" s="19">
        <v>8.5384060023507902E-2</v>
      </c>
      <c r="O3433" s="19">
        <v>0</v>
      </c>
      <c r="P3433" s="19">
        <v>0.54055339645031819</v>
      </c>
      <c r="Q3433" s="19">
        <v>4.124688873600111E-2</v>
      </c>
      <c r="R3433" s="19">
        <v>0.32116837150859529</v>
      </c>
      <c r="S3433" s="19">
        <v>1.164728328157754E-2</v>
      </c>
      <c r="T3433" s="20">
        <v>21</v>
      </c>
      <c r="U3433" s="17">
        <v>2</v>
      </c>
      <c r="V3433" s="17">
        <v>36</v>
      </c>
    </row>
    <row r="3434" spans="1:22" x14ac:dyDescent="0.2">
      <c r="A3434" t="s">
        <v>7697</v>
      </c>
      <c r="B3434" t="s">
        <v>7665</v>
      </c>
      <c r="C3434" t="s">
        <v>7666</v>
      </c>
      <c r="D3434" t="s">
        <v>7690</v>
      </c>
      <c r="E3434" s="10" t="s">
        <v>7698</v>
      </c>
      <c r="F3434" s="10"/>
      <c r="G3434" s="10"/>
      <c r="H3434" s="10" t="s">
        <v>7698</v>
      </c>
      <c r="I3434" s="14">
        <v>114233.37658749847</v>
      </c>
      <c r="J3434" s="19">
        <v>0.20097357749945044</v>
      </c>
      <c r="K3434" s="19">
        <v>0.51422158148181596</v>
      </c>
      <c r="L3434" s="19">
        <v>0.28480484101873355</v>
      </c>
      <c r="M3434" s="20">
        <v>2</v>
      </c>
      <c r="N3434" s="19">
        <v>4.4417540506602106E-2</v>
      </c>
      <c r="O3434" s="19">
        <v>0</v>
      </c>
      <c r="P3434" s="19">
        <v>0.46980404097521394</v>
      </c>
      <c r="Q3434" s="19">
        <v>3.6774432664660829E-2</v>
      </c>
      <c r="R3434" s="19">
        <v>0.2415690212060263</v>
      </c>
      <c r="S3434" s="19">
        <v>6.4613871480464187E-3</v>
      </c>
      <c r="T3434" s="20">
        <v>23</v>
      </c>
      <c r="U3434" s="17">
        <v>2</v>
      </c>
      <c r="V3434" s="17">
        <v>36</v>
      </c>
    </row>
    <row r="3435" spans="1:22" x14ac:dyDescent="0.2">
      <c r="A3435" t="s">
        <v>7699</v>
      </c>
      <c r="B3435" t="s">
        <v>7665</v>
      </c>
      <c r="C3435" t="s">
        <v>7666</v>
      </c>
      <c r="D3435" t="s">
        <v>7690</v>
      </c>
      <c r="E3435" s="10" t="s">
        <v>7700</v>
      </c>
      <c r="F3435" s="10"/>
      <c r="G3435" s="10"/>
      <c r="H3435" s="10" t="s">
        <v>7700</v>
      </c>
      <c r="I3435" s="14">
        <v>128404.90927979164</v>
      </c>
      <c r="J3435" s="19">
        <v>0</v>
      </c>
      <c r="K3435" s="19">
        <v>0.69481720415657822</v>
      </c>
      <c r="L3435" s="19">
        <v>0.30518279584342178</v>
      </c>
      <c r="M3435" s="20">
        <v>2</v>
      </c>
      <c r="N3435" s="19">
        <v>0.13437675573293542</v>
      </c>
      <c r="O3435" s="19">
        <v>0</v>
      </c>
      <c r="P3435" s="19">
        <v>0.56044044842364282</v>
      </c>
      <c r="Q3435" s="19">
        <v>5.6385023437979992E-2</v>
      </c>
      <c r="R3435" s="19">
        <v>0.23577209248898873</v>
      </c>
      <c r="S3435" s="19">
        <v>1.3025679916453039E-2</v>
      </c>
      <c r="T3435" s="20">
        <v>21</v>
      </c>
      <c r="U3435" s="17">
        <v>2</v>
      </c>
      <c r="V3435" s="17">
        <v>36</v>
      </c>
    </row>
    <row r="3436" spans="1:22" x14ac:dyDescent="0.2">
      <c r="A3436" t="s">
        <v>7701</v>
      </c>
      <c r="B3436" t="s">
        <v>7665</v>
      </c>
      <c r="C3436" t="s">
        <v>7666</v>
      </c>
      <c r="D3436" t="s">
        <v>7690</v>
      </c>
      <c r="E3436" s="10" t="s">
        <v>7702</v>
      </c>
      <c r="F3436" s="10"/>
      <c r="G3436" s="10"/>
      <c r="H3436" s="10" t="s">
        <v>7702</v>
      </c>
      <c r="I3436" s="14">
        <v>105857.02925694663</v>
      </c>
      <c r="J3436" s="19">
        <v>0.12710079527495324</v>
      </c>
      <c r="K3436" s="19">
        <v>0.6917238288583526</v>
      </c>
      <c r="L3436" s="19">
        <v>0.18117537586669427</v>
      </c>
      <c r="M3436" s="20">
        <v>2</v>
      </c>
      <c r="N3436" s="19">
        <v>4.8969659570817968E-2</v>
      </c>
      <c r="O3436" s="19">
        <v>0</v>
      </c>
      <c r="P3436" s="19">
        <v>0.64275416928753459</v>
      </c>
      <c r="Q3436" s="19">
        <v>0</v>
      </c>
      <c r="R3436" s="19">
        <v>0.17664127460864415</v>
      </c>
      <c r="S3436" s="19">
        <v>4.5341012580501624E-3</v>
      </c>
      <c r="T3436" s="20">
        <v>21</v>
      </c>
      <c r="U3436" s="17">
        <v>2</v>
      </c>
      <c r="V3436" s="17">
        <v>36</v>
      </c>
    </row>
    <row r="3437" spans="1:22" x14ac:dyDescent="0.2">
      <c r="A3437" t="s">
        <v>7703</v>
      </c>
      <c r="B3437" t="s">
        <v>7665</v>
      </c>
      <c r="C3437" t="s">
        <v>7666</v>
      </c>
      <c r="D3437" t="s">
        <v>7704</v>
      </c>
      <c r="E3437" s="10" t="s">
        <v>7704</v>
      </c>
      <c r="F3437" s="10"/>
      <c r="G3437" s="10"/>
      <c r="H3437" s="10" t="s">
        <v>7704</v>
      </c>
      <c r="I3437" s="14">
        <v>150806.2656880382</v>
      </c>
      <c r="J3437" s="19">
        <v>0.86351647269512599</v>
      </c>
      <c r="K3437" s="19">
        <v>0.13200197390903723</v>
      </c>
      <c r="L3437" s="19">
        <v>4.4815533958366431E-3</v>
      </c>
      <c r="M3437" s="20">
        <v>3</v>
      </c>
      <c r="N3437" s="19">
        <v>0</v>
      </c>
      <c r="O3437" s="19">
        <v>0</v>
      </c>
      <c r="P3437" s="19">
        <v>0.13200197390903723</v>
      </c>
      <c r="Q3437" s="19">
        <v>0</v>
      </c>
      <c r="R3437" s="19">
        <v>4.1792471988042566E-3</v>
      </c>
      <c r="S3437" s="19">
        <v>3.0230619703238684E-4</v>
      </c>
      <c r="T3437" s="20">
        <v>30</v>
      </c>
      <c r="U3437" s="17">
        <v>2</v>
      </c>
      <c r="V3437" s="17">
        <v>36</v>
      </c>
    </row>
    <row r="3438" spans="1:22" x14ac:dyDescent="0.2">
      <c r="A3438" t="s">
        <v>7705</v>
      </c>
      <c r="B3438" t="s">
        <v>7665</v>
      </c>
      <c r="C3438" t="s">
        <v>7666</v>
      </c>
      <c r="D3438" t="s">
        <v>7704</v>
      </c>
      <c r="E3438" s="10" t="s">
        <v>7706</v>
      </c>
      <c r="F3438" s="10"/>
      <c r="G3438" s="10"/>
      <c r="H3438" s="10" t="s">
        <v>7706</v>
      </c>
      <c r="I3438" s="14">
        <v>211389.68097909493</v>
      </c>
      <c r="J3438" s="19">
        <v>0</v>
      </c>
      <c r="K3438" s="19">
        <v>0.97661617177806404</v>
      </c>
      <c r="L3438" s="19">
        <v>2.3383828221935996E-2</v>
      </c>
      <c r="M3438" s="20">
        <v>2</v>
      </c>
      <c r="N3438" s="19">
        <v>0.34236565740110314</v>
      </c>
      <c r="O3438" s="19">
        <v>0</v>
      </c>
      <c r="P3438" s="19">
        <v>0.63425051437696089</v>
      </c>
      <c r="Q3438" s="19">
        <v>0</v>
      </c>
      <c r="R3438" s="19">
        <v>2.2890312761896445E-2</v>
      </c>
      <c r="S3438" s="19">
        <v>4.9351546003954978E-4</v>
      </c>
      <c r="T3438" s="20">
        <v>21</v>
      </c>
      <c r="U3438" s="17">
        <v>2</v>
      </c>
      <c r="V3438" s="17">
        <v>36</v>
      </c>
    </row>
    <row r="3439" spans="1:22" x14ac:dyDescent="0.2">
      <c r="A3439" t="s">
        <v>7707</v>
      </c>
      <c r="B3439" t="s">
        <v>7665</v>
      </c>
      <c r="C3439" t="s">
        <v>7666</v>
      </c>
      <c r="D3439" t="s">
        <v>7704</v>
      </c>
      <c r="E3439" s="10" t="s">
        <v>7708</v>
      </c>
      <c r="F3439" s="10"/>
      <c r="G3439" s="10"/>
      <c r="H3439" s="10" t="s">
        <v>7708</v>
      </c>
      <c r="I3439" s="14">
        <v>181462.20538274059</v>
      </c>
      <c r="J3439" s="19">
        <v>4.1171430302956767E-3</v>
      </c>
      <c r="K3439" s="19">
        <v>0.96237450847322226</v>
      </c>
      <c r="L3439" s="19">
        <v>3.3508348496482078E-2</v>
      </c>
      <c r="M3439" s="20">
        <v>2</v>
      </c>
      <c r="N3439" s="19">
        <v>0.14395457456429603</v>
      </c>
      <c r="O3439" s="19">
        <v>0</v>
      </c>
      <c r="P3439" s="19">
        <v>0.8184199339089262</v>
      </c>
      <c r="Q3439" s="19">
        <v>0</v>
      </c>
      <c r="R3439" s="19">
        <v>3.3034345758588657E-2</v>
      </c>
      <c r="S3439" s="19">
        <v>4.7400273789342226E-4</v>
      </c>
      <c r="T3439" s="20">
        <v>21</v>
      </c>
      <c r="U3439" s="17">
        <v>2</v>
      </c>
      <c r="V3439" s="17">
        <v>36</v>
      </c>
    </row>
    <row r="3440" spans="1:22" x14ac:dyDescent="0.2">
      <c r="A3440" t="s">
        <v>7709</v>
      </c>
      <c r="B3440" t="s">
        <v>7665</v>
      </c>
      <c r="C3440" t="s">
        <v>7666</v>
      </c>
      <c r="D3440" t="s">
        <v>7704</v>
      </c>
      <c r="E3440" s="10" t="s">
        <v>7710</v>
      </c>
      <c r="F3440" s="10"/>
      <c r="G3440" s="10"/>
      <c r="H3440" s="10" t="s">
        <v>7710</v>
      </c>
      <c r="I3440" s="14">
        <v>196331.03481766768</v>
      </c>
      <c r="J3440" s="19">
        <v>0</v>
      </c>
      <c r="K3440" s="19">
        <v>0.83142004008345283</v>
      </c>
      <c r="L3440" s="19">
        <v>0.16857995991654715</v>
      </c>
      <c r="M3440" s="20">
        <v>2</v>
      </c>
      <c r="N3440" s="19">
        <v>0.10406525158402881</v>
      </c>
      <c r="O3440" s="19">
        <v>0</v>
      </c>
      <c r="P3440" s="19">
        <v>0.72735478849942403</v>
      </c>
      <c r="Q3440" s="19">
        <v>3.5416183837464879E-2</v>
      </c>
      <c r="R3440" s="19">
        <v>0.12630767980849653</v>
      </c>
      <c r="S3440" s="19">
        <v>6.8560962705857187E-3</v>
      </c>
      <c r="T3440" s="20">
        <v>21</v>
      </c>
      <c r="U3440" s="17">
        <v>2</v>
      </c>
      <c r="V3440" s="17">
        <v>36</v>
      </c>
    </row>
    <row r="3441" spans="1:22" x14ac:dyDescent="0.2">
      <c r="A3441" t="s">
        <v>7711</v>
      </c>
      <c r="B3441" t="s">
        <v>7665</v>
      </c>
      <c r="C3441" t="s">
        <v>7666</v>
      </c>
      <c r="D3441" t="s">
        <v>7704</v>
      </c>
      <c r="E3441" s="10" t="s">
        <v>7712</v>
      </c>
      <c r="F3441" s="10"/>
      <c r="G3441" s="10"/>
      <c r="H3441" s="10" t="s">
        <v>7712</v>
      </c>
      <c r="I3441" s="14">
        <v>202179.93963404605</v>
      </c>
      <c r="J3441" s="19">
        <v>0</v>
      </c>
      <c r="K3441" s="19">
        <v>0.70733805280510686</v>
      </c>
      <c r="L3441" s="19">
        <v>0.29266194719489314</v>
      </c>
      <c r="M3441" s="20">
        <v>2</v>
      </c>
      <c r="N3441" s="19">
        <v>0.15173965812351861</v>
      </c>
      <c r="O3441" s="19">
        <v>0</v>
      </c>
      <c r="P3441" s="19">
        <v>0.55559839468158811</v>
      </c>
      <c r="Q3441" s="19">
        <v>7.296696801577475E-2</v>
      </c>
      <c r="R3441" s="19">
        <v>0.20154575561873589</v>
      </c>
      <c r="S3441" s="19">
        <v>1.8149223560382517E-2</v>
      </c>
      <c r="T3441" s="20">
        <v>21</v>
      </c>
      <c r="U3441" s="17">
        <v>2</v>
      </c>
      <c r="V3441" s="17">
        <v>36</v>
      </c>
    </row>
    <row r="3442" spans="1:22" x14ac:dyDescent="0.2">
      <c r="A3442" t="s">
        <v>7713</v>
      </c>
      <c r="B3442" t="s">
        <v>7665</v>
      </c>
      <c r="C3442" t="s">
        <v>7666</v>
      </c>
      <c r="D3442" t="s">
        <v>7704</v>
      </c>
      <c r="E3442" s="10" t="s">
        <v>7714</v>
      </c>
      <c r="F3442" s="10"/>
      <c r="G3442" s="10"/>
      <c r="H3442" s="10" t="s">
        <v>7714</v>
      </c>
      <c r="I3442" s="14">
        <v>67959.793317887932</v>
      </c>
      <c r="J3442" s="19">
        <v>0</v>
      </c>
      <c r="K3442" s="19">
        <v>0.40982486208908914</v>
      </c>
      <c r="L3442" s="19">
        <v>0.59017513791091092</v>
      </c>
      <c r="M3442" s="20">
        <v>1</v>
      </c>
      <c r="N3442" s="19">
        <v>0.19655423539712047</v>
      </c>
      <c r="O3442" s="19">
        <v>0</v>
      </c>
      <c r="P3442" s="19">
        <v>0.21327062669196858</v>
      </c>
      <c r="Q3442" s="19">
        <v>0.26216578363146809</v>
      </c>
      <c r="R3442" s="19">
        <v>0.29375094500114801</v>
      </c>
      <c r="S3442" s="19">
        <v>3.4258409278294807E-2</v>
      </c>
      <c r="T3442" s="20">
        <v>12</v>
      </c>
      <c r="U3442" s="17">
        <v>2</v>
      </c>
      <c r="V3442" s="17">
        <v>36</v>
      </c>
    </row>
    <row r="3443" spans="1:22" x14ac:dyDescent="0.2">
      <c r="A3443" t="s">
        <v>7715</v>
      </c>
      <c r="B3443" t="s">
        <v>7665</v>
      </c>
      <c r="C3443" t="s">
        <v>7666</v>
      </c>
      <c r="D3443" t="s">
        <v>7704</v>
      </c>
      <c r="E3443" s="10" t="s">
        <v>7716</v>
      </c>
      <c r="F3443" s="10"/>
      <c r="G3443" s="10"/>
      <c r="H3443" s="10" t="s">
        <v>7716</v>
      </c>
      <c r="I3443" s="14">
        <v>156123.66389779188</v>
      </c>
      <c r="J3443" s="19">
        <v>0</v>
      </c>
      <c r="K3443" s="19">
        <v>0.96033525345244453</v>
      </c>
      <c r="L3443" s="19">
        <v>3.9664746547555467E-2</v>
      </c>
      <c r="M3443" s="20">
        <v>2</v>
      </c>
      <c r="N3443" s="19">
        <v>0.20400605304018768</v>
      </c>
      <c r="O3443" s="19">
        <v>0</v>
      </c>
      <c r="P3443" s="19">
        <v>0.75632920041225682</v>
      </c>
      <c r="Q3443" s="19">
        <v>0</v>
      </c>
      <c r="R3443" s="19">
        <v>3.8931006389452107E-2</v>
      </c>
      <c r="S3443" s="19">
        <v>7.3374015810335677E-4</v>
      </c>
      <c r="T3443" s="20">
        <v>21</v>
      </c>
      <c r="U3443" s="17">
        <v>2</v>
      </c>
      <c r="V3443" s="17">
        <v>36</v>
      </c>
    </row>
    <row r="3444" spans="1:22" x14ac:dyDescent="0.2">
      <c r="A3444" t="s">
        <v>7717</v>
      </c>
      <c r="B3444" t="s">
        <v>7665</v>
      </c>
      <c r="C3444" t="s">
        <v>7666</v>
      </c>
      <c r="D3444" t="s">
        <v>7704</v>
      </c>
      <c r="E3444" s="10" t="s">
        <v>7718</v>
      </c>
      <c r="F3444" s="10"/>
      <c r="G3444" s="10"/>
      <c r="H3444" s="10" t="s">
        <v>7718</v>
      </c>
      <c r="I3444" s="14">
        <v>158065.84503799747</v>
      </c>
      <c r="J3444" s="19">
        <v>0.41653812521277328</v>
      </c>
      <c r="K3444" s="19">
        <v>0.55210934297089387</v>
      </c>
      <c r="L3444" s="19">
        <v>3.1352531816332893E-2</v>
      </c>
      <c r="M3444" s="20">
        <v>2</v>
      </c>
      <c r="N3444" s="19">
        <v>6.4968643941021934E-2</v>
      </c>
      <c r="O3444" s="19">
        <v>0</v>
      </c>
      <c r="P3444" s="19">
        <v>0.48714069902987189</v>
      </c>
      <c r="Q3444" s="19">
        <v>0</v>
      </c>
      <c r="R3444" s="19">
        <v>3.0879229256130854E-2</v>
      </c>
      <c r="S3444" s="19">
        <v>4.7330256020204024E-4</v>
      </c>
      <c r="T3444" s="20">
        <v>23</v>
      </c>
      <c r="U3444" s="17">
        <v>2</v>
      </c>
      <c r="V3444" s="17">
        <v>36</v>
      </c>
    </row>
    <row r="3445" spans="1:22" x14ac:dyDescent="0.2">
      <c r="A3445" t="s">
        <v>7719</v>
      </c>
      <c r="B3445" t="s">
        <v>7665</v>
      </c>
      <c r="C3445" t="s">
        <v>7666</v>
      </c>
      <c r="D3445" t="s">
        <v>7704</v>
      </c>
      <c r="E3445" s="10" t="s">
        <v>7720</v>
      </c>
      <c r="F3445" s="10"/>
      <c r="G3445" s="10"/>
      <c r="H3445" s="10" t="s">
        <v>7720</v>
      </c>
      <c r="I3445" s="14">
        <v>121805.46395922336</v>
      </c>
      <c r="J3445" s="19">
        <v>9.1863567407773031E-2</v>
      </c>
      <c r="K3445" s="19">
        <v>0.84839000412444576</v>
      </c>
      <c r="L3445" s="19">
        <v>5.9746428467781214E-2</v>
      </c>
      <c r="M3445" s="20">
        <v>2</v>
      </c>
      <c r="N3445" s="19">
        <v>9.3099498222599164E-2</v>
      </c>
      <c r="O3445" s="19">
        <v>0</v>
      </c>
      <c r="P3445" s="19">
        <v>0.75529050590184643</v>
      </c>
      <c r="Q3445" s="19">
        <v>0</v>
      </c>
      <c r="R3445" s="19">
        <v>5.6418211431307354E-2</v>
      </c>
      <c r="S3445" s="19">
        <v>3.32821703647386E-3</v>
      </c>
      <c r="T3445" s="20">
        <v>21</v>
      </c>
      <c r="U3445" s="17">
        <v>2</v>
      </c>
      <c r="V3445" s="17">
        <v>36</v>
      </c>
    </row>
    <row r="3446" spans="1:22" x14ac:dyDescent="0.2">
      <c r="A3446" t="s">
        <v>7721</v>
      </c>
      <c r="B3446" t="s">
        <v>7665</v>
      </c>
      <c r="C3446" t="s">
        <v>7666</v>
      </c>
      <c r="D3446" t="s">
        <v>7704</v>
      </c>
      <c r="E3446" s="10" t="s">
        <v>7722</v>
      </c>
      <c r="F3446" s="10"/>
      <c r="G3446" s="10"/>
      <c r="H3446" s="10" t="s">
        <v>7722</v>
      </c>
      <c r="I3446" s="14">
        <v>91193.515673459973</v>
      </c>
      <c r="J3446" s="19">
        <v>0</v>
      </c>
      <c r="K3446" s="19">
        <v>0.78750468847299537</v>
      </c>
      <c r="L3446" s="19">
        <v>0.21249531152700465</v>
      </c>
      <c r="M3446" s="20">
        <v>2</v>
      </c>
      <c r="N3446" s="19">
        <v>0.3860923828068365</v>
      </c>
      <c r="O3446" s="19">
        <v>0</v>
      </c>
      <c r="P3446" s="19">
        <v>0.40141230566615888</v>
      </c>
      <c r="Q3446" s="19">
        <v>6.9977369939900516E-2</v>
      </c>
      <c r="R3446" s="19">
        <v>0.12478165274486623</v>
      </c>
      <c r="S3446" s="19">
        <v>1.7736288842237911E-2</v>
      </c>
      <c r="T3446" s="20">
        <v>23</v>
      </c>
      <c r="U3446" s="17">
        <v>2</v>
      </c>
      <c r="V3446" s="17">
        <v>36</v>
      </c>
    </row>
    <row r="3447" spans="1:22" x14ac:dyDescent="0.2">
      <c r="A3447" t="s">
        <v>7723</v>
      </c>
      <c r="B3447" t="s">
        <v>7665</v>
      </c>
      <c r="C3447" t="s">
        <v>7666</v>
      </c>
      <c r="D3447" t="s">
        <v>7724</v>
      </c>
      <c r="E3447" s="10" t="s">
        <v>7725</v>
      </c>
      <c r="F3447" s="10"/>
      <c r="G3447" s="10"/>
      <c r="H3447" s="10" t="s">
        <v>7725</v>
      </c>
      <c r="I3447" s="14">
        <v>30149.840621957555</v>
      </c>
      <c r="J3447" s="19">
        <v>0</v>
      </c>
      <c r="K3447" s="19">
        <v>0</v>
      </c>
      <c r="L3447" s="19">
        <v>1.0000000000000002</v>
      </c>
      <c r="M3447" s="20">
        <v>1</v>
      </c>
      <c r="N3447" s="19">
        <v>0</v>
      </c>
      <c r="O3447" s="19">
        <v>0</v>
      </c>
      <c r="P3447" s="19">
        <v>0</v>
      </c>
      <c r="Q3447" s="19">
        <v>0.48764963539920714</v>
      </c>
      <c r="R3447" s="19">
        <v>0.45134697435088245</v>
      </c>
      <c r="S3447" s="19">
        <v>6.1003390249910396E-2</v>
      </c>
      <c r="T3447" s="20">
        <v>13</v>
      </c>
      <c r="U3447" s="17">
        <v>2</v>
      </c>
      <c r="V3447" s="17">
        <v>36</v>
      </c>
    </row>
    <row r="3448" spans="1:22" x14ac:dyDescent="0.2">
      <c r="A3448" t="s">
        <v>7726</v>
      </c>
      <c r="B3448" t="s">
        <v>7665</v>
      </c>
      <c r="C3448" t="s">
        <v>7666</v>
      </c>
      <c r="D3448" t="s">
        <v>7724</v>
      </c>
      <c r="E3448" s="10" t="s">
        <v>7727</v>
      </c>
      <c r="F3448" s="10"/>
      <c r="G3448" s="10"/>
      <c r="H3448" s="10" t="s">
        <v>7727</v>
      </c>
      <c r="I3448" s="14">
        <v>50260.77528469637</v>
      </c>
      <c r="J3448" s="19">
        <v>0</v>
      </c>
      <c r="K3448" s="19">
        <v>0.60090732284629245</v>
      </c>
      <c r="L3448" s="19">
        <v>0.39909267715370755</v>
      </c>
      <c r="M3448" s="20">
        <v>2</v>
      </c>
      <c r="N3448" s="19">
        <v>0</v>
      </c>
      <c r="O3448" s="19">
        <v>0.60090732284629245</v>
      </c>
      <c r="P3448" s="19">
        <v>0</v>
      </c>
      <c r="Q3448" s="19">
        <v>9.6517524354113274E-2</v>
      </c>
      <c r="R3448" s="19">
        <v>0.25778672442069611</v>
      </c>
      <c r="S3448" s="19">
        <v>4.4788428378898133E-2</v>
      </c>
      <c r="T3448" s="20">
        <v>22</v>
      </c>
      <c r="U3448" s="17">
        <v>2</v>
      </c>
      <c r="V3448" s="17">
        <v>36</v>
      </c>
    </row>
    <row r="3449" spans="1:22" x14ac:dyDescent="0.2">
      <c r="A3449" t="s">
        <v>7728</v>
      </c>
      <c r="B3449" t="s">
        <v>7665</v>
      </c>
      <c r="C3449" t="s">
        <v>7666</v>
      </c>
      <c r="D3449" t="s">
        <v>7724</v>
      </c>
      <c r="E3449" s="10" t="s">
        <v>7729</v>
      </c>
      <c r="F3449" s="10"/>
      <c r="G3449" s="10"/>
      <c r="H3449" s="10" t="s">
        <v>7729</v>
      </c>
      <c r="I3449" s="14">
        <v>48061.520955875516</v>
      </c>
      <c r="J3449" s="19">
        <v>0</v>
      </c>
      <c r="K3449" s="19">
        <v>0.43323746896586929</v>
      </c>
      <c r="L3449" s="19">
        <v>0.56676253103413077</v>
      </c>
      <c r="M3449" s="20">
        <v>1</v>
      </c>
      <c r="N3449" s="19">
        <v>0.36063880731699915</v>
      </c>
      <c r="O3449" s="19">
        <v>0</v>
      </c>
      <c r="P3449" s="19">
        <v>7.2598661648870078E-2</v>
      </c>
      <c r="Q3449" s="19">
        <v>0.2994942812115664</v>
      </c>
      <c r="R3449" s="19">
        <v>0.23181525329579936</v>
      </c>
      <c r="S3449" s="19">
        <v>3.5452996526764945E-2</v>
      </c>
      <c r="T3449" s="20">
        <v>13</v>
      </c>
      <c r="U3449" s="17">
        <v>2</v>
      </c>
      <c r="V3449" s="17">
        <v>36</v>
      </c>
    </row>
    <row r="3450" spans="1:22" x14ac:dyDescent="0.2">
      <c r="A3450" t="s">
        <v>7730</v>
      </c>
      <c r="B3450" t="s">
        <v>7665</v>
      </c>
      <c r="C3450" t="s">
        <v>7666</v>
      </c>
      <c r="D3450" t="s">
        <v>7724</v>
      </c>
      <c r="E3450" s="10" t="s">
        <v>7670</v>
      </c>
      <c r="F3450" s="10"/>
      <c r="G3450" s="10"/>
      <c r="H3450" s="10" t="s">
        <v>7670</v>
      </c>
      <c r="I3450" s="14">
        <v>36803.888968093786</v>
      </c>
      <c r="J3450" s="19">
        <v>0</v>
      </c>
      <c r="K3450" s="19">
        <v>0.15069362883701051</v>
      </c>
      <c r="L3450" s="19">
        <v>0.84930637116298935</v>
      </c>
      <c r="M3450" s="20">
        <v>1</v>
      </c>
      <c r="N3450" s="19">
        <v>0</v>
      </c>
      <c r="O3450" s="19">
        <v>0.15069362883701051</v>
      </c>
      <c r="P3450" s="19">
        <v>0</v>
      </c>
      <c r="Q3450" s="19">
        <v>0.29893480138423756</v>
      </c>
      <c r="R3450" s="19">
        <v>0.48346164735791231</v>
      </c>
      <c r="S3450" s="19">
        <v>6.6909922420839651E-2</v>
      </c>
      <c r="T3450" s="20">
        <v>12</v>
      </c>
      <c r="U3450" s="17">
        <v>2</v>
      </c>
      <c r="V3450" s="17">
        <v>36</v>
      </c>
    </row>
    <row r="3451" spans="1:22" x14ac:dyDescent="0.2">
      <c r="A3451" t="s">
        <v>7731</v>
      </c>
      <c r="B3451" t="s">
        <v>7665</v>
      </c>
      <c r="C3451" t="s">
        <v>7666</v>
      </c>
      <c r="D3451" t="s">
        <v>7724</v>
      </c>
      <c r="E3451" s="10" t="s">
        <v>7732</v>
      </c>
      <c r="F3451" s="10"/>
      <c r="G3451" s="10"/>
      <c r="H3451" s="10" t="s">
        <v>7732</v>
      </c>
      <c r="I3451" s="14">
        <v>37245.943298222497</v>
      </c>
      <c r="J3451" s="19">
        <v>0</v>
      </c>
      <c r="K3451" s="19">
        <v>0.48519710505217772</v>
      </c>
      <c r="L3451" s="19">
        <v>0.51480289494782228</v>
      </c>
      <c r="M3451" s="20">
        <v>1</v>
      </c>
      <c r="N3451" s="19">
        <v>0.39767629049647146</v>
      </c>
      <c r="O3451" s="19">
        <v>0</v>
      </c>
      <c r="P3451" s="19">
        <v>8.7520814555706275E-2</v>
      </c>
      <c r="Q3451" s="19">
        <v>0.25914534521649968</v>
      </c>
      <c r="R3451" s="19">
        <v>0.21459608176263806</v>
      </c>
      <c r="S3451" s="19">
        <v>4.1061467968684512E-2</v>
      </c>
      <c r="T3451" s="20">
        <v>13</v>
      </c>
      <c r="U3451" s="17">
        <v>2</v>
      </c>
      <c r="V3451" s="17">
        <v>36</v>
      </c>
    </row>
    <row r="3452" spans="1:22" x14ac:dyDescent="0.2">
      <c r="A3452" t="s">
        <v>7733</v>
      </c>
      <c r="B3452" t="s">
        <v>7665</v>
      </c>
      <c r="C3452" t="s">
        <v>7666</v>
      </c>
      <c r="D3452" t="s">
        <v>7724</v>
      </c>
      <c r="E3452" s="10" t="s">
        <v>7734</v>
      </c>
      <c r="F3452" s="10"/>
      <c r="G3452" s="10"/>
      <c r="H3452" s="10" t="s">
        <v>7734</v>
      </c>
      <c r="I3452" s="14">
        <v>27729.443816846237</v>
      </c>
      <c r="J3452" s="19">
        <v>0</v>
      </c>
      <c r="K3452" s="19">
        <v>0.25516105168966474</v>
      </c>
      <c r="L3452" s="19">
        <v>0.74483894831033526</v>
      </c>
      <c r="M3452" s="20">
        <v>1</v>
      </c>
      <c r="N3452" s="19">
        <v>0</v>
      </c>
      <c r="O3452" s="19">
        <v>0.25516105168966474</v>
      </c>
      <c r="P3452" s="19">
        <v>0</v>
      </c>
      <c r="Q3452" s="19">
        <v>0.20801015073500359</v>
      </c>
      <c r="R3452" s="19">
        <v>0.44715533281902059</v>
      </c>
      <c r="S3452" s="19">
        <v>8.967346475631105E-2</v>
      </c>
      <c r="T3452" s="20">
        <v>12</v>
      </c>
      <c r="U3452" s="17">
        <v>2</v>
      </c>
      <c r="V3452" s="17">
        <v>36</v>
      </c>
    </row>
    <row r="3453" spans="1:22" x14ac:dyDescent="0.2">
      <c r="A3453" t="s">
        <v>7735</v>
      </c>
      <c r="B3453" t="s">
        <v>7665</v>
      </c>
      <c r="C3453" t="s">
        <v>7666</v>
      </c>
      <c r="D3453" t="s">
        <v>7724</v>
      </c>
      <c r="E3453" s="10" t="s">
        <v>7736</v>
      </c>
      <c r="F3453" s="10"/>
      <c r="G3453" s="10"/>
      <c r="H3453" s="10" t="s">
        <v>7736</v>
      </c>
      <c r="I3453" s="14">
        <v>25870.291665077209</v>
      </c>
      <c r="J3453" s="19">
        <v>0</v>
      </c>
      <c r="K3453" s="19">
        <v>0.49430830156072147</v>
      </c>
      <c r="L3453" s="19">
        <v>0.50569169843927853</v>
      </c>
      <c r="M3453" s="20">
        <v>1</v>
      </c>
      <c r="N3453" s="19">
        <v>0.45967143772968821</v>
      </c>
      <c r="O3453" s="19">
        <v>0</v>
      </c>
      <c r="P3453" s="19">
        <v>3.4636863831033253E-2</v>
      </c>
      <c r="Q3453" s="19">
        <v>0.35598475205318875</v>
      </c>
      <c r="R3453" s="19">
        <v>0.1290091187385482</v>
      </c>
      <c r="S3453" s="19">
        <v>2.0697827647541574E-2</v>
      </c>
      <c r="T3453" s="20">
        <v>13</v>
      </c>
      <c r="U3453" s="17">
        <v>2</v>
      </c>
      <c r="V3453" s="17">
        <v>36</v>
      </c>
    </row>
    <row r="3454" spans="1:22" x14ac:dyDescent="0.2">
      <c r="A3454" t="s">
        <v>7737</v>
      </c>
      <c r="B3454" t="s">
        <v>7665</v>
      </c>
      <c r="C3454" t="s">
        <v>7666</v>
      </c>
      <c r="D3454" t="s">
        <v>7724</v>
      </c>
      <c r="E3454" s="10" t="s">
        <v>7738</v>
      </c>
      <c r="F3454" s="10"/>
      <c r="G3454" s="10"/>
      <c r="H3454" s="10" t="s">
        <v>7738</v>
      </c>
      <c r="I3454" s="14">
        <v>37142.01587998867</v>
      </c>
      <c r="J3454" s="19">
        <v>0</v>
      </c>
      <c r="K3454" s="19">
        <v>0.84143702109202889</v>
      </c>
      <c r="L3454" s="19">
        <v>0.15856297890797114</v>
      </c>
      <c r="M3454" s="20">
        <v>2</v>
      </c>
      <c r="N3454" s="19">
        <v>0.67855802455381742</v>
      </c>
      <c r="O3454" s="19">
        <v>0</v>
      </c>
      <c r="P3454" s="19">
        <v>0.16287899653821142</v>
      </c>
      <c r="Q3454" s="19">
        <v>0</v>
      </c>
      <c r="R3454" s="19">
        <v>0.14096695656460304</v>
      </c>
      <c r="S3454" s="19">
        <v>1.7596022343368101E-2</v>
      </c>
      <c r="T3454" s="20">
        <v>23</v>
      </c>
      <c r="U3454" s="17">
        <v>2</v>
      </c>
      <c r="V3454" s="17">
        <v>36</v>
      </c>
    </row>
    <row r="3455" spans="1:22" x14ac:dyDescent="0.2">
      <c r="A3455" t="s">
        <v>7739</v>
      </c>
      <c r="B3455" t="s">
        <v>7665</v>
      </c>
      <c r="C3455" t="s">
        <v>7666</v>
      </c>
      <c r="D3455" t="s">
        <v>7740</v>
      </c>
      <c r="E3455" s="10" t="s">
        <v>7740</v>
      </c>
      <c r="F3455" s="10"/>
      <c r="G3455" s="10"/>
      <c r="H3455" s="10" t="s">
        <v>7740</v>
      </c>
      <c r="I3455" s="14">
        <v>259135.59885825822</v>
      </c>
      <c r="J3455" s="19">
        <v>0.89651885990660818</v>
      </c>
      <c r="K3455" s="19">
        <v>9.8038456661784179E-2</v>
      </c>
      <c r="L3455" s="19">
        <v>5.4426834316076067E-3</v>
      </c>
      <c r="M3455" s="20">
        <v>3</v>
      </c>
      <c r="N3455" s="19">
        <v>1.2140213867542784E-4</v>
      </c>
      <c r="O3455" s="19">
        <v>0</v>
      </c>
      <c r="P3455" s="19">
        <v>9.791705452310874E-2</v>
      </c>
      <c r="Q3455" s="19">
        <v>0</v>
      </c>
      <c r="R3455" s="19">
        <v>4.9643256675454325E-3</v>
      </c>
      <c r="S3455" s="19">
        <v>4.783577640621747E-4</v>
      </c>
      <c r="T3455" s="20">
        <v>30</v>
      </c>
      <c r="U3455" s="17">
        <v>2</v>
      </c>
      <c r="V3455" s="17">
        <v>36</v>
      </c>
    </row>
    <row r="3456" spans="1:22" x14ac:dyDescent="0.2">
      <c r="A3456" t="s">
        <v>7741</v>
      </c>
      <c r="B3456" t="s">
        <v>7665</v>
      </c>
      <c r="C3456" t="s">
        <v>7666</v>
      </c>
      <c r="D3456" t="s">
        <v>7740</v>
      </c>
      <c r="E3456" s="10" t="s">
        <v>7742</v>
      </c>
      <c r="F3456" s="10"/>
      <c r="G3456" s="10"/>
      <c r="H3456" s="10" t="s">
        <v>7742</v>
      </c>
      <c r="I3456" s="14">
        <v>99756.421866697725</v>
      </c>
      <c r="J3456" s="19">
        <v>0</v>
      </c>
      <c r="K3456" s="19">
        <v>0.96672299362768643</v>
      </c>
      <c r="L3456" s="19">
        <v>3.3277006372313546E-2</v>
      </c>
      <c r="M3456" s="20">
        <v>2</v>
      </c>
      <c r="N3456" s="19">
        <v>0.34885919135383953</v>
      </c>
      <c r="O3456" s="19">
        <v>0</v>
      </c>
      <c r="P3456" s="19">
        <v>0.61786380227384696</v>
      </c>
      <c r="Q3456" s="19">
        <v>0</v>
      </c>
      <c r="R3456" s="19">
        <v>3.2612438324299782E-2</v>
      </c>
      <c r="S3456" s="19">
        <v>6.6456804801376574E-4</v>
      </c>
      <c r="T3456" s="20">
        <v>21</v>
      </c>
      <c r="U3456" s="17">
        <v>2</v>
      </c>
      <c r="V3456" s="17">
        <v>36</v>
      </c>
    </row>
    <row r="3457" spans="1:22" x14ac:dyDescent="0.2">
      <c r="A3457" t="s">
        <v>7743</v>
      </c>
      <c r="B3457" t="s">
        <v>7665</v>
      </c>
      <c r="C3457" t="s">
        <v>7666</v>
      </c>
      <c r="D3457" t="s">
        <v>7740</v>
      </c>
      <c r="E3457" s="10" t="s">
        <v>7744</v>
      </c>
      <c r="F3457" s="10"/>
      <c r="G3457" s="10"/>
      <c r="H3457" s="10" t="s">
        <v>7744</v>
      </c>
      <c r="I3457" s="14">
        <v>103635.9262205842</v>
      </c>
      <c r="J3457" s="19">
        <v>0</v>
      </c>
      <c r="K3457" s="19">
        <v>0.97487191367670223</v>
      </c>
      <c r="L3457" s="19">
        <v>2.5128086323297806E-2</v>
      </c>
      <c r="M3457" s="20">
        <v>2</v>
      </c>
      <c r="N3457" s="19">
        <v>0.41582575846423342</v>
      </c>
      <c r="O3457" s="19">
        <v>0</v>
      </c>
      <c r="P3457" s="19">
        <v>0.55904615521246881</v>
      </c>
      <c r="Q3457" s="19">
        <v>0</v>
      </c>
      <c r="R3457" s="19">
        <v>2.3664519204908401E-2</v>
      </c>
      <c r="S3457" s="19">
        <v>1.4635671183894042E-3</v>
      </c>
      <c r="T3457" s="20">
        <v>21</v>
      </c>
      <c r="U3457" s="17">
        <v>2</v>
      </c>
      <c r="V3457" s="17">
        <v>36</v>
      </c>
    </row>
    <row r="3458" spans="1:22" x14ac:dyDescent="0.2">
      <c r="A3458" t="s">
        <v>7745</v>
      </c>
      <c r="B3458" t="s">
        <v>7665</v>
      </c>
      <c r="C3458" t="s">
        <v>7666</v>
      </c>
      <c r="D3458" t="s">
        <v>7740</v>
      </c>
      <c r="E3458" s="10" t="s">
        <v>7746</v>
      </c>
      <c r="F3458" s="10"/>
      <c r="G3458" s="10"/>
      <c r="H3458" s="10" t="s">
        <v>7746</v>
      </c>
      <c r="I3458" s="14">
        <v>113378.07411596202</v>
      </c>
      <c r="J3458" s="19">
        <v>0.27058093550918255</v>
      </c>
      <c r="K3458" s="19">
        <v>0.68569150136916635</v>
      </c>
      <c r="L3458" s="19">
        <v>4.3727563121651117E-2</v>
      </c>
      <c r="M3458" s="20">
        <v>2</v>
      </c>
      <c r="N3458" s="19">
        <v>5.5377079402176052E-2</v>
      </c>
      <c r="O3458" s="19">
        <v>0</v>
      </c>
      <c r="P3458" s="19">
        <v>0.63031442196699028</v>
      </c>
      <c r="Q3458" s="19">
        <v>0</v>
      </c>
      <c r="R3458" s="19">
        <v>4.2079639222689237E-2</v>
      </c>
      <c r="S3458" s="19">
        <v>1.6479238989618688E-3</v>
      </c>
      <c r="T3458" s="20">
        <v>21</v>
      </c>
      <c r="U3458" s="17">
        <v>2</v>
      </c>
      <c r="V3458" s="17">
        <v>36</v>
      </c>
    </row>
    <row r="3459" spans="1:22" x14ac:dyDescent="0.2">
      <c r="A3459" t="s">
        <v>7747</v>
      </c>
      <c r="B3459" t="s">
        <v>7665</v>
      </c>
      <c r="C3459" t="s">
        <v>7666</v>
      </c>
      <c r="D3459" t="s">
        <v>7740</v>
      </c>
      <c r="E3459" s="10" t="s">
        <v>7748</v>
      </c>
      <c r="F3459" s="10"/>
      <c r="G3459" s="10"/>
      <c r="H3459" s="10" t="s">
        <v>7748</v>
      </c>
      <c r="I3459" s="14">
        <v>152633.60162796848</v>
      </c>
      <c r="J3459" s="19">
        <v>0.9789079005638327</v>
      </c>
      <c r="K3459" s="19">
        <v>1.9165145743363522E-2</v>
      </c>
      <c r="L3459" s="19">
        <v>1.9269536928038277E-3</v>
      </c>
      <c r="M3459" s="20">
        <v>3</v>
      </c>
      <c r="N3459" s="19">
        <v>0</v>
      </c>
      <c r="O3459" s="19">
        <v>0</v>
      </c>
      <c r="P3459" s="19">
        <v>1.9165145743363522E-2</v>
      </c>
      <c r="Q3459" s="19">
        <v>0</v>
      </c>
      <c r="R3459" s="19">
        <v>1.6504956641539999E-3</v>
      </c>
      <c r="S3459" s="19">
        <v>2.7645802864982816E-4</v>
      </c>
      <c r="T3459" s="20">
        <v>30</v>
      </c>
      <c r="U3459" s="17">
        <v>2</v>
      </c>
      <c r="V3459" s="17">
        <v>36</v>
      </c>
    </row>
    <row r="3460" spans="1:22" x14ac:dyDescent="0.2">
      <c r="A3460" t="s">
        <v>7749</v>
      </c>
      <c r="B3460" t="s">
        <v>7665</v>
      </c>
      <c r="C3460" t="s">
        <v>7666</v>
      </c>
      <c r="D3460" t="s">
        <v>7740</v>
      </c>
      <c r="E3460" s="10" t="s">
        <v>7750</v>
      </c>
      <c r="F3460" s="10"/>
      <c r="G3460" s="10"/>
      <c r="H3460" s="10" t="s">
        <v>7750</v>
      </c>
      <c r="I3460" s="14">
        <v>155781.83311402192</v>
      </c>
      <c r="J3460" s="19">
        <v>0</v>
      </c>
      <c r="K3460" s="19">
        <v>0.98709906167873995</v>
      </c>
      <c r="L3460" s="19">
        <v>1.2900938321260056E-2</v>
      </c>
      <c r="M3460" s="20">
        <v>2</v>
      </c>
      <c r="N3460" s="19">
        <v>0.58543077519704767</v>
      </c>
      <c r="O3460" s="19">
        <v>0</v>
      </c>
      <c r="P3460" s="19">
        <v>0.40166828648169234</v>
      </c>
      <c r="Q3460" s="19">
        <v>0</v>
      </c>
      <c r="R3460" s="19">
        <v>1.1614918823291931E-2</v>
      </c>
      <c r="S3460" s="19">
        <v>1.2860194979681253E-3</v>
      </c>
      <c r="T3460" s="20">
        <v>23</v>
      </c>
      <c r="U3460" s="17">
        <v>2</v>
      </c>
      <c r="V3460" s="17">
        <v>36</v>
      </c>
    </row>
    <row r="3461" spans="1:22" x14ac:dyDescent="0.2">
      <c r="A3461" t="s">
        <v>7751</v>
      </c>
      <c r="B3461" t="s">
        <v>7665</v>
      </c>
      <c r="C3461" t="s">
        <v>7666</v>
      </c>
      <c r="D3461" t="s">
        <v>7740</v>
      </c>
      <c r="E3461" s="10" t="s">
        <v>7752</v>
      </c>
      <c r="F3461" s="10"/>
      <c r="G3461" s="10"/>
      <c r="H3461" s="10" t="s">
        <v>7752</v>
      </c>
      <c r="I3461" s="14">
        <v>114201.18277630722</v>
      </c>
      <c r="J3461" s="19">
        <v>0.48121314360905953</v>
      </c>
      <c r="K3461" s="19">
        <v>0.4900405438716085</v>
      </c>
      <c r="L3461" s="19">
        <v>2.8746312519331858E-2</v>
      </c>
      <c r="M3461" s="20">
        <v>2</v>
      </c>
      <c r="N3461" s="19">
        <v>9.7130722992131061E-2</v>
      </c>
      <c r="O3461" s="19">
        <v>0</v>
      </c>
      <c r="P3461" s="19">
        <v>0.39290982087947751</v>
      </c>
      <c r="Q3461" s="19">
        <v>0</v>
      </c>
      <c r="R3461" s="19">
        <v>2.7479989082076491E-2</v>
      </c>
      <c r="S3461" s="19">
        <v>1.266323437255368E-3</v>
      </c>
      <c r="T3461" s="20">
        <v>23</v>
      </c>
      <c r="U3461" s="17">
        <v>2</v>
      </c>
      <c r="V3461" s="17">
        <v>36</v>
      </c>
    </row>
    <row r="3462" spans="1:22" x14ac:dyDescent="0.2">
      <c r="A3462" t="s">
        <v>7753</v>
      </c>
      <c r="B3462" t="s">
        <v>7665</v>
      </c>
      <c r="C3462" t="s">
        <v>7666</v>
      </c>
      <c r="D3462" t="s">
        <v>7740</v>
      </c>
      <c r="E3462" s="10" t="s">
        <v>7754</v>
      </c>
      <c r="F3462" s="10"/>
      <c r="G3462" s="10"/>
      <c r="H3462" s="10" t="s">
        <v>7754</v>
      </c>
      <c r="I3462" s="14">
        <v>108473.27938245166</v>
      </c>
      <c r="J3462" s="19">
        <v>0.14160541506313926</v>
      </c>
      <c r="K3462" s="19">
        <v>0.83523581306343675</v>
      </c>
      <c r="L3462" s="19">
        <v>2.3158771873424088E-2</v>
      </c>
      <c r="M3462" s="20">
        <v>2</v>
      </c>
      <c r="N3462" s="19">
        <v>0.50614499957150771</v>
      </c>
      <c r="O3462" s="19">
        <v>0</v>
      </c>
      <c r="P3462" s="19">
        <v>0.32909081349192904</v>
      </c>
      <c r="Q3462" s="19">
        <v>0</v>
      </c>
      <c r="R3462" s="19">
        <v>2.0927624112186457E-2</v>
      </c>
      <c r="S3462" s="19">
        <v>2.2311477612376326E-3</v>
      </c>
      <c r="T3462" s="20">
        <v>23</v>
      </c>
      <c r="U3462" s="17">
        <v>2</v>
      </c>
      <c r="V3462" s="17">
        <v>36</v>
      </c>
    </row>
    <row r="3463" spans="1:22" x14ac:dyDescent="0.2">
      <c r="A3463" t="s">
        <v>7755</v>
      </c>
      <c r="B3463" t="s">
        <v>7665</v>
      </c>
      <c r="C3463" t="s">
        <v>7666</v>
      </c>
      <c r="D3463" t="s">
        <v>7756</v>
      </c>
      <c r="E3463" s="10" t="s">
        <v>7756</v>
      </c>
      <c r="F3463" s="10"/>
      <c r="G3463" s="10"/>
      <c r="H3463" s="10" t="s">
        <v>7756</v>
      </c>
      <c r="I3463" s="14">
        <v>121868.67907710581</v>
      </c>
      <c r="J3463" s="19">
        <v>0.84511723019663842</v>
      </c>
      <c r="K3463" s="19">
        <v>0.13093986398112403</v>
      </c>
      <c r="L3463" s="19">
        <v>2.3942905822237633E-2</v>
      </c>
      <c r="M3463" s="20">
        <v>3</v>
      </c>
      <c r="N3463" s="19">
        <v>0</v>
      </c>
      <c r="O3463" s="19">
        <v>0</v>
      </c>
      <c r="P3463" s="19">
        <v>0.13093986398112403</v>
      </c>
      <c r="Q3463" s="19">
        <v>0</v>
      </c>
      <c r="R3463" s="19">
        <v>2.3859954527146857E-2</v>
      </c>
      <c r="S3463" s="19">
        <v>8.2951295090775626E-5</v>
      </c>
      <c r="T3463" s="20">
        <v>30</v>
      </c>
      <c r="U3463" s="17">
        <v>2</v>
      </c>
      <c r="V3463" s="17">
        <v>36</v>
      </c>
    </row>
    <row r="3464" spans="1:22" x14ac:dyDescent="0.2">
      <c r="A3464" t="s">
        <v>7757</v>
      </c>
      <c r="B3464" t="s">
        <v>7665</v>
      </c>
      <c r="C3464" t="s">
        <v>7666</v>
      </c>
      <c r="D3464" t="s">
        <v>7756</v>
      </c>
      <c r="E3464" s="10" t="s">
        <v>7758</v>
      </c>
      <c r="F3464" s="10"/>
      <c r="G3464" s="10"/>
      <c r="H3464" s="10" t="s">
        <v>7758</v>
      </c>
      <c r="I3464" s="14">
        <v>190852.77649838477</v>
      </c>
      <c r="J3464" s="19">
        <v>0</v>
      </c>
      <c r="K3464" s="19">
        <v>0.88558573811469576</v>
      </c>
      <c r="L3464" s="19">
        <v>0.11441426188530418</v>
      </c>
      <c r="M3464" s="20">
        <v>2</v>
      </c>
      <c r="N3464" s="19">
        <v>0.41647704663636576</v>
      </c>
      <c r="O3464" s="19">
        <v>0</v>
      </c>
      <c r="P3464" s="19">
        <v>0.46910869147833006</v>
      </c>
      <c r="Q3464" s="19">
        <v>2.8745725162919594E-3</v>
      </c>
      <c r="R3464" s="19">
        <v>0.10621515399145261</v>
      </c>
      <c r="S3464" s="19">
        <v>5.3245353775596138E-3</v>
      </c>
      <c r="T3464" s="20">
        <v>23</v>
      </c>
      <c r="U3464" s="17">
        <v>2</v>
      </c>
      <c r="V3464" s="17">
        <v>36</v>
      </c>
    </row>
    <row r="3465" spans="1:22" x14ac:dyDescent="0.2">
      <c r="A3465" t="s">
        <v>7759</v>
      </c>
      <c r="B3465" t="s">
        <v>7665</v>
      </c>
      <c r="C3465" t="s">
        <v>7666</v>
      </c>
      <c r="D3465" t="s">
        <v>7756</v>
      </c>
      <c r="E3465" s="10" t="s">
        <v>7760</v>
      </c>
      <c r="F3465" s="10"/>
      <c r="G3465" s="10"/>
      <c r="H3465" s="10" t="s">
        <v>7760</v>
      </c>
      <c r="I3465" s="14">
        <v>134703.17793498188</v>
      </c>
      <c r="J3465" s="19">
        <v>0</v>
      </c>
      <c r="K3465" s="19">
        <v>0.76130437123416272</v>
      </c>
      <c r="L3465" s="19">
        <v>0.23869562876583728</v>
      </c>
      <c r="M3465" s="20">
        <v>2</v>
      </c>
      <c r="N3465" s="19">
        <v>0.19676706924436918</v>
      </c>
      <c r="O3465" s="19">
        <v>4.0138586644954205E-2</v>
      </c>
      <c r="P3465" s="19">
        <v>0.52439871534483928</v>
      </c>
      <c r="Q3465" s="19">
        <v>7.3773604727476363E-2</v>
      </c>
      <c r="R3465" s="19">
        <v>0.15714686948210349</v>
      </c>
      <c r="S3465" s="19">
        <v>7.7751545562574241E-3</v>
      </c>
      <c r="T3465" s="20">
        <v>21</v>
      </c>
      <c r="U3465" s="17">
        <v>2</v>
      </c>
      <c r="V3465" s="17">
        <v>36</v>
      </c>
    </row>
    <row r="3466" spans="1:22" x14ac:dyDescent="0.2">
      <c r="A3466" t="s">
        <v>7761</v>
      </c>
      <c r="B3466" t="s">
        <v>7665</v>
      </c>
      <c r="C3466" t="s">
        <v>7666</v>
      </c>
      <c r="D3466" t="s">
        <v>7756</v>
      </c>
      <c r="E3466" s="10" t="s">
        <v>7762</v>
      </c>
      <c r="F3466" s="10"/>
      <c r="G3466" s="10"/>
      <c r="H3466" s="10" t="s">
        <v>7762</v>
      </c>
      <c r="I3466" s="14">
        <v>112348.33755130414</v>
      </c>
      <c r="J3466" s="19">
        <v>0</v>
      </c>
      <c r="K3466" s="19">
        <v>0.98403353618221934</v>
      </c>
      <c r="L3466" s="19">
        <v>1.5966463817780632E-2</v>
      </c>
      <c r="M3466" s="20">
        <v>2</v>
      </c>
      <c r="N3466" s="19">
        <v>0.21270513615905509</v>
      </c>
      <c r="O3466" s="19">
        <v>0</v>
      </c>
      <c r="P3466" s="19">
        <v>0.77132840002316427</v>
      </c>
      <c r="Q3466" s="19">
        <v>0</v>
      </c>
      <c r="R3466" s="19">
        <v>1.5882999135348054E-2</v>
      </c>
      <c r="S3466" s="19">
        <v>8.3464682432578233E-5</v>
      </c>
      <c r="T3466" s="20">
        <v>21</v>
      </c>
      <c r="U3466" s="17">
        <v>2</v>
      </c>
      <c r="V3466" s="17">
        <v>36</v>
      </c>
    </row>
    <row r="3467" spans="1:22" x14ac:dyDescent="0.2">
      <c r="A3467" t="s">
        <v>7763</v>
      </c>
      <c r="B3467" t="s">
        <v>7665</v>
      </c>
      <c r="C3467" t="s">
        <v>7666</v>
      </c>
      <c r="D3467" t="s">
        <v>7756</v>
      </c>
      <c r="E3467" s="10" t="s">
        <v>7676</v>
      </c>
      <c r="F3467" s="10"/>
      <c r="G3467" s="10"/>
      <c r="H3467" s="10" t="s">
        <v>7676</v>
      </c>
      <c r="I3467" s="14">
        <v>156693.6710226459</v>
      </c>
      <c r="J3467" s="19">
        <v>0.20518659214184873</v>
      </c>
      <c r="K3467" s="19">
        <v>0.75818540908793086</v>
      </c>
      <c r="L3467" s="19">
        <v>3.6627998770220487E-2</v>
      </c>
      <c r="M3467" s="20">
        <v>2</v>
      </c>
      <c r="N3467" s="19">
        <v>0.15667967574608188</v>
      </c>
      <c r="O3467" s="19">
        <v>0</v>
      </c>
      <c r="P3467" s="19">
        <v>0.60150573334184887</v>
      </c>
      <c r="Q3467" s="19">
        <v>0</v>
      </c>
      <c r="R3467" s="19">
        <v>3.6386700045289558E-2</v>
      </c>
      <c r="S3467" s="19">
        <v>2.4129872493092958E-4</v>
      </c>
      <c r="T3467" s="20">
        <v>21</v>
      </c>
      <c r="U3467" s="17">
        <v>2</v>
      </c>
      <c r="V3467" s="17">
        <v>36</v>
      </c>
    </row>
    <row r="3468" spans="1:22" x14ac:dyDescent="0.2">
      <c r="A3468" t="s">
        <v>7764</v>
      </c>
      <c r="B3468" t="s">
        <v>7665</v>
      </c>
      <c r="C3468" t="s">
        <v>7666</v>
      </c>
      <c r="D3468" t="s">
        <v>7756</v>
      </c>
      <c r="E3468" s="10" t="s">
        <v>7765</v>
      </c>
      <c r="F3468" s="10"/>
      <c r="G3468" s="10"/>
      <c r="H3468" s="10" t="s">
        <v>7765</v>
      </c>
      <c r="I3468" s="14">
        <v>171736.429312333</v>
      </c>
      <c r="J3468" s="19">
        <v>2.9321711903177988E-3</v>
      </c>
      <c r="K3468" s="19">
        <v>0.87926328024077161</v>
      </c>
      <c r="L3468" s="19">
        <v>0.11780454856891062</v>
      </c>
      <c r="M3468" s="20">
        <v>2</v>
      </c>
      <c r="N3468" s="19">
        <v>0.14768192975309757</v>
      </c>
      <c r="O3468" s="19">
        <v>0</v>
      </c>
      <c r="P3468" s="19">
        <v>0.73158135048767403</v>
      </c>
      <c r="Q3468" s="19">
        <v>3.3511762369442923E-3</v>
      </c>
      <c r="R3468" s="19">
        <v>0.11415091088035917</v>
      </c>
      <c r="S3468" s="19">
        <v>3.0246145160714894E-4</v>
      </c>
      <c r="T3468" s="20">
        <v>21</v>
      </c>
      <c r="U3468" s="17">
        <v>2</v>
      </c>
      <c r="V3468" s="17">
        <v>36</v>
      </c>
    </row>
    <row r="3469" spans="1:22" x14ac:dyDescent="0.2">
      <c r="A3469" t="s">
        <v>7766</v>
      </c>
      <c r="B3469" t="s">
        <v>7665</v>
      </c>
      <c r="C3469" t="s">
        <v>7666</v>
      </c>
      <c r="D3469" t="s">
        <v>7756</v>
      </c>
      <c r="E3469" s="10" t="s">
        <v>7767</v>
      </c>
      <c r="F3469" s="10"/>
      <c r="G3469" s="10"/>
      <c r="H3469" s="10" t="s">
        <v>7767</v>
      </c>
      <c r="I3469" s="14">
        <v>104306.50009880122</v>
      </c>
      <c r="J3469" s="19">
        <v>7.0770496242685763E-3</v>
      </c>
      <c r="K3469" s="19">
        <v>0.95902233721655061</v>
      </c>
      <c r="L3469" s="19">
        <v>3.3900613159180859E-2</v>
      </c>
      <c r="M3469" s="20">
        <v>2</v>
      </c>
      <c r="N3469" s="19">
        <v>1.8166927966467919E-2</v>
      </c>
      <c r="O3469" s="19">
        <v>0</v>
      </c>
      <c r="P3469" s="19">
        <v>0.9408554092500826</v>
      </c>
      <c r="Q3469" s="19">
        <v>0</v>
      </c>
      <c r="R3469" s="19">
        <v>3.3900613159180859E-2</v>
      </c>
      <c r="S3469" s="19">
        <v>0</v>
      </c>
      <c r="T3469" s="20">
        <v>21</v>
      </c>
      <c r="U3469" s="17">
        <v>2</v>
      </c>
      <c r="V3469" s="17">
        <v>36</v>
      </c>
    </row>
    <row r="3470" spans="1:22" x14ac:dyDescent="0.2">
      <c r="A3470" t="s">
        <v>7768</v>
      </c>
      <c r="B3470" t="s">
        <v>7665</v>
      </c>
      <c r="C3470" t="s">
        <v>7666</v>
      </c>
      <c r="D3470" t="s">
        <v>7756</v>
      </c>
      <c r="E3470" s="10" t="s">
        <v>7769</v>
      </c>
      <c r="F3470" s="10"/>
      <c r="G3470" s="10"/>
      <c r="H3470" s="10" t="s">
        <v>7769</v>
      </c>
      <c r="I3470" s="14">
        <v>156343.44822530192</v>
      </c>
      <c r="J3470" s="19">
        <v>0</v>
      </c>
      <c r="K3470" s="19">
        <v>0.93491429774677981</v>
      </c>
      <c r="L3470" s="19">
        <v>6.5085702253220162E-2</v>
      </c>
      <c r="M3470" s="20">
        <v>2</v>
      </c>
      <c r="N3470" s="19">
        <v>0.29795110497506377</v>
      </c>
      <c r="O3470" s="19">
        <v>0</v>
      </c>
      <c r="P3470" s="19">
        <v>0.63696319277171598</v>
      </c>
      <c r="Q3470" s="19">
        <v>0</v>
      </c>
      <c r="R3470" s="19">
        <v>6.4960355347659288E-2</v>
      </c>
      <c r="S3470" s="19">
        <v>1.2534690556087694E-4</v>
      </c>
      <c r="T3470" s="20">
        <v>21</v>
      </c>
      <c r="U3470" s="17">
        <v>2</v>
      </c>
      <c r="V3470" s="17">
        <v>36</v>
      </c>
    </row>
    <row r="3471" spans="1:22" x14ac:dyDescent="0.2">
      <c r="A3471" t="s">
        <v>7770</v>
      </c>
      <c r="B3471" t="s">
        <v>7665</v>
      </c>
      <c r="C3471" t="s">
        <v>7666</v>
      </c>
      <c r="D3471" t="s">
        <v>7756</v>
      </c>
      <c r="E3471" s="10" t="s">
        <v>7771</v>
      </c>
      <c r="F3471" s="10"/>
      <c r="G3471" s="10"/>
      <c r="H3471" s="10" t="s">
        <v>7771</v>
      </c>
      <c r="I3471" s="14">
        <v>130359.15923207509</v>
      </c>
      <c r="J3471" s="19">
        <v>0</v>
      </c>
      <c r="K3471" s="19">
        <v>0.81061254932234239</v>
      </c>
      <c r="L3471" s="19">
        <v>0.18938745067765766</v>
      </c>
      <c r="M3471" s="20">
        <v>2</v>
      </c>
      <c r="N3471" s="19">
        <v>0.13828515328435126</v>
      </c>
      <c r="O3471" s="19">
        <v>0</v>
      </c>
      <c r="P3471" s="19">
        <v>0.67232739603799108</v>
      </c>
      <c r="Q3471" s="19">
        <v>6.8842228406939552E-3</v>
      </c>
      <c r="R3471" s="19">
        <v>0.17923672324862264</v>
      </c>
      <c r="S3471" s="19">
        <v>3.2665045883410668E-3</v>
      </c>
      <c r="T3471" s="20">
        <v>21</v>
      </c>
      <c r="U3471" s="17">
        <v>2</v>
      </c>
      <c r="V3471" s="17">
        <v>36</v>
      </c>
    </row>
    <row r="3472" spans="1:22" x14ac:dyDescent="0.2">
      <c r="A3472" t="s">
        <v>7772</v>
      </c>
      <c r="B3472" t="s">
        <v>7665</v>
      </c>
      <c r="C3472" t="s">
        <v>7666</v>
      </c>
      <c r="D3472" t="s">
        <v>7773</v>
      </c>
      <c r="E3472" s="10" t="s">
        <v>7774</v>
      </c>
      <c r="F3472" s="10"/>
      <c r="G3472" s="10"/>
      <c r="H3472" s="10" t="s">
        <v>7774</v>
      </c>
      <c r="I3472" s="14">
        <v>126529.97007779498</v>
      </c>
      <c r="J3472" s="19">
        <v>0.66525470123326813</v>
      </c>
      <c r="K3472" s="19">
        <v>0.31105863095257835</v>
      </c>
      <c r="L3472" s="19">
        <v>2.3686667814153538E-2</v>
      </c>
      <c r="M3472" s="20">
        <v>3</v>
      </c>
      <c r="N3472" s="19">
        <v>0.18174395637752053</v>
      </c>
      <c r="O3472" s="19">
        <v>0</v>
      </c>
      <c r="P3472" s="19">
        <v>0.12931467457505785</v>
      </c>
      <c r="Q3472" s="19">
        <v>0</v>
      </c>
      <c r="R3472" s="19">
        <v>2.2241598149063534E-2</v>
      </c>
      <c r="S3472" s="19">
        <v>1.4450696650900076E-3</v>
      </c>
      <c r="T3472" s="20">
        <v>30</v>
      </c>
      <c r="U3472" s="17">
        <v>2</v>
      </c>
      <c r="V3472" s="17">
        <v>36</v>
      </c>
    </row>
    <row r="3473" spans="1:22" x14ac:dyDescent="0.2">
      <c r="A3473" t="s">
        <v>7775</v>
      </c>
      <c r="B3473" t="s">
        <v>7665</v>
      </c>
      <c r="C3473" t="s">
        <v>7666</v>
      </c>
      <c r="D3473" t="s">
        <v>7773</v>
      </c>
      <c r="E3473" s="10" t="s">
        <v>7776</v>
      </c>
      <c r="F3473" s="10"/>
      <c r="G3473" s="10"/>
      <c r="H3473" s="10" t="s">
        <v>7776</v>
      </c>
      <c r="I3473" s="14">
        <v>191330.01554106362</v>
      </c>
      <c r="J3473" s="19">
        <v>0.2901424030855001</v>
      </c>
      <c r="K3473" s="19">
        <v>0.53786000554750368</v>
      </c>
      <c r="L3473" s="19">
        <v>0.17199759136699611</v>
      </c>
      <c r="M3473" s="20">
        <v>2</v>
      </c>
      <c r="N3473" s="19">
        <v>0.25851517853370443</v>
      </c>
      <c r="O3473" s="19">
        <v>4.60878650809734E-2</v>
      </c>
      <c r="P3473" s="19">
        <v>0.23325696193282591</v>
      </c>
      <c r="Q3473" s="19">
        <v>3.3651907199602642E-2</v>
      </c>
      <c r="R3473" s="19">
        <v>0.12699577560097972</v>
      </c>
      <c r="S3473" s="19">
        <v>1.1349908566413788E-2</v>
      </c>
      <c r="T3473" s="20">
        <v>23</v>
      </c>
      <c r="U3473" s="17">
        <v>2</v>
      </c>
      <c r="V3473" s="17">
        <v>36</v>
      </c>
    </row>
    <row r="3474" spans="1:22" x14ac:dyDescent="0.2">
      <c r="A3474" t="s">
        <v>7777</v>
      </c>
      <c r="B3474" t="s">
        <v>7665</v>
      </c>
      <c r="C3474" t="s">
        <v>7666</v>
      </c>
      <c r="D3474" t="s">
        <v>7773</v>
      </c>
      <c r="E3474" s="10" t="s">
        <v>7778</v>
      </c>
      <c r="F3474" s="10"/>
      <c r="G3474" s="10"/>
      <c r="H3474" s="10" t="s">
        <v>7778</v>
      </c>
      <c r="I3474" s="14">
        <v>93087.247873517219</v>
      </c>
      <c r="J3474" s="19">
        <v>0</v>
      </c>
      <c r="K3474" s="19">
        <v>0.85798383357483332</v>
      </c>
      <c r="L3474" s="19">
        <v>0.14201616642516671</v>
      </c>
      <c r="M3474" s="20">
        <v>2</v>
      </c>
      <c r="N3474" s="19">
        <v>0.49900681604902231</v>
      </c>
      <c r="O3474" s="19">
        <v>0</v>
      </c>
      <c r="P3474" s="19">
        <v>0.35897701752581096</v>
      </c>
      <c r="Q3474" s="19">
        <v>0</v>
      </c>
      <c r="R3474" s="19">
        <v>0.13275772376503442</v>
      </c>
      <c r="S3474" s="19">
        <v>9.258442660132286E-3</v>
      </c>
      <c r="T3474" s="20">
        <v>23</v>
      </c>
      <c r="U3474" s="17">
        <v>2</v>
      </c>
      <c r="V3474" s="17">
        <v>36</v>
      </c>
    </row>
    <row r="3475" spans="1:22" x14ac:dyDescent="0.2">
      <c r="A3475" t="s">
        <v>7779</v>
      </c>
      <c r="B3475" t="s">
        <v>7665</v>
      </c>
      <c r="C3475" t="s">
        <v>7666</v>
      </c>
      <c r="D3475" t="s">
        <v>7773</v>
      </c>
      <c r="E3475" s="10" t="s">
        <v>7780</v>
      </c>
      <c r="F3475" s="10"/>
      <c r="G3475" s="10"/>
      <c r="H3475" s="10" t="s">
        <v>7780</v>
      </c>
      <c r="I3475" s="14">
        <v>167898.75015890365</v>
      </c>
      <c r="J3475" s="19">
        <v>0.90283121191239413</v>
      </c>
      <c r="K3475" s="19">
        <v>8.984571482805126E-2</v>
      </c>
      <c r="L3475" s="19">
        <v>7.3230732595546645E-3</v>
      </c>
      <c r="M3475" s="20">
        <v>3</v>
      </c>
      <c r="N3475" s="19">
        <v>2.3696533474562576E-2</v>
      </c>
      <c r="O3475" s="19">
        <v>0</v>
      </c>
      <c r="P3475" s="19">
        <v>6.6149181353488684E-2</v>
      </c>
      <c r="Q3475" s="19">
        <v>0</v>
      </c>
      <c r="R3475" s="19">
        <v>6.7338986526732595E-3</v>
      </c>
      <c r="S3475" s="19">
        <v>5.8917460688140476E-4</v>
      </c>
      <c r="T3475" s="20">
        <v>30</v>
      </c>
      <c r="U3475" s="17">
        <v>2</v>
      </c>
      <c r="V3475" s="17">
        <v>36</v>
      </c>
    </row>
    <row r="3476" spans="1:22" x14ac:dyDescent="0.2">
      <c r="A3476" t="s">
        <v>7781</v>
      </c>
      <c r="B3476" t="s">
        <v>7665</v>
      </c>
      <c r="C3476" t="s">
        <v>7666</v>
      </c>
      <c r="D3476" t="s">
        <v>7773</v>
      </c>
      <c r="E3476" s="10" t="s">
        <v>7782</v>
      </c>
      <c r="F3476" s="10"/>
      <c r="G3476" s="10"/>
      <c r="H3476" s="10" t="s">
        <v>7782</v>
      </c>
      <c r="I3476" s="14">
        <v>172650.66230404118</v>
      </c>
      <c r="J3476" s="19">
        <v>0.59466661578148006</v>
      </c>
      <c r="K3476" s="19">
        <v>0.29213291750572812</v>
      </c>
      <c r="L3476" s="19">
        <v>0.11320046671279207</v>
      </c>
      <c r="M3476" s="20">
        <v>3</v>
      </c>
      <c r="N3476" s="19">
        <v>6.9993887681482153E-2</v>
      </c>
      <c r="O3476" s="19">
        <v>6.0784089883035759E-6</v>
      </c>
      <c r="P3476" s="19">
        <v>0.22213295141525763</v>
      </c>
      <c r="Q3476" s="19">
        <v>2.4737183644025666E-2</v>
      </c>
      <c r="R3476" s="19">
        <v>8.1474927363421129E-2</v>
      </c>
      <c r="S3476" s="19">
        <v>6.9883557053452804E-3</v>
      </c>
      <c r="T3476" s="20">
        <v>30</v>
      </c>
      <c r="U3476" s="17">
        <v>2</v>
      </c>
      <c r="V3476" s="17">
        <v>36</v>
      </c>
    </row>
    <row r="3477" spans="1:22" x14ac:dyDescent="0.2">
      <c r="A3477" t="s">
        <v>7783</v>
      </c>
      <c r="B3477" t="s">
        <v>7665</v>
      </c>
      <c r="C3477" t="s">
        <v>7666</v>
      </c>
      <c r="D3477" t="s">
        <v>7773</v>
      </c>
      <c r="E3477" s="10" t="s">
        <v>7784</v>
      </c>
      <c r="F3477" s="10"/>
      <c r="G3477" s="10"/>
      <c r="H3477" s="10" t="s">
        <v>7784</v>
      </c>
      <c r="I3477" s="14">
        <v>362868.44651240832</v>
      </c>
      <c r="J3477" s="19">
        <v>0.94006512133779219</v>
      </c>
      <c r="K3477" s="19">
        <v>4.9741902903878088E-2</v>
      </c>
      <c r="L3477" s="19">
        <v>1.0192975758329705E-2</v>
      </c>
      <c r="M3477" s="20">
        <v>3</v>
      </c>
      <c r="N3477" s="19">
        <v>0</v>
      </c>
      <c r="O3477" s="19">
        <v>2.3870292178663568E-2</v>
      </c>
      <c r="P3477" s="19">
        <v>2.587161072521452E-2</v>
      </c>
      <c r="Q3477" s="19">
        <v>0</v>
      </c>
      <c r="R3477" s="19">
        <v>9.746795325906105E-3</v>
      </c>
      <c r="S3477" s="19">
        <v>4.461804324235996E-4</v>
      </c>
      <c r="T3477" s="20">
        <v>30</v>
      </c>
      <c r="U3477" s="17">
        <v>2</v>
      </c>
      <c r="V3477" s="17">
        <v>36</v>
      </c>
    </row>
    <row r="3478" spans="1:22" x14ac:dyDescent="0.2">
      <c r="A3478" t="s">
        <v>7785</v>
      </c>
      <c r="B3478" t="s">
        <v>7665</v>
      </c>
      <c r="C3478" t="s">
        <v>7666</v>
      </c>
      <c r="D3478" t="s">
        <v>7773</v>
      </c>
      <c r="E3478" s="10" t="s">
        <v>7786</v>
      </c>
      <c r="F3478" s="10"/>
      <c r="G3478" s="10"/>
      <c r="H3478" s="10" t="s">
        <v>7786</v>
      </c>
      <c r="I3478" s="14">
        <v>179123.09168548021</v>
      </c>
      <c r="J3478" s="19">
        <v>0</v>
      </c>
      <c r="K3478" s="19">
        <v>0.81379211664499684</v>
      </c>
      <c r="L3478" s="19">
        <v>0.18620788335500316</v>
      </c>
      <c r="M3478" s="20">
        <v>2</v>
      </c>
      <c r="N3478" s="19">
        <v>0.51617075882753083</v>
      </c>
      <c r="O3478" s="19">
        <v>0</v>
      </c>
      <c r="P3478" s="19">
        <v>0.29762135781746596</v>
      </c>
      <c r="Q3478" s="19">
        <v>3.0826653764528662E-2</v>
      </c>
      <c r="R3478" s="19">
        <v>0.13683826976316932</v>
      </c>
      <c r="S3478" s="19">
        <v>1.8542959827305174E-2</v>
      </c>
      <c r="T3478" s="20">
        <v>23</v>
      </c>
      <c r="U3478" s="17">
        <v>2</v>
      </c>
      <c r="V3478" s="17">
        <v>36</v>
      </c>
    </row>
    <row r="3479" spans="1:22" x14ac:dyDescent="0.2">
      <c r="A3479" t="s">
        <v>7787</v>
      </c>
      <c r="B3479" t="s">
        <v>7665</v>
      </c>
      <c r="C3479" t="s">
        <v>7666</v>
      </c>
      <c r="D3479" t="s">
        <v>7788</v>
      </c>
      <c r="E3479" s="10" t="s">
        <v>7789</v>
      </c>
      <c r="F3479" s="10"/>
      <c r="G3479" s="10"/>
      <c r="H3479" s="10" t="s">
        <v>7789</v>
      </c>
      <c r="I3479" s="14">
        <v>24678.884411133826</v>
      </c>
      <c r="J3479" s="19">
        <v>0</v>
      </c>
      <c r="K3479" s="19">
        <v>0.68366870534402679</v>
      </c>
      <c r="L3479" s="19">
        <v>0.31633129465597321</v>
      </c>
      <c r="M3479" s="20">
        <v>2</v>
      </c>
      <c r="N3479" s="19">
        <v>0</v>
      </c>
      <c r="O3479" s="19">
        <v>0.68366870534402679</v>
      </c>
      <c r="P3479" s="19">
        <v>0</v>
      </c>
      <c r="Q3479" s="19">
        <v>0</v>
      </c>
      <c r="R3479" s="19">
        <v>0.28856089673244834</v>
      </c>
      <c r="S3479" s="19">
        <v>2.7770397923524849E-2</v>
      </c>
      <c r="T3479" s="20">
        <v>22</v>
      </c>
      <c r="U3479" s="17">
        <v>2</v>
      </c>
      <c r="V3479" s="17">
        <v>36</v>
      </c>
    </row>
    <row r="3480" spans="1:22" x14ac:dyDescent="0.2">
      <c r="A3480" t="s">
        <v>7790</v>
      </c>
      <c r="B3480" t="s">
        <v>7665</v>
      </c>
      <c r="C3480" t="s">
        <v>7666</v>
      </c>
      <c r="D3480" t="s">
        <v>7788</v>
      </c>
      <c r="E3480" s="10" t="s">
        <v>7791</v>
      </c>
      <c r="F3480" s="10"/>
      <c r="G3480" s="10"/>
      <c r="H3480" s="10" t="s">
        <v>7791</v>
      </c>
      <c r="I3480" s="14">
        <v>181900.73133167345</v>
      </c>
      <c r="J3480" s="19">
        <v>0</v>
      </c>
      <c r="K3480" s="19">
        <v>0.96461513748550598</v>
      </c>
      <c r="L3480" s="19">
        <v>3.5384862514494055E-2</v>
      </c>
      <c r="M3480" s="20">
        <v>2</v>
      </c>
      <c r="N3480" s="19">
        <v>0.48916912809241225</v>
      </c>
      <c r="O3480" s="19">
        <v>0</v>
      </c>
      <c r="P3480" s="19">
        <v>0.47544600939309362</v>
      </c>
      <c r="Q3480" s="19">
        <v>0</v>
      </c>
      <c r="R3480" s="19">
        <v>3.3955844723192331E-2</v>
      </c>
      <c r="S3480" s="19">
        <v>1.4290177913017156E-3</v>
      </c>
      <c r="T3480" s="20">
        <v>23</v>
      </c>
      <c r="U3480" s="17">
        <v>2</v>
      </c>
      <c r="V3480" s="17">
        <v>36</v>
      </c>
    </row>
    <row r="3481" spans="1:22" x14ac:dyDescent="0.2">
      <c r="A3481" t="s">
        <v>7792</v>
      </c>
      <c r="B3481" t="s">
        <v>7665</v>
      </c>
      <c r="C3481" t="s">
        <v>7666</v>
      </c>
      <c r="D3481" t="s">
        <v>7788</v>
      </c>
      <c r="E3481" s="10" t="s">
        <v>7793</v>
      </c>
      <c r="F3481" s="10"/>
      <c r="G3481" s="10"/>
      <c r="H3481" s="10" t="s">
        <v>7793</v>
      </c>
      <c r="I3481" s="14">
        <v>86194.042283385061</v>
      </c>
      <c r="J3481" s="19">
        <v>0</v>
      </c>
      <c r="K3481" s="19">
        <v>0.757529544855987</v>
      </c>
      <c r="L3481" s="19">
        <v>0.24247045514401294</v>
      </c>
      <c r="M3481" s="20">
        <v>2</v>
      </c>
      <c r="N3481" s="19">
        <v>0.17664990883931977</v>
      </c>
      <c r="O3481" s="19">
        <v>6.2309434891084453E-2</v>
      </c>
      <c r="P3481" s="19">
        <v>0.51857020112558283</v>
      </c>
      <c r="Q3481" s="19">
        <v>3.167052034714881E-2</v>
      </c>
      <c r="R3481" s="19">
        <v>0.20027298229506402</v>
      </c>
      <c r="S3481" s="19">
        <v>1.0526952501800106E-2</v>
      </c>
      <c r="T3481" s="20">
        <v>21</v>
      </c>
      <c r="U3481" s="17">
        <v>2</v>
      </c>
      <c r="V3481" s="17">
        <v>36</v>
      </c>
    </row>
    <row r="3482" spans="1:22" x14ac:dyDescent="0.2">
      <c r="A3482" t="s">
        <v>7794</v>
      </c>
      <c r="B3482" t="s">
        <v>7665</v>
      </c>
      <c r="C3482" t="s">
        <v>7666</v>
      </c>
      <c r="D3482" t="s">
        <v>7788</v>
      </c>
      <c r="E3482" s="10" t="s">
        <v>7795</v>
      </c>
      <c r="F3482" s="10"/>
      <c r="G3482" s="10"/>
      <c r="H3482" s="10" t="s">
        <v>7795</v>
      </c>
      <c r="I3482" s="14">
        <v>209457.16767795687</v>
      </c>
      <c r="J3482" s="19">
        <v>0</v>
      </c>
      <c r="K3482" s="19">
        <v>0.93889238172032308</v>
      </c>
      <c r="L3482" s="19">
        <v>6.1107618279676937E-2</v>
      </c>
      <c r="M3482" s="20">
        <v>2</v>
      </c>
      <c r="N3482" s="19">
        <v>0.49609638803781581</v>
      </c>
      <c r="O3482" s="19">
        <v>0</v>
      </c>
      <c r="P3482" s="19">
        <v>0.44279599368250727</v>
      </c>
      <c r="Q3482" s="19">
        <v>1.5639507146928064E-2</v>
      </c>
      <c r="R3482" s="19">
        <v>4.1631494887163764E-2</v>
      </c>
      <c r="S3482" s="19">
        <v>3.8366162455851041E-3</v>
      </c>
      <c r="T3482" s="20">
        <v>23</v>
      </c>
      <c r="U3482" s="17">
        <v>2</v>
      </c>
      <c r="V3482" s="17">
        <v>36</v>
      </c>
    </row>
    <row r="3483" spans="1:22" x14ac:dyDescent="0.2">
      <c r="A3483" t="s">
        <v>7796</v>
      </c>
      <c r="B3483" t="s">
        <v>7665</v>
      </c>
      <c r="C3483" t="s">
        <v>7666</v>
      </c>
      <c r="D3483" t="s">
        <v>7788</v>
      </c>
      <c r="E3483" s="10" t="s">
        <v>7797</v>
      </c>
      <c r="F3483" s="10"/>
      <c r="G3483" s="10"/>
      <c r="H3483" s="10" t="s">
        <v>7797</v>
      </c>
      <c r="I3483" s="14">
        <v>191684.86367349746</v>
      </c>
      <c r="J3483" s="19">
        <v>0</v>
      </c>
      <c r="K3483" s="19">
        <v>0.83318598686809342</v>
      </c>
      <c r="L3483" s="19">
        <v>0.16681401313190655</v>
      </c>
      <c r="M3483" s="20">
        <v>2</v>
      </c>
      <c r="N3483" s="19">
        <v>0.17865906303876664</v>
      </c>
      <c r="O3483" s="19">
        <v>0</v>
      </c>
      <c r="P3483" s="19">
        <v>0.65452692382932676</v>
      </c>
      <c r="Q3483" s="19">
        <v>3.7333877253339622E-2</v>
      </c>
      <c r="R3483" s="19">
        <v>0.12383628157044325</v>
      </c>
      <c r="S3483" s="19">
        <v>5.6438543081236744E-3</v>
      </c>
      <c r="T3483" s="20">
        <v>21</v>
      </c>
      <c r="U3483" s="17">
        <v>2</v>
      </c>
      <c r="V3483" s="17">
        <v>36</v>
      </c>
    </row>
    <row r="3484" spans="1:22" x14ac:dyDescent="0.2">
      <c r="A3484" t="s">
        <v>7798</v>
      </c>
      <c r="B3484" t="s">
        <v>7665</v>
      </c>
      <c r="C3484" t="s">
        <v>7666</v>
      </c>
      <c r="D3484" t="s">
        <v>7788</v>
      </c>
      <c r="E3484" s="10" t="s">
        <v>7799</v>
      </c>
      <c r="F3484" s="10"/>
      <c r="G3484" s="10"/>
      <c r="H3484" s="10" t="s">
        <v>7799</v>
      </c>
      <c r="I3484" s="14">
        <v>172639.96094817924</v>
      </c>
      <c r="J3484" s="19">
        <v>0</v>
      </c>
      <c r="K3484" s="19">
        <v>0.86115402013217757</v>
      </c>
      <c r="L3484" s="19">
        <v>0.13884597986782241</v>
      </c>
      <c r="M3484" s="20">
        <v>2</v>
      </c>
      <c r="N3484" s="19">
        <v>0.13750476307132969</v>
      </c>
      <c r="O3484" s="19">
        <v>0</v>
      </c>
      <c r="P3484" s="19">
        <v>0.72364925706084782</v>
      </c>
      <c r="Q3484" s="19">
        <v>3.0116629418056305E-3</v>
      </c>
      <c r="R3484" s="19">
        <v>0.13022725104351338</v>
      </c>
      <c r="S3484" s="19">
        <v>5.607065882503438E-3</v>
      </c>
      <c r="T3484" s="20">
        <v>21</v>
      </c>
      <c r="U3484" s="17">
        <v>2</v>
      </c>
      <c r="V3484" s="17">
        <v>36</v>
      </c>
    </row>
    <row r="3485" spans="1:22" x14ac:dyDescent="0.2">
      <c r="A3485" t="s">
        <v>7800</v>
      </c>
      <c r="B3485" t="s">
        <v>7665</v>
      </c>
      <c r="C3485" t="s">
        <v>7666</v>
      </c>
      <c r="D3485" t="s">
        <v>7788</v>
      </c>
      <c r="E3485" s="10" t="s">
        <v>7801</v>
      </c>
      <c r="F3485" s="10"/>
      <c r="G3485" s="10"/>
      <c r="H3485" s="10" t="s">
        <v>7801</v>
      </c>
      <c r="I3485" s="14">
        <v>286268.89185218886</v>
      </c>
      <c r="J3485" s="19">
        <v>0.84065075227668606</v>
      </c>
      <c r="K3485" s="19">
        <v>0.10460451309854098</v>
      </c>
      <c r="L3485" s="19">
        <v>5.4744734624772952E-2</v>
      </c>
      <c r="M3485" s="20">
        <v>3</v>
      </c>
      <c r="N3485" s="19">
        <v>4.7305214744082703E-2</v>
      </c>
      <c r="O3485" s="19">
        <v>0</v>
      </c>
      <c r="P3485" s="19">
        <v>5.729929835445826E-2</v>
      </c>
      <c r="Q3485" s="19">
        <v>2.9192175227403361E-2</v>
      </c>
      <c r="R3485" s="19">
        <v>2.3147484781485126E-2</v>
      </c>
      <c r="S3485" s="19">
        <v>2.4050746158844668E-3</v>
      </c>
      <c r="T3485" s="20">
        <v>30</v>
      </c>
      <c r="U3485" s="17">
        <v>2</v>
      </c>
      <c r="V3485" s="17">
        <v>36</v>
      </c>
    </row>
    <row r="3486" spans="1:22" x14ac:dyDescent="0.2">
      <c r="A3486" t="s">
        <v>7802</v>
      </c>
      <c r="B3486" t="s">
        <v>7665</v>
      </c>
      <c r="C3486" t="s">
        <v>7666</v>
      </c>
      <c r="D3486" t="s">
        <v>7788</v>
      </c>
      <c r="E3486" s="10" t="s">
        <v>7803</v>
      </c>
      <c r="F3486" s="10"/>
      <c r="G3486" s="10"/>
      <c r="H3486" s="10" t="s">
        <v>7803</v>
      </c>
      <c r="I3486" s="14">
        <v>124746.87590094749</v>
      </c>
      <c r="J3486" s="19">
        <v>0</v>
      </c>
      <c r="K3486" s="19">
        <v>0.85041033727169679</v>
      </c>
      <c r="L3486" s="19">
        <v>0.14958966272830332</v>
      </c>
      <c r="M3486" s="20">
        <v>2</v>
      </c>
      <c r="N3486" s="19">
        <v>0.18925320910261401</v>
      </c>
      <c r="O3486" s="19">
        <v>0</v>
      </c>
      <c r="P3486" s="19">
        <v>0.66115712816908268</v>
      </c>
      <c r="Q3486" s="19">
        <v>1.047700265606879E-2</v>
      </c>
      <c r="R3486" s="19">
        <v>0.13118354207909796</v>
      </c>
      <c r="S3486" s="19">
        <v>7.9291179931365533E-3</v>
      </c>
      <c r="T3486" s="20">
        <v>21</v>
      </c>
      <c r="U3486" s="17">
        <v>2</v>
      </c>
      <c r="V3486" s="17">
        <v>36</v>
      </c>
    </row>
    <row r="3487" spans="1:22" x14ac:dyDescent="0.2">
      <c r="A3487" t="s">
        <v>7804</v>
      </c>
      <c r="B3487" t="s">
        <v>7665</v>
      </c>
      <c r="C3487" t="s">
        <v>7666</v>
      </c>
      <c r="D3487" t="s">
        <v>7788</v>
      </c>
      <c r="E3487" s="10" t="s">
        <v>7805</v>
      </c>
      <c r="F3487" s="10"/>
      <c r="G3487" s="10"/>
      <c r="H3487" s="10" t="s">
        <v>7805</v>
      </c>
      <c r="I3487" s="14">
        <v>171506.88573934371</v>
      </c>
      <c r="J3487" s="19">
        <v>0.22545630239597991</v>
      </c>
      <c r="K3487" s="19">
        <v>0.74402369280003466</v>
      </c>
      <c r="L3487" s="19">
        <v>3.0520004803985569E-2</v>
      </c>
      <c r="M3487" s="20">
        <v>2</v>
      </c>
      <c r="N3487" s="19">
        <v>0.13867340975744707</v>
      </c>
      <c r="O3487" s="19">
        <v>0</v>
      </c>
      <c r="P3487" s="19">
        <v>0.60535028304258742</v>
      </c>
      <c r="Q3487" s="19">
        <v>0</v>
      </c>
      <c r="R3487" s="19">
        <v>2.9730541405363849E-2</v>
      </c>
      <c r="S3487" s="19">
        <v>7.8946339862171844E-4</v>
      </c>
      <c r="T3487" s="20">
        <v>21</v>
      </c>
      <c r="U3487" s="17">
        <v>2</v>
      </c>
      <c r="V3487" s="17">
        <v>36</v>
      </c>
    </row>
    <row r="3488" spans="1:22" x14ac:dyDescent="0.2">
      <c r="A3488" t="s">
        <v>7806</v>
      </c>
      <c r="B3488" t="s">
        <v>7665</v>
      </c>
      <c r="C3488" t="s">
        <v>7666</v>
      </c>
      <c r="D3488" t="s">
        <v>7788</v>
      </c>
      <c r="E3488" s="10" t="s">
        <v>7807</v>
      </c>
      <c r="F3488" s="10"/>
      <c r="G3488" s="10"/>
      <c r="H3488" s="10" t="s">
        <v>7807</v>
      </c>
      <c r="I3488" s="14">
        <v>25197.930146813393</v>
      </c>
      <c r="J3488" s="19">
        <v>0</v>
      </c>
      <c r="K3488" s="19">
        <v>0.65914283337401469</v>
      </c>
      <c r="L3488" s="19">
        <v>0.34085716662598531</v>
      </c>
      <c r="M3488" s="20">
        <v>2</v>
      </c>
      <c r="N3488" s="19">
        <v>0</v>
      </c>
      <c r="O3488" s="19">
        <v>0.43304916515411429</v>
      </c>
      <c r="P3488" s="19">
        <v>0.2260936682199004</v>
      </c>
      <c r="Q3488" s="19">
        <v>4.4724755171967667E-2</v>
      </c>
      <c r="R3488" s="19">
        <v>0.2628013562861915</v>
      </c>
      <c r="S3488" s="19">
        <v>3.3331055167826092E-2</v>
      </c>
      <c r="T3488" s="20">
        <v>22</v>
      </c>
      <c r="U3488" s="17">
        <v>2</v>
      </c>
      <c r="V3488" s="17">
        <v>36</v>
      </c>
    </row>
    <row r="3489" spans="1:22" x14ac:dyDescent="0.2">
      <c r="A3489" t="s">
        <v>7808</v>
      </c>
      <c r="B3489" t="s">
        <v>7665</v>
      </c>
      <c r="C3489" t="s">
        <v>7666</v>
      </c>
      <c r="D3489" t="s">
        <v>7788</v>
      </c>
      <c r="E3489" s="10" t="s">
        <v>7809</v>
      </c>
      <c r="F3489" s="10"/>
      <c r="G3489" s="10"/>
      <c r="H3489" s="10" t="s">
        <v>7809</v>
      </c>
      <c r="I3489" s="14">
        <v>29632.994243584573</v>
      </c>
      <c r="J3489" s="19">
        <v>0</v>
      </c>
      <c r="K3489" s="19">
        <v>0.70768270349725515</v>
      </c>
      <c r="L3489" s="19">
        <v>0.29231729650274479</v>
      </c>
      <c r="M3489" s="20">
        <v>2</v>
      </c>
      <c r="N3489" s="19">
        <v>0.1756481530890853</v>
      </c>
      <c r="O3489" s="19">
        <v>0</v>
      </c>
      <c r="P3489" s="19">
        <v>0.53203455040816994</v>
      </c>
      <c r="Q3489" s="19">
        <v>2.3831528725736309E-2</v>
      </c>
      <c r="R3489" s="19">
        <v>0.2250484289939596</v>
      </c>
      <c r="S3489" s="19">
        <v>4.3437338783048882E-2</v>
      </c>
      <c r="T3489" s="20">
        <v>21</v>
      </c>
      <c r="U3489" s="17">
        <v>2</v>
      </c>
      <c r="V3489" s="17">
        <v>36</v>
      </c>
    </row>
    <row r="3490" spans="1:22" x14ac:dyDescent="0.2">
      <c r="A3490" t="s">
        <v>7810</v>
      </c>
      <c r="B3490" t="s">
        <v>7665</v>
      </c>
      <c r="C3490" t="s">
        <v>7666</v>
      </c>
      <c r="D3490" t="s">
        <v>7811</v>
      </c>
      <c r="E3490" s="10" t="s">
        <v>7812</v>
      </c>
      <c r="F3490" s="10"/>
      <c r="G3490" s="10"/>
      <c r="H3490" s="10" t="s">
        <v>7812</v>
      </c>
      <c r="I3490" s="14">
        <v>38872.739299041685</v>
      </c>
      <c r="J3490" s="19">
        <v>1.6396826523115238E-2</v>
      </c>
      <c r="K3490" s="19">
        <v>0.41805205193608141</v>
      </c>
      <c r="L3490" s="19">
        <v>0.56555112154080334</v>
      </c>
      <c r="M3490" s="20">
        <v>1</v>
      </c>
      <c r="N3490" s="19">
        <v>0</v>
      </c>
      <c r="O3490" s="19">
        <v>0</v>
      </c>
      <c r="P3490" s="19">
        <v>0.41805205193608141</v>
      </c>
      <c r="Q3490" s="19">
        <v>0.16106402943317361</v>
      </c>
      <c r="R3490" s="19">
        <v>0.32167399861196166</v>
      </c>
      <c r="S3490" s="19">
        <v>8.281309349566815E-2</v>
      </c>
      <c r="T3490" s="20">
        <v>12</v>
      </c>
      <c r="U3490" s="17">
        <v>2</v>
      </c>
      <c r="V3490" s="17">
        <v>36</v>
      </c>
    </row>
    <row r="3491" spans="1:22" x14ac:dyDescent="0.2">
      <c r="A3491" t="s">
        <v>7813</v>
      </c>
      <c r="B3491" t="s">
        <v>7665</v>
      </c>
      <c r="C3491" t="s">
        <v>7666</v>
      </c>
      <c r="D3491" t="s">
        <v>7811</v>
      </c>
      <c r="E3491" s="10" t="s">
        <v>7814</v>
      </c>
      <c r="F3491" s="10"/>
      <c r="G3491" s="10"/>
      <c r="H3491" s="10" t="s">
        <v>7814</v>
      </c>
      <c r="I3491" s="14">
        <v>242687.11832014052</v>
      </c>
      <c r="J3491" s="19">
        <v>0.66169426014096888</v>
      </c>
      <c r="K3491" s="19">
        <v>0.29976078663921529</v>
      </c>
      <c r="L3491" s="19">
        <v>3.8544953219815832E-2</v>
      </c>
      <c r="M3491" s="20">
        <v>3</v>
      </c>
      <c r="N3491" s="19">
        <v>3.3282655715271947E-2</v>
      </c>
      <c r="O3491" s="19">
        <v>0</v>
      </c>
      <c r="P3491" s="19">
        <v>0.26647813092394335</v>
      </c>
      <c r="Q3491" s="19">
        <v>0</v>
      </c>
      <c r="R3491" s="19">
        <v>3.632885216570883E-2</v>
      </c>
      <c r="S3491" s="19">
        <v>2.2161010541070073E-3</v>
      </c>
      <c r="T3491" s="20">
        <v>30</v>
      </c>
      <c r="U3491" s="17">
        <v>2</v>
      </c>
      <c r="V3491" s="17">
        <v>36</v>
      </c>
    </row>
    <row r="3492" spans="1:22" x14ac:dyDescent="0.2">
      <c r="A3492" t="s">
        <v>7815</v>
      </c>
      <c r="B3492" t="s">
        <v>7665</v>
      </c>
      <c r="C3492" t="s">
        <v>7666</v>
      </c>
      <c r="D3492" t="s">
        <v>7811</v>
      </c>
      <c r="E3492" s="10" t="s">
        <v>7816</v>
      </c>
      <c r="F3492" s="10"/>
      <c r="G3492" s="10"/>
      <c r="H3492" s="10" t="s">
        <v>7816</v>
      </c>
      <c r="I3492" s="14">
        <v>50621.371179184178</v>
      </c>
      <c r="J3492" s="19">
        <v>0</v>
      </c>
      <c r="K3492" s="19">
        <v>0.5239636415285549</v>
      </c>
      <c r="L3492" s="19">
        <v>0.47603635847144504</v>
      </c>
      <c r="M3492" s="20">
        <v>2</v>
      </c>
      <c r="N3492" s="19">
        <v>0</v>
      </c>
      <c r="O3492" s="19">
        <v>0.25219392723553558</v>
      </c>
      <c r="P3492" s="19">
        <v>0.27176971429301938</v>
      </c>
      <c r="Q3492" s="19">
        <v>6.8517067207959956E-2</v>
      </c>
      <c r="R3492" s="19">
        <v>0.35674707400174799</v>
      </c>
      <c r="S3492" s="19">
        <v>5.077221726173712E-2</v>
      </c>
      <c r="T3492" s="20">
        <v>22</v>
      </c>
      <c r="U3492" s="17">
        <v>2</v>
      </c>
      <c r="V3492" s="17">
        <v>36</v>
      </c>
    </row>
    <row r="3493" spans="1:22" x14ac:dyDescent="0.2">
      <c r="A3493" t="s">
        <v>7817</v>
      </c>
      <c r="B3493" t="s">
        <v>7665</v>
      </c>
      <c r="C3493" t="s">
        <v>7666</v>
      </c>
      <c r="D3493" t="s">
        <v>7811</v>
      </c>
      <c r="E3493" s="10" t="s">
        <v>7818</v>
      </c>
      <c r="F3493" s="10"/>
      <c r="G3493" s="10"/>
      <c r="H3493" s="10" t="s">
        <v>7818</v>
      </c>
      <c r="I3493" s="14">
        <v>164177.25811614911</v>
      </c>
      <c r="J3493" s="19">
        <v>0</v>
      </c>
      <c r="K3493" s="19">
        <v>0.65434585480612517</v>
      </c>
      <c r="L3493" s="19">
        <v>0.34565414519387483</v>
      </c>
      <c r="M3493" s="20">
        <v>2</v>
      </c>
      <c r="N3493" s="19">
        <v>0.27617090597836874</v>
      </c>
      <c r="O3493" s="19">
        <v>0.14355894093595481</v>
      </c>
      <c r="P3493" s="19">
        <v>0.23461600789180159</v>
      </c>
      <c r="Q3493" s="19">
        <v>0.10255698855862495</v>
      </c>
      <c r="R3493" s="19">
        <v>0.21944146903376638</v>
      </c>
      <c r="S3493" s="19">
        <v>2.365568760148351E-2</v>
      </c>
      <c r="T3493" s="20">
        <v>23</v>
      </c>
      <c r="U3493" s="17">
        <v>2</v>
      </c>
      <c r="V3493" s="17">
        <v>36</v>
      </c>
    </row>
    <row r="3494" spans="1:22" x14ac:dyDescent="0.2">
      <c r="A3494" t="s">
        <v>7819</v>
      </c>
      <c r="B3494" t="s">
        <v>7665</v>
      </c>
      <c r="C3494" t="s">
        <v>7666</v>
      </c>
      <c r="D3494" t="s">
        <v>7811</v>
      </c>
      <c r="E3494" s="10" t="s">
        <v>7820</v>
      </c>
      <c r="F3494" s="10"/>
      <c r="G3494" s="10"/>
      <c r="H3494" s="10" t="s">
        <v>7820</v>
      </c>
      <c r="I3494" s="14">
        <v>480888.74648728309</v>
      </c>
      <c r="J3494" s="19">
        <v>1</v>
      </c>
      <c r="K3494" s="19">
        <v>0</v>
      </c>
      <c r="L3494" s="19">
        <v>0</v>
      </c>
      <c r="M3494" s="20">
        <v>3</v>
      </c>
      <c r="N3494" s="19">
        <v>0</v>
      </c>
      <c r="O3494" s="19">
        <v>0</v>
      </c>
      <c r="P3494" s="19">
        <v>0</v>
      </c>
      <c r="Q3494" s="19">
        <v>0</v>
      </c>
      <c r="R3494" s="19">
        <v>0</v>
      </c>
      <c r="S3494" s="19">
        <v>0</v>
      </c>
      <c r="T3494" s="20">
        <v>30</v>
      </c>
      <c r="U3494" s="17">
        <v>2</v>
      </c>
      <c r="V3494" s="17">
        <v>36</v>
      </c>
    </row>
    <row r="3495" spans="1:22" x14ac:dyDescent="0.2">
      <c r="A3495" t="s">
        <v>7821</v>
      </c>
      <c r="B3495" t="s">
        <v>7665</v>
      </c>
      <c r="C3495" t="s">
        <v>7666</v>
      </c>
      <c r="D3495" t="s">
        <v>7811</v>
      </c>
      <c r="E3495" s="10" t="s">
        <v>7822</v>
      </c>
      <c r="F3495" s="10"/>
      <c r="G3495" s="10"/>
      <c r="H3495" s="10" t="s">
        <v>7822</v>
      </c>
      <c r="I3495" s="14">
        <v>132655.95231023384</v>
      </c>
      <c r="J3495" s="19">
        <v>0.37811502766732558</v>
      </c>
      <c r="K3495" s="19">
        <v>0.32107687991926892</v>
      </c>
      <c r="L3495" s="19">
        <v>0.30080809241340556</v>
      </c>
      <c r="M3495" s="20">
        <v>2</v>
      </c>
      <c r="N3495" s="19">
        <v>0</v>
      </c>
      <c r="O3495" s="19">
        <v>0</v>
      </c>
      <c r="P3495" s="19">
        <v>0.32107687991926892</v>
      </c>
      <c r="Q3495" s="19">
        <v>9.5481022203097524E-2</v>
      </c>
      <c r="R3495" s="19">
        <v>0.18076854600011946</v>
      </c>
      <c r="S3495" s="19">
        <v>2.4558524210188563E-2</v>
      </c>
      <c r="T3495" s="20">
        <v>23</v>
      </c>
      <c r="U3495" s="17">
        <v>2</v>
      </c>
      <c r="V3495" s="17">
        <v>36</v>
      </c>
    </row>
    <row r="3496" spans="1:22" x14ac:dyDescent="0.2">
      <c r="A3496" t="s">
        <v>7823</v>
      </c>
      <c r="B3496" t="s">
        <v>7665</v>
      </c>
      <c r="C3496" t="s">
        <v>7666</v>
      </c>
      <c r="D3496" t="s">
        <v>7811</v>
      </c>
      <c r="E3496" s="10" t="s">
        <v>7824</v>
      </c>
      <c r="F3496" s="10"/>
      <c r="G3496" s="10"/>
      <c r="H3496" s="10" t="s">
        <v>7824</v>
      </c>
      <c r="I3496" s="14">
        <v>258681.95973579501</v>
      </c>
      <c r="J3496" s="19">
        <v>0.75909216577754024</v>
      </c>
      <c r="K3496" s="19">
        <v>0.21923382803182948</v>
      </c>
      <c r="L3496" s="19">
        <v>2.1674006190630445E-2</v>
      </c>
      <c r="M3496" s="20">
        <v>3</v>
      </c>
      <c r="N3496" s="19">
        <v>0</v>
      </c>
      <c r="O3496" s="19">
        <v>0</v>
      </c>
      <c r="P3496" s="19">
        <v>0.21923382803182948</v>
      </c>
      <c r="Q3496" s="19">
        <v>2.3912653077849693E-4</v>
      </c>
      <c r="R3496" s="19">
        <v>2.0677339550397342E-2</v>
      </c>
      <c r="S3496" s="19">
        <v>7.5754010945460902E-4</v>
      </c>
      <c r="T3496" s="20">
        <v>30</v>
      </c>
      <c r="U3496" s="17">
        <v>2</v>
      </c>
      <c r="V3496" s="17">
        <v>36</v>
      </c>
    </row>
    <row r="3497" spans="1:22" x14ac:dyDescent="0.2">
      <c r="A3497" t="s">
        <v>7825</v>
      </c>
      <c r="B3497" t="s">
        <v>7665</v>
      </c>
      <c r="C3497" t="s">
        <v>7666</v>
      </c>
      <c r="D3497" t="s">
        <v>7811</v>
      </c>
      <c r="E3497" s="10" t="s">
        <v>7826</v>
      </c>
      <c r="F3497" s="10"/>
      <c r="G3497" s="10"/>
      <c r="H3497" s="10" t="s">
        <v>7826</v>
      </c>
      <c r="I3497" s="14">
        <v>523724.02342107426</v>
      </c>
      <c r="J3497" s="19">
        <v>0.98596298908548075</v>
      </c>
      <c r="K3497" s="19">
        <v>1.3098778625806657E-2</v>
      </c>
      <c r="L3497" s="19">
        <v>9.3823228871255733E-4</v>
      </c>
      <c r="M3497" s="20">
        <v>3</v>
      </c>
      <c r="N3497" s="19">
        <v>0</v>
      </c>
      <c r="O3497" s="19">
        <v>0</v>
      </c>
      <c r="P3497" s="19">
        <v>1.3098778625806657E-2</v>
      </c>
      <c r="Q3497" s="19">
        <v>0</v>
      </c>
      <c r="R3497" s="19">
        <v>9.2081536941567303E-4</v>
      </c>
      <c r="S3497" s="19">
        <v>1.7416919296884073E-5</v>
      </c>
      <c r="T3497" s="20">
        <v>30</v>
      </c>
      <c r="U3497" s="17">
        <v>2</v>
      </c>
      <c r="V3497" s="17">
        <v>36</v>
      </c>
    </row>
    <row r="3498" spans="1:22" x14ac:dyDescent="0.2">
      <c r="A3498" t="s">
        <v>7827</v>
      </c>
      <c r="B3498" t="s">
        <v>7665</v>
      </c>
      <c r="C3498" t="s">
        <v>7666</v>
      </c>
      <c r="D3498" t="s">
        <v>7811</v>
      </c>
      <c r="E3498" s="10" t="s">
        <v>7828</v>
      </c>
      <c r="F3498" s="10"/>
      <c r="G3498" s="10"/>
      <c r="H3498" s="10" t="s">
        <v>7828</v>
      </c>
      <c r="I3498" s="14">
        <v>594648.41964602773</v>
      </c>
      <c r="J3498" s="19">
        <v>0.99882025715100808</v>
      </c>
      <c r="K3498" s="19">
        <v>1.1797428489918971E-3</v>
      </c>
      <c r="L3498" s="19">
        <v>0</v>
      </c>
      <c r="M3498" s="20">
        <v>3</v>
      </c>
      <c r="N3498" s="19">
        <v>0</v>
      </c>
      <c r="O3498" s="19">
        <v>0</v>
      </c>
      <c r="P3498" s="19">
        <v>1.1797428489918971E-3</v>
      </c>
      <c r="Q3498" s="19">
        <v>0</v>
      </c>
      <c r="R3498" s="19">
        <v>0</v>
      </c>
      <c r="S3498" s="19">
        <v>0</v>
      </c>
      <c r="T3498" s="20">
        <v>30</v>
      </c>
      <c r="U3498" s="17">
        <v>2</v>
      </c>
      <c r="V3498" s="17">
        <v>36</v>
      </c>
    </row>
    <row r="3499" spans="1:22" x14ac:dyDescent="0.2">
      <c r="A3499" t="s">
        <v>7829</v>
      </c>
      <c r="B3499" t="s">
        <v>7665</v>
      </c>
      <c r="C3499" t="s">
        <v>7666</v>
      </c>
      <c r="D3499" t="s">
        <v>7830</v>
      </c>
      <c r="E3499" s="10" t="s">
        <v>7831</v>
      </c>
      <c r="F3499" s="10"/>
      <c r="G3499" s="10"/>
      <c r="H3499" s="10" t="s">
        <v>7831</v>
      </c>
      <c r="I3499" s="14">
        <v>102248.42403248556</v>
      </c>
      <c r="J3499" s="19">
        <v>0.50202122408816763</v>
      </c>
      <c r="K3499" s="19">
        <v>0.41642018038232015</v>
      </c>
      <c r="L3499" s="19">
        <v>8.1558595529512376E-2</v>
      </c>
      <c r="M3499" s="20">
        <v>3</v>
      </c>
      <c r="N3499" s="19">
        <v>0</v>
      </c>
      <c r="O3499" s="19">
        <v>0</v>
      </c>
      <c r="P3499" s="19">
        <v>0.41642018038232015</v>
      </c>
      <c r="Q3499" s="19">
        <v>0</v>
      </c>
      <c r="R3499" s="19">
        <v>7.7541471282239399E-2</v>
      </c>
      <c r="S3499" s="19">
        <v>4.0171242472729889E-3</v>
      </c>
      <c r="T3499" s="20">
        <v>30</v>
      </c>
      <c r="U3499" s="17">
        <v>2</v>
      </c>
      <c r="V3499" s="17">
        <v>36</v>
      </c>
    </row>
    <row r="3500" spans="1:22" x14ac:dyDescent="0.2">
      <c r="A3500" t="s">
        <v>7832</v>
      </c>
      <c r="B3500" t="s">
        <v>7665</v>
      </c>
      <c r="C3500" t="s">
        <v>7666</v>
      </c>
      <c r="D3500" t="s">
        <v>7830</v>
      </c>
      <c r="E3500" s="10" t="s">
        <v>7833</v>
      </c>
      <c r="F3500" s="10"/>
      <c r="G3500" s="10"/>
      <c r="H3500" s="10" t="s">
        <v>7833</v>
      </c>
      <c r="I3500" s="14">
        <v>70700.919832607731</v>
      </c>
      <c r="J3500" s="19">
        <v>0</v>
      </c>
      <c r="K3500" s="19">
        <v>0.69887178034318931</v>
      </c>
      <c r="L3500" s="19">
        <v>0.30112821965681064</v>
      </c>
      <c r="M3500" s="20">
        <v>2</v>
      </c>
      <c r="N3500" s="19">
        <v>0.11741761649819064</v>
      </c>
      <c r="O3500" s="19">
        <v>0</v>
      </c>
      <c r="P3500" s="19">
        <v>0.58145416384499871</v>
      </c>
      <c r="Q3500" s="19">
        <v>0</v>
      </c>
      <c r="R3500" s="19">
        <v>0.28416090055401494</v>
      </c>
      <c r="S3500" s="19">
        <v>1.6967319102795694E-2</v>
      </c>
      <c r="T3500" s="20">
        <v>21</v>
      </c>
      <c r="U3500" s="17">
        <v>2</v>
      </c>
      <c r="V3500" s="17">
        <v>36</v>
      </c>
    </row>
    <row r="3501" spans="1:22" x14ac:dyDescent="0.2">
      <c r="A3501" t="s">
        <v>7834</v>
      </c>
      <c r="B3501" t="s">
        <v>7665</v>
      </c>
      <c r="C3501" t="s">
        <v>7666</v>
      </c>
      <c r="D3501" t="s">
        <v>7830</v>
      </c>
      <c r="E3501" s="10" t="s">
        <v>7835</v>
      </c>
      <c r="F3501" s="10"/>
      <c r="G3501" s="10"/>
      <c r="H3501" s="10" t="s">
        <v>7835</v>
      </c>
      <c r="I3501" s="14">
        <v>182042.01992587186</v>
      </c>
      <c r="J3501" s="19">
        <v>0</v>
      </c>
      <c r="K3501" s="19">
        <v>0.67698476558301157</v>
      </c>
      <c r="L3501" s="19">
        <v>0.32301523441698843</v>
      </c>
      <c r="M3501" s="20">
        <v>2</v>
      </c>
      <c r="N3501" s="19">
        <v>0.2407915193976293</v>
      </c>
      <c r="O3501" s="19">
        <v>0.13439008617132192</v>
      </c>
      <c r="P3501" s="19">
        <v>0.30180316001406038</v>
      </c>
      <c r="Q3501" s="19">
        <v>7.4237724711549866E-2</v>
      </c>
      <c r="R3501" s="19">
        <v>0.20259041647672604</v>
      </c>
      <c r="S3501" s="19">
        <v>4.6187093228712513E-2</v>
      </c>
      <c r="T3501" s="20">
        <v>23</v>
      </c>
      <c r="U3501" s="17">
        <v>2</v>
      </c>
      <c r="V3501" s="17">
        <v>36</v>
      </c>
    </row>
    <row r="3502" spans="1:22" x14ac:dyDescent="0.2">
      <c r="A3502" t="s">
        <v>7836</v>
      </c>
      <c r="B3502" t="s">
        <v>7665</v>
      </c>
      <c r="C3502" t="s">
        <v>7666</v>
      </c>
      <c r="D3502" t="s">
        <v>7830</v>
      </c>
      <c r="E3502" s="10" t="s">
        <v>7837</v>
      </c>
      <c r="F3502" s="10"/>
      <c r="G3502" s="10"/>
      <c r="H3502" s="10" t="s">
        <v>7837</v>
      </c>
      <c r="I3502" s="14">
        <v>65092.889490209054</v>
      </c>
      <c r="J3502" s="19">
        <v>0</v>
      </c>
      <c r="K3502" s="19">
        <v>0.14844628602702681</v>
      </c>
      <c r="L3502" s="19">
        <v>0.85155371397297297</v>
      </c>
      <c r="M3502" s="20">
        <v>1</v>
      </c>
      <c r="N3502" s="19">
        <v>0</v>
      </c>
      <c r="O3502" s="19">
        <v>0.12312612314511211</v>
      </c>
      <c r="P3502" s="19">
        <v>2.5320162881914701E-2</v>
      </c>
      <c r="Q3502" s="19">
        <v>0.39118581377893819</v>
      </c>
      <c r="R3502" s="19">
        <v>0.39403835141335813</v>
      </c>
      <c r="S3502" s="19">
        <v>6.63295487806769E-2</v>
      </c>
      <c r="T3502" s="20">
        <v>12</v>
      </c>
      <c r="U3502" s="17">
        <v>2</v>
      </c>
      <c r="V3502" s="17">
        <v>36</v>
      </c>
    </row>
    <row r="3503" spans="1:22" x14ac:dyDescent="0.2">
      <c r="A3503" t="s">
        <v>7838</v>
      </c>
      <c r="B3503" t="s">
        <v>7665</v>
      </c>
      <c r="C3503" t="s">
        <v>7666</v>
      </c>
      <c r="D3503" t="s">
        <v>7830</v>
      </c>
      <c r="E3503" s="10" t="s">
        <v>7839</v>
      </c>
      <c r="F3503" s="10"/>
      <c r="G3503" s="10"/>
      <c r="H3503" s="10" t="s">
        <v>7839</v>
      </c>
      <c r="I3503" s="14">
        <v>92078.445002464578</v>
      </c>
      <c r="J3503" s="19">
        <v>0</v>
      </c>
      <c r="K3503" s="19">
        <v>0.81416013107688945</v>
      </c>
      <c r="L3503" s="19">
        <v>0.18583986892311052</v>
      </c>
      <c r="M3503" s="20">
        <v>2</v>
      </c>
      <c r="N3503" s="19">
        <v>0.44956450554114469</v>
      </c>
      <c r="O3503" s="19">
        <v>0</v>
      </c>
      <c r="P3503" s="19">
        <v>0.36459562553574482</v>
      </c>
      <c r="Q3503" s="19">
        <v>1.7045032394051269E-2</v>
      </c>
      <c r="R3503" s="19">
        <v>0.14088379511269786</v>
      </c>
      <c r="S3503" s="19">
        <v>2.7911041416361401E-2</v>
      </c>
      <c r="T3503" s="20">
        <v>23</v>
      </c>
      <c r="U3503" s="17">
        <v>2</v>
      </c>
      <c r="V3503" s="17">
        <v>36</v>
      </c>
    </row>
    <row r="3504" spans="1:22" x14ac:dyDescent="0.2">
      <c r="A3504" t="s">
        <v>7840</v>
      </c>
      <c r="B3504" t="s">
        <v>7665</v>
      </c>
      <c r="C3504" t="s">
        <v>7666</v>
      </c>
      <c r="D3504" t="s">
        <v>7830</v>
      </c>
      <c r="E3504" s="10" t="s">
        <v>7841</v>
      </c>
      <c r="F3504" s="10"/>
      <c r="G3504" s="10"/>
      <c r="H3504" s="10" t="s">
        <v>7841</v>
      </c>
      <c r="I3504" s="14">
        <v>104737.28208779998</v>
      </c>
      <c r="J3504" s="19">
        <v>2.2960313714946765E-2</v>
      </c>
      <c r="K3504" s="19">
        <v>0.65668888579985629</v>
      </c>
      <c r="L3504" s="19">
        <v>0.32035080048519693</v>
      </c>
      <c r="M3504" s="20">
        <v>2</v>
      </c>
      <c r="N3504" s="19">
        <v>0.45830893287041047</v>
      </c>
      <c r="O3504" s="19">
        <v>0</v>
      </c>
      <c r="P3504" s="19">
        <v>0.19837995292944582</v>
      </c>
      <c r="Q3504" s="19">
        <v>3.1826678704183743E-2</v>
      </c>
      <c r="R3504" s="19">
        <v>0.23173989479774262</v>
      </c>
      <c r="S3504" s="19">
        <v>5.6784226983270576E-2</v>
      </c>
      <c r="T3504" s="20">
        <v>23</v>
      </c>
      <c r="U3504" s="17">
        <v>2</v>
      </c>
      <c r="V3504" s="17">
        <v>36</v>
      </c>
    </row>
    <row r="3505" spans="1:22" x14ac:dyDescent="0.2">
      <c r="A3505" t="s">
        <v>7842</v>
      </c>
      <c r="B3505" t="s">
        <v>7665</v>
      </c>
      <c r="C3505" t="s">
        <v>7666</v>
      </c>
      <c r="D3505" t="s">
        <v>7830</v>
      </c>
      <c r="E3505" s="10" t="s">
        <v>7843</v>
      </c>
      <c r="F3505" s="10"/>
      <c r="G3505" s="10"/>
      <c r="H3505" s="10" t="s">
        <v>7843</v>
      </c>
      <c r="I3505" s="14">
        <v>119015.29036681226</v>
      </c>
      <c r="J3505" s="19">
        <v>0.83576856707191849</v>
      </c>
      <c r="K3505" s="19">
        <v>0.10822135940036316</v>
      </c>
      <c r="L3505" s="19">
        <v>5.6010073527718245E-2</v>
      </c>
      <c r="M3505" s="20">
        <v>3</v>
      </c>
      <c r="N3505" s="19">
        <v>0</v>
      </c>
      <c r="O3505" s="19">
        <v>0</v>
      </c>
      <c r="P3505" s="19">
        <v>0.10822135940036316</v>
      </c>
      <c r="Q3505" s="19">
        <v>5.0918824887854113E-3</v>
      </c>
      <c r="R3505" s="19">
        <v>4.1785243945451134E-2</v>
      </c>
      <c r="S3505" s="19">
        <v>9.1329470934816987E-3</v>
      </c>
      <c r="T3505" s="20">
        <v>30</v>
      </c>
      <c r="U3505" s="17">
        <v>2</v>
      </c>
      <c r="V3505" s="17">
        <v>36</v>
      </c>
    </row>
    <row r="3506" spans="1:22" x14ac:dyDescent="0.2">
      <c r="A3506" t="s">
        <v>7844</v>
      </c>
      <c r="B3506" t="s">
        <v>7665</v>
      </c>
      <c r="C3506" t="s">
        <v>7666</v>
      </c>
      <c r="D3506" t="s">
        <v>7830</v>
      </c>
      <c r="E3506" s="10" t="s">
        <v>7845</v>
      </c>
      <c r="F3506" s="10"/>
      <c r="G3506" s="10"/>
      <c r="H3506" s="10" t="s">
        <v>7845</v>
      </c>
      <c r="I3506" s="14">
        <v>97323.990045299754</v>
      </c>
      <c r="J3506" s="19">
        <v>0</v>
      </c>
      <c r="K3506" s="19">
        <v>0.3767417790463054</v>
      </c>
      <c r="L3506" s="19">
        <v>0.62325822095369454</v>
      </c>
      <c r="M3506" s="20">
        <v>1</v>
      </c>
      <c r="N3506" s="19">
        <v>5.4692642432824429E-2</v>
      </c>
      <c r="O3506" s="19">
        <v>6.1392876136036799E-2</v>
      </c>
      <c r="P3506" s="19">
        <v>0.26065626047744417</v>
      </c>
      <c r="Q3506" s="19">
        <v>0.18002253936150309</v>
      </c>
      <c r="R3506" s="19">
        <v>0.39198579509521986</v>
      </c>
      <c r="S3506" s="19">
        <v>5.1249886496971625E-2</v>
      </c>
      <c r="T3506" s="20">
        <v>12</v>
      </c>
      <c r="U3506" s="17">
        <v>2</v>
      </c>
      <c r="V3506" s="17">
        <v>36</v>
      </c>
    </row>
    <row r="3507" spans="1:22" x14ac:dyDescent="0.2">
      <c r="A3507" t="s">
        <v>7846</v>
      </c>
      <c r="B3507" t="s">
        <v>7665</v>
      </c>
      <c r="C3507" t="s">
        <v>7666</v>
      </c>
      <c r="D3507" t="s">
        <v>7830</v>
      </c>
      <c r="E3507" s="10" t="s">
        <v>7847</v>
      </c>
      <c r="F3507" s="10"/>
      <c r="G3507" s="10"/>
      <c r="H3507" s="10" t="s">
        <v>7847</v>
      </c>
      <c r="I3507" s="14">
        <v>149960.41497622384</v>
      </c>
      <c r="J3507" s="19">
        <v>0</v>
      </c>
      <c r="K3507" s="19">
        <v>0.57301252961860061</v>
      </c>
      <c r="L3507" s="19">
        <v>0.42698747038139939</v>
      </c>
      <c r="M3507" s="20">
        <v>2</v>
      </c>
      <c r="N3507" s="19">
        <v>0.17653106859227985</v>
      </c>
      <c r="O3507" s="19">
        <v>0</v>
      </c>
      <c r="P3507" s="19">
        <v>0.3964814610263207</v>
      </c>
      <c r="Q3507" s="19">
        <v>0.1169032248264537</v>
      </c>
      <c r="R3507" s="19">
        <v>0.2680000248557794</v>
      </c>
      <c r="S3507" s="19">
        <v>4.2084220699166362E-2</v>
      </c>
      <c r="T3507" s="20">
        <v>23</v>
      </c>
      <c r="U3507" s="17">
        <v>2</v>
      </c>
      <c r="V3507" s="17">
        <v>36</v>
      </c>
    </row>
    <row r="3508" spans="1:22" x14ac:dyDescent="0.2">
      <c r="A3508" t="s">
        <v>7848</v>
      </c>
      <c r="B3508" t="s">
        <v>7665</v>
      </c>
      <c r="C3508" t="s">
        <v>7666</v>
      </c>
      <c r="D3508" t="s">
        <v>7830</v>
      </c>
      <c r="E3508" s="10" t="s">
        <v>7849</v>
      </c>
      <c r="F3508" s="10"/>
      <c r="G3508" s="10"/>
      <c r="H3508" s="10" t="s">
        <v>7849</v>
      </c>
      <c r="I3508" s="14">
        <v>89408.094996990636</v>
      </c>
      <c r="J3508" s="19">
        <v>8.9258249204822501E-3</v>
      </c>
      <c r="K3508" s="19">
        <v>0.49864457122197969</v>
      </c>
      <c r="L3508" s="19">
        <v>0.49242960385753809</v>
      </c>
      <c r="M3508" s="20">
        <v>2</v>
      </c>
      <c r="N3508" s="19">
        <v>0.24572515780063342</v>
      </c>
      <c r="O3508" s="19">
        <v>0</v>
      </c>
      <c r="P3508" s="19">
        <v>0.25291941342134627</v>
      </c>
      <c r="Q3508" s="19">
        <v>0.23736481215449723</v>
      </c>
      <c r="R3508" s="19">
        <v>0.21136295890063347</v>
      </c>
      <c r="S3508" s="19">
        <v>4.3701832802407352E-2</v>
      </c>
      <c r="T3508" s="20">
        <v>23</v>
      </c>
      <c r="U3508" s="17">
        <v>2</v>
      </c>
      <c r="V3508" s="17">
        <v>36</v>
      </c>
    </row>
    <row r="3509" spans="1:22" x14ac:dyDescent="0.2">
      <c r="A3509" t="s">
        <v>7850</v>
      </c>
      <c r="B3509" t="s">
        <v>7665</v>
      </c>
      <c r="C3509" t="s">
        <v>7666</v>
      </c>
      <c r="D3509" t="s">
        <v>7830</v>
      </c>
      <c r="E3509" s="10" t="s">
        <v>7700</v>
      </c>
      <c r="F3509" s="10"/>
      <c r="G3509" s="10"/>
      <c r="H3509" s="10" t="s">
        <v>7700</v>
      </c>
      <c r="I3509" s="14">
        <v>119804.27512387512</v>
      </c>
      <c r="J3509" s="19">
        <v>0.47296096182945707</v>
      </c>
      <c r="K3509" s="19">
        <v>0.48656445950584792</v>
      </c>
      <c r="L3509" s="19">
        <v>4.0474578664694991E-2</v>
      </c>
      <c r="M3509" s="20">
        <v>2</v>
      </c>
      <c r="N3509" s="19">
        <v>0.33124914807828015</v>
      </c>
      <c r="O3509" s="19">
        <v>0</v>
      </c>
      <c r="P3509" s="19">
        <v>0.15531531142756777</v>
      </c>
      <c r="Q3509" s="19">
        <v>0</v>
      </c>
      <c r="R3509" s="19">
        <v>3.8381699858357592E-2</v>
      </c>
      <c r="S3509" s="19">
        <v>2.0928788063374025E-3</v>
      </c>
      <c r="T3509" s="20">
        <v>23</v>
      </c>
      <c r="U3509" s="17">
        <v>2</v>
      </c>
      <c r="V3509" s="17">
        <v>36</v>
      </c>
    </row>
    <row r="3510" spans="1:22" x14ac:dyDescent="0.2">
      <c r="A3510" t="s">
        <v>7851</v>
      </c>
      <c r="B3510" t="s">
        <v>7665</v>
      </c>
      <c r="C3510" t="s">
        <v>7666</v>
      </c>
      <c r="D3510" t="s">
        <v>7852</v>
      </c>
      <c r="E3510" s="10" t="s">
        <v>7853</v>
      </c>
      <c r="F3510" s="10"/>
      <c r="G3510" s="10"/>
      <c r="H3510" s="10" t="s">
        <v>7853</v>
      </c>
      <c r="I3510" s="14">
        <v>123243.72562160458</v>
      </c>
      <c r="J3510" s="19">
        <v>0</v>
      </c>
      <c r="K3510" s="19">
        <v>0.68555105038231501</v>
      </c>
      <c r="L3510" s="19">
        <v>0.3144489496176851</v>
      </c>
      <c r="M3510" s="20">
        <v>2</v>
      </c>
      <c r="N3510" s="19">
        <v>0.43033903967335746</v>
      </c>
      <c r="O3510" s="19">
        <v>0</v>
      </c>
      <c r="P3510" s="19">
        <v>0.25521201070895755</v>
      </c>
      <c r="Q3510" s="19">
        <v>0.10292642923470913</v>
      </c>
      <c r="R3510" s="19">
        <v>0.15650769650261345</v>
      </c>
      <c r="S3510" s="19">
        <v>5.5014823880362544E-2</v>
      </c>
      <c r="T3510" s="20">
        <v>23</v>
      </c>
      <c r="U3510" s="17">
        <v>2</v>
      </c>
      <c r="V3510" s="17">
        <v>36</v>
      </c>
    </row>
    <row r="3511" spans="1:22" x14ac:dyDescent="0.2">
      <c r="A3511" t="s">
        <v>7854</v>
      </c>
      <c r="B3511" t="s">
        <v>7665</v>
      </c>
      <c r="C3511" t="s">
        <v>7666</v>
      </c>
      <c r="D3511" t="s">
        <v>7852</v>
      </c>
      <c r="E3511" s="10" t="s">
        <v>7855</v>
      </c>
      <c r="F3511" s="10"/>
      <c r="G3511" s="10"/>
      <c r="H3511" s="10" t="s">
        <v>7855</v>
      </c>
      <c r="I3511" s="14">
        <v>132084.85360767692</v>
      </c>
      <c r="J3511" s="19">
        <v>0</v>
      </c>
      <c r="K3511" s="19">
        <v>0.8610442574024334</v>
      </c>
      <c r="L3511" s="19">
        <v>0.1389557425975666</v>
      </c>
      <c r="M3511" s="20">
        <v>2</v>
      </c>
      <c r="N3511" s="19">
        <v>0.4939907556095563</v>
      </c>
      <c r="O3511" s="19">
        <v>0.12105390945026241</v>
      </c>
      <c r="P3511" s="19">
        <v>0.24599959234261459</v>
      </c>
      <c r="Q3511" s="19">
        <v>4.3369071213076787E-2</v>
      </c>
      <c r="R3511" s="19">
        <v>7.8413268198594205E-2</v>
      </c>
      <c r="S3511" s="19">
        <v>1.7173403185895626E-2</v>
      </c>
      <c r="T3511" s="20">
        <v>23</v>
      </c>
      <c r="U3511" s="17">
        <v>2</v>
      </c>
      <c r="V3511" s="17">
        <v>36</v>
      </c>
    </row>
    <row r="3512" spans="1:22" x14ac:dyDescent="0.2">
      <c r="A3512" t="s">
        <v>7856</v>
      </c>
      <c r="B3512" t="s">
        <v>7665</v>
      </c>
      <c r="C3512" t="s">
        <v>7666</v>
      </c>
      <c r="D3512" t="s">
        <v>7852</v>
      </c>
      <c r="E3512" s="10" t="s">
        <v>7857</v>
      </c>
      <c r="F3512" s="10"/>
      <c r="G3512" s="10"/>
      <c r="H3512" s="10" t="s">
        <v>7857</v>
      </c>
      <c r="I3512" s="14">
        <v>74147.960229522083</v>
      </c>
      <c r="J3512" s="19">
        <v>0</v>
      </c>
      <c r="K3512" s="19">
        <v>0.6754063747040645</v>
      </c>
      <c r="L3512" s="19">
        <v>0.32459362529593538</v>
      </c>
      <c r="M3512" s="20">
        <v>2</v>
      </c>
      <c r="N3512" s="19">
        <v>0</v>
      </c>
      <c r="O3512" s="19">
        <v>0</v>
      </c>
      <c r="P3512" s="19">
        <v>0.6754063747040645</v>
      </c>
      <c r="Q3512" s="19">
        <v>3.7296039080118248E-2</v>
      </c>
      <c r="R3512" s="19">
        <v>0.24238795978491687</v>
      </c>
      <c r="S3512" s="19">
        <v>4.4909626430900337E-2</v>
      </c>
      <c r="T3512" s="20">
        <v>21</v>
      </c>
      <c r="U3512" s="17">
        <v>2</v>
      </c>
      <c r="V3512" s="17">
        <v>36</v>
      </c>
    </row>
    <row r="3513" spans="1:22" x14ac:dyDescent="0.2">
      <c r="A3513" t="s">
        <v>7858</v>
      </c>
      <c r="B3513" t="s">
        <v>7665</v>
      </c>
      <c r="C3513" t="s">
        <v>7666</v>
      </c>
      <c r="D3513" t="s">
        <v>7852</v>
      </c>
      <c r="E3513" s="10" t="s">
        <v>7859</v>
      </c>
      <c r="F3513" s="10"/>
      <c r="G3513" s="10"/>
      <c r="H3513" s="10" t="s">
        <v>7859</v>
      </c>
      <c r="I3513" s="14">
        <v>176751.54918384715</v>
      </c>
      <c r="J3513" s="19">
        <v>0.21964773338820812</v>
      </c>
      <c r="K3513" s="19">
        <v>0.53912209941256695</v>
      </c>
      <c r="L3513" s="19">
        <v>0.24123016719922494</v>
      </c>
      <c r="M3513" s="20">
        <v>2</v>
      </c>
      <c r="N3513" s="19">
        <v>6.824880706474723E-2</v>
      </c>
      <c r="O3513" s="19">
        <v>5.9532840786753229E-2</v>
      </c>
      <c r="P3513" s="19">
        <v>0.41134045156106647</v>
      </c>
      <c r="Q3513" s="19">
        <v>2.2169931132208279E-2</v>
      </c>
      <c r="R3513" s="19">
        <v>0.19399141041488116</v>
      </c>
      <c r="S3513" s="19">
        <v>2.5068825652135491E-2</v>
      </c>
      <c r="T3513" s="20">
        <v>23</v>
      </c>
      <c r="U3513" s="17">
        <v>2</v>
      </c>
      <c r="V3513" s="17">
        <v>36</v>
      </c>
    </row>
    <row r="3514" spans="1:22" x14ac:dyDescent="0.2">
      <c r="A3514" t="s">
        <v>7860</v>
      </c>
      <c r="B3514" t="s">
        <v>7665</v>
      </c>
      <c r="C3514" t="s">
        <v>7666</v>
      </c>
      <c r="D3514" t="s">
        <v>7852</v>
      </c>
      <c r="E3514" s="10" t="s">
        <v>7861</v>
      </c>
      <c r="F3514" s="10"/>
      <c r="G3514" s="10"/>
      <c r="H3514" s="10" t="s">
        <v>7861</v>
      </c>
      <c r="I3514" s="14">
        <v>103776.05596894748</v>
      </c>
      <c r="J3514" s="19">
        <v>0.10826042205848023</v>
      </c>
      <c r="K3514" s="19">
        <v>0.53572383371653931</v>
      </c>
      <c r="L3514" s="19">
        <v>0.35601574422498039</v>
      </c>
      <c r="M3514" s="20">
        <v>2</v>
      </c>
      <c r="N3514" s="19">
        <v>5.3005823195924555E-2</v>
      </c>
      <c r="O3514" s="19">
        <v>0</v>
      </c>
      <c r="P3514" s="19">
        <v>0.4827180105206148</v>
      </c>
      <c r="Q3514" s="19">
        <v>8.1942148932162631E-2</v>
      </c>
      <c r="R3514" s="19">
        <v>0.22765586339742738</v>
      </c>
      <c r="S3514" s="19">
        <v>4.6417731895390391E-2</v>
      </c>
      <c r="T3514" s="20">
        <v>23</v>
      </c>
      <c r="U3514" s="17">
        <v>2</v>
      </c>
      <c r="V3514" s="17">
        <v>36</v>
      </c>
    </row>
    <row r="3515" spans="1:22" x14ac:dyDescent="0.2">
      <c r="A3515" t="s">
        <v>7862</v>
      </c>
      <c r="B3515" t="s">
        <v>7665</v>
      </c>
      <c r="C3515" t="s">
        <v>7666</v>
      </c>
      <c r="D3515" t="s">
        <v>7852</v>
      </c>
      <c r="E3515" s="10" t="s">
        <v>7863</v>
      </c>
      <c r="F3515" s="10"/>
      <c r="G3515" s="10"/>
      <c r="H3515" s="10" t="s">
        <v>7863</v>
      </c>
      <c r="I3515" s="14">
        <v>109786.88961349567</v>
      </c>
      <c r="J3515" s="19">
        <v>0</v>
      </c>
      <c r="K3515" s="19">
        <v>0.9388636036732303</v>
      </c>
      <c r="L3515" s="19">
        <v>6.1136396326769725E-2</v>
      </c>
      <c r="M3515" s="20">
        <v>2</v>
      </c>
      <c r="N3515" s="19">
        <v>0.60172380829620187</v>
      </c>
      <c r="O3515" s="19">
        <v>0</v>
      </c>
      <c r="P3515" s="19">
        <v>0.33713979537702826</v>
      </c>
      <c r="Q3515" s="19">
        <v>0</v>
      </c>
      <c r="R3515" s="19">
        <v>5.3831444461174056E-2</v>
      </c>
      <c r="S3515" s="19">
        <v>7.304951865595679E-3</v>
      </c>
      <c r="T3515" s="20">
        <v>23</v>
      </c>
      <c r="U3515" s="17">
        <v>2</v>
      </c>
      <c r="V3515" s="17">
        <v>36</v>
      </c>
    </row>
    <row r="3516" spans="1:22" x14ac:dyDescent="0.2">
      <c r="A3516" t="s">
        <v>7864</v>
      </c>
      <c r="B3516" t="s">
        <v>7665</v>
      </c>
      <c r="C3516" t="s">
        <v>7666</v>
      </c>
      <c r="D3516" t="s">
        <v>7852</v>
      </c>
      <c r="E3516" s="10" t="s">
        <v>7865</v>
      </c>
      <c r="F3516" s="10"/>
      <c r="G3516" s="10"/>
      <c r="H3516" s="10" t="s">
        <v>7865</v>
      </c>
      <c r="I3516" s="14">
        <v>225843.70020752097</v>
      </c>
      <c r="J3516" s="19">
        <v>0.74342408162536366</v>
      </c>
      <c r="K3516" s="19">
        <v>0.20813895748984776</v>
      </c>
      <c r="L3516" s="19">
        <v>4.8436960884788584E-2</v>
      </c>
      <c r="M3516" s="20">
        <v>3</v>
      </c>
      <c r="N3516" s="19">
        <v>0.12692928452027483</v>
      </c>
      <c r="O3516" s="19">
        <v>0</v>
      </c>
      <c r="P3516" s="19">
        <v>8.1209672969572932E-2</v>
      </c>
      <c r="Q3516" s="19">
        <v>2.0901158472030553E-2</v>
      </c>
      <c r="R3516" s="19">
        <v>2.5177783291203851E-2</v>
      </c>
      <c r="S3516" s="19">
        <v>2.3580191215541815E-3</v>
      </c>
      <c r="T3516" s="20">
        <v>30</v>
      </c>
      <c r="U3516" s="17">
        <v>2</v>
      </c>
      <c r="V3516" s="17">
        <v>36</v>
      </c>
    </row>
    <row r="3517" spans="1:22" x14ac:dyDescent="0.2">
      <c r="A3517" t="s">
        <v>7866</v>
      </c>
      <c r="B3517" t="s">
        <v>7665</v>
      </c>
      <c r="C3517" t="s">
        <v>7666</v>
      </c>
      <c r="D3517" t="s">
        <v>7852</v>
      </c>
      <c r="E3517" s="10" t="s">
        <v>7867</v>
      </c>
      <c r="F3517" s="10"/>
      <c r="G3517" s="10"/>
      <c r="H3517" s="10" t="s">
        <v>7867</v>
      </c>
      <c r="I3517" s="14">
        <v>26451.412417028099</v>
      </c>
      <c r="J3517" s="19">
        <v>0</v>
      </c>
      <c r="K3517" s="19">
        <v>0.98643016093780611</v>
      </c>
      <c r="L3517" s="19">
        <v>1.3569839062193882E-2</v>
      </c>
      <c r="M3517" s="20">
        <v>2</v>
      </c>
      <c r="N3517" s="19">
        <v>0.68979866573995174</v>
      </c>
      <c r="O3517" s="19">
        <v>0</v>
      </c>
      <c r="P3517" s="19">
        <v>0.29663149519785437</v>
      </c>
      <c r="Q3517" s="19">
        <v>0</v>
      </c>
      <c r="R3517" s="19">
        <v>9.6843322144762722E-3</v>
      </c>
      <c r="S3517" s="19">
        <v>3.88550684771761E-3</v>
      </c>
      <c r="T3517" s="20">
        <v>23</v>
      </c>
      <c r="U3517" s="17">
        <v>2</v>
      </c>
      <c r="V3517" s="17">
        <v>36</v>
      </c>
    </row>
    <row r="3518" spans="1:22" x14ac:dyDescent="0.2">
      <c r="A3518" t="s">
        <v>7868</v>
      </c>
      <c r="B3518" t="s">
        <v>7665</v>
      </c>
      <c r="C3518" t="s">
        <v>7666</v>
      </c>
      <c r="D3518" t="s">
        <v>7852</v>
      </c>
      <c r="E3518" s="10" t="s">
        <v>7869</v>
      </c>
      <c r="F3518" s="10"/>
      <c r="G3518" s="10"/>
      <c r="H3518" s="10" t="s">
        <v>7869</v>
      </c>
      <c r="I3518" s="14">
        <v>106853.54529343452</v>
      </c>
      <c r="J3518" s="19">
        <v>0</v>
      </c>
      <c r="K3518" s="19">
        <v>0.80605261215455937</v>
      </c>
      <c r="L3518" s="19">
        <v>0.19394738784544058</v>
      </c>
      <c r="M3518" s="20">
        <v>2</v>
      </c>
      <c r="N3518" s="19">
        <v>0.41476001514514399</v>
      </c>
      <c r="O3518" s="19">
        <v>0</v>
      </c>
      <c r="P3518" s="19">
        <v>0.39129259700941543</v>
      </c>
      <c r="Q3518" s="19">
        <v>4.7960144910148064E-2</v>
      </c>
      <c r="R3518" s="19">
        <v>0.12644877162515711</v>
      </c>
      <c r="S3518" s="19">
        <v>1.9538471310135419E-2</v>
      </c>
      <c r="T3518" s="20">
        <v>23</v>
      </c>
      <c r="U3518" s="17">
        <v>2</v>
      </c>
      <c r="V3518" s="17">
        <v>36</v>
      </c>
    </row>
    <row r="3519" spans="1:22" x14ac:dyDescent="0.2">
      <c r="A3519" t="s">
        <v>7870</v>
      </c>
      <c r="B3519" t="s">
        <v>7665</v>
      </c>
      <c r="C3519" t="s">
        <v>7666</v>
      </c>
      <c r="D3519" t="s">
        <v>7852</v>
      </c>
      <c r="E3519" s="10" t="s">
        <v>7871</v>
      </c>
      <c r="F3519" s="10"/>
      <c r="G3519" s="10"/>
      <c r="H3519" s="10" t="s">
        <v>7871</v>
      </c>
      <c r="I3519" s="14">
        <v>146894.90957862604</v>
      </c>
      <c r="J3519" s="19">
        <v>0</v>
      </c>
      <c r="K3519" s="19">
        <v>0.86187128922475487</v>
      </c>
      <c r="L3519" s="19">
        <v>0.13812871077524505</v>
      </c>
      <c r="M3519" s="20">
        <v>2</v>
      </c>
      <c r="N3519" s="19">
        <v>0.69966654915797921</v>
      </c>
      <c r="O3519" s="19">
        <v>0</v>
      </c>
      <c r="P3519" s="19">
        <v>0.16220474006677574</v>
      </c>
      <c r="Q3519" s="19">
        <v>5.2382027544529614E-2</v>
      </c>
      <c r="R3519" s="19">
        <v>6.9899708782976369E-2</v>
      </c>
      <c r="S3519" s="19">
        <v>1.5846974447739109E-2</v>
      </c>
      <c r="T3519" s="20">
        <v>23</v>
      </c>
      <c r="U3519" s="17">
        <v>2</v>
      </c>
      <c r="V3519" s="17">
        <v>36</v>
      </c>
    </row>
    <row r="3520" spans="1:22" x14ac:dyDescent="0.2">
      <c r="A3520" t="s">
        <v>7872</v>
      </c>
      <c r="B3520" t="s">
        <v>7665</v>
      </c>
      <c r="C3520" t="s">
        <v>7666</v>
      </c>
      <c r="D3520" t="s">
        <v>7873</v>
      </c>
      <c r="E3520" s="10" t="s">
        <v>7874</v>
      </c>
      <c r="F3520" s="10"/>
      <c r="G3520" s="10"/>
      <c r="H3520" s="10" t="s">
        <v>7874</v>
      </c>
      <c r="I3520" s="14">
        <v>231321.07944577374</v>
      </c>
      <c r="J3520" s="19">
        <v>0.92655908184920077</v>
      </c>
      <c r="K3520" s="19">
        <v>7.127045607356837E-2</v>
      </c>
      <c r="L3520" s="19">
        <v>2.1704620772308981E-3</v>
      </c>
      <c r="M3520" s="20">
        <v>3</v>
      </c>
      <c r="N3520" s="19">
        <v>5.758208739169335E-3</v>
      </c>
      <c r="O3520" s="19">
        <v>0</v>
      </c>
      <c r="P3520" s="19">
        <v>6.5512247334399032E-2</v>
      </c>
      <c r="Q3520" s="19">
        <v>0</v>
      </c>
      <c r="R3520" s="19">
        <v>2.1704620772308981E-3</v>
      </c>
      <c r="S3520" s="19">
        <v>0</v>
      </c>
      <c r="T3520" s="20">
        <v>30</v>
      </c>
      <c r="U3520" s="17">
        <v>2</v>
      </c>
      <c r="V3520" s="17">
        <v>36</v>
      </c>
    </row>
    <row r="3521" spans="1:22" x14ac:dyDescent="0.2">
      <c r="A3521" t="s">
        <v>7875</v>
      </c>
      <c r="B3521" t="s">
        <v>7665</v>
      </c>
      <c r="C3521" t="s">
        <v>7666</v>
      </c>
      <c r="D3521" t="s">
        <v>7873</v>
      </c>
      <c r="E3521" s="10" t="s">
        <v>7876</v>
      </c>
      <c r="F3521" s="10"/>
      <c r="G3521" s="10"/>
      <c r="H3521" s="10" t="s">
        <v>7876</v>
      </c>
      <c r="I3521" s="14">
        <v>164002.14100160822</v>
      </c>
      <c r="J3521" s="19">
        <v>1.6205167089460144E-2</v>
      </c>
      <c r="K3521" s="19">
        <v>0.86157253805948941</v>
      </c>
      <c r="L3521" s="19">
        <v>0.12222229485105046</v>
      </c>
      <c r="M3521" s="20">
        <v>2</v>
      </c>
      <c r="N3521" s="19">
        <v>0.29655382907119188</v>
      </c>
      <c r="O3521" s="19">
        <v>0</v>
      </c>
      <c r="P3521" s="19">
        <v>0.56501870898829754</v>
      </c>
      <c r="Q3521" s="19">
        <v>0</v>
      </c>
      <c r="R3521" s="19">
        <v>0.11666450572213952</v>
      </c>
      <c r="S3521" s="19">
        <v>5.5577891289109406E-3</v>
      </c>
      <c r="T3521" s="20">
        <v>21</v>
      </c>
      <c r="U3521" s="17">
        <v>2</v>
      </c>
      <c r="V3521" s="17">
        <v>36</v>
      </c>
    </row>
    <row r="3522" spans="1:22" x14ac:dyDescent="0.2">
      <c r="A3522" t="s">
        <v>7877</v>
      </c>
      <c r="B3522" t="s">
        <v>7665</v>
      </c>
      <c r="C3522" t="s">
        <v>7666</v>
      </c>
      <c r="D3522" t="s">
        <v>7873</v>
      </c>
      <c r="E3522" s="10" t="s">
        <v>7878</v>
      </c>
      <c r="F3522" s="10"/>
      <c r="G3522" s="10"/>
      <c r="H3522" s="10" t="s">
        <v>7878</v>
      </c>
      <c r="I3522" s="14">
        <v>173953.87795416685</v>
      </c>
      <c r="J3522" s="19">
        <v>0.84858976614589643</v>
      </c>
      <c r="K3522" s="19">
        <v>0.14710083680690578</v>
      </c>
      <c r="L3522" s="19">
        <v>4.3093970471978433E-3</v>
      </c>
      <c r="M3522" s="20">
        <v>3</v>
      </c>
      <c r="N3522" s="19">
        <v>2.2678146224212659E-2</v>
      </c>
      <c r="O3522" s="19">
        <v>0</v>
      </c>
      <c r="P3522" s="19">
        <v>0.12442269058269308</v>
      </c>
      <c r="Q3522" s="19">
        <v>0</v>
      </c>
      <c r="R3522" s="19">
        <v>4.3093970471978433E-3</v>
      </c>
      <c r="S3522" s="19">
        <v>0</v>
      </c>
      <c r="T3522" s="20">
        <v>30</v>
      </c>
      <c r="U3522" s="17">
        <v>2</v>
      </c>
      <c r="V3522" s="17">
        <v>36</v>
      </c>
    </row>
    <row r="3523" spans="1:22" x14ac:dyDescent="0.2">
      <c r="A3523" t="s">
        <v>7879</v>
      </c>
      <c r="B3523" t="s">
        <v>7665</v>
      </c>
      <c r="C3523" t="s">
        <v>7666</v>
      </c>
      <c r="D3523" t="s">
        <v>7873</v>
      </c>
      <c r="E3523" s="10" t="s">
        <v>7880</v>
      </c>
      <c r="F3523" s="10"/>
      <c r="G3523" s="10"/>
      <c r="H3523" s="10" t="s">
        <v>7880</v>
      </c>
      <c r="I3523" s="14">
        <v>488129.59904087754</v>
      </c>
      <c r="J3523" s="19">
        <v>1</v>
      </c>
      <c r="K3523" s="19">
        <v>0</v>
      </c>
      <c r="L3523" s="19">
        <v>0</v>
      </c>
      <c r="M3523" s="20">
        <v>3</v>
      </c>
      <c r="N3523" s="19">
        <v>0</v>
      </c>
      <c r="O3523" s="19">
        <v>0</v>
      </c>
      <c r="P3523" s="19">
        <v>0</v>
      </c>
      <c r="Q3523" s="19">
        <v>0</v>
      </c>
      <c r="R3523" s="19">
        <v>0</v>
      </c>
      <c r="S3523" s="19">
        <v>0</v>
      </c>
      <c r="T3523" s="20">
        <v>30</v>
      </c>
      <c r="U3523" s="17">
        <v>2</v>
      </c>
      <c r="V3523" s="17">
        <v>36</v>
      </c>
    </row>
    <row r="3524" spans="1:22" x14ac:dyDescent="0.2">
      <c r="A3524" t="s">
        <v>7881</v>
      </c>
      <c r="B3524" t="s">
        <v>7665</v>
      </c>
      <c r="C3524" t="s">
        <v>7666</v>
      </c>
      <c r="D3524" t="s">
        <v>7873</v>
      </c>
      <c r="E3524" s="10" t="s">
        <v>7882</v>
      </c>
      <c r="F3524" s="10"/>
      <c r="G3524" s="10"/>
      <c r="H3524" s="10" t="s">
        <v>7882</v>
      </c>
      <c r="I3524" s="14">
        <v>260569.49537074193</v>
      </c>
      <c r="J3524" s="19">
        <v>0.64367115983383183</v>
      </c>
      <c r="K3524" s="19">
        <v>0.34952960268901739</v>
      </c>
      <c r="L3524" s="19">
        <v>6.7992374771507682E-3</v>
      </c>
      <c r="M3524" s="20">
        <v>3</v>
      </c>
      <c r="N3524" s="19">
        <v>0.12750470440461542</v>
      </c>
      <c r="O3524" s="19">
        <v>0</v>
      </c>
      <c r="P3524" s="19">
        <v>0.22202489828440194</v>
      </c>
      <c r="Q3524" s="19">
        <v>0</v>
      </c>
      <c r="R3524" s="19">
        <v>6.7992374771507682E-3</v>
      </c>
      <c r="S3524" s="19">
        <v>0</v>
      </c>
      <c r="T3524" s="20">
        <v>30</v>
      </c>
      <c r="U3524" s="17">
        <v>2</v>
      </c>
      <c r="V3524" s="17">
        <v>36</v>
      </c>
    </row>
    <row r="3525" spans="1:22" x14ac:dyDescent="0.2">
      <c r="A3525" t="s">
        <v>7883</v>
      </c>
      <c r="B3525" t="s">
        <v>7665</v>
      </c>
      <c r="C3525" t="s">
        <v>7666</v>
      </c>
      <c r="D3525" t="s">
        <v>7873</v>
      </c>
      <c r="E3525" s="10" t="s">
        <v>7884</v>
      </c>
      <c r="F3525" s="10"/>
      <c r="G3525" s="10"/>
      <c r="H3525" s="10" t="s">
        <v>7884</v>
      </c>
      <c r="I3525" s="14">
        <v>199112.08687205799</v>
      </c>
      <c r="J3525" s="19">
        <v>0.25468693065814668</v>
      </c>
      <c r="K3525" s="19">
        <v>0.73947457420891594</v>
      </c>
      <c r="L3525" s="19">
        <v>5.8384951329373443E-3</v>
      </c>
      <c r="M3525" s="20">
        <v>2</v>
      </c>
      <c r="N3525" s="19">
        <v>0.36286036293179441</v>
      </c>
      <c r="O3525" s="19">
        <v>0</v>
      </c>
      <c r="P3525" s="19">
        <v>0.37661421127712152</v>
      </c>
      <c r="Q3525" s="19">
        <v>0</v>
      </c>
      <c r="R3525" s="19">
        <v>5.4296590901275017E-3</v>
      </c>
      <c r="S3525" s="19">
        <v>4.088360428098436E-4</v>
      </c>
      <c r="T3525" s="20">
        <v>23</v>
      </c>
      <c r="U3525" s="17">
        <v>2</v>
      </c>
      <c r="V3525" s="17">
        <v>36</v>
      </c>
    </row>
    <row r="3526" spans="1:22" x14ac:dyDescent="0.2">
      <c r="A3526" t="s">
        <v>7885</v>
      </c>
      <c r="B3526" t="s">
        <v>7665</v>
      </c>
      <c r="C3526" t="s">
        <v>7666</v>
      </c>
      <c r="D3526" t="s">
        <v>7873</v>
      </c>
      <c r="E3526" s="10" t="s">
        <v>7886</v>
      </c>
      <c r="F3526" s="10"/>
      <c r="G3526" s="10"/>
      <c r="H3526" s="10" t="s">
        <v>7886</v>
      </c>
      <c r="I3526" s="14">
        <v>147338.66692429595</v>
      </c>
      <c r="J3526" s="19">
        <v>0.65345798566150259</v>
      </c>
      <c r="K3526" s="19">
        <v>0.33455727367797927</v>
      </c>
      <c r="L3526" s="19">
        <v>1.198474066051812E-2</v>
      </c>
      <c r="M3526" s="20">
        <v>3</v>
      </c>
      <c r="N3526" s="19">
        <v>2.9107656444469492E-2</v>
      </c>
      <c r="O3526" s="19">
        <v>0</v>
      </c>
      <c r="P3526" s="19">
        <v>0.30544961723350977</v>
      </c>
      <c r="Q3526" s="19">
        <v>0</v>
      </c>
      <c r="R3526" s="19">
        <v>1.1133468002638628E-2</v>
      </c>
      <c r="S3526" s="19">
        <v>8.512726578794931E-4</v>
      </c>
      <c r="T3526" s="20">
        <v>30</v>
      </c>
      <c r="U3526" s="17">
        <v>2</v>
      </c>
      <c r="V3526" s="17">
        <v>36</v>
      </c>
    </row>
    <row r="3527" spans="1:22" x14ac:dyDescent="0.2">
      <c r="A3527" t="s">
        <v>7887</v>
      </c>
      <c r="B3527" t="s">
        <v>7665</v>
      </c>
      <c r="C3527" t="s">
        <v>7666</v>
      </c>
      <c r="D3527" t="s">
        <v>7873</v>
      </c>
      <c r="E3527" s="10" t="s">
        <v>7888</v>
      </c>
      <c r="F3527" s="10"/>
      <c r="G3527" s="10"/>
      <c r="H3527" s="10" t="s">
        <v>7888</v>
      </c>
      <c r="I3527" s="14">
        <v>240350.67971020102</v>
      </c>
      <c r="J3527" s="19">
        <v>0.3059793612090797</v>
      </c>
      <c r="K3527" s="19">
        <v>0.64744731203542072</v>
      </c>
      <c r="L3527" s="19">
        <v>4.6573326755499481E-2</v>
      </c>
      <c r="M3527" s="20">
        <v>2</v>
      </c>
      <c r="N3527" s="19">
        <v>0.13935930422578774</v>
      </c>
      <c r="O3527" s="19">
        <v>0</v>
      </c>
      <c r="P3527" s="19">
        <v>0.50808800780963292</v>
      </c>
      <c r="Q3527" s="19">
        <v>0</v>
      </c>
      <c r="R3527" s="19">
        <v>4.4607732112054106E-2</v>
      </c>
      <c r="S3527" s="19">
        <v>1.9655946434453662E-3</v>
      </c>
      <c r="T3527" s="20">
        <v>21</v>
      </c>
      <c r="U3527" s="17">
        <v>2</v>
      </c>
      <c r="V3527" s="17">
        <v>36</v>
      </c>
    </row>
    <row r="3528" spans="1:22" x14ac:dyDescent="0.2">
      <c r="A3528" t="s">
        <v>7889</v>
      </c>
      <c r="B3528" t="s">
        <v>7665</v>
      </c>
      <c r="C3528" t="s">
        <v>7666</v>
      </c>
      <c r="D3528" t="s">
        <v>7873</v>
      </c>
      <c r="E3528" s="10" t="s">
        <v>7809</v>
      </c>
      <c r="F3528" s="10"/>
      <c r="G3528" s="10"/>
      <c r="H3528" s="10" t="s">
        <v>7809</v>
      </c>
      <c r="I3528" s="14">
        <v>128727.52585778525</v>
      </c>
      <c r="J3528" s="19">
        <v>1.0532203929354301E-2</v>
      </c>
      <c r="K3528" s="19">
        <v>0.84206241468726883</v>
      </c>
      <c r="L3528" s="19">
        <v>0.14740538138337686</v>
      </c>
      <c r="M3528" s="20">
        <v>2</v>
      </c>
      <c r="N3528" s="19">
        <v>0.19834301843259861</v>
      </c>
      <c r="O3528" s="19">
        <v>0</v>
      </c>
      <c r="P3528" s="19">
        <v>0.64371939625467023</v>
      </c>
      <c r="Q3528" s="19">
        <v>0</v>
      </c>
      <c r="R3528" s="19">
        <v>0.14019735542795919</v>
      </c>
      <c r="S3528" s="19">
        <v>7.2080259554176754E-3</v>
      </c>
      <c r="T3528" s="20">
        <v>21</v>
      </c>
      <c r="U3528" s="17">
        <v>2</v>
      </c>
      <c r="V3528" s="17">
        <v>36</v>
      </c>
    </row>
    <row r="3529" spans="1:22" x14ac:dyDescent="0.2">
      <c r="A3529" t="s">
        <v>7890</v>
      </c>
      <c r="B3529" t="s">
        <v>7665</v>
      </c>
      <c r="C3529" t="s">
        <v>7666</v>
      </c>
      <c r="D3529" t="s">
        <v>7891</v>
      </c>
      <c r="E3529" s="10" t="s">
        <v>7891</v>
      </c>
      <c r="F3529" s="10"/>
      <c r="G3529" s="10"/>
      <c r="H3529" s="10" t="s">
        <v>7891</v>
      </c>
      <c r="I3529" s="14">
        <v>228668.81221997368</v>
      </c>
      <c r="J3529" s="19">
        <v>0.6243185018127132</v>
      </c>
      <c r="K3529" s="19">
        <v>0.30417491396021595</v>
      </c>
      <c r="L3529" s="19">
        <v>7.1506584227070749E-2</v>
      </c>
      <c r="M3529" s="20">
        <v>3</v>
      </c>
      <c r="N3529" s="19">
        <v>5.1005016235406701E-2</v>
      </c>
      <c r="O3529" s="19">
        <v>0</v>
      </c>
      <c r="P3529" s="19">
        <v>0.25316989772480925</v>
      </c>
      <c r="Q3529" s="19">
        <v>0</v>
      </c>
      <c r="R3529" s="19">
        <v>7.1200404829946315E-2</v>
      </c>
      <c r="S3529" s="19">
        <v>3.0617939712443827E-4</v>
      </c>
      <c r="T3529" s="20">
        <v>30</v>
      </c>
      <c r="U3529" s="17">
        <v>2</v>
      </c>
      <c r="V3529" s="17">
        <v>36</v>
      </c>
    </row>
    <row r="3530" spans="1:22" x14ac:dyDescent="0.2">
      <c r="A3530" t="s">
        <v>7892</v>
      </c>
      <c r="B3530" t="s">
        <v>7665</v>
      </c>
      <c r="C3530" t="s">
        <v>7666</v>
      </c>
      <c r="D3530" t="s">
        <v>7891</v>
      </c>
      <c r="E3530" s="10" t="s">
        <v>7893</v>
      </c>
      <c r="F3530" s="10"/>
      <c r="G3530" s="10"/>
      <c r="H3530" s="10" t="s">
        <v>7893</v>
      </c>
      <c r="I3530" s="14">
        <v>145385.4910642053</v>
      </c>
      <c r="J3530" s="19">
        <v>0</v>
      </c>
      <c r="K3530" s="19">
        <v>0.74592661176598729</v>
      </c>
      <c r="L3530" s="19">
        <v>0.25407338823401265</v>
      </c>
      <c r="M3530" s="20">
        <v>2</v>
      </c>
      <c r="N3530" s="19">
        <v>0.12377671750370049</v>
      </c>
      <c r="O3530" s="19">
        <v>0</v>
      </c>
      <c r="P3530" s="19">
        <v>0.62214989426228673</v>
      </c>
      <c r="Q3530" s="19">
        <v>8.1210373448380845E-3</v>
      </c>
      <c r="R3530" s="19">
        <v>0.24531151280837463</v>
      </c>
      <c r="S3530" s="19">
        <v>6.4083808079996125E-4</v>
      </c>
      <c r="T3530" s="20">
        <v>21</v>
      </c>
      <c r="U3530" s="17">
        <v>2</v>
      </c>
      <c r="V3530" s="17">
        <v>36</v>
      </c>
    </row>
    <row r="3531" spans="1:22" x14ac:dyDescent="0.2">
      <c r="A3531" t="s">
        <v>7894</v>
      </c>
      <c r="B3531" t="s">
        <v>7665</v>
      </c>
      <c r="C3531" t="s">
        <v>7666</v>
      </c>
      <c r="D3531" t="s">
        <v>7891</v>
      </c>
      <c r="E3531" s="10" t="s">
        <v>7895</v>
      </c>
      <c r="F3531" s="10"/>
      <c r="G3531" s="10"/>
      <c r="H3531" s="10" t="s">
        <v>7895</v>
      </c>
      <c r="I3531" s="14">
        <v>193183.17657513544</v>
      </c>
      <c r="J3531" s="19">
        <v>0</v>
      </c>
      <c r="K3531" s="19">
        <v>0.63686322646950067</v>
      </c>
      <c r="L3531" s="19">
        <v>0.36313677353049939</v>
      </c>
      <c r="M3531" s="20">
        <v>2</v>
      </c>
      <c r="N3531" s="19">
        <v>7.0161645186141638E-2</v>
      </c>
      <c r="O3531" s="19">
        <v>0</v>
      </c>
      <c r="P3531" s="19">
        <v>0.56670158128335901</v>
      </c>
      <c r="Q3531" s="19">
        <v>3.4967800464390533E-2</v>
      </c>
      <c r="R3531" s="19">
        <v>0.32075787602223516</v>
      </c>
      <c r="S3531" s="19">
        <v>7.411097043873693E-3</v>
      </c>
      <c r="T3531" s="20">
        <v>21</v>
      </c>
      <c r="U3531" s="17">
        <v>2</v>
      </c>
      <c r="V3531" s="17">
        <v>36</v>
      </c>
    </row>
    <row r="3532" spans="1:22" x14ac:dyDescent="0.2">
      <c r="A3532" t="s">
        <v>7896</v>
      </c>
      <c r="B3532" t="s">
        <v>7665</v>
      </c>
      <c r="C3532" t="s">
        <v>7666</v>
      </c>
      <c r="D3532" t="s">
        <v>7891</v>
      </c>
      <c r="E3532" s="10" t="s">
        <v>7897</v>
      </c>
      <c r="F3532" s="10"/>
      <c r="G3532" s="10"/>
      <c r="H3532" s="10" t="s">
        <v>7897</v>
      </c>
      <c r="I3532" s="14">
        <v>69113.413079671562</v>
      </c>
      <c r="J3532" s="19">
        <v>0</v>
      </c>
      <c r="K3532" s="19">
        <v>0.40810350629877507</v>
      </c>
      <c r="L3532" s="19">
        <v>0.59189649370122488</v>
      </c>
      <c r="M3532" s="20">
        <v>1</v>
      </c>
      <c r="N3532" s="19">
        <v>0.1708554368761942</v>
      </c>
      <c r="O3532" s="19">
        <v>7.2126366732939609E-2</v>
      </c>
      <c r="P3532" s="19">
        <v>0.16512170268964127</v>
      </c>
      <c r="Q3532" s="19">
        <v>5.1544434714033971E-2</v>
      </c>
      <c r="R3532" s="19">
        <v>0.50422588429378923</v>
      </c>
      <c r="S3532" s="19">
        <v>3.6126174693401771E-2</v>
      </c>
      <c r="T3532" s="20">
        <v>12</v>
      </c>
      <c r="U3532" s="17">
        <v>2</v>
      </c>
      <c r="V3532" s="17">
        <v>36</v>
      </c>
    </row>
    <row r="3533" spans="1:22" x14ac:dyDescent="0.2">
      <c r="A3533" t="s">
        <v>7898</v>
      </c>
      <c r="B3533" t="s">
        <v>7665</v>
      </c>
      <c r="C3533" t="s">
        <v>7666</v>
      </c>
      <c r="D3533" t="s">
        <v>7891</v>
      </c>
      <c r="E3533" s="10" t="s">
        <v>7899</v>
      </c>
      <c r="F3533" s="10"/>
      <c r="G3533" s="10"/>
      <c r="H3533" s="10" t="s">
        <v>7899</v>
      </c>
      <c r="I3533" s="14">
        <v>82841.016252934933</v>
      </c>
      <c r="J3533" s="19">
        <v>0</v>
      </c>
      <c r="K3533" s="19">
        <v>0.29092667133046035</v>
      </c>
      <c r="L3533" s="19">
        <v>0.70907332866953965</v>
      </c>
      <c r="M3533" s="20">
        <v>1</v>
      </c>
      <c r="N3533" s="19">
        <v>6.5730047464785266E-2</v>
      </c>
      <c r="O3533" s="19">
        <v>0.20147077061571139</v>
      </c>
      <c r="P3533" s="19">
        <v>2.3725853249963676E-2</v>
      </c>
      <c r="Q3533" s="19">
        <v>0.10848632352020575</v>
      </c>
      <c r="R3533" s="19">
        <v>0.55602185277103611</v>
      </c>
      <c r="S3533" s="19">
        <v>4.4565152378297758E-2</v>
      </c>
      <c r="T3533" s="20">
        <v>12</v>
      </c>
      <c r="U3533" s="17">
        <v>2</v>
      </c>
      <c r="V3533" s="17">
        <v>36</v>
      </c>
    </row>
    <row r="3534" spans="1:22" x14ac:dyDescent="0.2">
      <c r="A3534" t="s">
        <v>7900</v>
      </c>
      <c r="B3534" t="s">
        <v>7665</v>
      </c>
      <c r="C3534" t="s">
        <v>7666</v>
      </c>
      <c r="D3534" t="s">
        <v>7891</v>
      </c>
      <c r="E3534" s="10" t="s">
        <v>7680</v>
      </c>
      <c r="F3534" s="10"/>
      <c r="G3534" s="10"/>
      <c r="H3534" s="10" t="s">
        <v>7680</v>
      </c>
      <c r="I3534" s="14">
        <v>109683.37834864273</v>
      </c>
      <c r="J3534" s="19">
        <v>0</v>
      </c>
      <c r="K3534" s="19">
        <v>0.49181479853423404</v>
      </c>
      <c r="L3534" s="19">
        <v>0.50818520146576596</v>
      </c>
      <c r="M3534" s="20">
        <v>1</v>
      </c>
      <c r="N3534" s="19">
        <v>0.12246239624229228</v>
      </c>
      <c r="O3534" s="19">
        <v>0</v>
      </c>
      <c r="P3534" s="19">
        <v>0.36935240229194177</v>
      </c>
      <c r="Q3534" s="19">
        <v>8.2021701484328094E-2</v>
      </c>
      <c r="R3534" s="19">
        <v>0.41791563352245498</v>
      </c>
      <c r="S3534" s="19">
        <v>8.2478664589828669E-3</v>
      </c>
      <c r="T3534" s="20">
        <v>12</v>
      </c>
      <c r="U3534" s="17">
        <v>2</v>
      </c>
      <c r="V3534" s="17">
        <v>36</v>
      </c>
    </row>
    <row r="3535" spans="1:22" x14ac:dyDescent="0.2">
      <c r="A3535" t="s">
        <v>7901</v>
      </c>
      <c r="B3535" t="s">
        <v>7665</v>
      </c>
      <c r="C3535" t="s">
        <v>7666</v>
      </c>
      <c r="D3535" t="s">
        <v>7891</v>
      </c>
      <c r="E3535" s="10" t="s">
        <v>7902</v>
      </c>
      <c r="F3535" s="10"/>
      <c r="G3535" s="10"/>
      <c r="H3535" s="10" t="s">
        <v>7902</v>
      </c>
      <c r="I3535" s="14">
        <v>142410.49710858241</v>
      </c>
      <c r="J3535" s="19">
        <v>2.2721086835129473E-3</v>
      </c>
      <c r="K3535" s="19">
        <v>0.59103650971230015</v>
      </c>
      <c r="L3535" s="19">
        <v>0.40669138160418689</v>
      </c>
      <c r="M3535" s="20">
        <v>2</v>
      </c>
      <c r="N3535" s="19">
        <v>8.1833943196025383E-2</v>
      </c>
      <c r="O3535" s="19">
        <v>0</v>
      </c>
      <c r="P3535" s="19">
        <v>0.50920256651627482</v>
      </c>
      <c r="Q3535" s="19">
        <v>6.7952136406572328E-2</v>
      </c>
      <c r="R3535" s="19">
        <v>0.3256842156008784</v>
      </c>
      <c r="S3535" s="19">
        <v>1.3055029596736104E-2</v>
      </c>
      <c r="T3535" s="20">
        <v>21</v>
      </c>
      <c r="U3535" s="17">
        <v>2</v>
      </c>
      <c r="V3535" s="17">
        <v>36</v>
      </c>
    </row>
    <row r="3536" spans="1:22" x14ac:dyDescent="0.2">
      <c r="A3536" t="s">
        <v>7903</v>
      </c>
      <c r="B3536" t="s">
        <v>7665</v>
      </c>
      <c r="C3536" t="s">
        <v>7666</v>
      </c>
      <c r="D3536" t="s">
        <v>7891</v>
      </c>
      <c r="E3536" s="10" t="s">
        <v>7904</v>
      </c>
      <c r="F3536" s="10"/>
      <c r="G3536" s="10"/>
      <c r="H3536" s="10" t="s">
        <v>7904</v>
      </c>
      <c r="I3536" s="14">
        <v>197044.09787776438</v>
      </c>
      <c r="J3536" s="19">
        <v>1.1205388090934527E-3</v>
      </c>
      <c r="K3536" s="19">
        <v>0.61743251881121075</v>
      </c>
      <c r="L3536" s="19">
        <v>0.38144694237969579</v>
      </c>
      <c r="M3536" s="20">
        <v>2</v>
      </c>
      <c r="N3536" s="19">
        <v>0.19195247070645469</v>
      </c>
      <c r="O3536" s="19">
        <v>0</v>
      </c>
      <c r="P3536" s="19">
        <v>0.42548004810475609</v>
      </c>
      <c r="Q3536" s="19">
        <v>5.7116224580305602E-2</v>
      </c>
      <c r="R3536" s="19">
        <v>0.31916337138472484</v>
      </c>
      <c r="S3536" s="19">
        <v>5.1673464146653946E-3</v>
      </c>
      <c r="T3536" s="20">
        <v>23</v>
      </c>
      <c r="U3536" s="17">
        <v>2</v>
      </c>
      <c r="V3536" s="17">
        <v>36</v>
      </c>
    </row>
    <row r="3537" spans="1:22" x14ac:dyDescent="0.2">
      <c r="A3537" t="s">
        <v>7905</v>
      </c>
      <c r="B3537" t="s">
        <v>7665</v>
      </c>
      <c r="C3537" t="s">
        <v>7666</v>
      </c>
      <c r="D3537" t="s">
        <v>7891</v>
      </c>
      <c r="E3537" s="10" t="s">
        <v>7906</v>
      </c>
      <c r="F3537" s="10"/>
      <c r="G3537" s="10"/>
      <c r="H3537" s="10" t="s">
        <v>7906</v>
      </c>
      <c r="I3537" s="14">
        <v>108130.33859050366</v>
      </c>
      <c r="J3537" s="19">
        <v>0</v>
      </c>
      <c r="K3537" s="19">
        <v>0.54887309054775946</v>
      </c>
      <c r="L3537" s="19">
        <v>0.45112690945224077</v>
      </c>
      <c r="M3537" s="20">
        <v>2</v>
      </c>
      <c r="N3537" s="19">
        <v>0</v>
      </c>
      <c r="O3537" s="19">
        <v>0.31853959233173756</v>
      </c>
      <c r="P3537" s="19">
        <v>0.23033349821602189</v>
      </c>
      <c r="Q3537" s="19">
        <v>2.1687775588768256E-2</v>
      </c>
      <c r="R3537" s="19">
        <v>0.39703458943708353</v>
      </c>
      <c r="S3537" s="19">
        <v>3.2404544426388904E-2</v>
      </c>
      <c r="T3537" s="20">
        <v>22</v>
      </c>
      <c r="U3537" s="17">
        <v>2</v>
      </c>
      <c r="V3537" s="17">
        <v>36</v>
      </c>
    </row>
    <row r="3538" spans="1:22" x14ac:dyDescent="0.2">
      <c r="A3538" t="s">
        <v>7907</v>
      </c>
      <c r="B3538" t="s">
        <v>7665</v>
      </c>
      <c r="C3538" t="s">
        <v>7666</v>
      </c>
      <c r="D3538" t="s">
        <v>7908</v>
      </c>
      <c r="E3538" s="10" t="s">
        <v>7909</v>
      </c>
      <c r="F3538" s="10"/>
      <c r="G3538" s="10"/>
      <c r="H3538" s="10" t="s">
        <v>7909</v>
      </c>
      <c r="I3538" s="14">
        <v>48901.24584552645</v>
      </c>
      <c r="J3538" s="19">
        <v>0</v>
      </c>
      <c r="K3538" s="19">
        <v>0.31883456386427178</v>
      </c>
      <c r="L3538" s="19">
        <v>0.68116543613572833</v>
      </c>
      <c r="M3538" s="20">
        <v>1</v>
      </c>
      <c r="N3538" s="19">
        <v>0.16325874841939547</v>
      </c>
      <c r="O3538" s="19">
        <v>0</v>
      </c>
      <c r="P3538" s="19">
        <v>0.15557581544487636</v>
      </c>
      <c r="Q3538" s="19">
        <v>0.14986243831461013</v>
      </c>
      <c r="R3538" s="19">
        <v>0.46647638675078434</v>
      </c>
      <c r="S3538" s="19">
        <v>6.4826611070333842E-2</v>
      </c>
      <c r="T3538" s="20">
        <v>12</v>
      </c>
      <c r="U3538" s="17">
        <v>2</v>
      </c>
      <c r="V3538" s="17">
        <v>36</v>
      </c>
    </row>
    <row r="3539" spans="1:22" x14ac:dyDescent="0.2">
      <c r="A3539" t="s">
        <v>7910</v>
      </c>
      <c r="B3539" t="s">
        <v>7665</v>
      </c>
      <c r="C3539" t="s">
        <v>7666</v>
      </c>
      <c r="D3539" t="s">
        <v>7908</v>
      </c>
      <c r="E3539" s="10" t="s">
        <v>7911</v>
      </c>
      <c r="F3539" s="10"/>
      <c r="G3539" s="10"/>
      <c r="H3539" s="10" t="s">
        <v>7911</v>
      </c>
      <c r="I3539" s="14">
        <v>53584.618045121431</v>
      </c>
      <c r="J3539" s="19">
        <v>0</v>
      </c>
      <c r="K3539" s="19">
        <v>0.38552977354763257</v>
      </c>
      <c r="L3539" s="19">
        <v>0.61447022645236737</v>
      </c>
      <c r="M3539" s="20">
        <v>1</v>
      </c>
      <c r="N3539" s="19">
        <v>0.36275120431580321</v>
      </c>
      <c r="O3539" s="19">
        <v>0</v>
      </c>
      <c r="P3539" s="19">
        <v>2.2778569231829367E-2</v>
      </c>
      <c r="Q3539" s="19">
        <v>0.41352783013740813</v>
      </c>
      <c r="R3539" s="19">
        <v>0.17996427734395626</v>
      </c>
      <c r="S3539" s="19">
        <v>2.0978118971003042E-2</v>
      </c>
      <c r="T3539" s="20">
        <v>13</v>
      </c>
      <c r="U3539" s="17">
        <v>2</v>
      </c>
      <c r="V3539" s="17">
        <v>36</v>
      </c>
    </row>
    <row r="3540" spans="1:22" x14ac:dyDescent="0.2">
      <c r="A3540" t="s">
        <v>7912</v>
      </c>
      <c r="B3540" t="s">
        <v>7665</v>
      </c>
      <c r="C3540" t="s">
        <v>7666</v>
      </c>
      <c r="D3540" t="s">
        <v>7908</v>
      </c>
      <c r="E3540" s="10" t="s">
        <v>7908</v>
      </c>
      <c r="F3540" s="10"/>
      <c r="G3540" s="10"/>
      <c r="H3540" s="10" t="s">
        <v>7908</v>
      </c>
      <c r="I3540" s="14">
        <v>77603.787284715101</v>
      </c>
      <c r="J3540" s="19">
        <v>0</v>
      </c>
      <c r="K3540" s="19">
        <v>0.93518018972321215</v>
      </c>
      <c r="L3540" s="19">
        <v>6.4819810276787834E-2</v>
      </c>
      <c r="M3540" s="20">
        <v>2</v>
      </c>
      <c r="N3540" s="19">
        <v>0.66327427184452581</v>
      </c>
      <c r="O3540" s="19">
        <v>0</v>
      </c>
      <c r="P3540" s="19">
        <v>0.27190591787868629</v>
      </c>
      <c r="Q3540" s="19">
        <v>3.5728204229063046E-2</v>
      </c>
      <c r="R3540" s="19">
        <v>2.5507345617955351E-2</v>
      </c>
      <c r="S3540" s="19">
        <v>3.584260429769432E-3</v>
      </c>
      <c r="T3540" s="20">
        <v>23</v>
      </c>
      <c r="U3540" s="17">
        <v>2</v>
      </c>
      <c r="V3540" s="17">
        <v>36</v>
      </c>
    </row>
    <row r="3541" spans="1:22" x14ac:dyDescent="0.2">
      <c r="A3541" t="s">
        <v>7913</v>
      </c>
      <c r="B3541" t="s">
        <v>7665</v>
      </c>
      <c r="C3541" t="s">
        <v>7666</v>
      </c>
      <c r="D3541" t="s">
        <v>7908</v>
      </c>
      <c r="E3541" s="10" t="s">
        <v>7914</v>
      </c>
      <c r="F3541" s="10"/>
      <c r="G3541" s="10"/>
      <c r="H3541" s="10" t="s">
        <v>7914</v>
      </c>
      <c r="I3541" s="14">
        <v>24879.798834212124</v>
      </c>
      <c r="J3541" s="19">
        <v>0</v>
      </c>
      <c r="K3541" s="19">
        <v>0</v>
      </c>
      <c r="L3541" s="19">
        <v>1</v>
      </c>
      <c r="M3541" s="20">
        <v>1</v>
      </c>
      <c r="N3541" s="19">
        <v>0</v>
      </c>
      <c r="O3541" s="19">
        <v>0</v>
      </c>
      <c r="P3541" s="19">
        <v>0</v>
      </c>
      <c r="Q3541" s="19">
        <v>0.13898022581792679</v>
      </c>
      <c r="R3541" s="19">
        <v>0.7736375424162697</v>
      </c>
      <c r="S3541" s="19">
        <v>8.7382231765803536E-2</v>
      </c>
      <c r="T3541" s="20">
        <v>12</v>
      </c>
      <c r="U3541" s="17">
        <v>2</v>
      </c>
      <c r="V3541" s="17">
        <v>36</v>
      </c>
    </row>
    <row r="3542" spans="1:22" x14ac:dyDescent="0.2">
      <c r="A3542" t="s">
        <v>7915</v>
      </c>
      <c r="B3542" t="s">
        <v>7665</v>
      </c>
      <c r="C3542" t="s">
        <v>7666</v>
      </c>
      <c r="D3542" t="s">
        <v>7908</v>
      </c>
      <c r="E3542" s="10" t="s">
        <v>7916</v>
      </c>
      <c r="F3542" s="10"/>
      <c r="G3542" s="10"/>
      <c r="H3542" s="10" t="s">
        <v>7916</v>
      </c>
      <c r="I3542" s="14">
        <v>32951.636007329449</v>
      </c>
      <c r="J3542" s="19">
        <v>0</v>
      </c>
      <c r="K3542" s="19">
        <v>0.26236983261556718</v>
      </c>
      <c r="L3542" s="19">
        <v>0.73763016738443266</v>
      </c>
      <c r="M3542" s="20">
        <v>1</v>
      </c>
      <c r="N3542" s="19">
        <v>0</v>
      </c>
      <c r="O3542" s="19">
        <v>0.26236983261556718</v>
      </c>
      <c r="P3542" s="19">
        <v>0</v>
      </c>
      <c r="Q3542" s="19">
        <v>0.10733282490466503</v>
      </c>
      <c r="R3542" s="19">
        <v>0.52001398640903562</v>
      </c>
      <c r="S3542" s="19">
        <v>0.11028335607073222</v>
      </c>
      <c r="T3542" s="20">
        <v>12</v>
      </c>
      <c r="U3542" s="17">
        <v>2</v>
      </c>
      <c r="V3542" s="17">
        <v>36</v>
      </c>
    </row>
    <row r="3543" spans="1:22" x14ac:dyDescent="0.2">
      <c r="A3543" t="s">
        <v>7917</v>
      </c>
      <c r="B3543" t="s">
        <v>7665</v>
      </c>
      <c r="C3543" t="s">
        <v>7666</v>
      </c>
      <c r="D3543" t="s">
        <v>7908</v>
      </c>
      <c r="E3543" s="10" t="s">
        <v>7918</v>
      </c>
      <c r="F3543" s="10"/>
      <c r="G3543" s="10"/>
      <c r="H3543" s="10" t="s">
        <v>7918</v>
      </c>
      <c r="I3543" s="14">
        <v>38708.874067164958</v>
      </c>
      <c r="J3543" s="19">
        <v>0</v>
      </c>
      <c r="K3543" s="19">
        <v>0.69750787240614243</v>
      </c>
      <c r="L3543" s="19">
        <v>0.30249212759385757</v>
      </c>
      <c r="M3543" s="20">
        <v>2</v>
      </c>
      <c r="N3543" s="19">
        <v>0.39702089579417155</v>
      </c>
      <c r="O3543" s="19">
        <v>0</v>
      </c>
      <c r="P3543" s="19">
        <v>0.30048697661197094</v>
      </c>
      <c r="Q3543" s="19">
        <v>0.10297420668906328</v>
      </c>
      <c r="R3543" s="19">
        <v>0.16947719587546828</v>
      </c>
      <c r="S3543" s="19">
        <v>3.0040725029326018E-2</v>
      </c>
      <c r="T3543" s="20">
        <v>23</v>
      </c>
      <c r="U3543" s="17">
        <v>2</v>
      </c>
      <c r="V3543" s="17">
        <v>36</v>
      </c>
    </row>
    <row r="3544" spans="1:22" x14ac:dyDescent="0.2">
      <c r="A3544" t="s">
        <v>7919</v>
      </c>
      <c r="B3544" t="s">
        <v>7665</v>
      </c>
      <c r="C3544" t="s">
        <v>7666</v>
      </c>
      <c r="D3544" t="s">
        <v>7908</v>
      </c>
      <c r="E3544" s="10" t="s">
        <v>7920</v>
      </c>
      <c r="F3544" s="10"/>
      <c r="G3544" s="10"/>
      <c r="H3544" s="10" t="s">
        <v>7920</v>
      </c>
      <c r="I3544" s="14">
        <v>38860.696509063244</v>
      </c>
      <c r="J3544" s="19">
        <v>0</v>
      </c>
      <c r="K3544" s="19">
        <v>0.14738052639891949</v>
      </c>
      <c r="L3544" s="19">
        <v>0.85261947360108048</v>
      </c>
      <c r="M3544" s="20">
        <v>1</v>
      </c>
      <c r="N3544" s="19">
        <v>0</v>
      </c>
      <c r="O3544" s="19">
        <v>0.14738052639891949</v>
      </c>
      <c r="P3544" s="19">
        <v>0</v>
      </c>
      <c r="Q3544" s="19">
        <v>8.9087106423426418E-2</v>
      </c>
      <c r="R3544" s="19">
        <v>0.65467806507341053</v>
      </c>
      <c r="S3544" s="19">
        <v>0.10885430210424353</v>
      </c>
      <c r="T3544" s="20">
        <v>12</v>
      </c>
      <c r="U3544" s="17">
        <v>2</v>
      </c>
      <c r="V3544" s="17">
        <v>36</v>
      </c>
    </row>
    <row r="3545" spans="1:22" x14ac:dyDescent="0.2">
      <c r="A3545" t="s">
        <v>7921</v>
      </c>
      <c r="B3545" t="s">
        <v>7665</v>
      </c>
      <c r="C3545" t="s">
        <v>7666</v>
      </c>
      <c r="D3545" t="s">
        <v>7908</v>
      </c>
      <c r="E3545" s="10" t="s">
        <v>7922</v>
      </c>
      <c r="F3545" s="10"/>
      <c r="G3545" s="10"/>
      <c r="H3545" s="10" t="s">
        <v>7922</v>
      </c>
      <c r="I3545" s="14">
        <v>22031.074588805437</v>
      </c>
      <c r="J3545" s="19">
        <v>0</v>
      </c>
      <c r="K3545" s="19">
        <v>0.42501365373643707</v>
      </c>
      <c r="L3545" s="19">
        <v>0.57498634626356293</v>
      </c>
      <c r="M3545" s="20">
        <v>1</v>
      </c>
      <c r="N3545" s="19">
        <v>0.13533842419564798</v>
      </c>
      <c r="O3545" s="19">
        <v>0</v>
      </c>
      <c r="P3545" s="19">
        <v>0.28967522954078911</v>
      </c>
      <c r="Q3545" s="19">
        <v>0.29985643335151957</v>
      </c>
      <c r="R3545" s="19">
        <v>0.23770775345709316</v>
      </c>
      <c r="S3545" s="19">
        <v>3.7422159454950144E-2</v>
      </c>
      <c r="T3545" s="20">
        <v>13</v>
      </c>
      <c r="U3545" s="17">
        <v>2</v>
      </c>
      <c r="V3545" s="17">
        <v>36</v>
      </c>
    </row>
    <row r="3546" spans="1:22" x14ac:dyDescent="0.2">
      <c r="A3546" t="s">
        <v>7923</v>
      </c>
      <c r="B3546" t="s">
        <v>7665</v>
      </c>
      <c r="C3546" t="s">
        <v>7666</v>
      </c>
      <c r="D3546" t="s">
        <v>7908</v>
      </c>
      <c r="E3546" s="10" t="s">
        <v>7924</v>
      </c>
      <c r="F3546" s="10"/>
      <c r="G3546" s="10"/>
      <c r="H3546" s="10" t="s">
        <v>7924</v>
      </c>
      <c r="I3546" s="14">
        <v>39044.344319820404</v>
      </c>
      <c r="J3546" s="19">
        <v>0</v>
      </c>
      <c r="K3546" s="19">
        <v>0.61906873209886304</v>
      </c>
      <c r="L3546" s="19">
        <v>0.38093126790113702</v>
      </c>
      <c r="M3546" s="20">
        <v>2</v>
      </c>
      <c r="N3546" s="19">
        <v>0.55262464251808374</v>
      </c>
      <c r="O3546" s="19">
        <v>0</v>
      </c>
      <c r="P3546" s="19">
        <v>6.64440895807792E-2</v>
      </c>
      <c r="Q3546" s="19">
        <v>0.11320456225136938</v>
      </c>
      <c r="R3546" s="19">
        <v>0.22669896640544263</v>
      </c>
      <c r="S3546" s="19">
        <v>4.1027739244325047E-2</v>
      </c>
      <c r="T3546" s="20">
        <v>23</v>
      </c>
      <c r="U3546" s="17">
        <v>2</v>
      </c>
      <c r="V3546" s="17">
        <v>36</v>
      </c>
    </row>
    <row r="3547" spans="1:22" x14ac:dyDescent="0.2">
      <c r="A3547" t="s">
        <v>7925</v>
      </c>
      <c r="B3547" t="s">
        <v>7665</v>
      </c>
      <c r="C3547" t="s">
        <v>7666</v>
      </c>
      <c r="D3547" t="s">
        <v>7908</v>
      </c>
      <c r="E3547" s="10" t="s">
        <v>7926</v>
      </c>
      <c r="F3547" s="10"/>
      <c r="G3547" s="10"/>
      <c r="H3547" s="10" t="s">
        <v>7926</v>
      </c>
      <c r="I3547" s="14">
        <v>30178.894548237327</v>
      </c>
      <c r="J3547" s="19">
        <v>0</v>
      </c>
      <c r="K3547" s="19">
        <v>0.63728723261027465</v>
      </c>
      <c r="L3547" s="19">
        <v>0.36271276738972524</v>
      </c>
      <c r="M3547" s="20">
        <v>2</v>
      </c>
      <c r="N3547" s="19">
        <v>0.60220850828881434</v>
      </c>
      <c r="O3547" s="19">
        <v>0</v>
      </c>
      <c r="P3547" s="19">
        <v>3.5078724321460295E-2</v>
      </c>
      <c r="Q3547" s="19">
        <v>0.20106485934133966</v>
      </c>
      <c r="R3547" s="19">
        <v>0.13804488892690744</v>
      </c>
      <c r="S3547" s="19">
        <v>2.3603019121478143E-2</v>
      </c>
      <c r="T3547" s="20">
        <v>23</v>
      </c>
      <c r="U3547" s="17">
        <v>2</v>
      </c>
      <c r="V3547" s="17">
        <v>36</v>
      </c>
    </row>
    <row r="3548" spans="1:22" x14ac:dyDescent="0.2">
      <c r="A3548" t="s">
        <v>7927</v>
      </c>
      <c r="B3548" t="s">
        <v>7665</v>
      </c>
      <c r="C3548" t="s">
        <v>7666</v>
      </c>
      <c r="D3548" t="s">
        <v>7908</v>
      </c>
      <c r="E3548" s="10" t="s">
        <v>7928</v>
      </c>
      <c r="F3548" s="10"/>
      <c r="G3548" s="10"/>
      <c r="H3548" s="10" t="s">
        <v>7928</v>
      </c>
      <c r="I3548" s="14">
        <v>22396.727637853473</v>
      </c>
      <c r="J3548" s="19">
        <v>0</v>
      </c>
      <c r="K3548" s="19">
        <v>0</v>
      </c>
      <c r="L3548" s="19">
        <v>1</v>
      </c>
      <c r="M3548" s="20">
        <v>1</v>
      </c>
      <c r="N3548" s="19">
        <v>0</v>
      </c>
      <c r="O3548" s="19">
        <v>0</v>
      </c>
      <c r="P3548" s="19">
        <v>0</v>
      </c>
      <c r="Q3548" s="19">
        <v>0.18043658552742844</v>
      </c>
      <c r="R3548" s="19">
        <v>0.70062328643540384</v>
      </c>
      <c r="S3548" s="19">
        <v>0.11894012803716779</v>
      </c>
      <c r="T3548" s="20">
        <v>12</v>
      </c>
      <c r="U3548" s="17">
        <v>2</v>
      </c>
      <c r="V3548" s="17">
        <v>36</v>
      </c>
    </row>
    <row r="3549" spans="1:22" x14ac:dyDescent="0.2">
      <c r="A3549" t="s">
        <v>7929</v>
      </c>
      <c r="B3549" t="s">
        <v>7665</v>
      </c>
      <c r="C3549" t="s">
        <v>7666</v>
      </c>
      <c r="D3549" t="s">
        <v>7908</v>
      </c>
      <c r="E3549" s="10" t="s">
        <v>7930</v>
      </c>
      <c r="F3549" s="10"/>
      <c r="G3549" s="10"/>
      <c r="H3549" s="10" t="s">
        <v>7930</v>
      </c>
      <c r="I3549" s="14">
        <v>18932.092750757933</v>
      </c>
      <c r="J3549" s="19">
        <v>0</v>
      </c>
      <c r="K3549" s="19">
        <v>0.52940019101539637</v>
      </c>
      <c r="L3549" s="19">
        <v>0.47059980898460368</v>
      </c>
      <c r="M3549" s="20">
        <v>2</v>
      </c>
      <c r="N3549" s="19">
        <v>0</v>
      </c>
      <c r="O3549" s="19">
        <v>0.52940019101539637</v>
      </c>
      <c r="P3549" s="19">
        <v>0</v>
      </c>
      <c r="Q3549" s="19">
        <v>0.20975308020002936</v>
      </c>
      <c r="R3549" s="19">
        <v>0.20554982428519428</v>
      </c>
      <c r="S3549" s="19">
        <v>5.5296904499380038E-2</v>
      </c>
      <c r="T3549" s="20">
        <v>22</v>
      </c>
      <c r="U3549" s="17">
        <v>2</v>
      </c>
      <c r="V3549" s="17">
        <v>36</v>
      </c>
    </row>
    <row r="3550" spans="1:22" x14ac:dyDescent="0.2">
      <c r="A3550" t="s">
        <v>7931</v>
      </c>
      <c r="B3550" t="s">
        <v>7665</v>
      </c>
      <c r="C3550" t="s">
        <v>7666</v>
      </c>
      <c r="D3550" t="s">
        <v>7908</v>
      </c>
      <c r="E3550" s="10" t="s">
        <v>7932</v>
      </c>
      <c r="F3550" s="10"/>
      <c r="G3550" s="10"/>
      <c r="H3550" s="10" t="s">
        <v>7932</v>
      </c>
      <c r="I3550" s="14">
        <v>47937.950559481978</v>
      </c>
      <c r="J3550" s="19">
        <v>0</v>
      </c>
      <c r="K3550" s="19">
        <v>0.37304340609670927</v>
      </c>
      <c r="L3550" s="19">
        <v>0.62695659390329073</v>
      </c>
      <c r="M3550" s="20">
        <v>1</v>
      </c>
      <c r="N3550" s="19">
        <v>0.20481245208287774</v>
      </c>
      <c r="O3550" s="19">
        <v>0.11011321927291676</v>
      </c>
      <c r="P3550" s="19">
        <v>5.811773474091482E-2</v>
      </c>
      <c r="Q3550" s="19">
        <v>0.21459706778142384</v>
      </c>
      <c r="R3550" s="19">
        <v>0.36779648256916792</v>
      </c>
      <c r="S3550" s="19">
        <v>4.4563043552698932E-2</v>
      </c>
      <c r="T3550" s="20">
        <v>12</v>
      </c>
      <c r="U3550" s="17">
        <v>2</v>
      </c>
      <c r="V3550" s="17">
        <v>36</v>
      </c>
    </row>
    <row r="3551" spans="1:22" x14ac:dyDescent="0.2">
      <c r="A3551" t="s">
        <v>7933</v>
      </c>
      <c r="B3551" t="s">
        <v>7665</v>
      </c>
      <c r="C3551" t="s">
        <v>7666</v>
      </c>
      <c r="D3551" t="s">
        <v>7934</v>
      </c>
      <c r="E3551" s="10" t="s">
        <v>7935</v>
      </c>
      <c r="F3551" s="10"/>
      <c r="G3551" s="10"/>
      <c r="H3551" s="10" t="s">
        <v>7935</v>
      </c>
      <c r="I3551" s="14">
        <v>73897.568033307791</v>
      </c>
      <c r="J3551" s="19">
        <v>0</v>
      </c>
      <c r="K3551" s="19">
        <v>0.6203887540880394</v>
      </c>
      <c r="L3551" s="19">
        <v>0.37961124591196055</v>
      </c>
      <c r="M3551" s="20">
        <v>2</v>
      </c>
      <c r="N3551" s="19">
        <v>0.22795385989076183</v>
      </c>
      <c r="O3551" s="19">
        <v>0</v>
      </c>
      <c r="P3551" s="19">
        <v>0.39243489419727756</v>
      </c>
      <c r="Q3551" s="19">
        <v>0.19209772484581059</v>
      </c>
      <c r="R3551" s="19">
        <v>0.15486498381356753</v>
      </c>
      <c r="S3551" s="19">
        <v>3.2648537252582432E-2</v>
      </c>
      <c r="T3551" s="20">
        <v>23</v>
      </c>
      <c r="U3551" s="17">
        <v>2</v>
      </c>
      <c r="V3551" s="17">
        <v>36</v>
      </c>
    </row>
    <row r="3552" spans="1:22" x14ac:dyDescent="0.2">
      <c r="A3552" t="s">
        <v>7936</v>
      </c>
      <c r="B3552" t="s">
        <v>7665</v>
      </c>
      <c r="C3552" t="s">
        <v>7666</v>
      </c>
      <c r="D3552" t="s">
        <v>7934</v>
      </c>
      <c r="E3552" s="10" t="s">
        <v>7937</v>
      </c>
      <c r="F3552" s="10"/>
      <c r="G3552" s="10"/>
      <c r="H3552" s="10" t="s">
        <v>7937</v>
      </c>
      <c r="I3552" s="14">
        <v>402412.08291838673</v>
      </c>
      <c r="J3552" s="19">
        <v>0.7536099342089706</v>
      </c>
      <c r="K3552" s="19">
        <v>0.19238849149010312</v>
      </c>
      <c r="L3552" s="19">
        <v>5.4001574300926121E-2</v>
      </c>
      <c r="M3552" s="20">
        <v>3</v>
      </c>
      <c r="N3552" s="19">
        <v>7.5299031522935336E-2</v>
      </c>
      <c r="O3552" s="19">
        <v>0</v>
      </c>
      <c r="P3552" s="19">
        <v>0.1170894599671678</v>
      </c>
      <c r="Q3552" s="19">
        <v>1.0136282558673243E-2</v>
      </c>
      <c r="R3552" s="19">
        <v>3.983343763066198E-2</v>
      </c>
      <c r="S3552" s="19">
        <v>4.0318541115909011E-3</v>
      </c>
      <c r="T3552" s="20">
        <v>30</v>
      </c>
      <c r="U3552" s="17">
        <v>2</v>
      </c>
      <c r="V3552" s="17">
        <v>36</v>
      </c>
    </row>
    <row r="3553" spans="1:22" x14ac:dyDescent="0.2">
      <c r="A3553" t="s">
        <v>7938</v>
      </c>
      <c r="B3553" t="s">
        <v>7665</v>
      </c>
      <c r="C3553" t="s">
        <v>7666</v>
      </c>
      <c r="D3553" t="s">
        <v>7934</v>
      </c>
      <c r="E3553" s="10" t="s">
        <v>7939</v>
      </c>
      <c r="F3553" s="10"/>
      <c r="G3553" s="10"/>
      <c r="H3553" s="10" t="s">
        <v>7939</v>
      </c>
      <c r="I3553" s="14">
        <v>122579.69710849994</v>
      </c>
      <c r="J3553" s="19">
        <v>0</v>
      </c>
      <c r="K3553" s="19">
        <v>0.83053349210122396</v>
      </c>
      <c r="L3553" s="19">
        <v>0.16946650789877601</v>
      </c>
      <c r="M3553" s="20">
        <v>2</v>
      </c>
      <c r="N3553" s="19">
        <v>0.29949027551273666</v>
      </c>
      <c r="O3553" s="19">
        <v>0</v>
      </c>
      <c r="P3553" s="19">
        <v>0.5310432165884873</v>
      </c>
      <c r="Q3553" s="19">
        <v>4.5440563923321076E-2</v>
      </c>
      <c r="R3553" s="19">
        <v>0.1159019963068581</v>
      </c>
      <c r="S3553" s="19">
        <v>8.1239476685968388E-3</v>
      </c>
      <c r="T3553" s="20">
        <v>21</v>
      </c>
      <c r="U3553" s="17">
        <v>2</v>
      </c>
      <c r="V3553" s="17">
        <v>36</v>
      </c>
    </row>
    <row r="3554" spans="1:22" x14ac:dyDescent="0.2">
      <c r="A3554" t="s">
        <v>7940</v>
      </c>
      <c r="B3554" t="s">
        <v>7665</v>
      </c>
      <c r="C3554" t="s">
        <v>7666</v>
      </c>
      <c r="D3554" t="s">
        <v>7934</v>
      </c>
      <c r="E3554" s="10" t="s">
        <v>7941</v>
      </c>
      <c r="F3554" s="10"/>
      <c r="G3554" s="10"/>
      <c r="H3554" s="10" t="s">
        <v>7941</v>
      </c>
      <c r="I3554" s="14">
        <v>200821.45987739484</v>
      </c>
      <c r="J3554" s="19">
        <v>0.29039765862257161</v>
      </c>
      <c r="K3554" s="19">
        <v>0.46948240919760786</v>
      </c>
      <c r="L3554" s="19">
        <v>0.24011993217982053</v>
      </c>
      <c r="M3554" s="20">
        <v>2</v>
      </c>
      <c r="N3554" s="19">
        <v>7.9504477747525393E-2</v>
      </c>
      <c r="O3554" s="19">
        <v>0.10953092956922358</v>
      </c>
      <c r="P3554" s="19">
        <v>0.28044700188085886</v>
      </c>
      <c r="Q3554" s="19">
        <v>5.9743914742164304E-2</v>
      </c>
      <c r="R3554" s="19">
        <v>0.15855835851260106</v>
      </c>
      <c r="S3554" s="19">
        <v>2.1817658925055172E-2</v>
      </c>
      <c r="T3554" s="20">
        <v>22</v>
      </c>
      <c r="U3554" s="17">
        <v>2</v>
      </c>
      <c r="V3554" s="17">
        <v>36</v>
      </c>
    </row>
    <row r="3555" spans="1:22" x14ac:dyDescent="0.2">
      <c r="A3555" t="s">
        <v>7942</v>
      </c>
      <c r="B3555" t="s">
        <v>7665</v>
      </c>
      <c r="C3555" t="s">
        <v>7666</v>
      </c>
      <c r="D3555" t="s">
        <v>7934</v>
      </c>
      <c r="E3555" s="10" t="s">
        <v>7943</v>
      </c>
      <c r="F3555" s="10"/>
      <c r="G3555" s="10"/>
      <c r="H3555" s="10" t="s">
        <v>7943</v>
      </c>
      <c r="I3555" s="14">
        <v>149029.67338200612</v>
      </c>
      <c r="J3555" s="19">
        <v>0</v>
      </c>
      <c r="K3555" s="19">
        <v>0.70674434467301595</v>
      </c>
      <c r="L3555" s="19">
        <v>0.29325565532698405</v>
      </c>
      <c r="M3555" s="20">
        <v>2</v>
      </c>
      <c r="N3555" s="19">
        <v>0.32665129237139817</v>
      </c>
      <c r="O3555" s="19">
        <v>0.23185710719421768</v>
      </c>
      <c r="P3555" s="19">
        <v>0.1482359451074001</v>
      </c>
      <c r="Q3555" s="19">
        <v>5.4851095613705811E-2</v>
      </c>
      <c r="R3555" s="19">
        <v>0.17684528254309517</v>
      </c>
      <c r="S3555" s="19">
        <v>6.1559277170183044E-2</v>
      </c>
      <c r="T3555" s="20">
        <v>23</v>
      </c>
      <c r="U3555" s="17">
        <v>2</v>
      </c>
      <c r="V3555" s="17">
        <v>36</v>
      </c>
    </row>
    <row r="3556" spans="1:22" x14ac:dyDescent="0.2">
      <c r="A3556" t="s">
        <v>7944</v>
      </c>
      <c r="B3556" t="s">
        <v>7665</v>
      </c>
      <c r="C3556" t="s">
        <v>7666</v>
      </c>
      <c r="D3556" t="s">
        <v>7934</v>
      </c>
      <c r="E3556" s="10" t="s">
        <v>7945</v>
      </c>
      <c r="F3556" s="10"/>
      <c r="G3556" s="10"/>
      <c r="H3556" s="10" t="s">
        <v>7945</v>
      </c>
      <c r="I3556" s="14">
        <v>173926.09451720351</v>
      </c>
      <c r="J3556" s="19">
        <v>0</v>
      </c>
      <c r="K3556" s="19">
        <v>0.67677091261023559</v>
      </c>
      <c r="L3556" s="19">
        <v>0.32322908738976447</v>
      </c>
      <c r="M3556" s="20">
        <v>2</v>
      </c>
      <c r="N3556" s="19">
        <v>0.28509677133264139</v>
      </c>
      <c r="O3556" s="19">
        <v>3.5189515174315761E-2</v>
      </c>
      <c r="P3556" s="19">
        <v>0.35648462610327841</v>
      </c>
      <c r="Q3556" s="19">
        <v>2.5468325508422769E-2</v>
      </c>
      <c r="R3556" s="19">
        <v>0.27872737411368725</v>
      </c>
      <c r="S3556" s="19">
        <v>1.9033387767654394E-2</v>
      </c>
      <c r="T3556" s="20">
        <v>23</v>
      </c>
      <c r="U3556" s="17">
        <v>2</v>
      </c>
      <c r="V3556" s="17">
        <v>36</v>
      </c>
    </row>
    <row r="3557" spans="1:22" x14ac:dyDescent="0.2">
      <c r="A3557" t="s">
        <v>7946</v>
      </c>
      <c r="B3557" t="s">
        <v>7665</v>
      </c>
      <c r="C3557" t="s">
        <v>7666</v>
      </c>
      <c r="D3557" t="s">
        <v>7934</v>
      </c>
      <c r="E3557" s="10" t="s">
        <v>7947</v>
      </c>
      <c r="F3557" s="10"/>
      <c r="G3557" s="10"/>
      <c r="H3557" s="10" t="s">
        <v>7947</v>
      </c>
      <c r="I3557" s="14">
        <v>72192.10076652118</v>
      </c>
      <c r="J3557" s="19">
        <v>0</v>
      </c>
      <c r="K3557" s="19">
        <v>0.50277304195142891</v>
      </c>
      <c r="L3557" s="19">
        <v>0.4972269580485712</v>
      </c>
      <c r="M3557" s="20">
        <v>2</v>
      </c>
      <c r="N3557" s="19">
        <v>0.34162901069547852</v>
      </c>
      <c r="O3557" s="19">
        <v>0</v>
      </c>
      <c r="P3557" s="19">
        <v>0.16114403125595034</v>
      </c>
      <c r="Q3557" s="19">
        <v>0.13371798055006337</v>
      </c>
      <c r="R3557" s="19">
        <v>0.31129795865998366</v>
      </c>
      <c r="S3557" s="19">
        <v>5.2211018838524109E-2</v>
      </c>
      <c r="T3557" s="20">
        <v>23</v>
      </c>
      <c r="U3557" s="17">
        <v>2</v>
      </c>
      <c r="V3557" s="17">
        <v>36</v>
      </c>
    </row>
    <row r="3558" spans="1:22" x14ac:dyDescent="0.2">
      <c r="A3558" t="s">
        <v>7948</v>
      </c>
      <c r="B3558" t="s">
        <v>7665</v>
      </c>
      <c r="C3558" t="s">
        <v>7666</v>
      </c>
      <c r="D3558" t="s">
        <v>7934</v>
      </c>
      <c r="E3558" s="10" t="s">
        <v>7949</v>
      </c>
      <c r="F3558" s="10"/>
      <c r="G3558" s="10"/>
      <c r="H3558" s="10" t="s">
        <v>7949</v>
      </c>
      <c r="I3558" s="14">
        <v>99712.781796633164</v>
      </c>
      <c r="J3558" s="19">
        <v>0</v>
      </c>
      <c r="K3558" s="19">
        <v>0.83127082172271283</v>
      </c>
      <c r="L3558" s="19">
        <v>0.16872917827728698</v>
      </c>
      <c r="M3558" s="20">
        <v>2</v>
      </c>
      <c r="N3558" s="19">
        <v>0.44432370087101924</v>
      </c>
      <c r="O3558" s="19">
        <v>0</v>
      </c>
      <c r="P3558" s="19">
        <v>0.38694712085169364</v>
      </c>
      <c r="Q3558" s="19">
        <v>2.2130309849056368E-2</v>
      </c>
      <c r="R3558" s="19">
        <v>0.12570433078078017</v>
      </c>
      <c r="S3558" s="19">
        <v>2.0894537647450469E-2</v>
      </c>
      <c r="T3558" s="20">
        <v>23</v>
      </c>
      <c r="U3558" s="17">
        <v>2</v>
      </c>
      <c r="V3558" s="17">
        <v>36</v>
      </c>
    </row>
    <row r="3559" spans="1:22" x14ac:dyDescent="0.2">
      <c r="A3559" t="s">
        <v>7950</v>
      </c>
      <c r="B3559" t="s">
        <v>7665</v>
      </c>
      <c r="C3559" t="s">
        <v>7666</v>
      </c>
      <c r="D3559" t="s">
        <v>7934</v>
      </c>
      <c r="E3559" s="10" t="s">
        <v>7951</v>
      </c>
      <c r="F3559" s="10"/>
      <c r="G3559" s="10"/>
      <c r="H3559" s="10" t="s">
        <v>7951</v>
      </c>
      <c r="I3559" s="14">
        <v>107731.14157161256</v>
      </c>
      <c r="J3559" s="19">
        <v>0</v>
      </c>
      <c r="K3559" s="19">
        <v>0.73873750567971486</v>
      </c>
      <c r="L3559" s="19">
        <v>0.26126249432028514</v>
      </c>
      <c r="M3559" s="20">
        <v>2</v>
      </c>
      <c r="N3559" s="19">
        <v>0.26565645687059858</v>
      </c>
      <c r="O3559" s="19">
        <v>0.14491017908650097</v>
      </c>
      <c r="P3559" s="19">
        <v>0.32817086972261528</v>
      </c>
      <c r="Q3559" s="19">
        <v>9.3922147910828008E-2</v>
      </c>
      <c r="R3559" s="19">
        <v>0.14453243999674339</v>
      </c>
      <c r="S3559" s="19">
        <v>2.2807906412713769E-2</v>
      </c>
      <c r="T3559" s="20">
        <v>23</v>
      </c>
      <c r="U3559" s="17">
        <v>2</v>
      </c>
      <c r="V3559" s="17">
        <v>36</v>
      </c>
    </row>
    <row r="3560" spans="1:22" x14ac:dyDescent="0.2">
      <c r="A3560" t="s">
        <v>7952</v>
      </c>
      <c r="B3560" t="s">
        <v>7665</v>
      </c>
      <c r="C3560" t="s">
        <v>7666</v>
      </c>
      <c r="D3560" t="s">
        <v>7934</v>
      </c>
      <c r="E3560" s="10" t="s">
        <v>7953</v>
      </c>
      <c r="F3560" s="10"/>
      <c r="G3560" s="10"/>
      <c r="H3560" s="10" t="s">
        <v>7953</v>
      </c>
      <c r="I3560" s="14">
        <v>68459.33130205702</v>
      </c>
      <c r="J3560" s="19">
        <v>0.31040152992060205</v>
      </c>
      <c r="K3560" s="19">
        <v>0.35539713417443641</v>
      </c>
      <c r="L3560" s="19">
        <v>0.33420133590496159</v>
      </c>
      <c r="M3560" s="20">
        <v>2</v>
      </c>
      <c r="N3560" s="19">
        <v>0</v>
      </c>
      <c r="O3560" s="19">
        <v>0.23182395911497514</v>
      </c>
      <c r="P3560" s="19">
        <v>0.12357317505946126</v>
      </c>
      <c r="Q3560" s="19">
        <v>0.10724360473440833</v>
      </c>
      <c r="R3560" s="19">
        <v>0.17941651631508551</v>
      </c>
      <c r="S3560" s="19">
        <v>4.7541214855467695E-2</v>
      </c>
      <c r="T3560" s="20">
        <v>22</v>
      </c>
      <c r="U3560" s="17">
        <v>2</v>
      </c>
      <c r="V3560" s="17">
        <v>36</v>
      </c>
    </row>
    <row r="3561" spans="1:22" x14ac:dyDescent="0.2">
      <c r="A3561" t="s">
        <v>7954</v>
      </c>
      <c r="B3561" t="s">
        <v>7665</v>
      </c>
      <c r="C3561" t="s">
        <v>7666</v>
      </c>
      <c r="D3561" t="s">
        <v>7934</v>
      </c>
      <c r="E3561" s="10" t="s">
        <v>7955</v>
      </c>
      <c r="F3561" s="10"/>
      <c r="G3561" s="10"/>
      <c r="H3561" s="10" t="s">
        <v>7955</v>
      </c>
      <c r="I3561" s="14">
        <v>145323.45904371096</v>
      </c>
      <c r="J3561" s="19">
        <v>0</v>
      </c>
      <c r="K3561" s="19">
        <v>0.63250426701392348</v>
      </c>
      <c r="L3561" s="19">
        <v>0.36749573298607657</v>
      </c>
      <c r="M3561" s="20">
        <v>2</v>
      </c>
      <c r="N3561" s="19">
        <v>0.1766563964301156</v>
      </c>
      <c r="O3561" s="19">
        <v>0.11698507161646607</v>
      </c>
      <c r="P3561" s="19">
        <v>0.33886279896734178</v>
      </c>
      <c r="Q3561" s="19">
        <v>2.5137680125294853E-2</v>
      </c>
      <c r="R3561" s="19">
        <v>0.32331088615099346</v>
      </c>
      <c r="S3561" s="19">
        <v>1.9047166709788257E-2</v>
      </c>
      <c r="T3561" s="20">
        <v>23</v>
      </c>
      <c r="U3561" s="17">
        <v>2</v>
      </c>
      <c r="V3561" s="17">
        <v>36</v>
      </c>
    </row>
    <row r="3562" spans="1:22" x14ac:dyDescent="0.2">
      <c r="A3562" t="s">
        <v>7956</v>
      </c>
      <c r="B3562" t="s">
        <v>7665</v>
      </c>
      <c r="C3562" t="s">
        <v>7666</v>
      </c>
      <c r="D3562" t="s">
        <v>7934</v>
      </c>
      <c r="E3562" s="10" t="s">
        <v>7957</v>
      </c>
      <c r="F3562" s="10"/>
      <c r="G3562" s="10"/>
      <c r="H3562" s="10" t="s">
        <v>7957</v>
      </c>
      <c r="I3562" s="14">
        <v>243609.5412643794</v>
      </c>
      <c r="J3562" s="19">
        <v>0.28960554724212023</v>
      </c>
      <c r="K3562" s="19">
        <v>0.52391086282643085</v>
      </c>
      <c r="L3562" s="19">
        <v>0.18648358993144895</v>
      </c>
      <c r="M3562" s="20">
        <v>2</v>
      </c>
      <c r="N3562" s="19">
        <v>3.9787000435226531E-2</v>
      </c>
      <c r="O3562" s="19">
        <v>2.6087634865259852E-2</v>
      </c>
      <c r="P3562" s="19">
        <v>0.45803622752594447</v>
      </c>
      <c r="Q3562" s="19">
        <v>4.1336614433934923E-2</v>
      </c>
      <c r="R3562" s="19">
        <v>0.13599155726968076</v>
      </c>
      <c r="S3562" s="19">
        <v>9.1554182278332594E-3</v>
      </c>
      <c r="T3562" s="20">
        <v>23</v>
      </c>
      <c r="U3562" s="17">
        <v>2</v>
      </c>
      <c r="V3562" s="17">
        <v>36</v>
      </c>
    </row>
    <row r="3563" spans="1:22" x14ac:dyDescent="0.2">
      <c r="A3563" t="s">
        <v>7958</v>
      </c>
      <c r="B3563" t="s">
        <v>7665</v>
      </c>
      <c r="C3563" t="s">
        <v>7666</v>
      </c>
      <c r="D3563" t="s">
        <v>7934</v>
      </c>
      <c r="E3563" s="10" t="s">
        <v>7959</v>
      </c>
      <c r="F3563" s="10"/>
      <c r="G3563" s="10"/>
      <c r="H3563" s="10" t="s">
        <v>7959</v>
      </c>
      <c r="I3563" s="14">
        <v>73193.204193037469</v>
      </c>
      <c r="J3563" s="19">
        <v>0</v>
      </c>
      <c r="K3563" s="19">
        <v>0.6474340944875514</v>
      </c>
      <c r="L3563" s="19">
        <v>0.35256590551244854</v>
      </c>
      <c r="M3563" s="20">
        <v>2</v>
      </c>
      <c r="N3563" s="19">
        <v>0.15921809298174464</v>
      </c>
      <c r="O3563" s="19">
        <v>0.1413687402121297</v>
      </c>
      <c r="P3563" s="19">
        <v>0.34684726129367704</v>
      </c>
      <c r="Q3563" s="19">
        <v>0.17083844394688702</v>
      </c>
      <c r="R3563" s="19">
        <v>0.15323526163530854</v>
      </c>
      <c r="S3563" s="19">
        <v>2.8492199930253009E-2</v>
      </c>
      <c r="T3563" s="20">
        <v>23</v>
      </c>
      <c r="U3563" s="17">
        <v>2</v>
      </c>
      <c r="V3563" s="17">
        <v>36</v>
      </c>
    </row>
    <row r="3564" spans="1:22" x14ac:dyDescent="0.2">
      <c r="A3564" t="s">
        <v>7960</v>
      </c>
      <c r="B3564" t="s">
        <v>7665</v>
      </c>
      <c r="C3564" t="s">
        <v>7666</v>
      </c>
      <c r="D3564" t="s">
        <v>7934</v>
      </c>
      <c r="E3564" s="10" t="s">
        <v>7961</v>
      </c>
      <c r="F3564" s="10"/>
      <c r="G3564" s="10"/>
      <c r="H3564" s="10" t="s">
        <v>7961</v>
      </c>
      <c r="I3564" s="14">
        <v>80069.551290750504</v>
      </c>
      <c r="J3564" s="19">
        <v>0</v>
      </c>
      <c r="K3564" s="19">
        <v>0.35514419183841245</v>
      </c>
      <c r="L3564" s="19">
        <v>0.6448558081615875</v>
      </c>
      <c r="M3564" s="20">
        <v>1</v>
      </c>
      <c r="N3564" s="19">
        <v>0.16515044644065904</v>
      </c>
      <c r="O3564" s="19">
        <v>0</v>
      </c>
      <c r="P3564" s="19">
        <v>0.18999374539775341</v>
      </c>
      <c r="Q3564" s="19">
        <v>0.16790133895574294</v>
      </c>
      <c r="R3564" s="19">
        <v>0.43204529602605329</v>
      </c>
      <c r="S3564" s="19">
        <v>4.4909173179791331E-2</v>
      </c>
      <c r="T3564" s="20">
        <v>12</v>
      </c>
      <c r="U3564" s="17">
        <v>2</v>
      </c>
      <c r="V3564" s="17">
        <v>36</v>
      </c>
    </row>
    <row r="3565" spans="1:22" x14ac:dyDescent="0.2">
      <c r="A3565" t="s">
        <v>7962</v>
      </c>
      <c r="B3565" t="s">
        <v>7665</v>
      </c>
      <c r="C3565" t="s">
        <v>7666</v>
      </c>
      <c r="D3565" t="s">
        <v>7934</v>
      </c>
      <c r="E3565" s="10" t="s">
        <v>7963</v>
      </c>
      <c r="F3565" s="10"/>
      <c r="G3565" s="10"/>
      <c r="H3565" s="10" t="s">
        <v>7963</v>
      </c>
      <c r="I3565" s="14">
        <v>122576.28272606526</v>
      </c>
      <c r="J3565" s="19">
        <v>0.42931810611781107</v>
      </c>
      <c r="K3565" s="19">
        <v>0.43863132534842569</v>
      </c>
      <c r="L3565" s="19">
        <v>0.13205056853376324</v>
      </c>
      <c r="M3565" s="20">
        <v>2</v>
      </c>
      <c r="N3565" s="19">
        <v>0.19573167838188382</v>
      </c>
      <c r="O3565" s="19">
        <v>9.0905286471869379E-2</v>
      </c>
      <c r="P3565" s="19">
        <v>0.15199436049467249</v>
      </c>
      <c r="Q3565" s="19">
        <v>3.7802492272143953E-2</v>
      </c>
      <c r="R3565" s="19">
        <v>8.3952978597552047E-2</v>
      </c>
      <c r="S3565" s="19">
        <v>1.0295097664067223E-2</v>
      </c>
      <c r="T3565" s="20">
        <v>23</v>
      </c>
      <c r="U3565" s="17">
        <v>2</v>
      </c>
      <c r="V3565" s="17">
        <v>36</v>
      </c>
    </row>
    <row r="3566" spans="1:22" x14ac:dyDescent="0.2">
      <c r="A3566" t="s">
        <v>7964</v>
      </c>
      <c r="B3566" t="s">
        <v>7665</v>
      </c>
      <c r="C3566" t="s">
        <v>7666</v>
      </c>
      <c r="D3566" t="s">
        <v>7965</v>
      </c>
      <c r="E3566" s="10" t="s">
        <v>7966</v>
      </c>
      <c r="F3566" s="10"/>
      <c r="G3566" s="10"/>
      <c r="H3566" s="10" t="s">
        <v>7966</v>
      </c>
      <c r="I3566" s="14">
        <v>116496.04079667234</v>
      </c>
      <c r="J3566" s="19">
        <v>0.40619004627831073</v>
      </c>
      <c r="K3566" s="19">
        <v>0.41026300164670348</v>
      </c>
      <c r="L3566" s="19">
        <v>0.18354695207498575</v>
      </c>
      <c r="M3566" s="20">
        <v>2</v>
      </c>
      <c r="N3566" s="19">
        <v>6.4944101375883856E-2</v>
      </c>
      <c r="O3566" s="19">
        <v>0</v>
      </c>
      <c r="P3566" s="19">
        <v>0.34531890027081968</v>
      </c>
      <c r="Q3566" s="19">
        <v>3.1449222185490353E-3</v>
      </c>
      <c r="R3566" s="19">
        <v>0.16221894953275828</v>
      </c>
      <c r="S3566" s="19">
        <v>1.8183080323678415E-2</v>
      </c>
      <c r="T3566" s="20">
        <v>23</v>
      </c>
      <c r="U3566" s="17">
        <v>2</v>
      </c>
      <c r="V3566" s="17">
        <v>36</v>
      </c>
    </row>
    <row r="3567" spans="1:22" x14ac:dyDescent="0.2">
      <c r="A3567" t="s">
        <v>7967</v>
      </c>
      <c r="B3567" t="s">
        <v>7665</v>
      </c>
      <c r="C3567" t="s">
        <v>7666</v>
      </c>
      <c r="D3567" t="s">
        <v>7965</v>
      </c>
      <c r="E3567" s="10" t="s">
        <v>7968</v>
      </c>
      <c r="F3567" s="10"/>
      <c r="G3567" s="10"/>
      <c r="H3567" s="10" t="s">
        <v>7968</v>
      </c>
      <c r="I3567" s="14">
        <v>116064.55391377211</v>
      </c>
      <c r="J3567" s="19">
        <v>0.54342674621152642</v>
      </c>
      <c r="K3567" s="19">
        <v>0.2983339146575047</v>
      </c>
      <c r="L3567" s="19">
        <v>0.15823933913096885</v>
      </c>
      <c r="M3567" s="20">
        <v>3</v>
      </c>
      <c r="N3567" s="19">
        <v>7.0020988170062387E-2</v>
      </c>
      <c r="O3567" s="19">
        <v>4.9481445578618388E-2</v>
      </c>
      <c r="P3567" s="19">
        <v>0.17883148090882392</v>
      </c>
      <c r="Q3567" s="19">
        <v>1.4110658084264186E-2</v>
      </c>
      <c r="R3567" s="19">
        <v>0.11570958377116961</v>
      </c>
      <c r="S3567" s="19">
        <v>2.8419097275535057E-2</v>
      </c>
      <c r="T3567" s="20">
        <v>30</v>
      </c>
      <c r="U3567" s="17">
        <v>2</v>
      </c>
      <c r="V3567" s="17">
        <v>36</v>
      </c>
    </row>
    <row r="3568" spans="1:22" x14ac:dyDescent="0.2">
      <c r="A3568" t="s">
        <v>7969</v>
      </c>
      <c r="B3568" t="s">
        <v>7665</v>
      </c>
      <c r="C3568" t="s">
        <v>7666</v>
      </c>
      <c r="D3568" t="s">
        <v>7965</v>
      </c>
      <c r="E3568" s="10" t="s">
        <v>7970</v>
      </c>
      <c r="F3568" s="10"/>
      <c r="G3568" s="10"/>
      <c r="H3568" s="10" t="s">
        <v>7970</v>
      </c>
      <c r="I3568" s="14">
        <v>89054.112801084761</v>
      </c>
      <c r="J3568" s="19">
        <v>0</v>
      </c>
      <c r="K3568" s="19">
        <v>0.5537655581087475</v>
      </c>
      <c r="L3568" s="19">
        <v>0.44623444189125244</v>
      </c>
      <c r="M3568" s="20">
        <v>2</v>
      </c>
      <c r="N3568" s="19">
        <v>0.15498053801438261</v>
      </c>
      <c r="O3568" s="19">
        <v>4.0504019514113913E-2</v>
      </c>
      <c r="P3568" s="19">
        <v>0.35828100058025109</v>
      </c>
      <c r="Q3568" s="19">
        <v>7.5297731079932984E-2</v>
      </c>
      <c r="R3568" s="19">
        <v>0.32003502328213235</v>
      </c>
      <c r="S3568" s="19">
        <v>5.0901687529187126E-2</v>
      </c>
      <c r="T3568" s="20">
        <v>23</v>
      </c>
      <c r="U3568" s="17">
        <v>2</v>
      </c>
      <c r="V3568" s="17">
        <v>36</v>
      </c>
    </row>
    <row r="3569" spans="1:22" x14ac:dyDescent="0.2">
      <c r="A3569" t="s">
        <v>7971</v>
      </c>
      <c r="B3569" t="s">
        <v>7665</v>
      </c>
      <c r="C3569" t="s">
        <v>7666</v>
      </c>
      <c r="D3569" t="s">
        <v>7965</v>
      </c>
      <c r="E3569" s="10" t="s">
        <v>7972</v>
      </c>
      <c r="F3569" s="10"/>
      <c r="G3569" s="10"/>
      <c r="H3569" s="10" t="s">
        <v>7972</v>
      </c>
      <c r="I3569" s="14">
        <v>75013.91709979903</v>
      </c>
      <c r="J3569" s="19">
        <v>0</v>
      </c>
      <c r="K3569" s="19">
        <v>0.41988301350591151</v>
      </c>
      <c r="L3569" s="19">
        <v>0.58011698649408849</v>
      </c>
      <c r="M3569" s="20">
        <v>1</v>
      </c>
      <c r="N3569" s="19">
        <v>0</v>
      </c>
      <c r="O3569" s="19">
        <v>0.3241426690000071</v>
      </c>
      <c r="P3569" s="19">
        <v>9.5740344505904421E-2</v>
      </c>
      <c r="Q3569" s="19">
        <v>0.10186049179300052</v>
      </c>
      <c r="R3569" s="19">
        <v>0.39062597650934772</v>
      </c>
      <c r="S3569" s="19">
        <v>8.7630518191740281E-2</v>
      </c>
      <c r="T3569" s="20">
        <v>12</v>
      </c>
      <c r="U3569" s="17">
        <v>2</v>
      </c>
      <c r="V3569" s="17">
        <v>36</v>
      </c>
    </row>
    <row r="3570" spans="1:22" x14ac:dyDescent="0.2">
      <c r="A3570" t="s">
        <v>7973</v>
      </c>
      <c r="B3570" t="s">
        <v>7665</v>
      </c>
      <c r="C3570" t="s">
        <v>7666</v>
      </c>
      <c r="D3570" t="s">
        <v>7965</v>
      </c>
      <c r="E3570" s="10" t="s">
        <v>7974</v>
      </c>
      <c r="F3570" s="10"/>
      <c r="G3570" s="10"/>
      <c r="H3570" s="10" t="s">
        <v>7974</v>
      </c>
      <c r="I3570" s="14">
        <v>52198.871378350079</v>
      </c>
      <c r="J3570" s="19">
        <v>0</v>
      </c>
      <c r="K3570" s="19">
        <v>0.33384858350066143</v>
      </c>
      <c r="L3570" s="19">
        <v>0.66615141649933851</v>
      </c>
      <c r="M3570" s="20">
        <v>1</v>
      </c>
      <c r="N3570" s="19">
        <v>0.18134006002553638</v>
      </c>
      <c r="O3570" s="19">
        <v>0.11112579141101121</v>
      </c>
      <c r="P3570" s="19">
        <v>4.1382732064113831E-2</v>
      </c>
      <c r="Q3570" s="19">
        <v>0.15650795227928374</v>
      </c>
      <c r="R3570" s="19">
        <v>0.40974060949257224</v>
      </c>
      <c r="S3570" s="19">
        <v>9.9902854727482462E-2</v>
      </c>
      <c r="T3570" s="20">
        <v>12</v>
      </c>
      <c r="U3570" s="17">
        <v>2</v>
      </c>
      <c r="V3570" s="17">
        <v>36</v>
      </c>
    </row>
    <row r="3571" spans="1:22" x14ac:dyDescent="0.2">
      <c r="A3571" t="s">
        <v>7975</v>
      </c>
      <c r="B3571" t="s">
        <v>7665</v>
      </c>
      <c r="C3571" t="s">
        <v>7666</v>
      </c>
      <c r="D3571" t="s">
        <v>7965</v>
      </c>
      <c r="E3571" s="10" t="s">
        <v>7976</v>
      </c>
      <c r="F3571" s="10"/>
      <c r="G3571" s="10"/>
      <c r="H3571" s="10" t="s">
        <v>7976</v>
      </c>
      <c r="I3571" s="14">
        <v>55178.895393247716</v>
      </c>
      <c r="J3571" s="19">
        <v>0</v>
      </c>
      <c r="K3571" s="19">
        <v>0.76262661417868138</v>
      </c>
      <c r="L3571" s="19">
        <v>0.23737338582131862</v>
      </c>
      <c r="M3571" s="20">
        <v>2</v>
      </c>
      <c r="N3571" s="19">
        <v>0.59860267635466036</v>
      </c>
      <c r="O3571" s="19">
        <v>0</v>
      </c>
      <c r="P3571" s="19">
        <v>0.16402393782402103</v>
      </c>
      <c r="Q3571" s="19">
        <v>0</v>
      </c>
      <c r="R3571" s="19">
        <v>0.19475231527643674</v>
      </c>
      <c r="S3571" s="19">
        <v>4.2621070544881866E-2</v>
      </c>
      <c r="T3571" s="20">
        <v>23</v>
      </c>
      <c r="U3571" s="17">
        <v>2</v>
      </c>
      <c r="V3571" s="17">
        <v>36</v>
      </c>
    </row>
    <row r="3572" spans="1:22" x14ac:dyDescent="0.2">
      <c r="A3572" t="s">
        <v>7977</v>
      </c>
      <c r="B3572" t="s">
        <v>7665</v>
      </c>
      <c r="C3572" t="s">
        <v>7666</v>
      </c>
      <c r="D3572" t="s">
        <v>7965</v>
      </c>
      <c r="E3572" s="10" t="s">
        <v>7978</v>
      </c>
      <c r="F3572" s="10"/>
      <c r="G3572" s="10"/>
      <c r="H3572" s="10" t="s">
        <v>7978</v>
      </c>
      <c r="I3572" s="14">
        <v>84188.466707184896</v>
      </c>
      <c r="J3572" s="19">
        <v>0</v>
      </c>
      <c r="K3572" s="19">
        <v>0.59626810969426614</v>
      </c>
      <c r="L3572" s="19">
        <v>0.40373189030573398</v>
      </c>
      <c r="M3572" s="20">
        <v>2</v>
      </c>
      <c r="N3572" s="19">
        <v>0.24409460752586901</v>
      </c>
      <c r="O3572" s="19">
        <v>0.19954939760471679</v>
      </c>
      <c r="P3572" s="19">
        <v>0.15262410456368036</v>
      </c>
      <c r="Q3572" s="19">
        <v>0.12913793705739474</v>
      </c>
      <c r="R3572" s="19">
        <v>0.23350653577879535</v>
      </c>
      <c r="S3572" s="19">
        <v>4.1087417469543946E-2</v>
      </c>
      <c r="T3572" s="20">
        <v>23</v>
      </c>
      <c r="U3572" s="17">
        <v>2</v>
      </c>
      <c r="V3572" s="17">
        <v>36</v>
      </c>
    </row>
    <row r="3573" spans="1:22" x14ac:dyDescent="0.2">
      <c r="A3573" t="s">
        <v>7979</v>
      </c>
      <c r="B3573" t="s">
        <v>7665</v>
      </c>
      <c r="C3573" t="s">
        <v>7666</v>
      </c>
      <c r="D3573" t="s">
        <v>7965</v>
      </c>
      <c r="E3573" s="10" t="s">
        <v>7980</v>
      </c>
      <c r="F3573" s="10"/>
      <c r="G3573" s="10"/>
      <c r="H3573" s="10" t="s">
        <v>7980</v>
      </c>
      <c r="I3573" s="14">
        <v>60341.032305335619</v>
      </c>
      <c r="J3573" s="19">
        <v>0</v>
      </c>
      <c r="K3573" s="19">
        <v>0.37654882740781148</v>
      </c>
      <c r="L3573" s="19">
        <v>0.62345117259218863</v>
      </c>
      <c r="M3573" s="20">
        <v>1</v>
      </c>
      <c r="N3573" s="19">
        <v>0</v>
      </c>
      <c r="O3573" s="19">
        <v>0.33904690681646105</v>
      </c>
      <c r="P3573" s="19">
        <v>3.7501920591350442E-2</v>
      </c>
      <c r="Q3573" s="19">
        <v>0.16271177323883659</v>
      </c>
      <c r="R3573" s="19">
        <v>0.35116936540598437</v>
      </c>
      <c r="S3573" s="19">
        <v>0.10957003394736767</v>
      </c>
      <c r="T3573" s="20">
        <v>12</v>
      </c>
      <c r="U3573" s="17">
        <v>2</v>
      </c>
      <c r="V3573" s="17">
        <v>36</v>
      </c>
    </row>
    <row r="3574" spans="1:22" x14ac:dyDescent="0.2">
      <c r="A3574" t="s">
        <v>7981</v>
      </c>
      <c r="B3574" t="s">
        <v>7665</v>
      </c>
      <c r="C3574" t="s">
        <v>7666</v>
      </c>
      <c r="D3574" t="s">
        <v>7982</v>
      </c>
      <c r="E3574" s="10" t="s">
        <v>7983</v>
      </c>
      <c r="F3574" s="10"/>
      <c r="G3574" s="10"/>
      <c r="H3574" s="10" t="s">
        <v>7983</v>
      </c>
      <c r="I3574" s="14">
        <v>1003874.5580490965</v>
      </c>
      <c r="J3574" s="19">
        <v>0.98557896414476776</v>
      </c>
      <c r="K3574" s="19">
        <v>1.0468214902066796E-2</v>
      </c>
      <c r="L3574" s="19">
        <v>3.9528209531654252E-3</v>
      </c>
      <c r="M3574" s="20">
        <v>3</v>
      </c>
      <c r="N3574" s="19">
        <v>2.0018202472637449E-5</v>
      </c>
      <c r="O3574" s="19">
        <v>0</v>
      </c>
      <c r="P3574" s="19">
        <v>1.044819669959416E-2</v>
      </c>
      <c r="Q3574" s="19">
        <v>0</v>
      </c>
      <c r="R3574" s="19">
        <v>3.6143482557698167E-3</v>
      </c>
      <c r="S3574" s="19">
        <v>3.3847269739560874E-4</v>
      </c>
      <c r="T3574" s="20">
        <v>30</v>
      </c>
      <c r="U3574" s="17">
        <v>2</v>
      </c>
      <c r="V3574" s="17">
        <v>36</v>
      </c>
    </row>
    <row r="3575" spans="1:22" x14ac:dyDescent="0.2">
      <c r="A3575" t="s">
        <v>7984</v>
      </c>
      <c r="B3575" t="s">
        <v>7665</v>
      </c>
      <c r="C3575" t="s">
        <v>7666</v>
      </c>
      <c r="D3575" t="s">
        <v>7982</v>
      </c>
      <c r="E3575" s="10" t="s">
        <v>7985</v>
      </c>
      <c r="F3575" s="10"/>
      <c r="G3575" s="10"/>
      <c r="H3575" s="10" t="s">
        <v>7985</v>
      </c>
      <c r="I3575" s="14">
        <v>184362.70470257639</v>
      </c>
      <c r="J3575" s="19">
        <v>0</v>
      </c>
      <c r="K3575" s="19">
        <v>0.72617356314729364</v>
      </c>
      <c r="L3575" s="19">
        <v>0.27382643685270641</v>
      </c>
      <c r="M3575" s="20">
        <v>2</v>
      </c>
      <c r="N3575" s="19">
        <v>0.26960317317323323</v>
      </c>
      <c r="O3575" s="19">
        <v>1.8555571441083652E-2</v>
      </c>
      <c r="P3575" s="19">
        <v>0.43801481853297669</v>
      </c>
      <c r="Q3575" s="19">
        <v>0.10556260835913872</v>
      </c>
      <c r="R3575" s="19">
        <v>0.15803581282989496</v>
      </c>
      <c r="S3575" s="19">
        <v>1.0228015663672721E-2</v>
      </c>
      <c r="T3575" s="20">
        <v>23</v>
      </c>
      <c r="U3575" s="17">
        <v>2</v>
      </c>
      <c r="V3575" s="17">
        <v>36</v>
      </c>
    </row>
    <row r="3576" spans="1:22" x14ac:dyDescent="0.2">
      <c r="A3576" t="s">
        <v>7986</v>
      </c>
      <c r="B3576" t="s">
        <v>7665</v>
      </c>
      <c r="C3576" t="s">
        <v>7666</v>
      </c>
      <c r="D3576" t="s">
        <v>7982</v>
      </c>
      <c r="E3576" s="10" t="s">
        <v>7987</v>
      </c>
      <c r="F3576" s="10"/>
      <c r="G3576" s="10"/>
      <c r="H3576" s="10" t="s">
        <v>7987</v>
      </c>
      <c r="I3576" s="14">
        <v>256154.08063605215</v>
      </c>
      <c r="J3576" s="19">
        <v>0.49085638179074131</v>
      </c>
      <c r="K3576" s="19">
        <v>0.33478924764666623</v>
      </c>
      <c r="L3576" s="19">
        <v>0.17435437056259256</v>
      </c>
      <c r="M3576" s="20">
        <v>2</v>
      </c>
      <c r="N3576" s="19">
        <v>0.15725808909351577</v>
      </c>
      <c r="O3576" s="19">
        <v>0</v>
      </c>
      <c r="P3576" s="19">
        <v>0.17753115855315046</v>
      </c>
      <c r="Q3576" s="19">
        <v>3.0545960872506713E-2</v>
      </c>
      <c r="R3576" s="19">
        <v>0.12650320048249664</v>
      </c>
      <c r="S3576" s="19">
        <v>1.7305209207589246E-2</v>
      </c>
      <c r="T3576" s="20">
        <v>23</v>
      </c>
      <c r="U3576" s="17">
        <v>2</v>
      </c>
      <c r="V3576" s="17">
        <v>36</v>
      </c>
    </row>
    <row r="3577" spans="1:22" x14ac:dyDescent="0.2">
      <c r="A3577" t="s">
        <v>7988</v>
      </c>
      <c r="B3577" t="s">
        <v>7665</v>
      </c>
      <c r="C3577" t="s">
        <v>7666</v>
      </c>
      <c r="D3577" t="s">
        <v>7982</v>
      </c>
      <c r="E3577" s="10" t="s">
        <v>7989</v>
      </c>
      <c r="F3577" s="10"/>
      <c r="G3577" s="10"/>
      <c r="H3577" s="10" t="s">
        <v>7989</v>
      </c>
      <c r="I3577" s="14">
        <v>174783.95015371777</v>
      </c>
      <c r="J3577" s="19">
        <v>0.64473429199908228</v>
      </c>
      <c r="K3577" s="19">
        <v>0.27411714612366767</v>
      </c>
      <c r="L3577" s="19">
        <v>8.1148561877250114E-2</v>
      </c>
      <c r="M3577" s="20">
        <v>3</v>
      </c>
      <c r="N3577" s="19">
        <v>8.3175006782308769E-2</v>
      </c>
      <c r="O3577" s="19">
        <v>0</v>
      </c>
      <c r="P3577" s="19">
        <v>0.19094213934135892</v>
      </c>
      <c r="Q3577" s="19">
        <v>0</v>
      </c>
      <c r="R3577" s="19">
        <v>7.685980867080773E-2</v>
      </c>
      <c r="S3577" s="19">
        <v>4.288753206442379E-3</v>
      </c>
      <c r="T3577" s="20">
        <v>30</v>
      </c>
      <c r="U3577" s="17">
        <v>2</v>
      </c>
      <c r="V3577" s="17">
        <v>36</v>
      </c>
    </row>
    <row r="3578" spans="1:22" x14ac:dyDescent="0.2">
      <c r="A3578" t="s">
        <v>7990</v>
      </c>
      <c r="B3578" t="s">
        <v>7665</v>
      </c>
      <c r="C3578" t="s">
        <v>7666</v>
      </c>
      <c r="D3578" t="s">
        <v>7982</v>
      </c>
      <c r="E3578" s="10" t="s">
        <v>7991</v>
      </c>
      <c r="F3578" s="10"/>
      <c r="G3578" s="10"/>
      <c r="H3578" s="10" t="s">
        <v>7991</v>
      </c>
      <c r="I3578" s="14">
        <v>224924.88397608302</v>
      </c>
      <c r="J3578" s="19">
        <v>0.57346463363075861</v>
      </c>
      <c r="K3578" s="19">
        <v>0.30068591581345278</v>
      </c>
      <c r="L3578" s="19">
        <v>0.12584945055578853</v>
      </c>
      <c r="M3578" s="20">
        <v>3</v>
      </c>
      <c r="N3578" s="19">
        <v>5.6699724463000409E-2</v>
      </c>
      <c r="O3578" s="19">
        <v>4.0966588124863798E-2</v>
      </c>
      <c r="P3578" s="19">
        <v>0.20301960322558857</v>
      </c>
      <c r="Q3578" s="19">
        <v>3.523676836421636E-2</v>
      </c>
      <c r="R3578" s="19">
        <v>8.152838830874122E-2</v>
      </c>
      <c r="S3578" s="19">
        <v>9.0842938828309475E-3</v>
      </c>
      <c r="T3578" s="20">
        <v>30</v>
      </c>
      <c r="U3578" s="17">
        <v>2</v>
      </c>
      <c r="V3578" s="17">
        <v>36</v>
      </c>
    </row>
    <row r="3579" spans="1:22" x14ac:dyDescent="0.2">
      <c r="A3579" t="s">
        <v>7992</v>
      </c>
      <c r="B3579" t="s">
        <v>7665</v>
      </c>
      <c r="C3579" t="s">
        <v>7666</v>
      </c>
      <c r="D3579" t="s">
        <v>7982</v>
      </c>
      <c r="E3579" s="10" t="s">
        <v>7993</v>
      </c>
      <c r="F3579" s="10"/>
      <c r="G3579" s="10"/>
      <c r="H3579" s="10" t="s">
        <v>7993</v>
      </c>
      <c r="I3579" s="14">
        <v>211590.50500868168</v>
      </c>
      <c r="J3579" s="19">
        <v>0.61861443539136585</v>
      </c>
      <c r="K3579" s="19">
        <v>0.30663385301903967</v>
      </c>
      <c r="L3579" s="19">
        <v>7.4751711589594511E-2</v>
      </c>
      <c r="M3579" s="20">
        <v>3</v>
      </c>
      <c r="N3579" s="19">
        <v>7.0413433159727257E-2</v>
      </c>
      <c r="O3579" s="19">
        <v>0</v>
      </c>
      <c r="P3579" s="19">
        <v>0.23622041985931236</v>
      </c>
      <c r="Q3579" s="19">
        <v>2.0471351233846937E-2</v>
      </c>
      <c r="R3579" s="19">
        <v>4.6893566277927151E-2</v>
      </c>
      <c r="S3579" s="19">
        <v>7.3867940778204345E-3</v>
      </c>
      <c r="T3579" s="20">
        <v>30</v>
      </c>
      <c r="U3579" s="17">
        <v>2</v>
      </c>
      <c r="V3579" s="17">
        <v>36</v>
      </c>
    </row>
    <row r="3580" spans="1:22" x14ac:dyDescent="0.2">
      <c r="A3580" t="s">
        <v>7994</v>
      </c>
      <c r="B3580" t="s">
        <v>7665</v>
      </c>
      <c r="C3580" t="s">
        <v>7666</v>
      </c>
      <c r="D3580" t="s">
        <v>7982</v>
      </c>
      <c r="E3580" s="10" t="s">
        <v>7995</v>
      </c>
      <c r="F3580" s="10"/>
      <c r="G3580" s="10"/>
      <c r="H3580" s="10" t="s">
        <v>7995</v>
      </c>
      <c r="I3580" s="14">
        <v>209100.78274010075</v>
      </c>
      <c r="J3580" s="19">
        <v>0.48348369229112442</v>
      </c>
      <c r="K3580" s="19">
        <v>0.35191291270592817</v>
      </c>
      <c r="L3580" s="19">
        <v>0.16460339500294741</v>
      </c>
      <c r="M3580" s="20">
        <v>2</v>
      </c>
      <c r="N3580" s="19">
        <v>7.644336624314417E-2</v>
      </c>
      <c r="O3580" s="19">
        <v>1.3564404411250947E-2</v>
      </c>
      <c r="P3580" s="19">
        <v>0.26190514205153304</v>
      </c>
      <c r="Q3580" s="19">
        <v>2.7861705241184951E-2</v>
      </c>
      <c r="R3580" s="19">
        <v>0.12921554686501285</v>
      </c>
      <c r="S3580" s="19">
        <v>7.5261428967496151E-3</v>
      </c>
      <c r="T3580" s="20">
        <v>23</v>
      </c>
      <c r="U3580" s="17">
        <v>2</v>
      </c>
      <c r="V3580" s="17">
        <v>36</v>
      </c>
    </row>
    <row r="3581" spans="1:22" x14ac:dyDescent="0.2">
      <c r="A3581" t="s">
        <v>7996</v>
      </c>
      <c r="B3581" t="s">
        <v>7665</v>
      </c>
      <c r="C3581" t="s">
        <v>7666</v>
      </c>
      <c r="D3581" t="s">
        <v>7982</v>
      </c>
      <c r="E3581" s="10" t="s">
        <v>7997</v>
      </c>
      <c r="F3581" s="10"/>
      <c r="G3581" s="10"/>
      <c r="H3581" s="10" t="s">
        <v>7997</v>
      </c>
      <c r="I3581" s="14">
        <v>196297.89914114296</v>
      </c>
      <c r="J3581" s="19">
        <v>0.59161435782421479</v>
      </c>
      <c r="K3581" s="19">
        <v>0.32537379663416893</v>
      </c>
      <c r="L3581" s="19">
        <v>8.3011845541616308E-2</v>
      </c>
      <c r="M3581" s="20">
        <v>3</v>
      </c>
      <c r="N3581" s="19">
        <v>0.14635759405427679</v>
      </c>
      <c r="O3581" s="19">
        <v>0</v>
      </c>
      <c r="P3581" s="19">
        <v>0.17901620257989215</v>
      </c>
      <c r="Q3581" s="19">
        <v>1.229327750759851E-2</v>
      </c>
      <c r="R3581" s="19">
        <v>6.4879028072622635E-2</v>
      </c>
      <c r="S3581" s="19">
        <v>5.8395399613951514E-3</v>
      </c>
      <c r="T3581" s="20">
        <v>30</v>
      </c>
      <c r="U3581" s="17">
        <v>2</v>
      </c>
      <c r="V3581" s="17">
        <v>36</v>
      </c>
    </row>
    <row r="3582" spans="1:22" x14ac:dyDescent="0.2">
      <c r="A3582" t="s">
        <v>7998</v>
      </c>
      <c r="B3582" t="s">
        <v>7665</v>
      </c>
      <c r="C3582" t="s">
        <v>7666</v>
      </c>
      <c r="D3582" t="s">
        <v>7982</v>
      </c>
      <c r="E3582" s="10" t="s">
        <v>7999</v>
      </c>
      <c r="F3582" s="10"/>
      <c r="G3582" s="10"/>
      <c r="H3582" s="10" t="s">
        <v>7999</v>
      </c>
      <c r="I3582" s="14">
        <v>325584.21443076851</v>
      </c>
      <c r="J3582" s="19">
        <v>0.67968040680631725</v>
      </c>
      <c r="K3582" s="19">
        <v>0.24420676780955911</v>
      </c>
      <c r="L3582" s="19">
        <v>7.6112825384123589E-2</v>
      </c>
      <c r="M3582" s="20">
        <v>3</v>
      </c>
      <c r="N3582" s="19">
        <v>0.10114463347469151</v>
      </c>
      <c r="O3582" s="19">
        <v>0</v>
      </c>
      <c r="P3582" s="19">
        <v>0.14306213433486761</v>
      </c>
      <c r="Q3582" s="19">
        <v>1.1809547158140563E-2</v>
      </c>
      <c r="R3582" s="19">
        <v>6.0869571929077756E-2</v>
      </c>
      <c r="S3582" s="19">
        <v>3.4337062969052724E-3</v>
      </c>
      <c r="T3582" s="20">
        <v>30</v>
      </c>
      <c r="U3582" s="17">
        <v>2</v>
      </c>
      <c r="V3582" s="17">
        <v>36</v>
      </c>
    </row>
    <row r="3583" spans="1:22" x14ac:dyDescent="0.2">
      <c r="A3583" t="s">
        <v>8000</v>
      </c>
      <c r="B3583" t="s">
        <v>7665</v>
      </c>
      <c r="C3583" t="s">
        <v>7666</v>
      </c>
      <c r="D3583" t="s">
        <v>7982</v>
      </c>
      <c r="E3583" s="10" t="s">
        <v>8001</v>
      </c>
      <c r="F3583" s="10"/>
      <c r="G3583" s="10"/>
      <c r="H3583" s="10" t="s">
        <v>8001</v>
      </c>
      <c r="I3583" s="14">
        <v>167764.06664416939</v>
      </c>
      <c r="J3583" s="19">
        <v>0.29338394137664925</v>
      </c>
      <c r="K3583" s="19">
        <v>0.55804501321911526</v>
      </c>
      <c r="L3583" s="19">
        <v>0.14857104540423546</v>
      </c>
      <c r="M3583" s="20">
        <v>2</v>
      </c>
      <c r="N3583" s="19">
        <v>0.15052893594121589</v>
      </c>
      <c r="O3583" s="19">
        <v>0</v>
      </c>
      <c r="P3583" s="19">
        <v>0.40751607727789935</v>
      </c>
      <c r="Q3583" s="19">
        <v>4.2653999328494473E-2</v>
      </c>
      <c r="R3583" s="19">
        <v>9.6071899061101459E-2</v>
      </c>
      <c r="S3583" s="19">
        <v>9.8451470146395121E-3</v>
      </c>
      <c r="T3583" s="20">
        <v>23</v>
      </c>
      <c r="U3583" s="17">
        <v>2</v>
      </c>
      <c r="V3583" s="17">
        <v>36</v>
      </c>
    </row>
    <row r="3584" spans="1:22" x14ac:dyDescent="0.2">
      <c r="A3584" t="s">
        <v>8002</v>
      </c>
      <c r="B3584" t="s">
        <v>7665</v>
      </c>
      <c r="C3584" t="s">
        <v>7666</v>
      </c>
      <c r="D3584" t="s">
        <v>7982</v>
      </c>
      <c r="E3584" s="10" t="s">
        <v>8003</v>
      </c>
      <c r="F3584" s="10"/>
      <c r="G3584" s="10"/>
      <c r="H3584" s="10" t="s">
        <v>8003</v>
      </c>
      <c r="I3584" s="14">
        <v>273870.9409780181</v>
      </c>
      <c r="J3584" s="19">
        <v>0.21850191868107266</v>
      </c>
      <c r="K3584" s="19">
        <v>0.63101591921689426</v>
      </c>
      <c r="L3584" s="19">
        <v>0.15048216210203302</v>
      </c>
      <c r="M3584" s="20">
        <v>2</v>
      </c>
      <c r="N3584" s="19">
        <v>0.30981160770767319</v>
      </c>
      <c r="O3584" s="19">
        <v>0</v>
      </c>
      <c r="P3584" s="19">
        <v>0.32120431150922113</v>
      </c>
      <c r="Q3584" s="19">
        <v>6.0258084471261561E-3</v>
      </c>
      <c r="R3584" s="19">
        <v>0.13088566164023355</v>
      </c>
      <c r="S3584" s="19">
        <v>1.3570692014673303E-2</v>
      </c>
      <c r="T3584" s="20">
        <v>23</v>
      </c>
      <c r="U3584" s="17">
        <v>2</v>
      </c>
      <c r="V3584" s="17">
        <v>36</v>
      </c>
    </row>
    <row r="3585" spans="1:22" x14ac:dyDescent="0.2">
      <c r="A3585" t="s">
        <v>8004</v>
      </c>
      <c r="B3585" t="s">
        <v>7665</v>
      </c>
      <c r="C3585" t="s">
        <v>7666</v>
      </c>
      <c r="D3585" t="s">
        <v>8005</v>
      </c>
      <c r="E3585" s="10" t="s">
        <v>8006</v>
      </c>
      <c r="F3585" s="10"/>
      <c r="G3585" s="10"/>
      <c r="H3585" s="10" t="s">
        <v>8006</v>
      </c>
      <c r="I3585" s="14">
        <v>210563.11660280125</v>
      </c>
      <c r="J3585" s="19">
        <v>5.4615707882636491E-2</v>
      </c>
      <c r="K3585" s="19">
        <v>0.77426439894496191</v>
      </c>
      <c r="L3585" s="19">
        <v>0.17111989317240162</v>
      </c>
      <c r="M3585" s="20">
        <v>2</v>
      </c>
      <c r="N3585" s="19">
        <v>0.26045475907719901</v>
      </c>
      <c r="O3585" s="19">
        <v>0</v>
      </c>
      <c r="P3585" s="19">
        <v>0.51380963986776285</v>
      </c>
      <c r="Q3585" s="19">
        <v>2.2627150578678163E-2</v>
      </c>
      <c r="R3585" s="19">
        <v>0.14069958291031739</v>
      </c>
      <c r="S3585" s="19">
        <v>7.7931596834060826E-3</v>
      </c>
      <c r="T3585" s="20">
        <v>21</v>
      </c>
      <c r="U3585" s="17">
        <v>2</v>
      </c>
      <c r="V3585" s="17">
        <v>36</v>
      </c>
    </row>
    <row r="3586" spans="1:22" x14ac:dyDescent="0.2">
      <c r="A3586" t="s">
        <v>8007</v>
      </c>
      <c r="B3586" t="s">
        <v>7665</v>
      </c>
      <c r="C3586" t="s">
        <v>7666</v>
      </c>
      <c r="D3586" t="s">
        <v>8005</v>
      </c>
      <c r="E3586" s="10" t="s">
        <v>8008</v>
      </c>
      <c r="F3586" s="10"/>
      <c r="G3586" s="10"/>
      <c r="H3586" s="10" t="s">
        <v>8008</v>
      </c>
      <c r="I3586" s="14">
        <v>171204.46688104374</v>
      </c>
      <c r="J3586" s="19">
        <v>0.76289507790164446</v>
      </c>
      <c r="K3586" s="19">
        <v>0.21977372933223155</v>
      </c>
      <c r="L3586" s="19">
        <v>1.7331192766123996E-2</v>
      </c>
      <c r="M3586" s="20">
        <v>3</v>
      </c>
      <c r="N3586" s="19">
        <v>6.9537326622944248E-2</v>
      </c>
      <c r="O3586" s="19">
        <v>0</v>
      </c>
      <c r="P3586" s="19">
        <v>0.15023640270928729</v>
      </c>
      <c r="Q3586" s="19">
        <v>0</v>
      </c>
      <c r="R3586" s="19">
        <v>1.7331192766123996E-2</v>
      </c>
      <c r="S3586" s="19">
        <v>0</v>
      </c>
      <c r="T3586" s="20">
        <v>30</v>
      </c>
      <c r="U3586" s="17">
        <v>2</v>
      </c>
      <c r="V3586" s="17">
        <v>36</v>
      </c>
    </row>
    <row r="3587" spans="1:22" x14ac:dyDescent="0.2">
      <c r="A3587" t="s">
        <v>8009</v>
      </c>
      <c r="B3587" t="s">
        <v>7665</v>
      </c>
      <c r="C3587" t="s">
        <v>7666</v>
      </c>
      <c r="D3587" t="s">
        <v>8005</v>
      </c>
      <c r="E3587" s="10" t="s">
        <v>7676</v>
      </c>
      <c r="F3587" s="10"/>
      <c r="G3587" s="10"/>
      <c r="H3587" s="10" t="s">
        <v>7676</v>
      </c>
      <c r="I3587" s="14">
        <v>158620.13030306529</v>
      </c>
      <c r="J3587" s="19">
        <v>0.14207397701029958</v>
      </c>
      <c r="K3587" s="19">
        <v>0.77063123131126798</v>
      </c>
      <c r="L3587" s="19">
        <v>8.7294791678432487E-2</v>
      </c>
      <c r="M3587" s="20">
        <v>2</v>
      </c>
      <c r="N3587" s="19">
        <v>0.24260804176894343</v>
      </c>
      <c r="O3587" s="19">
        <v>0</v>
      </c>
      <c r="P3587" s="19">
        <v>0.52802318954232452</v>
      </c>
      <c r="Q3587" s="19">
        <v>0</v>
      </c>
      <c r="R3587" s="19">
        <v>8.556251742417606E-2</v>
      </c>
      <c r="S3587" s="19">
        <v>1.7322742542563989E-3</v>
      </c>
      <c r="T3587" s="20">
        <v>21</v>
      </c>
      <c r="U3587" s="17">
        <v>2</v>
      </c>
      <c r="V3587" s="17">
        <v>36</v>
      </c>
    </row>
    <row r="3588" spans="1:22" x14ac:dyDescent="0.2">
      <c r="A3588" t="s">
        <v>8010</v>
      </c>
      <c r="B3588" t="s">
        <v>7665</v>
      </c>
      <c r="C3588" t="s">
        <v>7666</v>
      </c>
      <c r="D3588" t="s">
        <v>8005</v>
      </c>
      <c r="E3588" s="10" t="s">
        <v>8011</v>
      </c>
      <c r="F3588" s="10"/>
      <c r="G3588" s="10"/>
      <c r="H3588" s="10" t="s">
        <v>8011</v>
      </c>
      <c r="I3588" s="14">
        <v>151133.91944198078</v>
      </c>
      <c r="J3588" s="19">
        <v>0.45401458745212581</v>
      </c>
      <c r="K3588" s="19">
        <v>0.52613707942360488</v>
      </c>
      <c r="L3588" s="19">
        <v>1.9848333124269306E-2</v>
      </c>
      <c r="M3588" s="20">
        <v>2</v>
      </c>
      <c r="N3588" s="19">
        <v>0.14726567973300292</v>
      </c>
      <c r="O3588" s="19">
        <v>0</v>
      </c>
      <c r="P3588" s="19">
        <v>0.37887139969060196</v>
      </c>
      <c r="Q3588" s="19">
        <v>0</v>
      </c>
      <c r="R3588" s="19">
        <v>1.6845762152917918E-2</v>
      </c>
      <c r="S3588" s="19">
        <v>3.0025709713513882E-3</v>
      </c>
      <c r="T3588" s="20">
        <v>23</v>
      </c>
      <c r="U3588" s="17">
        <v>2</v>
      </c>
      <c r="V3588" s="17">
        <v>36</v>
      </c>
    </row>
    <row r="3589" spans="1:22" x14ac:dyDescent="0.2">
      <c r="A3589" t="s">
        <v>8012</v>
      </c>
      <c r="B3589" t="s">
        <v>7665</v>
      </c>
      <c r="C3589" t="s">
        <v>7666</v>
      </c>
      <c r="D3589" t="s">
        <v>8005</v>
      </c>
      <c r="E3589" s="10" t="s">
        <v>8013</v>
      </c>
      <c r="F3589" s="10"/>
      <c r="G3589" s="10"/>
      <c r="H3589" s="10" t="s">
        <v>8013</v>
      </c>
      <c r="I3589" s="14">
        <v>81307.684659382096</v>
      </c>
      <c r="J3589" s="19">
        <v>0.77560208626905403</v>
      </c>
      <c r="K3589" s="19">
        <v>0.18532865234598056</v>
      </c>
      <c r="L3589" s="19">
        <v>3.9069261384965387E-2</v>
      </c>
      <c r="M3589" s="20">
        <v>3</v>
      </c>
      <c r="N3589" s="19">
        <v>0</v>
      </c>
      <c r="O3589" s="19">
        <v>0</v>
      </c>
      <c r="P3589" s="19">
        <v>0.18532865234598056</v>
      </c>
      <c r="Q3589" s="19">
        <v>0</v>
      </c>
      <c r="R3589" s="19">
        <v>3.498978304344761E-2</v>
      </c>
      <c r="S3589" s="19">
        <v>4.079478341517776E-3</v>
      </c>
      <c r="T3589" s="20">
        <v>30</v>
      </c>
      <c r="U3589" s="17">
        <v>2</v>
      </c>
      <c r="V3589" s="17">
        <v>36</v>
      </c>
    </row>
    <row r="3590" spans="1:22" x14ac:dyDescent="0.2">
      <c r="A3590" t="s">
        <v>8014</v>
      </c>
      <c r="B3590" t="s">
        <v>7665</v>
      </c>
      <c r="C3590" t="s">
        <v>7666</v>
      </c>
      <c r="D3590" t="s">
        <v>8005</v>
      </c>
      <c r="E3590" s="10" t="s">
        <v>8015</v>
      </c>
      <c r="F3590" s="10"/>
      <c r="G3590" s="10"/>
      <c r="H3590" s="10" t="s">
        <v>8015</v>
      </c>
      <c r="I3590" s="14">
        <v>186489.75532332482</v>
      </c>
      <c r="J3590" s="19">
        <v>0.21761133188398674</v>
      </c>
      <c r="K3590" s="19">
        <v>0.71748695620781311</v>
      </c>
      <c r="L3590" s="19">
        <v>6.4901711908200113E-2</v>
      </c>
      <c r="M3590" s="20">
        <v>2</v>
      </c>
      <c r="N3590" s="19">
        <v>0.21436379751857806</v>
      </c>
      <c r="O3590" s="19">
        <v>0</v>
      </c>
      <c r="P3590" s="19">
        <v>0.50312315868923507</v>
      </c>
      <c r="Q3590" s="19">
        <v>0</v>
      </c>
      <c r="R3590" s="19">
        <v>6.2333680145019978E-2</v>
      </c>
      <c r="S3590" s="19">
        <v>2.5680317631801308E-3</v>
      </c>
      <c r="T3590" s="20">
        <v>21</v>
      </c>
      <c r="U3590" s="17">
        <v>2</v>
      </c>
      <c r="V3590" s="17">
        <v>36</v>
      </c>
    </row>
    <row r="3591" spans="1:22" x14ac:dyDescent="0.2">
      <c r="A3591" t="s">
        <v>8016</v>
      </c>
      <c r="B3591" t="s">
        <v>7665</v>
      </c>
      <c r="C3591" t="s">
        <v>7666</v>
      </c>
      <c r="D3591" t="s">
        <v>8005</v>
      </c>
      <c r="E3591" s="10" t="s">
        <v>8017</v>
      </c>
      <c r="F3591" s="10"/>
      <c r="G3591" s="10"/>
      <c r="H3591" s="10" t="s">
        <v>8017</v>
      </c>
      <c r="I3591" s="14">
        <v>168376.30168665247</v>
      </c>
      <c r="J3591" s="19">
        <v>5.3796571988901143E-2</v>
      </c>
      <c r="K3591" s="19">
        <v>0.89094259885532379</v>
      </c>
      <c r="L3591" s="19">
        <v>5.5260829155775022E-2</v>
      </c>
      <c r="M3591" s="20">
        <v>2</v>
      </c>
      <c r="N3591" s="19">
        <v>0.26620148204977767</v>
      </c>
      <c r="O3591" s="19">
        <v>0</v>
      </c>
      <c r="P3591" s="19">
        <v>0.62474111680554612</v>
      </c>
      <c r="Q3591" s="19">
        <v>0</v>
      </c>
      <c r="R3591" s="19">
        <v>5.228632463938785E-2</v>
      </c>
      <c r="S3591" s="19">
        <v>2.9745045163871759E-3</v>
      </c>
      <c r="T3591" s="20">
        <v>21</v>
      </c>
      <c r="U3591" s="17">
        <v>2</v>
      </c>
      <c r="V3591" s="17">
        <v>36</v>
      </c>
    </row>
    <row r="3592" spans="1:22" x14ac:dyDescent="0.2">
      <c r="A3592" t="s">
        <v>8018</v>
      </c>
      <c r="B3592" t="s">
        <v>7665</v>
      </c>
      <c r="C3592" t="s">
        <v>7666</v>
      </c>
      <c r="D3592" t="s">
        <v>8005</v>
      </c>
      <c r="E3592" s="10" t="s">
        <v>8019</v>
      </c>
      <c r="F3592" s="10"/>
      <c r="G3592" s="10"/>
      <c r="H3592" s="10" t="s">
        <v>8019</v>
      </c>
      <c r="I3592" s="14">
        <v>109015.70489947125</v>
      </c>
      <c r="J3592" s="19">
        <v>0.87901128236479342</v>
      </c>
      <c r="K3592" s="19">
        <v>0.10934120709591467</v>
      </c>
      <c r="L3592" s="19">
        <v>1.1647510539292074E-2</v>
      </c>
      <c r="M3592" s="20">
        <v>3</v>
      </c>
      <c r="N3592" s="19">
        <v>6.1439264371153932E-7</v>
      </c>
      <c r="O3592" s="19">
        <v>0</v>
      </c>
      <c r="P3592" s="19">
        <v>0.10934059270327097</v>
      </c>
      <c r="Q3592" s="19">
        <v>0</v>
      </c>
      <c r="R3592" s="19">
        <v>1.1549939885976348E-2</v>
      </c>
      <c r="S3592" s="19">
        <v>9.7570653315725157E-5</v>
      </c>
      <c r="T3592" s="20">
        <v>30</v>
      </c>
      <c r="U3592" s="17">
        <v>2</v>
      </c>
      <c r="V3592" s="17">
        <v>36</v>
      </c>
    </row>
    <row r="3593" spans="1:22" x14ac:dyDescent="0.2">
      <c r="A3593" t="s">
        <v>8020</v>
      </c>
      <c r="B3593" t="s">
        <v>7665</v>
      </c>
      <c r="C3593" t="s">
        <v>7666</v>
      </c>
      <c r="D3593" t="s">
        <v>8005</v>
      </c>
      <c r="E3593" s="10" t="s">
        <v>8021</v>
      </c>
      <c r="F3593" s="10"/>
      <c r="G3593" s="10"/>
      <c r="H3593" s="10" t="s">
        <v>8021</v>
      </c>
      <c r="I3593" s="14">
        <v>110780.6546402313</v>
      </c>
      <c r="J3593" s="19">
        <v>1.6182873689466449E-3</v>
      </c>
      <c r="K3593" s="19">
        <v>0.80650912430412058</v>
      </c>
      <c r="L3593" s="19">
        <v>0.19187258832693266</v>
      </c>
      <c r="M3593" s="20">
        <v>2</v>
      </c>
      <c r="N3593" s="19">
        <v>0.40612176607411904</v>
      </c>
      <c r="O3593" s="19">
        <v>0</v>
      </c>
      <c r="P3593" s="19">
        <v>0.40038735823000149</v>
      </c>
      <c r="Q3593" s="19">
        <v>4.0800941052466136E-2</v>
      </c>
      <c r="R3593" s="19">
        <v>0.13165459198586721</v>
      </c>
      <c r="S3593" s="19">
        <v>1.9417055288599296E-2</v>
      </c>
      <c r="T3593" s="20">
        <v>23</v>
      </c>
      <c r="U3593" s="17">
        <v>2</v>
      </c>
      <c r="V3593" s="17">
        <v>36</v>
      </c>
    </row>
    <row r="3594" spans="1:22" x14ac:dyDescent="0.2">
      <c r="A3594" t="s">
        <v>8022</v>
      </c>
      <c r="B3594" t="s">
        <v>7665</v>
      </c>
      <c r="C3594" t="s">
        <v>7666</v>
      </c>
      <c r="D3594" t="s">
        <v>8005</v>
      </c>
      <c r="E3594" s="10" t="s">
        <v>8023</v>
      </c>
      <c r="F3594" s="10"/>
      <c r="G3594" s="10"/>
      <c r="H3594" s="10" t="s">
        <v>8023</v>
      </c>
      <c r="I3594" s="14">
        <v>95399.889885720098</v>
      </c>
      <c r="J3594" s="19">
        <v>0</v>
      </c>
      <c r="K3594" s="19">
        <v>0.78358171683241051</v>
      </c>
      <c r="L3594" s="19">
        <v>0.21641828316758943</v>
      </c>
      <c r="M3594" s="20">
        <v>2</v>
      </c>
      <c r="N3594" s="19">
        <v>0.35562675770379487</v>
      </c>
      <c r="O3594" s="19">
        <v>0</v>
      </c>
      <c r="P3594" s="19">
        <v>0.4279549591286157</v>
      </c>
      <c r="Q3594" s="19">
        <v>4.7225202225858333E-2</v>
      </c>
      <c r="R3594" s="19">
        <v>0.15794542030879841</v>
      </c>
      <c r="S3594" s="19">
        <v>1.124766063293269E-2</v>
      </c>
      <c r="T3594" s="20">
        <v>23</v>
      </c>
      <c r="U3594" s="17">
        <v>2</v>
      </c>
      <c r="V3594" s="17">
        <v>36</v>
      </c>
    </row>
    <row r="3595" spans="1:22" x14ac:dyDescent="0.2">
      <c r="A3595" t="s">
        <v>8024</v>
      </c>
      <c r="B3595" t="s">
        <v>7665</v>
      </c>
      <c r="C3595" t="s">
        <v>7666</v>
      </c>
      <c r="D3595" t="s">
        <v>8005</v>
      </c>
      <c r="E3595" s="10" t="s">
        <v>8025</v>
      </c>
      <c r="F3595" s="10"/>
      <c r="G3595" s="10"/>
      <c r="H3595" s="10" t="s">
        <v>8025</v>
      </c>
      <c r="I3595" s="14">
        <v>162477.99442910217</v>
      </c>
      <c r="J3595" s="19">
        <v>6.156873583547403E-2</v>
      </c>
      <c r="K3595" s="19">
        <v>0.8270821532086915</v>
      </c>
      <c r="L3595" s="19">
        <v>0.11134911095583445</v>
      </c>
      <c r="M3595" s="20">
        <v>2</v>
      </c>
      <c r="N3595" s="19">
        <v>0.40174769256803627</v>
      </c>
      <c r="O3595" s="19">
        <v>0</v>
      </c>
      <c r="P3595" s="19">
        <v>0.42533446064065522</v>
      </c>
      <c r="Q3595" s="19">
        <v>1.5940468071372265E-2</v>
      </c>
      <c r="R3595" s="19">
        <v>8.7258368803696196E-2</v>
      </c>
      <c r="S3595" s="19">
        <v>8.1502740807659936E-3</v>
      </c>
      <c r="T3595" s="20">
        <v>23</v>
      </c>
      <c r="U3595" s="17">
        <v>2</v>
      </c>
      <c r="V3595" s="17">
        <v>36</v>
      </c>
    </row>
    <row r="3596" spans="1:22" x14ac:dyDescent="0.2">
      <c r="A3596" t="s">
        <v>8026</v>
      </c>
      <c r="B3596" t="s">
        <v>7665</v>
      </c>
      <c r="C3596" t="s">
        <v>7666</v>
      </c>
      <c r="D3596" t="s">
        <v>8005</v>
      </c>
      <c r="E3596" s="10" t="s">
        <v>8027</v>
      </c>
      <c r="F3596" s="10"/>
      <c r="G3596" s="10"/>
      <c r="H3596" s="10" t="s">
        <v>8027</v>
      </c>
      <c r="I3596" s="14">
        <v>145838.74028313113</v>
      </c>
      <c r="J3596" s="19">
        <v>0</v>
      </c>
      <c r="K3596" s="19">
        <v>0.69175289942927631</v>
      </c>
      <c r="L3596" s="19">
        <v>0.30824710057072363</v>
      </c>
      <c r="M3596" s="20">
        <v>2</v>
      </c>
      <c r="N3596" s="19">
        <v>0.21779331728422943</v>
      </c>
      <c r="O3596" s="19">
        <v>7.7615746920009303E-5</v>
      </c>
      <c r="P3596" s="19">
        <v>0.47388196639812691</v>
      </c>
      <c r="Q3596" s="19">
        <v>5.1488924587024469E-2</v>
      </c>
      <c r="R3596" s="19">
        <v>0.23701213444088112</v>
      </c>
      <c r="S3596" s="19">
        <v>1.9746041542818036E-2</v>
      </c>
      <c r="T3596" s="20">
        <v>23</v>
      </c>
      <c r="U3596" s="17">
        <v>2</v>
      </c>
      <c r="V3596" s="17">
        <v>36</v>
      </c>
    </row>
    <row r="3597" spans="1:22" x14ac:dyDescent="0.2">
      <c r="A3597" t="s">
        <v>8028</v>
      </c>
      <c r="B3597" t="s">
        <v>7665</v>
      </c>
      <c r="C3597" t="s">
        <v>7666</v>
      </c>
      <c r="D3597" t="s">
        <v>8029</v>
      </c>
      <c r="E3597" s="10" t="s">
        <v>8030</v>
      </c>
      <c r="F3597" s="10"/>
      <c r="G3597" s="10"/>
      <c r="H3597" s="10" t="s">
        <v>8030</v>
      </c>
      <c r="I3597" s="14">
        <v>138764.34828009317</v>
      </c>
      <c r="J3597" s="19">
        <v>0.96150794285510632</v>
      </c>
      <c r="K3597" s="19">
        <v>3.4249890579989659E-2</v>
      </c>
      <c r="L3597" s="19">
        <v>4.2421665649039989E-3</v>
      </c>
      <c r="M3597" s="20">
        <v>3</v>
      </c>
      <c r="N3597" s="19">
        <v>0</v>
      </c>
      <c r="O3597" s="19">
        <v>0</v>
      </c>
      <c r="P3597" s="19">
        <v>3.4249890579989659E-2</v>
      </c>
      <c r="Q3597" s="19">
        <v>0</v>
      </c>
      <c r="R3597" s="19">
        <v>4.2421665649039989E-3</v>
      </c>
      <c r="S3597" s="19">
        <v>0</v>
      </c>
      <c r="T3597" s="20">
        <v>30</v>
      </c>
      <c r="U3597" s="17">
        <v>2</v>
      </c>
      <c r="V3597" s="17">
        <v>36</v>
      </c>
    </row>
    <row r="3598" spans="1:22" x14ac:dyDescent="0.2">
      <c r="A3598" t="s">
        <v>8031</v>
      </c>
      <c r="B3598" t="s">
        <v>7665</v>
      </c>
      <c r="C3598" t="s">
        <v>7666</v>
      </c>
      <c r="D3598" t="s">
        <v>8029</v>
      </c>
      <c r="E3598" s="10" t="s">
        <v>8032</v>
      </c>
      <c r="F3598" s="10"/>
      <c r="G3598" s="10"/>
      <c r="H3598" s="10" t="s">
        <v>8032</v>
      </c>
      <c r="I3598" s="14">
        <v>239400.27165509854</v>
      </c>
      <c r="J3598" s="19">
        <v>1</v>
      </c>
      <c r="K3598" s="19">
        <v>0</v>
      </c>
      <c r="L3598" s="19">
        <v>0</v>
      </c>
      <c r="M3598" s="20">
        <v>3</v>
      </c>
      <c r="N3598" s="19">
        <v>0</v>
      </c>
      <c r="O3598" s="19">
        <v>0</v>
      </c>
      <c r="P3598" s="19">
        <v>0</v>
      </c>
      <c r="Q3598" s="19">
        <v>0</v>
      </c>
      <c r="R3598" s="19">
        <v>0</v>
      </c>
      <c r="S3598" s="19">
        <v>0</v>
      </c>
      <c r="T3598" s="20">
        <v>30</v>
      </c>
      <c r="U3598" s="17">
        <v>2</v>
      </c>
      <c r="V3598" s="17">
        <v>36</v>
      </c>
    </row>
    <row r="3599" spans="1:22" x14ac:dyDescent="0.2">
      <c r="A3599" t="s">
        <v>8033</v>
      </c>
      <c r="B3599" t="s">
        <v>7665</v>
      </c>
      <c r="C3599" t="s">
        <v>7666</v>
      </c>
      <c r="D3599" t="s">
        <v>8029</v>
      </c>
      <c r="E3599" s="10" t="s">
        <v>8034</v>
      </c>
      <c r="F3599" s="10"/>
      <c r="G3599" s="10"/>
      <c r="H3599" s="10" t="s">
        <v>8034</v>
      </c>
      <c r="I3599" s="14">
        <v>125793.53075189143</v>
      </c>
      <c r="J3599" s="19">
        <v>0.49226804175575117</v>
      </c>
      <c r="K3599" s="19">
        <v>0.39204954403063391</v>
      </c>
      <c r="L3599" s="19">
        <v>0.11568241421361489</v>
      </c>
      <c r="M3599" s="20">
        <v>2</v>
      </c>
      <c r="N3599" s="19">
        <v>7.586897402458416E-2</v>
      </c>
      <c r="O3599" s="19">
        <v>0</v>
      </c>
      <c r="P3599" s="19">
        <v>0.31618057000604971</v>
      </c>
      <c r="Q3599" s="19">
        <v>0</v>
      </c>
      <c r="R3599" s="19">
        <v>0.10283711551373839</v>
      </c>
      <c r="S3599" s="19">
        <v>1.2845298699876492E-2</v>
      </c>
      <c r="T3599" s="20">
        <v>23</v>
      </c>
      <c r="U3599" s="17">
        <v>2</v>
      </c>
      <c r="V3599" s="17">
        <v>36</v>
      </c>
    </row>
    <row r="3600" spans="1:22" x14ac:dyDescent="0.2">
      <c r="A3600" t="s">
        <v>8035</v>
      </c>
      <c r="B3600" t="s">
        <v>7665</v>
      </c>
      <c r="C3600" t="s">
        <v>7666</v>
      </c>
      <c r="D3600" t="s">
        <v>8029</v>
      </c>
      <c r="E3600" s="10" t="s">
        <v>8036</v>
      </c>
      <c r="F3600" s="10"/>
      <c r="G3600" s="10"/>
      <c r="H3600" s="10" t="s">
        <v>8036</v>
      </c>
      <c r="I3600" s="14">
        <v>168480.94466049992</v>
      </c>
      <c r="J3600" s="19">
        <v>0.98399159153253257</v>
      </c>
      <c r="K3600" s="19">
        <v>8.5585626762147236E-3</v>
      </c>
      <c r="L3600" s="19">
        <v>7.4498457912526902E-3</v>
      </c>
      <c r="M3600" s="20">
        <v>3</v>
      </c>
      <c r="N3600" s="19">
        <v>0</v>
      </c>
      <c r="O3600" s="19">
        <v>0</v>
      </c>
      <c r="P3600" s="19">
        <v>8.5585626762147236E-3</v>
      </c>
      <c r="Q3600" s="19">
        <v>0</v>
      </c>
      <c r="R3600" s="19">
        <v>5.9074662661555855E-3</v>
      </c>
      <c r="S3600" s="19">
        <v>1.5423795250971049E-3</v>
      </c>
      <c r="T3600" s="20">
        <v>30</v>
      </c>
      <c r="U3600" s="17">
        <v>2</v>
      </c>
      <c r="V3600" s="17">
        <v>36</v>
      </c>
    </row>
    <row r="3601" spans="1:22" x14ac:dyDescent="0.2">
      <c r="A3601" t="s">
        <v>8037</v>
      </c>
      <c r="B3601" t="s">
        <v>7665</v>
      </c>
      <c r="C3601" t="s">
        <v>7666</v>
      </c>
      <c r="D3601" t="s">
        <v>8029</v>
      </c>
      <c r="E3601" s="10" t="s">
        <v>8038</v>
      </c>
      <c r="F3601" s="10"/>
      <c r="G3601" s="10"/>
      <c r="H3601" s="10" t="s">
        <v>8038</v>
      </c>
      <c r="I3601" s="14">
        <v>83275.017577655846</v>
      </c>
      <c r="J3601" s="19">
        <v>0.93435004673491473</v>
      </c>
      <c r="K3601" s="19">
        <v>6.3896051844042248E-2</v>
      </c>
      <c r="L3601" s="19">
        <v>1.7539014210429926E-3</v>
      </c>
      <c r="M3601" s="20">
        <v>3</v>
      </c>
      <c r="N3601" s="19">
        <v>0</v>
      </c>
      <c r="O3601" s="19">
        <v>0</v>
      </c>
      <c r="P3601" s="19">
        <v>6.3896051844042248E-2</v>
      </c>
      <c r="Q3601" s="19">
        <v>0</v>
      </c>
      <c r="R3601" s="19">
        <v>1.7539014210429926E-3</v>
      </c>
      <c r="S3601" s="19">
        <v>0</v>
      </c>
      <c r="T3601" s="20">
        <v>30</v>
      </c>
      <c r="U3601" s="17">
        <v>2</v>
      </c>
      <c r="V3601" s="17">
        <v>36</v>
      </c>
    </row>
    <row r="3602" spans="1:22" x14ac:dyDescent="0.2">
      <c r="A3602" t="s">
        <v>8039</v>
      </c>
      <c r="B3602" t="s">
        <v>7665</v>
      </c>
      <c r="C3602" t="s">
        <v>7666</v>
      </c>
      <c r="D3602" t="s">
        <v>8029</v>
      </c>
      <c r="E3602" s="10" t="s">
        <v>8040</v>
      </c>
      <c r="F3602" s="10"/>
      <c r="G3602" s="10"/>
      <c r="H3602" s="10" t="s">
        <v>8040</v>
      </c>
      <c r="I3602" s="14">
        <v>141141.84851841908</v>
      </c>
      <c r="J3602" s="19">
        <v>0.96556898795681156</v>
      </c>
      <c r="K3602" s="19">
        <v>2.8193514598793684E-2</v>
      </c>
      <c r="L3602" s="19">
        <v>6.2374974443947673E-3</v>
      </c>
      <c r="M3602" s="20">
        <v>3</v>
      </c>
      <c r="N3602" s="19">
        <v>0</v>
      </c>
      <c r="O3602" s="19">
        <v>0</v>
      </c>
      <c r="P3602" s="19">
        <v>2.8193514598793684E-2</v>
      </c>
      <c r="Q3602" s="19">
        <v>0</v>
      </c>
      <c r="R3602" s="19">
        <v>5.0717018567518072E-3</v>
      </c>
      <c r="S3602" s="19">
        <v>1.1657955876429602E-3</v>
      </c>
      <c r="T3602" s="20">
        <v>30</v>
      </c>
      <c r="U3602" s="17">
        <v>2</v>
      </c>
      <c r="V3602" s="17">
        <v>36</v>
      </c>
    </row>
    <row r="3603" spans="1:22" x14ac:dyDescent="0.2">
      <c r="A3603" t="s">
        <v>8041</v>
      </c>
      <c r="B3603" t="s">
        <v>7665</v>
      </c>
      <c r="C3603" t="s">
        <v>7666</v>
      </c>
      <c r="D3603" t="s">
        <v>8029</v>
      </c>
      <c r="E3603" s="10" t="s">
        <v>8042</v>
      </c>
      <c r="F3603" s="10"/>
      <c r="G3603" s="10"/>
      <c r="H3603" s="10" t="s">
        <v>8042</v>
      </c>
      <c r="I3603" s="14">
        <v>219603.04205434397</v>
      </c>
      <c r="J3603" s="19">
        <v>1</v>
      </c>
      <c r="K3603" s="19">
        <v>0</v>
      </c>
      <c r="L3603" s="19">
        <v>0</v>
      </c>
      <c r="M3603" s="20">
        <v>3</v>
      </c>
      <c r="N3603" s="19">
        <v>0</v>
      </c>
      <c r="O3603" s="19">
        <v>0</v>
      </c>
      <c r="P3603" s="19">
        <v>0</v>
      </c>
      <c r="Q3603" s="19">
        <v>0</v>
      </c>
      <c r="R3603" s="19">
        <v>0</v>
      </c>
      <c r="S3603" s="19">
        <v>0</v>
      </c>
      <c r="T3603" s="20">
        <v>30</v>
      </c>
      <c r="U3603" s="17">
        <v>2</v>
      </c>
      <c r="V3603" s="17">
        <v>36</v>
      </c>
    </row>
    <row r="3604" spans="1:22" x14ac:dyDescent="0.2">
      <c r="A3604" t="s">
        <v>8043</v>
      </c>
      <c r="B3604" t="s">
        <v>7665</v>
      </c>
      <c r="C3604" t="s">
        <v>7666</v>
      </c>
      <c r="D3604" t="s">
        <v>8044</v>
      </c>
      <c r="E3604" s="10" t="s">
        <v>8044</v>
      </c>
      <c r="F3604" s="10"/>
      <c r="G3604" s="10"/>
      <c r="H3604" s="10" t="s">
        <v>8044</v>
      </c>
      <c r="I3604" s="14">
        <v>110383.16994363908</v>
      </c>
      <c r="J3604" s="19">
        <v>9.910454130031833E-2</v>
      </c>
      <c r="K3604" s="19">
        <v>0.65541576630264198</v>
      </c>
      <c r="L3604" s="19">
        <v>0.24547969239703971</v>
      </c>
      <c r="M3604" s="20">
        <v>2</v>
      </c>
      <c r="N3604" s="19">
        <v>0.12731550915281742</v>
      </c>
      <c r="O3604" s="19">
        <v>0</v>
      </c>
      <c r="P3604" s="19">
        <v>0.52810025714982467</v>
      </c>
      <c r="Q3604" s="19">
        <v>6.2206679135007298E-2</v>
      </c>
      <c r="R3604" s="19">
        <v>0.15566836055867156</v>
      </c>
      <c r="S3604" s="19">
        <v>2.7604652703360818E-2</v>
      </c>
      <c r="T3604" s="20">
        <v>21</v>
      </c>
      <c r="U3604" s="17">
        <v>2</v>
      </c>
      <c r="V3604" s="17">
        <v>36</v>
      </c>
    </row>
    <row r="3605" spans="1:22" x14ac:dyDescent="0.2">
      <c r="A3605" t="s">
        <v>8045</v>
      </c>
      <c r="B3605" t="s">
        <v>7665</v>
      </c>
      <c r="C3605" t="s">
        <v>7666</v>
      </c>
      <c r="D3605" t="s">
        <v>8044</v>
      </c>
      <c r="E3605" s="10" t="s">
        <v>8046</v>
      </c>
      <c r="F3605" s="10"/>
      <c r="G3605" s="10"/>
      <c r="H3605" s="10" t="s">
        <v>8046</v>
      </c>
      <c r="I3605" s="14">
        <v>59732.655409872532</v>
      </c>
      <c r="J3605" s="19">
        <v>0</v>
      </c>
      <c r="K3605" s="19">
        <v>0.22903037664634399</v>
      </c>
      <c r="L3605" s="19">
        <v>0.77096962335365604</v>
      </c>
      <c r="M3605" s="20">
        <v>1</v>
      </c>
      <c r="N3605" s="19">
        <v>0.1884738358305417</v>
      </c>
      <c r="O3605" s="19">
        <v>0</v>
      </c>
      <c r="P3605" s="19">
        <v>4.0556540815802275E-2</v>
      </c>
      <c r="Q3605" s="19">
        <v>0.45509318461037224</v>
      </c>
      <c r="R3605" s="19">
        <v>0.27032947500847293</v>
      </c>
      <c r="S3605" s="19">
        <v>4.5546963734810819E-2</v>
      </c>
      <c r="T3605" s="20">
        <v>13</v>
      </c>
      <c r="U3605" s="17">
        <v>2</v>
      </c>
      <c r="V3605" s="17">
        <v>36</v>
      </c>
    </row>
    <row r="3606" spans="1:22" x14ac:dyDescent="0.2">
      <c r="A3606" t="s">
        <v>8047</v>
      </c>
      <c r="B3606" t="s">
        <v>7665</v>
      </c>
      <c r="C3606" t="s">
        <v>7666</v>
      </c>
      <c r="D3606" t="s">
        <v>8044</v>
      </c>
      <c r="E3606" s="10" t="s">
        <v>8048</v>
      </c>
      <c r="F3606" s="10"/>
      <c r="G3606" s="10"/>
      <c r="H3606" s="10" t="s">
        <v>8048</v>
      </c>
      <c r="I3606" s="14">
        <v>53658.816855449229</v>
      </c>
      <c r="J3606" s="19">
        <v>0.90806622634048262</v>
      </c>
      <c r="K3606" s="19">
        <v>7.7692913042334458E-2</v>
      </c>
      <c r="L3606" s="19">
        <v>1.4240860617182979E-2</v>
      </c>
      <c r="M3606" s="20">
        <v>3</v>
      </c>
      <c r="N3606" s="19">
        <v>0</v>
      </c>
      <c r="O3606" s="19">
        <v>0</v>
      </c>
      <c r="P3606" s="19">
        <v>7.7692913042334458E-2</v>
      </c>
      <c r="Q3606" s="19">
        <v>0</v>
      </c>
      <c r="R3606" s="19">
        <v>1.2552302021976335E-2</v>
      </c>
      <c r="S3606" s="19">
        <v>1.6885585952066445E-3</v>
      </c>
      <c r="T3606" s="20">
        <v>30</v>
      </c>
      <c r="U3606" s="17">
        <v>2</v>
      </c>
      <c r="V3606" s="17">
        <v>36</v>
      </c>
    </row>
    <row r="3607" spans="1:22" x14ac:dyDescent="0.2">
      <c r="A3607" t="s">
        <v>8049</v>
      </c>
      <c r="B3607" t="s">
        <v>7665</v>
      </c>
      <c r="C3607" t="s">
        <v>7666</v>
      </c>
      <c r="D3607" t="s">
        <v>8044</v>
      </c>
      <c r="E3607" s="10" t="s">
        <v>8050</v>
      </c>
      <c r="F3607" s="10"/>
      <c r="G3607" s="10"/>
      <c r="H3607" s="10" t="s">
        <v>8050</v>
      </c>
      <c r="I3607" s="14">
        <v>42609.206319600344</v>
      </c>
      <c r="J3607" s="19">
        <v>0</v>
      </c>
      <c r="K3607" s="19">
        <v>0.78669615033596552</v>
      </c>
      <c r="L3607" s="19">
        <v>0.21330384966403451</v>
      </c>
      <c r="M3607" s="20">
        <v>2</v>
      </c>
      <c r="N3607" s="19">
        <v>0.33588548334653873</v>
      </c>
      <c r="O3607" s="19">
        <v>0.10683715932441858</v>
      </c>
      <c r="P3607" s="19">
        <v>0.34397350766500817</v>
      </c>
      <c r="Q3607" s="19">
        <v>8.238732725871023E-2</v>
      </c>
      <c r="R3607" s="19">
        <v>0.10732057900549015</v>
      </c>
      <c r="S3607" s="19">
        <v>2.3595943399834115E-2</v>
      </c>
      <c r="T3607" s="20">
        <v>23</v>
      </c>
      <c r="U3607" s="17">
        <v>2</v>
      </c>
      <c r="V3607" s="17">
        <v>36</v>
      </c>
    </row>
    <row r="3608" spans="1:22" x14ac:dyDescent="0.2">
      <c r="A3608" t="s">
        <v>8051</v>
      </c>
      <c r="B3608" t="s">
        <v>7665</v>
      </c>
      <c r="C3608" t="s">
        <v>7666</v>
      </c>
      <c r="D3608" t="s">
        <v>8044</v>
      </c>
      <c r="E3608" s="10" t="s">
        <v>8052</v>
      </c>
      <c r="F3608" s="10"/>
      <c r="G3608" s="10"/>
      <c r="H3608" s="10" t="s">
        <v>8052</v>
      </c>
      <c r="I3608" s="14">
        <v>42453.777783546597</v>
      </c>
      <c r="J3608" s="19">
        <v>0</v>
      </c>
      <c r="K3608" s="19">
        <v>0.57270176797748484</v>
      </c>
      <c r="L3608" s="19">
        <v>0.42729823202251516</v>
      </c>
      <c r="M3608" s="20">
        <v>2</v>
      </c>
      <c r="N3608" s="19">
        <v>0.52797065961381562</v>
      </c>
      <c r="O3608" s="19">
        <v>0</v>
      </c>
      <c r="P3608" s="19">
        <v>4.4731108363669218E-2</v>
      </c>
      <c r="Q3608" s="19">
        <v>0.26994278018329904</v>
      </c>
      <c r="R3608" s="19">
        <v>0.13447797842760714</v>
      </c>
      <c r="S3608" s="19">
        <v>2.2877473411608985E-2</v>
      </c>
      <c r="T3608" s="20">
        <v>23</v>
      </c>
      <c r="U3608" s="17">
        <v>2</v>
      </c>
      <c r="V3608" s="17">
        <v>36</v>
      </c>
    </row>
    <row r="3609" spans="1:22" x14ac:dyDescent="0.2">
      <c r="A3609" t="s">
        <v>8053</v>
      </c>
      <c r="B3609" t="s">
        <v>7665</v>
      </c>
      <c r="C3609" t="s">
        <v>7666</v>
      </c>
      <c r="D3609" t="s">
        <v>8044</v>
      </c>
      <c r="E3609" s="10" t="s">
        <v>8054</v>
      </c>
      <c r="F3609" s="10"/>
      <c r="G3609" s="10"/>
      <c r="H3609" s="10" t="s">
        <v>8054</v>
      </c>
      <c r="I3609" s="14">
        <v>42526.314197836444</v>
      </c>
      <c r="J3609" s="19">
        <v>0</v>
      </c>
      <c r="K3609" s="19">
        <v>0.24413919102862322</v>
      </c>
      <c r="L3609" s="19">
        <v>0.75586080897137675</v>
      </c>
      <c r="M3609" s="20">
        <v>1</v>
      </c>
      <c r="N3609" s="19">
        <v>0.14777969081691472</v>
      </c>
      <c r="O3609" s="19">
        <v>0</v>
      </c>
      <c r="P3609" s="19">
        <v>9.6359500211708513E-2</v>
      </c>
      <c r="Q3609" s="19">
        <v>0.33754346372078992</v>
      </c>
      <c r="R3609" s="19">
        <v>0.36170699878810542</v>
      </c>
      <c r="S3609" s="19">
        <v>5.6610346462481448E-2</v>
      </c>
      <c r="T3609" s="20">
        <v>12</v>
      </c>
      <c r="U3609" s="17">
        <v>2</v>
      </c>
      <c r="V3609" s="17">
        <v>36</v>
      </c>
    </row>
    <row r="3610" spans="1:22" x14ac:dyDescent="0.2">
      <c r="A3610" t="s">
        <v>8055</v>
      </c>
      <c r="B3610" t="s">
        <v>7665</v>
      </c>
      <c r="C3610" t="s">
        <v>7666</v>
      </c>
      <c r="D3610" t="s">
        <v>8044</v>
      </c>
      <c r="E3610" s="10" t="s">
        <v>8056</v>
      </c>
      <c r="F3610" s="10"/>
      <c r="G3610" s="10"/>
      <c r="H3610" s="10" t="s">
        <v>8056</v>
      </c>
      <c r="I3610" s="14">
        <v>28079.737522251904</v>
      </c>
      <c r="J3610" s="19">
        <v>0</v>
      </c>
      <c r="K3610" s="19">
        <v>0.20685606538646381</v>
      </c>
      <c r="L3610" s="19">
        <v>0.79314393461353616</v>
      </c>
      <c r="M3610" s="20">
        <v>1</v>
      </c>
      <c r="N3610" s="19">
        <v>0</v>
      </c>
      <c r="O3610" s="19">
        <v>0.20685606538646381</v>
      </c>
      <c r="P3610" s="19">
        <v>0</v>
      </c>
      <c r="Q3610" s="19">
        <v>0.468016445954761</v>
      </c>
      <c r="R3610" s="19">
        <v>0.24470520506247723</v>
      </c>
      <c r="S3610" s="19">
        <v>8.0422283596297994E-2</v>
      </c>
      <c r="T3610" s="20">
        <v>13</v>
      </c>
      <c r="U3610" s="17">
        <v>2</v>
      </c>
      <c r="V3610" s="17">
        <v>36</v>
      </c>
    </row>
    <row r="3611" spans="1:22" x14ac:dyDescent="0.2">
      <c r="A3611" t="s">
        <v>8057</v>
      </c>
      <c r="B3611" t="s">
        <v>7665</v>
      </c>
      <c r="C3611" t="s">
        <v>7666</v>
      </c>
      <c r="D3611" t="s">
        <v>8044</v>
      </c>
      <c r="E3611" s="10" t="s">
        <v>8058</v>
      </c>
      <c r="F3611" s="10"/>
      <c r="G3611" s="10"/>
      <c r="H3611" s="10" t="s">
        <v>8058</v>
      </c>
      <c r="I3611" s="14">
        <v>50178.0824046731</v>
      </c>
      <c r="J3611" s="19">
        <v>0</v>
      </c>
      <c r="K3611" s="19">
        <v>0.766435176356565</v>
      </c>
      <c r="L3611" s="19">
        <v>0.233564823643435</v>
      </c>
      <c r="M3611" s="20">
        <v>2</v>
      </c>
      <c r="N3611" s="19">
        <v>0.67992720888799241</v>
      </c>
      <c r="O3611" s="19">
        <v>0</v>
      </c>
      <c r="P3611" s="19">
        <v>8.6507967468572589E-2</v>
      </c>
      <c r="Q3611" s="19">
        <v>0.12594380811977623</v>
      </c>
      <c r="R3611" s="19">
        <v>9.1736381272237863E-2</v>
      </c>
      <c r="S3611" s="19">
        <v>1.5884634251420889E-2</v>
      </c>
      <c r="T3611" s="20">
        <v>23</v>
      </c>
      <c r="U3611" s="17">
        <v>2</v>
      </c>
      <c r="V3611" s="17">
        <v>36</v>
      </c>
    </row>
    <row r="3612" spans="1:22" x14ac:dyDescent="0.2">
      <c r="A3612" t="s">
        <v>8059</v>
      </c>
      <c r="B3612" t="s">
        <v>7665</v>
      </c>
      <c r="C3612" t="s">
        <v>7666</v>
      </c>
      <c r="D3612" t="s">
        <v>8044</v>
      </c>
      <c r="E3612" s="10" t="s">
        <v>8060</v>
      </c>
      <c r="F3612" s="10"/>
      <c r="G3612" s="10"/>
      <c r="H3612" s="10" t="s">
        <v>8060</v>
      </c>
      <c r="I3612" s="14">
        <v>12353.076694440097</v>
      </c>
      <c r="J3612" s="19">
        <v>0</v>
      </c>
      <c r="K3612" s="19">
        <v>0.67302357000733926</v>
      </c>
      <c r="L3612" s="19">
        <v>0.32697642999266074</v>
      </c>
      <c r="M3612" s="20">
        <v>2</v>
      </c>
      <c r="N3612" s="19">
        <v>0</v>
      </c>
      <c r="O3612" s="19">
        <v>0.67302357000733926</v>
      </c>
      <c r="P3612" s="19">
        <v>0</v>
      </c>
      <c r="Q3612" s="19">
        <v>0.18331529624176174</v>
      </c>
      <c r="R3612" s="19">
        <v>0.13667141518078671</v>
      </c>
      <c r="S3612" s="19">
        <v>6.989718570112268E-3</v>
      </c>
      <c r="T3612" s="20">
        <v>22</v>
      </c>
      <c r="U3612" s="17">
        <v>2</v>
      </c>
      <c r="V3612" s="17">
        <v>36</v>
      </c>
    </row>
    <row r="3613" spans="1:22" x14ac:dyDescent="0.2">
      <c r="A3613" t="s">
        <v>8061</v>
      </c>
      <c r="B3613" t="s">
        <v>7665</v>
      </c>
      <c r="C3613" t="s">
        <v>7666</v>
      </c>
      <c r="D3613" t="s">
        <v>8044</v>
      </c>
      <c r="E3613" s="10" t="s">
        <v>8062</v>
      </c>
      <c r="F3613" s="10"/>
      <c r="G3613" s="10"/>
      <c r="H3613" s="10" t="s">
        <v>8062</v>
      </c>
      <c r="I3613" s="14">
        <v>78471.313642978668</v>
      </c>
      <c r="J3613" s="19">
        <v>0</v>
      </c>
      <c r="K3613" s="19">
        <v>0.63583238214891169</v>
      </c>
      <c r="L3613" s="19">
        <v>0.36416761785108831</v>
      </c>
      <c r="M3613" s="20">
        <v>2</v>
      </c>
      <c r="N3613" s="19">
        <v>0.50749687952638212</v>
      </c>
      <c r="O3613" s="19">
        <v>3.4055776497762764E-2</v>
      </c>
      <c r="P3613" s="19">
        <v>9.4279726124766774E-2</v>
      </c>
      <c r="Q3613" s="19">
        <v>0.23658936867520192</v>
      </c>
      <c r="R3613" s="19">
        <v>0.10984337448473137</v>
      </c>
      <c r="S3613" s="19">
        <v>1.7734874691154996E-2</v>
      </c>
      <c r="T3613" s="20">
        <v>23</v>
      </c>
      <c r="U3613" s="17">
        <v>2</v>
      </c>
      <c r="V3613" s="17">
        <v>36</v>
      </c>
    </row>
    <row r="3614" spans="1:22" x14ac:dyDescent="0.2">
      <c r="A3614" t="s">
        <v>8063</v>
      </c>
      <c r="B3614" t="s">
        <v>7665</v>
      </c>
      <c r="C3614" t="s">
        <v>7666</v>
      </c>
      <c r="D3614" t="s">
        <v>8064</v>
      </c>
      <c r="E3614" s="10" t="s">
        <v>8065</v>
      </c>
      <c r="F3614" s="10"/>
      <c r="G3614" s="10"/>
      <c r="H3614" s="10" t="s">
        <v>8065</v>
      </c>
      <c r="I3614" s="14">
        <v>80257.388696782757</v>
      </c>
      <c r="J3614" s="19">
        <v>0.65323498603288799</v>
      </c>
      <c r="K3614" s="19">
        <v>0.1863522367858409</v>
      </c>
      <c r="L3614" s="19">
        <v>0.16041277718127117</v>
      </c>
      <c r="M3614" s="20">
        <v>3</v>
      </c>
      <c r="N3614" s="19">
        <v>0</v>
      </c>
      <c r="O3614" s="19">
        <v>0</v>
      </c>
      <c r="P3614" s="19">
        <v>0.1863522367858409</v>
      </c>
      <c r="Q3614" s="19">
        <v>6.4392956322745012E-2</v>
      </c>
      <c r="R3614" s="19">
        <v>8.7744846978129495E-2</v>
      </c>
      <c r="S3614" s="19">
        <v>8.2749738803966407E-3</v>
      </c>
      <c r="T3614" s="20">
        <v>30</v>
      </c>
      <c r="U3614" s="17">
        <v>2</v>
      </c>
      <c r="V3614" s="17">
        <v>36</v>
      </c>
    </row>
    <row r="3615" spans="1:22" x14ac:dyDescent="0.2">
      <c r="A3615" t="s">
        <v>8066</v>
      </c>
      <c r="B3615" t="s">
        <v>7665</v>
      </c>
      <c r="C3615" t="s">
        <v>7666</v>
      </c>
      <c r="D3615" t="s">
        <v>8064</v>
      </c>
      <c r="E3615" s="10" t="s">
        <v>8067</v>
      </c>
      <c r="F3615" s="10"/>
      <c r="G3615" s="10"/>
      <c r="H3615" s="10" t="s">
        <v>8067</v>
      </c>
      <c r="I3615" s="14">
        <v>44412.886390024563</v>
      </c>
      <c r="J3615" s="19">
        <v>0</v>
      </c>
      <c r="K3615" s="19">
        <v>0.96102193560721982</v>
      </c>
      <c r="L3615" s="19">
        <v>3.8978064392780169E-2</v>
      </c>
      <c r="M3615" s="20">
        <v>2</v>
      </c>
      <c r="N3615" s="19">
        <v>0.72777917815309534</v>
      </c>
      <c r="O3615" s="19">
        <v>0</v>
      </c>
      <c r="P3615" s="19">
        <v>0.23324275745412437</v>
      </c>
      <c r="Q3615" s="19">
        <v>0</v>
      </c>
      <c r="R3615" s="19">
        <v>2.3377500219555109E-2</v>
      </c>
      <c r="S3615" s="19">
        <v>1.560056417322506E-2</v>
      </c>
      <c r="T3615" s="20">
        <v>23</v>
      </c>
      <c r="U3615" s="17">
        <v>2</v>
      </c>
      <c r="V3615" s="17">
        <v>36</v>
      </c>
    </row>
    <row r="3616" spans="1:22" x14ac:dyDescent="0.2">
      <c r="A3616" t="s">
        <v>8068</v>
      </c>
      <c r="B3616" t="s">
        <v>7665</v>
      </c>
      <c r="C3616" t="s">
        <v>7666</v>
      </c>
      <c r="D3616" t="s">
        <v>8064</v>
      </c>
      <c r="E3616" s="10" t="s">
        <v>8069</v>
      </c>
      <c r="F3616" s="10"/>
      <c r="G3616" s="10"/>
      <c r="H3616" s="10" t="s">
        <v>8069</v>
      </c>
      <c r="I3616" s="14">
        <v>85646.362607810646</v>
      </c>
      <c r="J3616" s="19">
        <v>0</v>
      </c>
      <c r="K3616" s="19">
        <v>0.61706768528461553</v>
      </c>
      <c r="L3616" s="19">
        <v>0.38293231471538441</v>
      </c>
      <c r="M3616" s="20">
        <v>2</v>
      </c>
      <c r="N3616" s="19">
        <v>8.2444224566797272E-2</v>
      </c>
      <c r="O3616" s="19">
        <v>0.29122573785990996</v>
      </c>
      <c r="P3616" s="19">
        <v>0.24339772285790837</v>
      </c>
      <c r="Q3616" s="19">
        <v>0.11680623393207716</v>
      </c>
      <c r="R3616" s="19">
        <v>0.23719245797889413</v>
      </c>
      <c r="S3616" s="19">
        <v>2.8933622804413112E-2</v>
      </c>
      <c r="T3616" s="20">
        <v>22</v>
      </c>
      <c r="U3616" s="17">
        <v>2</v>
      </c>
      <c r="V3616" s="17">
        <v>36</v>
      </c>
    </row>
    <row r="3617" spans="1:22" x14ac:dyDescent="0.2">
      <c r="A3617" t="s">
        <v>8070</v>
      </c>
      <c r="B3617" t="s">
        <v>7665</v>
      </c>
      <c r="C3617" t="s">
        <v>7666</v>
      </c>
      <c r="D3617" t="s">
        <v>8064</v>
      </c>
      <c r="E3617" s="10" t="s">
        <v>8071</v>
      </c>
      <c r="F3617" s="10"/>
      <c r="G3617" s="10"/>
      <c r="H3617" s="10" t="s">
        <v>8071</v>
      </c>
      <c r="I3617" s="14">
        <v>125076.96240549978</v>
      </c>
      <c r="J3617" s="19">
        <v>0</v>
      </c>
      <c r="K3617" s="19">
        <v>0.48506342926529439</v>
      </c>
      <c r="L3617" s="19">
        <v>0.51493657073470533</v>
      </c>
      <c r="M3617" s="20">
        <v>1</v>
      </c>
      <c r="N3617" s="19">
        <v>0.19968029016876312</v>
      </c>
      <c r="O3617" s="19">
        <v>0.16675741574451775</v>
      </c>
      <c r="P3617" s="19">
        <v>0.11862572335201357</v>
      </c>
      <c r="Q3617" s="19">
        <v>0.21222131076310272</v>
      </c>
      <c r="R3617" s="19">
        <v>0.25346803824680847</v>
      </c>
      <c r="S3617" s="19">
        <v>4.9247221724794281E-2</v>
      </c>
      <c r="T3617" s="20">
        <v>12</v>
      </c>
      <c r="U3617" s="17">
        <v>2</v>
      </c>
      <c r="V3617" s="17">
        <v>36</v>
      </c>
    </row>
    <row r="3618" spans="1:22" x14ac:dyDescent="0.2">
      <c r="A3618" t="s">
        <v>8072</v>
      </c>
      <c r="B3618" t="s">
        <v>7665</v>
      </c>
      <c r="C3618" t="s">
        <v>7666</v>
      </c>
      <c r="D3618" t="s">
        <v>8064</v>
      </c>
      <c r="E3618" s="10" t="s">
        <v>8073</v>
      </c>
      <c r="F3618" s="10"/>
      <c r="G3618" s="10"/>
      <c r="H3618" s="10" t="s">
        <v>8073</v>
      </c>
      <c r="I3618" s="14">
        <v>71638.107537670294</v>
      </c>
      <c r="J3618" s="19">
        <v>0</v>
      </c>
      <c r="K3618" s="19">
        <v>0.7808135398191135</v>
      </c>
      <c r="L3618" s="19">
        <v>0.21918646018088647</v>
      </c>
      <c r="M3618" s="20">
        <v>2</v>
      </c>
      <c r="N3618" s="19">
        <v>0.32727853382094224</v>
      </c>
      <c r="O3618" s="19">
        <v>0</v>
      </c>
      <c r="P3618" s="19">
        <v>0.45353500599817131</v>
      </c>
      <c r="Q3618" s="19">
        <v>2.8092160654139654E-2</v>
      </c>
      <c r="R3618" s="19">
        <v>0.15098284022311459</v>
      </c>
      <c r="S3618" s="19">
        <v>4.0111459303632239E-2</v>
      </c>
      <c r="T3618" s="20">
        <v>23</v>
      </c>
      <c r="U3618" s="17">
        <v>2</v>
      </c>
      <c r="V3618" s="17">
        <v>36</v>
      </c>
    </row>
    <row r="3619" spans="1:22" x14ac:dyDescent="0.2">
      <c r="A3619" t="s">
        <v>8074</v>
      </c>
      <c r="B3619" t="s">
        <v>7665</v>
      </c>
      <c r="C3619" t="s">
        <v>7666</v>
      </c>
      <c r="D3619" t="s">
        <v>8064</v>
      </c>
      <c r="E3619" s="10" t="s">
        <v>8075</v>
      </c>
      <c r="F3619" s="10"/>
      <c r="G3619" s="10"/>
      <c r="H3619" s="10" t="s">
        <v>8075</v>
      </c>
      <c r="I3619" s="14">
        <v>138902.64150421973</v>
      </c>
      <c r="J3619" s="19">
        <v>0.38478400686689879</v>
      </c>
      <c r="K3619" s="19">
        <v>0.27914337196589206</v>
      </c>
      <c r="L3619" s="19">
        <v>0.33607262116720915</v>
      </c>
      <c r="M3619" s="20">
        <v>2</v>
      </c>
      <c r="N3619" s="19">
        <v>0</v>
      </c>
      <c r="O3619" s="19">
        <v>0.10204377279282645</v>
      </c>
      <c r="P3619" s="19">
        <v>0.17709959917306564</v>
      </c>
      <c r="Q3619" s="19">
        <v>0.13275491326123126</v>
      </c>
      <c r="R3619" s="19">
        <v>0.1729203576757945</v>
      </c>
      <c r="S3619" s="19">
        <v>3.0397350230183372E-2</v>
      </c>
      <c r="T3619" s="20">
        <v>22</v>
      </c>
      <c r="U3619" s="17">
        <v>2</v>
      </c>
      <c r="V3619" s="17">
        <v>36</v>
      </c>
    </row>
    <row r="3620" spans="1:22" x14ac:dyDescent="0.2">
      <c r="A3620" t="s">
        <v>8076</v>
      </c>
      <c r="B3620" t="s">
        <v>7665</v>
      </c>
      <c r="C3620" t="s">
        <v>7666</v>
      </c>
      <c r="D3620" t="s">
        <v>8064</v>
      </c>
      <c r="E3620" s="10" t="s">
        <v>8077</v>
      </c>
      <c r="F3620" s="10"/>
      <c r="G3620" s="10"/>
      <c r="H3620" s="10" t="s">
        <v>8077</v>
      </c>
      <c r="I3620" s="14">
        <v>78871.803539639572</v>
      </c>
      <c r="J3620" s="19">
        <v>0</v>
      </c>
      <c r="K3620" s="19">
        <v>0.59160924851857155</v>
      </c>
      <c r="L3620" s="19">
        <v>0.40839075148142845</v>
      </c>
      <c r="M3620" s="20">
        <v>2</v>
      </c>
      <c r="N3620" s="19">
        <v>0.20833261096044631</v>
      </c>
      <c r="O3620" s="19">
        <v>7.5116379630775568E-2</v>
      </c>
      <c r="P3620" s="19">
        <v>0.30816025792734969</v>
      </c>
      <c r="Q3620" s="19">
        <v>0.17774665001429835</v>
      </c>
      <c r="R3620" s="19">
        <v>0.18688916730657856</v>
      </c>
      <c r="S3620" s="19">
        <v>4.3754934160551512E-2</v>
      </c>
      <c r="T3620" s="20">
        <v>23</v>
      </c>
      <c r="U3620" s="17">
        <v>2</v>
      </c>
      <c r="V3620" s="17">
        <v>36</v>
      </c>
    </row>
    <row r="3621" spans="1:22" x14ac:dyDescent="0.2">
      <c r="A3621" t="s">
        <v>8078</v>
      </c>
      <c r="B3621" t="s">
        <v>7665</v>
      </c>
      <c r="C3621" t="s">
        <v>7666</v>
      </c>
      <c r="D3621" t="s">
        <v>8064</v>
      </c>
      <c r="E3621" s="10" t="s">
        <v>8079</v>
      </c>
      <c r="F3621" s="10"/>
      <c r="G3621" s="10"/>
      <c r="H3621" s="10" t="s">
        <v>8079</v>
      </c>
      <c r="I3621" s="14">
        <v>124822.78685696726</v>
      </c>
      <c r="J3621" s="19">
        <v>0</v>
      </c>
      <c r="K3621" s="19">
        <v>0.65099263378398242</v>
      </c>
      <c r="L3621" s="19">
        <v>0.34900736621601752</v>
      </c>
      <c r="M3621" s="20">
        <v>2</v>
      </c>
      <c r="N3621" s="19">
        <v>0.28784679911430938</v>
      </c>
      <c r="O3621" s="19">
        <v>0.12603862982856301</v>
      </c>
      <c r="P3621" s="19">
        <v>0.23710720484111011</v>
      </c>
      <c r="Q3621" s="19">
        <v>6.9342174732695314E-2</v>
      </c>
      <c r="R3621" s="19">
        <v>0.24410698155709146</v>
      </c>
      <c r="S3621" s="19">
        <v>3.5558209926230766E-2</v>
      </c>
      <c r="T3621" s="20">
        <v>23</v>
      </c>
      <c r="U3621" s="17">
        <v>2</v>
      </c>
      <c r="V3621" s="17">
        <v>36</v>
      </c>
    </row>
    <row r="3622" spans="1:22" x14ac:dyDescent="0.2">
      <c r="A3622" t="s">
        <v>8080</v>
      </c>
      <c r="B3622" t="s">
        <v>7665</v>
      </c>
      <c r="C3622" t="s">
        <v>7666</v>
      </c>
      <c r="D3622" t="s">
        <v>8064</v>
      </c>
      <c r="E3622" s="10" t="s">
        <v>8081</v>
      </c>
      <c r="F3622" s="10"/>
      <c r="G3622" s="10"/>
      <c r="H3622" s="10" t="s">
        <v>8081</v>
      </c>
      <c r="I3622" s="14">
        <v>48855.32162318984</v>
      </c>
      <c r="J3622" s="19">
        <v>0.35119798990835527</v>
      </c>
      <c r="K3622" s="19">
        <v>0.35922724151976315</v>
      </c>
      <c r="L3622" s="19">
        <v>0.28957476857188158</v>
      </c>
      <c r="M3622" s="20">
        <v>2</v>
      </c>
      <c r="N3622" s="19">
        <v>0</v>
      </c>
      <c r="O3622" s="19">
        <v>0</v>
      </c>
      <c r="P3622" s="19">
        <v>0.35922724151976315</v>
      </c>
      <c r="Q3622" s="19">
        <v>7.598953995808895E-2</v>
      </c>
      <c r="R3622" s="19">
        <v>0.17921651395121063</v>
      </c>
      <c r="S3622" s="19">
        <v>3.4368714662581998E-2</v>
      </c>
      <c r="T3622" s="20">
        <v>23</v>
      </c>
      <c r="U3622" s="17">
        <v>2</v>
      </c>
      <c r="V3622" s="17">
        <v>36</v>
      </c>
    </row>
    <row r="3623" spans="1:22" x14ac:dyDescent="0.2">
      <c r="A3623" t="s">
        <v>8082</v>
      </c>
      <c r="B3623" t="s">
        <v>7665</v>
      </c>
      <c r="C3623" t="s">
        <v>7666</v>
      </c>
      <c r="D3623" t="s">
        <v>8064</v>
      </c>
      <c r="E3623" s="10" t="s">
        <v>8083</v>
      </c>
      <c r="F3623" s="10"/>
      <c r="G3623" s="10"/>
      <c r="H3623" s="10" t="s">
        <v>8083</v>
      </c>
      <c r="I3623" s="14">
        <v>104415.85280820914</v>
      </c>
      <c r="J3623" s="19">
        <v>2.0435971521647531E-2</v>
      </c>
      <c r="K3623" s="19">
        <v>0.41368249681850416</v>
      </c>
      <c r="L3623" s="19">
        <v>0.56588153165984822</v>
      </c>
      <c r="M3623" s="20">
        <v>1</v>
      </c>
      <c r="N3623" s="19">
        <v>0.15023014184004541</v>
      </c>
      <c r="O3623" s="19">
        <v>0.12780893296905552</v>
      </c>
      <c r="P3623" s="19">
        <v>0.13564342200940324</v>
      </c>
      <c r="Q3623" s="19">
        <v>0.203238563730538</v>
      </c>
      <c r="R3623" s="19">
        <v>0.32444311033638629</v>
      </c>
      <c r="S3623" s="19">
        <v>3.8199857592924026E-2</v>
      </c>
      <c r="T3623" s="20">
        <v>12</v>
      </c>
      <c r="U3623" s="17">
        <v>2</v>
      </c>
      <c r="V3623" s="17">
        <v>36</v>
      </c>
    </row>
    <row r="3624" spans="1:22" x14ac:dyDescent="0.2">
      <c r="A3624" t="s">
        <v>8084</v>
      </c>
      <c r="B3624" t="s">
        <v>7665</v>
      </c>
      <c r="C3624" t="s">
        <v>7666</v>
      </c>
      <c r="D3624" t="s">
        <v>8064</v>
      </c>
      <c r="E3624" s="10" t="s">
        <v>8085</v>
      </c>
      <c r="F3624" s="10"/>
      <c r="G3624" s="10"/>
      <c r="H3624" s="10" t="s">
        <v>8085</v>
      </c>
      <c r="I3624" s="14">
        <v>62402.019843378337</v>
      </c>
      <c r="J3624" s="19">
        <v>0</v>
      </c>
      <c r="K3624" s="19">
        <v>0.79333134519971082</v>
      </c>
      <c r="L3624" s="19">
        <v>0.2066686548002892</v>
      </c>
      <c r="M3624" s="20">
        <v>2</v>
      </c>
      <c r="N3624" s="19">
        <v>0.30790943827439649</v>
      </c>
      <c r="O3624" s="19">
        <v>0.16489766487287194</v>
      </c>
      <c r="P3624" s="19">
        <v>0.32052424205244234</v>
      </c>
      <c r="Q3624" s="19">
        <v>8.6577707440514129E-2</v>
      </c>
      <c r="R3624" s="19">
        <v>9.521927262777119E-2</v>
      </c>
      <c r="S3624" s="19">
        <v>2.4871674732003878E-2</v>
      </c>
      <c r="T3624" s="20">
        <v>23</v>
      </c>
      <c r="U3624" s="17">
        <v>2</v>
      </c>
      <c r="V3624" s="17">
        <v>36</v>
      </c>
    </row>
    <row r="3625" spans="1:22" x14ac:dyDescent="0.2">
      <c r="A3625" t="s">
        <v>8086</v>
      </c>
      <c r="B3625" t="s">
        <v>7665</v>
      </c>
      <c r="C3625" t="s">
        <v>7666</v>
      </c>
      <c r="D3625" t="s">
        <v>8064</v>
      </c>
      <c r="E3625" s="10" t="s">
        <v>8087</v>
      </c>
      <c r="F3625" s="10"/>
      <c r="G3625" s="10"/>
      <c r="H3625" s="10" t="s">
        <v>8087</v>
      </c>
      <c r="I3625" s="14">
        <v>78593.062747576274</v>
      </c>
      <c r="J3625" s="19">
        <v>0</v>
      </c>
      <c r="K3625" s="19">
        <v>0.55401673284398667</v>
      </c>
      <c r="L3625" s="19">
        <v>0.44598326715601333</v>
      </c>
      <c r="M3625" s="20">
        <v>2</v>
      </c>
      <c r="N3625" s="19">
        <v>0.39517683434085515</v>
      </c>
      <c r="O3625" s="19">
        <v>0</v>
      </c>
      <c r="P3625" s="19">
        <v>0.15883989850313152</v>
      </c>
      <c r="Q3625" s="19">
        <v>0.1387264973954348</v>
      </c>
      <c r="R3625" s="19">
        <v>0.26069599180843506</v>
      </c>
      <c r="S3625" s="19">
        <v>4.6560777952143459E-2</v>
      </c>
      <c r="T3625" s="20">
        <v>23</v>
      </c>
      <c r="U3625" s="17">
        <v>2</v>
      </c>
      <c r="V3625" s="17">
        <v>36</v>
      </c>
    </row>
    <row r="3626" spans="1:22" x14ac:dyDescent="0.2">
      <c r="A3626" t="s">
        <v>8088</v>
      </c>
      <c r="B3626" t="s">
        <v>7665</v>
      </c>
      <c r="C3626" t="s">
        <v>7666</v>
      </c>
      <c r="D3626" t="s">
        <v>8064</v>
      </c>
      <c r="E3626" s="10" t="s">
        <v>8089</v>
      </c>
      <c r="F3626" s="10"/>
      <c r="G3626" s="10"/>
      <c r="H3626" s="10" t="s">
        <v>8089</v>
      </c>
      <c r="I3626" s="14">
        <v>54279.254277516156</v>
      </c>
      <c r="J3626" s="19">
        <v>0</v>
      </c>
      <c r="K3626" s="19">
        <v>0.4089279258785356</v>
      </c>
      <c r="L3626" s="19">
        <v>0.59107207412146434</v>
      </c>
      <c r="M3626" s="20">
        <v>1</v>
      </c>
      <c r="N3626" s="19">
        <v>0.23676472713978652</v>
      </c>
      <c r="O3626" s="19">
        <v>0</v>
      </c>
      <c r="P3626" s="19">
        <v>0.17216319873874908</v>
      </c>
      <c r="Q3626" s="19">
        <v>0.17917098076054574</v>
      </c>
      <c r="R3626" s="19">
        <v>0.35852651275394776</v>
      </c>
      <c r="S3626" s="19">
        <v>5.3374580606970881E-2</v>
      </c>
      <c r="T3626" s="20">
        <v>12</v>
      </c>
      <c r="U3626" s="17">
        <v>2</v>
      </c>
      <c r="V3626" s="17">
        <v>36</v>
      </c>
    </row>
    <row r="3627" spans="1:22" x14ac:dyDescent="0.2">
      <c r="A3627" t="s">
        <v>8090</v>
      </c>
      <c r="B3627" t="s">
        <v>7665</v>
      </c>
      <c r="C3627" t="s">
        <v>7666</v>
      </c>
      <c r="D3627" t="s">
        <v>8064</v>
      </c>
      <c r="E3627" s="10" t="s">
        <v>8091</v>
      </c>
      <c r="F3627" s="10"/>
      <c r="G3627" s="10"/>
      <c r="H3627" s="10" t="s">
        <v>8091</v>
      </c>
      <c r="I3627" s="14">
        <v>92188.428284917725</v>
      </c>
      <c r="J3627" s="19">
        <v>0</v>
      </c>
      <c r="K3627" s="19">
        <v>0.71524639983131932</v>
      </c>
      <c r="L3627" s="19">
        <v>0.28475360016868068</v>
      </c>
      <c r="M3627" s="20">
        <v>2</v>
      </c>
      <c r="N3627" s="19">
        <v>0.28266019561457056</v>
      </c>
      <c r="O3627" s="19">
        <v>0.25733826388418518</v>
      </c>
      <c r="P3627" s="19">
        <v>0.17524794033256358</v>
      </c>
      <c r="Q3627" s="19">
        <v>0.10807765066663898</v>
      </c>
      <c r="R3627" s="19">
        <v>0.14974304420536433</v>
      </c>
      <c r="S3627" s="19">
        <v>2.6932905296677381E-2</v>
      </c>
      <c r="T3627" s="20">
        <v>23</v>
      </c>
      <c r="U3627" s="17">
        <v>2</v>
      </c>
      <c r="V3627" s="17">
        <v>36</v>
      </c>
    </row>
    <row r="3628" spans="1:22" x14ac:dyDescent="0.2">
      <c r="A3628" t="s">
        <v>8092</v>
      </c>
      <c r="B3628" t="s">
        <v>7665</v>
      </c>
      <c r="C3628" t="s">
        <v>7666</v>
      </c>
      <c r="D3628" t="s">
        <v>8064</v>
      </c>
      <c r="E3628" s="10" t="s">
        <v>8093</v>
      </c>
      <c r="F3628" s="10"/>
      <c r="G3628" s="10"/>
      <c r="H3628" s="10" t="s">
        <v>8093</v>
      </c>
      <c r="I3628" s="14">
        <v>67649.01480486989</v>
      </c>
      <c r="J3628" s="19">
        <v>0</v>
      </c>
      <c r="K3628" s="19">
        <v>0.39205438204666482</v>
      </c>
      <c r="L3628" s="19">
        <v>0.60794561795333524</v>
      </c>
      <c r="M3628" s="20">
        <v>1</v>
      </c>
      <c r="N3628" s="19">
        <v>0.13395316957452194</v>
      </c>
      <c r="O3628" s="19">
        <v>0</v>
      </c>
      <c r="P3628" s="19">
        <v>0.25810121247214285</v>
      </c>
      <c r="Q3628" s="19">
        <v>0.23457690266461784</v>
      </c>
      <c r="R3628" s="19">
        <v>0.33247536695051372</v>
      </c>
      <c r="S3628" s="19">
        <v>4.0893348338203662E-2</v>
      </c>
      <c r="T3628" s="20">
        <v>12</v>
      </c>
      <c r="U3628" s="17">
        <v>2</v>
      </c>
      <c r="V3628" s="17">
        <v>36</v>
      </c>
    </row>
    <row r="3629" spans="1:22" x14ac:dyDescent="0.2">
      <c r="A3629" t="s">
        <v>8094</v>
      </c>
      <c r="B3629" t="s">
        <v>7665</v>
      </c>
      <c r="C3629" t="s">
        <v>7666</v>
      </c>
      <c r="D3629" t="s">
        <v>8064</v>
      </c>
      <c r="E3629" s="10" t="s">
        <v>8095</v>
      </c>
      <c r="F3629" s="10"/>
      <c r="G3629" s="10"/>
      <c r="H3629" s="10" t="s">
        <v>8095</v>
      </c>
      <c r="I3629" s="14">
        <v>90299.116997116245</v>
      </c>
      <c r="J3629" s="19">
        <v>0</v>
      </c>
      <c r="K3629" s="19">
        <v>0.86721176664678812</v>
      </c>
      <c r="L3629" s="19">
        <v>0.13278823335321185</v>
      </c>
      <c r="M3629" s="20">
        <v>2</v>
      </c>
      <c r="N3629" s="19">
        <v>0.38408031647230961</v>
      </c>
      <c r="O3629" s="19">
        <v>0</v>
      </c>
      <c r="P3629" s="19">
        <v>0.48313145017447851</v>
      </c>
      <c r="Q3629" s="19">
        <v>2.9003949248916087E-2</v>
      </c>
      <c r="R3629" s="19">
        <v>8.2863644998291949E-2</v>
      </c>
      <c r="S3629" s="19">
        <v>2.0920639106003839E-2</v>
      </c>
      <c r="T3629" s="20">
        <v>23</v>
      </c>
      <c r="U3629" s="17">
        <v>2</v>
      </c>
      <c r="V3629" s="17">
        <v>36</v>
      </c>
    </row>
    <row r="3630" spans="1:22" x14ac:dyDescent="0.2">
      <c r="A3630" t="s">
        <v>8096</v>
      </c>
      <c r="B3630" t="s">
        <v>7665</v>
      </c>
      <c r="C3630" t="s">
        <v>7666</v>
      </c>
      <c r="D3630" t="s">
        <v>8064</v>
      </c>
      <c r="E3630" s="10" t="s">
        <v>8097</v>
      </c>
      <c r="F3630" s="10"/>
      <c r="G3630" s="10"/>
      <c r="H3630" s="10" t="s">
        <v>8097</v>
      </c>
      <c r="I3630" s="14">
        <v>265291.62343207491</v>
      </c>
      <c r="J3630" s="19">
        <v>0.78127359697183274</v>
      </c>
      <c r="K3630" s="19">
        <v>0.16875023259688013</v>
      </c>
      <c r="L3630" s="19">
        <v>4.9976170431287131E-2</v>
      </c>
      <c r="M3630" s="20">
        <v>3</v>
      </c>
      <c r="N3630" s="19">
        <v>6.8614625735887932E-4</v>
      </c>
      <c r="O3630" s="19">
        <v>4.32105595726777E-4</v>
      </c>
      <c r="P3630" s="19">
        <v>0.16763198074379446</v>
      </c>
      <c r="Q3630" s="19">
        <v>3.3361283560398333E-3</v>
      </c>
      <c r="R3630" s="19">
        <v>4.2295584203293025E-2</v>
      </c>
      <c r="S3630" s="19">
        <v>4.3444578719542678E-3</v>
      </c>
      <c r="T3630" s="20">
        <v>30</v>
      </c>
      <c r="U3630" s="17">
        <v>2</v>
      </c>
      <c r="V3630" s="17">
        <v>36</v>
      </c>
    </row>
    <row r="3631" spans="1:22" x14ac:dyDescent="0.2">
      <c r="A3631" t="s">
        <v>8098</v>
      </c>
      <c r="B3631" t="s">
        <v>7665</v>
      </c>
      <c r="C3631" t="s">
        <v>7666</v>
      </c>
      <c r="D3631" t="s">
        <v>8099</v>
      </c>
      <c r="E3631" s="10" t="s">
        <v>8100</v>
      </c>
      <c r="F3631" s="10"/>
      <c r="G3631" s="10"/>
      <c r="H3631" s="10" t="s">
        <v>8100</v>
      </c>
      <c r="I3631" s="14">
        <v>110655.14946891321</v>
      </c>
      <c r="J3631" s="19">
        <v>0.247248801697313</v>
      </c>
      <c r="K3631" s="19">
        <v>0.72955862143517725</v>
      </c>
      <c r="L3631" s="19">
        <v>2.3192576867509793E-2</v>
      </c>
      <c r="M3631" s="20">
        <v>2</v>
      </c>
      <c r="N3631" s="19">
        <v>0</v>
      </c>
      <c r="O3631" s="19">
        <v>0</v>
      </c>
      <c r="P3631" s="19">
        <v>0.72955862143517725</v>
      </c>
      <c r="Q3631" s="19">
        <v>0</v>
      </c>
      <c r="R3631" s="19">
        <v>2.2897314151917397E-2</v>
      </c>
      <c r="S3631" s="19">
        <v>2.9526271559239607E-4</v>
      </c>
      <c r="T3631" s="20">
        <v>21</v>
      </c>
      <c r="U3631" s="17">
        <v>2</v>
      </c>
      <c r="V3631" s="17">
        <v>36</v>
      </c>
    </row>
    <row r="3632" spans="1:22" x14ac:dyDescent="0.2">
      <c r="A3632" t="s">
        <v>8101</v>
      </c>
      <c r="B3632" t="s">
        <v>7665</v>
      </c>
      <c r="C3632" t="s">
        <v>7666</v>
      </c>
      <c r="D3632" t="s">
        <v>8099</v>
      </c>
      <c r="E3632" s="10" t="s">
        <v>8102</v>
      </c>
      <c r="F3632" s="10"/>
      <c r="G3632" s="10"/>
      <c r="H3632" s="10" t="s">
        <v>8102</v>
      </c>
      <c r="I3632" s="14">
        <v>134248.25334615703</v>
      </c>
      <c r="J3632" s="19">
        <v>0.46144468905696973</v>
      </c>
      <c r="K3632" s="19">
        <v>0.52155949820169623</v>
      </c>
      <c r="L3632" s="19">
        <v>1.6995812741334038E-2</v>
      </c>
      <c r="M3632" s="20">
        <v>2</v>
      </c>
      <c r="N3632" s="19">
        <v>4.822617056623392E-2</v>
      </c>
      <c r="O3632" s="19">
        <v>0</v>
      </c>
      <c r="P3632" s="19">
        <v>0.47333332763546232</v>
      </c>
      <c r="Q3632" s="19">
        <v>0</v>
      </c>
      <c r="R3632" s="19">
        <v>1.6293190806394981E-2</v>
      </c>
      <c r="S3632" s="19">
        <v>7.0262193493905798E-4</v>
      </c>
      <c r="T3632" s="20">
        <v>23</v>
      </c>
      <c r="U3632" s="17">
        <v>2</v>
      </c>
      <c r="V3632" s="17">
        <v>36</v>
      </c>
    </row>
    <row r="3633" spans="1:22" x14ac:dyDescent="0.2">
      <c r="A3633" t="s">
        <v>8103</v>
      </c>
      <c r="B3633" t="s">
        <v>7665</v>
      </c>
      <c r="C3633" t="s">
        <v>7666</v>
      </c>
      <c r="D3633" t="s">
        <v>8099</v>
      </c>
      <c r="E3633" s="10" t="s">
        <v>8104</v>
      </c>
      <c r="F3633" s="10"/>
      <c r="G3633" s="10"/>
      <c r="H3633" s="10" t="s">
        <v>8104</v>
      </c>
      <c r="I3633" s="14">
        <v>167212.38967223745</v>
      </c>
      <c r="J3633" s="19">
        <v>0</v>
      </c>
      <c r="K3633" s="19">
        <v>0.90907624321017899</v>
      </c>
      <c r="L3633" s="19">
        <v>9.0923756789821078E-2</v>
      </c>
      <c r="M3633" s="20">
        <v>2</v>
      </c>
      <c r="N3633" s="19">
        <v>0.45315934958192788</v>
      </c>
      <c r="O3633" s="19">
        <v>0</v>
      </c>
      <c r="P3633" s="19">
        <v>0.45591689362825105</v>
      </c>
      <c r="Q3633" s="19">
        <v>0</v>
      </c>
      <c r="R3633" s="19">
        <v>8.6925618380759642E-2</v>
      </c>
      <c r="S3633" s="19">
        <v>3.9981384090614245E-3</v>
      </c>
      <c r="T3633" s="20">
        <v>23</v>
      </c>
      <c r="U3633" s="17">
        <v>2</v>
      </c>
      <c r="V3633" s="17">
        <v>36</v>
      </c>
    </row>
    <row r="3634" spans="1:22" x14ac:dyDescent="0.2">
      <c r="A3634" t="s">
        <v>8105</v>
      </c>
      <c r="B3634" t="s">
        <v>7665</v>
      </c>
      <c r="C3634" t="s">
        <v>7666</v>
      </c>
      <c r="D3634" t="s">
        <v>8099</v>
      </c>
      <c r="E3634" s="10" t="s">
        <v>8106</v>
      </c>
      <c r="F3634" s="10"/>
      <c r="G3634" s="10"/>
      <c r="H3634" s="10" t="s">
        <v>8106</v>
      </c>
      <c r="I3634" s="14">
        <v>125737.83754045842</v>
      </c>
      <c r="J3634" s="19">
        <v>0.11539997708113815</v>
      </c>
      <c r="K3634" s="19">
        <v>0.8689472966214784</v>
      </c>
      <c r="L3634" s="19">
        <v>1.5652726297383474E-2</v>
      </c>
      <c r="M3634" s="20">
        <v>2</v>
      </c>
      <c r="N3634" s="19">
        <v>0.29839013061525582</v>
      </c>
      <c r="O3634" s="19">
        <v>0</v>
      </c>
      <c r="P3634" s="19">
        <v>0.57055716600622253</v>
      </c>
      <c r="Q3634" s="19">
        <v>0</v>
      </c>
      <c r="R3634" s="19">
        <v>1.500441937719617E-2</v>
      </c>
      <c r="S3634" s="19">
        <v>6.4830692018730469E-4</v>
      </c>
      <c r="T3634" s="20">
        <v>21</v>
      </c>
      <c r="U3634" s="17">
        <v>2</v>
      </c>
      <c r="V3634" s="17">
        <v>36</v>
      </c>
    </row>
    <row r="3635" spans="1:22" x14ac:dyDescent="0.2">
      <c r="A3635" t="s">
        <v>8107</v>
      </c>
      <c r="B3635" t="s">
        <v>7665</v>
      </c>
      <c r="C3635" t="s">
        <v>7666</v>
      </c>
      <c r="D3635" t="s">
        <v>8099</v>
      </c>
      <c r="E3635" s="10" t="s">
        <v>8099</v>
      </c>
      <c r="F3635" s="10"/>
      <c r="G3635" s="10"/>
      <c r="H3635" s="10" t="s">
        <v>8099</v>
      </c>
      <c r="I3635" s="14">
        <v>267686.83384195459</v>
      </c>
      <c r="J3635" s="19">
        <v>0.90577154774934832</v>
      </c>
      <c r="K3635" s="19">
        <v>9.3464837621262731E-2</v>
      </c>
      <c r="L3635" s="19">
        <v>7.6361462938895504E-4</v>
      </c>
      <c r="M3635" s="20">
        <v>3</v>
      </c>
      <c r="N3635" s="19">
        <v>6.856778023387322E-5</v>
      </c>
      <c r="O3635" s="19">
        <v>0</v>
      </c>
      <c r="P3635" s="19">
        <v>9.3396269841028876E-2</v>
      </c>
      <c r="Q3635" s="19">
        <v>0</v>
      </c>
      <c r="R3635" s="19">
        <v>6.8838954093799305E-4</v>
      </c>
      <c r="S3635" s="19">
        <v>7.5225088450962062E-5</v>
      </c>
      <c r="T3635" s="20">
        <v>30</v>
      </c>
      <c r="U3635" s="17">
        <v>2</v>
      </c>
      <c r="V3635" s="17">
        <v>36</v>
      </c>
    </row>
    <row r="3636" spans="1:22" x14ac:dyDescent="0.2">
      <c r="A3636" t="s">
        <v>8108</v>
      </c>
      <c r="B3636" t="s">
        <v>7665</v>
      </c>
      <c r="C3636" t="s">
        <v>7666</v>
      </c>
      <c r="D3636" t="s">
        <v>8099</v>
      </c>
      <c r="E3636" s="10" t="s">
        <v>8109</v>
      </c>
      <c r="F3636" s="10"/>
      <c r="G3636" s="10"/>
      <c r="H3636" s="10" t="s">
        <v>8109</v>
      </c>
      <c r="I3636" s="14">
        <v>130281.95769885799</v>
      </c>
      <c r="J3636" s="19">
        <v>0</v>
      </c>
      <c r="K3636" s="19">
        <v>0.97257568867977895</v>
      </c>
      <c r="L3636" s="19">
        <v>2.7424311320221051E-2</v>
      </c>
      <c r="M3636" s="20">
        <v>2</v>
      </c>
      <c r="N3636" s="19">
        <v>0.50211110376459989</v>
      </c>
      <c r="O3636" s="19">
        <v>0</v>
      </c>
      <c r="P3636" s="19">
        <v>0.47046458491517917</v>
      </c>
      <c r="Q3636" s="19">
        <v>0</v>
      </c>
      <c r="R3636" s="19">
        <v>2.662987609861726E-2</v>
      </c>
      <c r="S3636" s="19">
        <v>7.9443522160379176E-4</v>
      </c>
      <c r="T3636" s="20">
        <v>23</v>
      </c>
      <c r="U3636" s="17">
        <v>2</v>
      </c>
      <c r="V3636" s="17">
        <v>36</v>
      </c>
    </row>
    <row r="3637" spans="1:22" x14ac:dyDescent="0.2">
      <c r="A3637" t="s">
        <v>8110</v>
      </c>
      <c r="B3637" t="s">
        <v>7665</v>
      </c>
      <c r="C3637" t="s">
        <v>7666</v>
      </c>
      <c r="D3637" t="s">
        <v>8099</v>
      </c>
      <c r="E3637" s="10" t="s">
        <v>8111</v>
      </c>
      <c r="F3637" s="10"/>
      <c r="G3637" s="10"/>
      <c r="H3637" s="10" t="s">
        <v>8111</v>
      </c>
      <c r="I3637" s="14">
        <v>167027.80243110564</v>
      </c>
      <c r="J3637" s="19">
        <v>0.13117324979646788</v>
      </c>
      <c r="K3637" s="19">
        <v>0.82881576857192241</v>
      </c>
      <c r="L3637" s="19">
        <v>4.0010981631609696E-2</v>
      </c>
      <c r="M3637" s="20">
        <v>2</v>
      </c>
      <c r="N3637" s="19">
        <v>0.36416299591355467</v>
      </c>
      <c r="O3637" s="19">
        <v>0</v>
      </c>
      <c r="P3637" s="19">
        <v>0.46465277265836774</v>
      </c>
      <c r="Q3637" s="19">
        <v>0</v>
      </c>
      <c r="R3637" s="19">
        <v>3.9365061344201001E-2</v>
      </c>
      <c r="S3637" s="19">
        <v>6.4592028740869604E-4</v>
      </c>
      <c r="T3637" s="20">
        <v>23</v>
      </c>
      <c r="U3637" s="17">
        <v>2</v>
      </c>
      <c r="V3637" s="17">
        <v>36</v>
      </c>
    </row>
    <row r="3638" spans="1:22" x14ac:dyDescent="0.2">
      <c r="A3638" t="s">
        <v>8112</v>
      </c>
      <c r="B3638" t="s">
        <v>7665</v>
      </c>
      <c r="C3638" t="s">
        <v>7666</v>
      </c>
      <c r="D3638" t="s">
        <v>8099</v>
      </c>
      <c r="E3638" s="10" t="s">
        <v>8113</v>
      </c>
      <c r="F3638" s="10"/>
      <c r="G3638" s="10"/>
      <c r="H3638" s="10" t="s">
        <v>8113</v>
      </c>
      <c r="I3638" s="14">
        <v>96779.325566398926</v>
      </c>
      <c r="J3638" s="19">
        <v>1.3911275069960016E-4</v>
      </c>
      <c r="K3638" s="19">
        <v>0.96524780163732371</v>
      </c>
      <c r="L3638" s="19">
        <v>3.4613085611976492E-2</v>
      </c>
      <c r="M3638" s="20">
        <v>2</v>
      </c>
      <c r="N3638" s="19">
        <v>0.2863162160299656</v>
      </c>
      <c r="O3638" s="19">
        <v>0</v>
      </c>
      <c r="P3638" s="19">
        <v>0.67893158560735811</v>
      </c>
      <c r="Q3638" s="19">
        <v>0</v>
      </c>
      <c r="R3638" s="19">
        <v>3.1481099333570302E-2</v>
      </c>
      <c r="S3638" s="19">
        <v>3.1319862784061903E-3</v>
      </c>
      <c r="T3638" s="20">
        <v>21</v>
      </c>
      <c r="U3638" s="17">
        <v>2</v>
      </c>
      <c r="V3638" s="17">
        <v>36</v>
      </c>
    </row>
    <row r="3639" spans="1:22" x14ac:dyDescent="0.2">
      <c r="A3639" t="s">
        <v>8114</v>
      </c>
      <c r="B3639" t="s">
        <v>7665</v>
      </c>
      <c r="C3639" t="s">
        <v>7666</v>
      </c>
      <c r="D3639" t="s">
        <v>8099</v>
      </c>
      <c r="E3639" s="10" t="s">
        <v>8115</v>
      </c>
      <c r="F3639" s="10"/>
      <c r="G3639" s="10"/>
      <c r="H3639" s="10" t="s">
        <v>8115</v>
      </c>
      <c r="I3639" s="14">
        <v>150466.40952941612</v>
      </c>
      <c r="J3639" s="19">
        <v>0</v>
      </c>
      <c r="K3639" s="19">
        <v>0.97699985093636466</v>
      </c>
      <c r="L3639" s="19">
        <v>2.3000149063635358E-2</v>
      </c>
      <c r="M3639" s="20">
        <v>2</v>
      </c>
      <c r="N3639" s="19">
        <v>0.49492404363687115</v>
      </c>
      <c r="O3639" s="19">
        <v>0</v>
      </c>
      <c r="P3639" s="19">
        <v>0.48207580729949351</v>
      </c>
      <c r="Q3639" s="19">
        <v>0</v>
      </c>
      <c r="R3639" s="19">
        <v>2.1830933504154375E-2</v>
      </c>
      <c r="S3639" s="19">
        <v>1.1692155594809832E-3</v>
      </c>
      <c r="T3639" s="20">
        <v>23</v>
      </c>
      <c r="U3639" s="17">
        <v>2</v>
      </c>
      <c r="V3639" s="17">
        <v>36</v>
      </c>
    </row>
    <row r="3640" spans="1:22" x14ac:dyDescent="0.2">
      <c r="A3640" t="s">
        <v>8116</v>
      </c>
      <c r="B3640" t="s">
        <v>7665</v>
      </c>
      <c r="C3640" t="s">
        <v>7666</v>
      </c>
      <c r="D3640" t="s">
        <v>8099</v>
      </c>
      <c r="E3640" s="10" t="s">
        <v>8117</v>
      </c>
      <c r="F3640" s="10"/>
      <c r="G3640" s="10"/>
      <c r="H3640" s="10" t="s">
        <v>8117</v>
      </c>
      <c r="I3640" s="14">
        <v>167380.94871035239</v>
      </c>
      <c r="J3640" s="19">
        <v>0</v>
      </c>
      <c r="K3640" s="19">
        <v>0.96613569809957611</v>
      </c>
      <c r="L3640" s="19">
        <v>3.3864301900424082E-2</v>
      </c>
      <c r="M3640" s="20">
        <v>2</v>
      </c>
      <c r="N3640" s="19">
        <v>0.32692888947952303</v>
      </c>
      <c r="O3640" s="19">
        <v>0</v>
      </c>
      <c r="P3640" s="19">
        <v>0.63920680862005308</v>
      </c>
      <c r="Q3640" s="19">
        <v>0</v>
      </c>
      <c r="R3640" s="19">
        <v>3.232907394498178E-2</v>
      </c>
      <c r="S3640" s="19">
        <v>1.5352279554423042E-3</v>
      </c>
      <c r="T3640" s="20">
        <v>21</v>
      </c>
      <c r="U3640" s="17">
        <v>2</v>
      </c>
      <c r="V3640" s="17">
        <v>36</v>
      </c>
    </row>
    <row r="3641" spans="1:22" x14ac:dyDescent="0.2">
      <c r="A3641" t="s">
        <v>8118</v>
      </c>
      <c r="B3641" t="s">
        <v>7665</v>
      </c>
      <c r="C3641" t="s">
        <v>7666</v>
      </c>
      <c r="D3641" t="s">
        <v>8099</v>
      </c>
      <c r="E3641" s="10" t="s">
        <v>8119</v>
      </c>
      <c r="F3641" s="10"/>
      <c r="G3641" s="10"/>
      <c r="H3641" s="10" t="s">
        <v>8119</v>
      </c>
      <c r="I3641" s="14">
        <v>162907.98418439738</v>
      </c>
      <c r="J3641" s="19">
        <v>1.3080201394617583E-2</v>
      </c>
      <c r="K3641" s="19">
        <v>0.95614437112479089</v>
      </c>
      <c r="L3641" s="19">
        <v>3.0775427480591467E-2</v>
      </c>
      <c r="M3641" s="20">
        <v>2</v>
      </c>
      <c r="N3641" s="19">
        <v>0.4973587442521829</v>
      </c>
      <c r="O3641" s="19">
        <v>0</v>
      </c>
      <c r="P3641" s="19">
        <v>0.45878562687260804</v>
      </c>
      <c r="Q3641" s="19">
        <v>0</v>
      </c>
      <c r="R3641" s="19">
        <v>2.9079345367461217E-2</v>
      </c>
      <c r="S3641" s="19">
        <v>1.6960821131302519E-3</v>
      </c>
      <c r="T3641" s="20">
        <v>23</v>
      </c>
      <c r="U3641" s="17">
        <v>2</v>
      </c>
      <c r="V3641" s="17">
        <v>36</v>
      </c>
    </row>
    <row r="3642" spans="1:22" x14ac:dyDescent="0.2">
      <c r="A3642" t="s">
        <v>8120</v>
      </c>
      <c r="B3642" t="s">
        <v>7665</v>
      </c>
      <c r="C3642" t="s">
        <v>7666</v>
      </c>
      <c r="D3642" t="s">
        <v>8099</v>
      </c>
      <c r="E3642" s="10" t="s">
        <v>8121</v>
      </c>
      <c r="F3642" s="10"/>
      <c r="G3642" s="10"/>
      <c r="H3642" s="10" t="s">
        <v>8121</v>
      </c>
      <c r="I3642" s="14">
        <v>130096.47738975682</v>
      </c>
      <c r="J3642" s="19">
        <v>0</v>
      </c>
      <c r="K3642" s="19">
        <v>0.96571515158919818</v>
      </c>
      <c r="L3642" s="19">
        <v>3.4284848410801774E-2</v>
      </c>
      <c r="M3642" s="20">
        <v>2</v>
      </c>
      <c r="N3642" s="19">
        <v>0.38348800057286631</v>
      </c>
      <c r="O3642" s="19">
        <v>0</v>
      </c>
      <c r="P3642" s="19">
        <v>0.58222715101633193</v>
      </c>
      <c r="Q3642" s="19">
        <v>0</v>
      </c>
      <c r="R3642" s="19">
        <v>3.2114835160133325E-2</v>
      </c>
      <c r="S3642" s="19">
        <v>2.1700132506684467E-3</v>
      </c>
      <c r="T3642" s="20">
        <v>21</v>
      </c>
      <c r="U3642" s="17">
        <v>2</v>
      </c>
      <c r="V3642" s="17">
        <v>36</v>
      </c>
    </row>
    <row r="3643" spans="1:22" x14ac:dyDescent="0.2">
      <c r="A3643" t="s">
        <v>8122</v>
      </c>
      <c r="B3643" t="s">
        <v>7665</v>
      </c>
      <c r="C3643" t="s">
        <v>7666</v>
      </c>
      <c r="D3643" t="s">
        <v>8123</v>
      </c>
      <c r="E3643" s="10" t="s">
        <v>8124</v>
      </c>
      <c r="F3643" s="10"/>
      <c r="G3643" s="10"/>
      <c r="H3643" s="10" t="s">
        <v>8124</v>
      </c>
      <c r="I3643" s="14">
        <v>176868.04972674558</v>
      </c>
      <c r="J3643" s="19">
        <v>0.71228700648437226</v>
      </c>
      <c r="K3643" s="19">
        <v>0.27633175236938184</v>
      </c>
      <c r="L3643" s="19">
        <v>1.1381241146245885E-2</v>
      </c>
      <c r="M3643" s="20">
        <v>3</v>
      </c>
      <c r="N3643" s="19">
        <v>7.8564533388960134E-2</v>
      </c>
      <c r="O3643" s="19">
        <v>0</v>
      </c>
      <c r="P3643" s="19">
        <v>0.19776721898042171</v>
      </c>
      <c r="Q3643" s="19">
        <v>0</v>
      </c>
      <c r="R3643" s="19">
        <v>1.1152090063748978E-2</v>
      </c>
      <c r="S3643" s="19">
        <v>2.2915108249690834E-4</v>
      </c>
      <c r="T3643" s="20">
        <v>30</v>
      </c>
      <c r="U3643" s="17">
        <v>2</v>
      </c>
      <c r="V3643" s="17">
        <v>36</v>
      </c>
    </row>
    <row r="3644" spans="1:22" x14ac:dyDescent="0.2">
      <c r="A3644" t="s">
        <v>8125</v>
      </c>
      <c r="B3644" t="s">
        <v>7665</v>
      </c>
      <c r="C3644" t="s">
        <v>7666</v>
      </c>
      <c r="D3644" t="s">
        <v>8123</v>
      </c>
      <c r="E3644" s="10" t="s">
        <v>7789</v>
      </c>
      <c r="F3644" s="10"/>
      <c r="G3644" s="10"/>
      <c r="H3644" s="10" t="s">
        <v>7789</v>
      </c>
      <c r="I3644" s="14">
        <v>143913.35025812057</v>
      </c>
      <c r="J3644" s="19">
        <v>0.11278289103669463</v>
      </c>
      <c r="K3644" s="19">
        <v>0.86154996505546189</v>
      </c>
      <c r="L3644" s="19">
        <v>2.5667143907843529E-2</v>
      </c>
      <c r="M3644" s="20">
        <v>2</v>
      </c>
      <c r="N3644" s="19">
        <v>0.46149005049650649</v>
      </c>
      <c r="O3644" s="19">
        <v>0</v>
      </c>
      <c r="P3644" s="19">
        <v>0.40005991455895534</v>
      </c>
      <c r="Q3644" s="19">
        <v>0</v>
      </c>
      <c r="R3644" s="19">
        <v>2.5416758024538254E-2</v>
      </c>
      <c r="S3644" s="19">
        <v>2.5038588330527939E-4</v>
      </c>
      <c r="T3644" s="20">
        <v>23</v>
      </c>
      <c r="U3644" s="17">
        <v>2</v>
      </c>
      <c r="V3644" s="17">
        <v>36</v>
      </c>
    </row>
    <row r="3645" spans="1:22" x14ac:dyDescent="0.2">
      <c r="A3645" t="s">
        <v>8126</v>
      </c>
      <c r="B3645" t="s">
        <v>7665</v>
      </c>
      <c r="C3645" t="s">
        <v>7666</v>
      </c>
      <c r="D3645" t="s">
        <v>8123</v>
      </c>
      <c r="E3645" s="10" t="s">
        <v>8127</v>
      </c>
      <c r="F3645" s="10"/>
      <c r="G3645" s="10"/>
      <c r="H3645" s="10" t="s">
        <v>8127</v>
      </c>
      <c r="I3645" s="14">
        <v>758.97242475859821</v>
      </c>
      <c r="J3645" s="19">
        <v>0</v>
      </c>
      <c r="K3645" s="19">
        <v>0</v>
      </c>
      <c r="L3645" s="19">
        <v>1</v>
      </c>
      <c r="M3645" s="20">
        <v>1</v>
      </c>
      <c r="N3645" s="19">
        <v>0</v>
      </c>
      <c r="O3645" s="19">
        <v>0</v>
      </c>
      <c r="P3645" s="19">
        <v>0</v>
      </c>
      <c r="Q3645" s="19">
        <v>0.99243040354415046</v>
      </c>
      <c r="R3645" s="19">
        <v>7.5461369621713575E-3</v>
      </c>
      <c r="S3645" s="19">
        <v>2.3459493678170978E-5</v>
      </c>
      <c r="T3645" s="20">
        <v>13</v>
      </c>
      <c r="U3645" s="17">
        <v>2</v>
      </c>
      <c r="V3645" s="17">
        <v>36</v>
      </c>
    </row>
    <row r="3646" spans="1:22" x14ac:dyDescent="0.2">
      <c r="A3646" t="s">
        <v>8128</v>
      </c>
      <c r="B3646" t="s">
        <v>7665</v>
      </c>
      <c r="C3646" t="s">
        <v>7666</v>
      </c>
      <c r="D3646" t="s">
        <v>8123</v>
      </c>
      <c r="E3646" s="10" t="s">
        <v>8129</v>
      </c>
      <c r="F3646" s="10"/>
      <c r="G3646" s="10"/>
      <c r="H3646" s="10" t="s">
        <v>8129</v>
      </c>
      <c r="I3646" s="14">
        <v>24766.043656733589</v>
      </c>
      <c r="J3646" s="19">
        <v>0</v>
      </c>
      <c r="K3646" s="19">
        <v>0.88494266087523799</v>
      </c>
      <c r="L3646" s="19">
        <v>0.11505733912476192</v>
      </c>
      <c r="M3646" s="20">
        <v>2</v>
      </c>
      <c r="N3646" s="19">
        <v>0.63331344402493794</v>
      </c>
      <c r="O3646" s="19">
        <v>0</v>
      </c>
      <c r="P3646" s="19">
        <v>0.25162921685029993</v>
      </c>
      <c r="Q3646" s="19">
        <v>0</v>
      </c>
      <c r="R3646" s="19">
        <v>9.6524153175905764E-2</v>
      </c>
      <c r="S3646" s="19">
        <v>1.8533185948856154E-2</v>
      </c>
      <c r="T3646" s="20">
        <v>23</v>
      </c>
      <c r="U3646" s="17">
        <v>2</v>
      </c>
      <c r="V3646" s="17">
        <v>36</v>
      </c>
    </row>
    <row r="3647" spans="1:22" x14ac:dyDescent="0.2">
      <c r="A3647" t="s">
        <v>8130</v>
      </c>
      <c r="B3647" t="s">
        <v>7665</v>
      </c>
      <c r="C3647" t="s">
        <v>7666</v>
      </c>
      <c r="D3647" t="s">
        <v>8123</v>
      </c>
      <c r="E3647" s="10" t="s">
        <v>8131</v>
      </c>
      <c r="F3647" s="10"/>
      <c r="G3647" s="10"/>
      <c r="H3647" s="10" t="s">
        <v>8131</v>
      </c>
      <c r="I3647" s="14">
        <v>48075.295569403097</v>
      </c>
      <c r="J3647" s="19">
        <v>0</v>
      </c>
      <c r="K3647" s="19">
        <v>0.98664070256728564</v>
      </c>
      <c r="L3647" s="19">
        <v>1.3359297432714383E-2</v>
      </c>
      <c r="M3647" s="20">
        <v>2</v>
      </c>
      <c r="N3647" s="19">
        <v>0.48302724319645024</v>
      </c>
      <c r="O3647" s="19">
        <v>0</v>
      </c>
      <c r="P3647" s="19">
        <v>0.50361345937083535</v>
      </c>
      <c r="Q3647" s="19">
        <v>0</v>
      </c>
      <c r="R3647" s="19">
        <v>1.2114592017343755E-2</v>
      </c>
      <c r="S3647" s="19">
        <v>1.244705415370629E-3</v>
      </c>
      <c r="T3647" s="20">
        <v>21</v>
      </c>
      <c r="U3647" s="17">
        <v>2</v>
      </c>
      <c r="V3647" s="17">
        <v>36</v>
      </c>
    </row>
    <row r="3648" spans="1:22" x14ac:dyDescent="0.2">
      <c r="A3648" t="s">
        <v>8132</v>
      </c>
      <c r="B3648" t="s">
        <v>7665</v>
      </c>
      <c r="C3648" t="s">
        <v>7666</v>
      </c>
      <c r="D3648" t="s">
        <v>8123</v>
      </c>
      <c r="E3648" s="10" t="s">
        <v>8133</v>
      </c>
      <c r="F3648" s="10"/>
      <c r="G3648" s="10"/>
      <c r="H3648" s="10" t="s">
        <v>8133</v>
      </c>
      <c r="I3648" s="14">
        <v>52290.714169279207</v>
      </c>
      <c r="J3648" s="19">
        <v>0.1003116787706147</v>
      </c>
      <c r="K3648" s="19">
        <v>0.87752404972263853</v>
      </c>
      <c r="L3648" s="19">
        <v>2.2164271506746765E-2</v>
      </c>
      <c r="M3648" s="20">
        <v>2</v>
      </c>
      <c r="N3648" s="19">
        <v>0.48375346430475197</v>
      </c>
      <c r="O3648" s="19">
        <v>0</v>
      </c>
      <c r="P3648" s="19">
        <v>0.39377058541788656</v>
      </c>
      <c r="Q3648" s="19">
        <v>0</v>
      </c>
      <c r="R3648" s="19">
        <v>2.1012988661242682E-2</v>
      </c>
      <c r="S3648" s="19">
        <v>1.1512828455040856E-3</v>
      </c>
      <c r="T3648" s="20">
        <v>23</v>
      </c>
      <c r="U3648" s="17">
        <v>2</v>
      </c>
      <c r="V3648" s="17">
        <v>36</v>
      </c>
    </row>
    <row r="3649" spans="1:22" x14ac:dyDescent="0.2">
      <c r="A3649" t="s">
        <v>8134</v>
      </c>
      <c r="B3649" t="s">
        <v>7665</v>
      </c>
      <c r="C3649" t="s">
        <v>7666</v>
      </c>
      <c r="D3649" t="s">
        <v>8123</v>
      </c>
      <c r="E3649" s="10" t="s">
        <v>8135</v>
      </c>
      <c r="F3649" s="10"/>
      <c r="G3649" s="10"/>
      <c r="H3649" s="10" t="s">
        <v>8135</v>
      </c>
      <c r="I3649" s="14">
        <v>109765.64830649714</v>
      </c>
      <c r="J3649" s="19">
        <v>0.91812788459216654</v>
      </c>
      <c r="K3649" s="19">
        <v>6.3488450734760116E-2</v>
      </c>
      <c r="L3649" s="19">
        <v>1.838366467307332E-2</v>
      </c>
      <c r="M3649" s="20">
        <v>3</v>
      </c>
      <c r="N3649" s="19">
        <v>9.5677202754704737E-8</v>
      </c>
      <c r="O3649" s="19">
        <v>0</v>
      </c>
      <c r="P3649" s="19">
        <v>6.3488355057557358E-2</v>
      </c>
      <c r="Q3649" s="19">
        <v>0</v>
      </c>
      <c r="R3649" s="19">
        <v>1.797922650602336E-2</v>
      </c>
      <c r="S3649" s="19">
        <v>4.0443816704995993E-4</v>
      </c>
      <c r="T3649" s="20">
        <v>30</v>
      </c>
      <c r="U3649" s="17">
        <v>2</v>
      </c>
      <c r="V3649" s="17">
        <v>36</v>
      </c>
    </row>
    <row r="3650" spans="1:22" x14ac:dyDescent="0.2">
      <c r="A3650" t="s">
        <v>8136</v>
      </c>
      <c r="B3650" t="s">
        <v>7665</v>
      </c>
      <c r="C3650" t="s">
        <v>7666</v>
      </c>
      <c r="D3650" t="s">
        <v>8123</v>
      </c>
      <c r="E3650" s="10" t="s">
        <v>8137</v>
      </c>
      <c r="F3650" s="10"/>
      <c r="G3650" s="10"/>
      <c r="H3650" s="10" t="s">
        <v>8137</v>
      </c>
      <c r="I3650" s="14">
        <v>101178.3768586386</v>
      </c>
      <c r="J3650" s="19">
        <v>1</v>
      </c>
      <c r="K3650" s="19">
        <v>0</v>
      </c>
      <c r="L3650" s="19">
        <v>0</v>
      </c>
      <c r="M3650" s="20">
        <v>3</v>
      </c>
      <c r="N3650" s="19">
        <v>0</v>
      </c>
      <c r="O3650" s="19">
        <v>0</v>
      </c>
      <c r="P3650" s="19">
        <v>0</v>
      </c>
      <c r="Q3650" s="19">
        <v>0</v>
      </c>
      <c r="R3650" s="19">
        <v>0</v>
      </c>
      <c r="S3650" s="19">
        <v>0</v>
      </c>
      <c r="T3650" s="20">
        <v>30</v>
      </c>
      <c r="U3650" s="17">
        <v>2</v>
      </c>
      <c r="V3650" s="17">
        <v>36</v>
      </c>
    </row>
    <row r="3651" spans="1:22" x14ac:dyDescent="0.2">
      <c r="A3651" t="s">
        <v>8138</v>
      </c>
      <c r="B3651" t="s">
        <v>7665</v>
      </c>
      <c r="C3651" t="s">
        <v>7666</v>
      </c>
      <c r="D3651" t="s">
        <v>8123</v>
      </c>
      <c r="E3651" s="10" t="s">
        <v>8139</v>
      </c>
      <c r="F3651" s="10"/>
      <c r="G3651" s="10"/>
      <c r="H3651" s="10" t="s">
        <v>8139</v>
      </c>
      <c r="I3651" s="14">
        <v>95871.696598836235</v>
      </c>
      <c r="J3651" s="19">
        <v>0.93431919094182481</v>
      </c>
      <c r="K3651" s="19">
        <v>6.2649561935726086E-2</v>
      </c>
      <c r="L3651" s="19">
        <v>3.0312471224489624E-3</v>
      </c>
      <c r="M3651" s="20">
        <v>3</v>
      </c>
      <c r="N3651" s="19">
        <v>1.5022606560995249E-2</v>
      </c>
      <c r="O3651" s="19">
        <v>0</v>
      </c>
      <c r="P3651" s="19">
        <v>4.7626955374730821E-2</v>
      </c>
      <c r="Q3651" s="19">
        <v>0</v>
      </c>
      <c r="R3651" s="19">
        <v>2.877096772885807E-3</v>
      </c>
      <c r="S3651" s="19">
        <v>1.5415034956315537E-4</v>
      </c>
      <c r="T3651" s="20">
        <v>30</v>
      </c>
      <c r="U3651" s="17">
        <v>2</v>
      </c>
      <c r="V3651" s="17">
        <v>36</v>
      </c>
    </row>
    <row r="3652" spans="1:22" x14ac:dyDescent="0.2">
      <c r="A3652" t="s">
        <v>8140</v>
      </c>
      <c r="B3652" t="s">
        <v>7665</v>
      </c>
      <c r="C3652" t="s">
        <v>7666</v>
      </c>
      <c r="D3652" t="s">
        <v>8123</v>
      </c>
      <c r="E3652" s="10" t="s">
        <v>8141</v>
      </c>
      <c r="F3652" s="10"/>
      <c r="G3652" s="10"/>
      <c r="H3652" s="10" t="s">
        <v>8141</v>
      </c>
      <c r="I3652" s="14">
        <v>137078.60794620798</v>
      </c>
      <c r="J3652" s="19">
        <v>0.51398717891000034</v>
      </c>
      <c r="K3652" s="19">
        <v>0.46184580435024475</v>
      </c>
      <c r="L3652" s="19">
        <v>2.4167016739754923E-2</v>
      </c>
      <c r="M3652" s="20">
        <v>3</v>
      </c>
      <c r="N3652" s="19">
        <v>0.1963312093411502</v>
      </c>
      <c r="O3652" s="19">
        <v>0</v>
      </c>
      <c r="P3652" s="19">
        <v>0.26551459500909458</v>
      </c>
      <c r="Q3652" s="19">
        <v>0</v>
      </c>
      <c r="R3652" s="19">
        <v>2.3659069191820533E-2</v>
      </c>
      <c r="S3652" s="19">
        <v>5.0794754793439352E-4</v>
      </c>
      <c r="T3652" s="20">
        <v>30</v>
      </c>
      <c r="U3652" s="17">
        <v>2</v>
      </c>
      <c r="V3652" s="17">
        <v>36</v>
      </c>
    </row>
    <row r="3653" spans="1:22" x14ac:dyDescent="0.2">
      <c r="A3653" t="s">
        <v>8142</v>
      </c>
      <c r="B3653" t="s">
        <v>7665</v>
      </c>
      <c r="C3653" t="s">
        <v>7666</v>
      </c>
      <c r="D3653" t="s">
        <v>8123</v>
      </c>
      <c r="E3653" s="10" t="s">
        <v>8143</v>
      </c>
      <c r="F3653" s="10"/>
      <c r="G3653" s="10"/>
      <c r="H3653" s="10" t="s">
        <v>8143</v>
      </c>
      <c r="I3653" s="14">
        <v>206776.81802449375</v>
      </c>
      <c r="J3653" s="19">
        <v>1</v>
      </c>
      <c r="K3653" s="19">
        <v>0</v>
      </c>
      <c r="L3653" s="19">
        <v>0</v>
      </c>
      <c r="M3653" s="20">
        <v>3</v>
      </c>
      <c r="N3653" s="19">
        <v>0</v>
      </c>
      <c r="O3653" s="19">
        <v>0</v>
      </c>
      <c r="P3653" s="19">
        <v>0</v>
      </c>
      <c r="Q3653" s="19">
        <v>0</v>
      </c>
      <c r="R3653" s="19">
        <v>0</v>
      </c>
      <c r="S3653" s="19">
        <v>0</v>
      </c>
      <c r="T3653" s="20">
        <v>30</v>
      </c>
      <c r="U3653" s="17">
        <v>2</v>
      </c>
      <c r="V3653" s="17">
        <v>36</v>
      </c>
    </row>
    <row r="3654" spans="1:22" x14ac:dyDescent="0.2">
      <c r="A3654" t="s">
        <v>8144</v>
      </c>
      <c r="B3654" t="s">
        <v>7665</v>
      </c>
      <c r="C3654" t="s">
        <v>7666</v>
      </c>
      <c r="D3654" t="s">
        <v>8123</v>
      </c>
      <c r="E3654" s="10" t="s">
        <v>8145</v>
      </c>
      <c r="F3654" s="10"/>
      <c r="G3654" s="10"/>
      <c r="H3654" s="10" t="s">
        <v>8145</v>
      </c>
      <c r="I3654" s="14">
        <v>157587.41547558457</v>
      </c>
      <c r="J3654" s="19">
        <v>1</v>
      </c>
      <c r="K3654" s="19">
        <v>0</v>
      </c>
      <c r="L3654" s="19">
        <v>0</v>
      </c>
      <c r="M3654" s="20">
        <v>3</v>
      </c>
      <c r="N3654" s="19">
        <v>0</v>
      </c>
      <c r="O3654" s="19">
        <v>0</v>
      </c>
      <c r="P3654" s="19">
        <v>0</v>
      </c>
      <c r="Q3654" s="19">
        <v>0</v>
      </c>
      <c r="R3654" s="19">
        <v>0</v>
      </c>
      <c r="S3654" s="19">
        <v>0</v>
      </c>
      <c r="T3654" s="20">
        <v>30</v>
      </c>
      <c r="U3654" s="17">
        <v>2</v>
      </c>
      <c r="V3654" s="17">
        <v>36</v>
      </c>
    </row>
    <row r="3655" spans="1:22" x14ac:dyDescent="0.2">
      <c r="A3655" t="s">
        <v>8146</v>
      </c>
      <c r="B3655" t="s">
        <v>7665</v>
      </c>
      <c r="C3655" t="s">
        <v>7666</v>
      </c>
      <c r="D3655" t="s">
        <v>8123</v>
      </c>
      <c r="E3655" s="10" t="s">
        <v>8147</v>
      </c>
      <c r="F3655" s="10"/>
      <c r="G3655" s="10"/>
      <c r="H3655" s="10" t="s">
        <v>8147</v>
      </c>
      <c r="I3655" s="14">
        <v>297030.98479103565</v>
      </c>
      <c r="J3655" s="19">
        <v>0.6640007186660235</v>
      </c>
      <c r="K3655" s="19">
        <v>0.30718154216724974</v>
      </c>
      <c r="L3655" s="19">
        <v>2.8817739166726822E-2</v>
      </c>
      <c r="M3655" s="20">
        <v>3</v>
      </c>
      <c r="N3655" s="19">
        <v>7.5804191324685757E-2</v>
      </c>
      <c r="O3655" s="19">
        <v>0</v>
      </c>
      <c r="P3655" s="19">
        <v>0.231377350842564</v>
      </c>
      <c r="Q3655" s="19">
        <v>7.0738059664014847E-3</v>
      </c>
      <c r="R3655" s="19">
        <v>2.0937217242412452E-2</v>
      </c>
      <c r="S3655" s="19">
        <v>8.0671595791288546E-4</v>
      </c>
      <c r="T3655" s="20">
        <v>30</v>
      </c>
      <c r="U3655" s="17">
        <v>2</v>
      </c>
      <c r="V3655" s="17">
        <v>36</v>
      </c>
    </row>
    <row r="3656" spans="1:22" x14ac:dyDescent="0.2">
      <c r="A3656" t="s">
        <v>8148</v>
      </c>
      <c r="B3656" t="s">
        <v>7665</v>
      </c>
      <c r="C3656" t="s">
        <v>7666</v>
      </c>
      <c r="D3656" t="s">
        <v>8123</v>
      </c>
      <c r="E3656" s="10" t="s">
        <v>8149</v>
      </c>
      <c r="F3656" s="10"/>
      <c r="G3656" s="10"/>
      <c r="H3656" s="10" t="s">
        <v>8149</v>
      </c>
      <c r="I3656" s="14">
        <v>152731.59934298741</v>
      </c>
      <c r="J3656" s="19">
        <v>0</v>
      </c>
      <c r="K3656" s="19">
        <v>0.96513127479887428</v>
      </c>
      <c r="L3656" s="19">
        <v>3.4868725201125744E-2</v>
      </c>
      <c r="M3656" s="20">
        <v>2</v>
      </c>
      <c r="N3656" s="19">
        <v>0.33127645096797398</v>
      </c>
      <c r="O3656" s="19">
        <v>0</v>
      </c>
      <c r="P3656" s="19">
        <v>0.63385482383090042</v>
      </c>
      <c r="Q3656" s="19">
        <v>0</v>
      </c>
      <c r="R3656" s="19">
        <v>3.3575794079680824E-2</v>
      </c>
      <c r="S3656" s="19">
        <v>1.2929311214449214E-3</v>
      </c>
      <c r="T3656" s="20">
        <v>21</v>
      </c>
      <c r="U3656" s="17">
        <v>2</v>
      </c>
      <c r="V3656" s="17">
        <v>36</v>
      </c>
    </row>
    <row r="3657" spans="1:22" x14ac:dyDescent="0.2">
      <c r="A3657" t="s">
        <v>8150</v>
      </c>
      <c r="B3657" t="s">
        <v>7665</v>
      </c>
      <c r="C3657" t="s">
        <v>7666</v>
      </c>
      <c r="D3657" t="s">
        <v>8123</v>
      </c>
      <c r="E3657" s="10" t="s">
        <v>8151</v>
      </c>
      <c r="F3657" s="10"/>
      <c r="G3657" s="10"/>
      <c r="H3657" s="10" t="s">
        <v>8151</v>
      </c>
      <c r="I3657" s="14">
        <v>187733.67912972951</v>
      </c>
      <c r="J3657" s="19">
        <v>0</v>
      </c>
      <c r="K3657" s="19">
        <v>0.96606436176861965</v>
      </c>
      <c r="L3657" s="19">
        <v>3.3935638231380398E-2</v>
      </c>
      <c r="M3657" s="20">
        <v>2</v>
      </c>
      <c r="N3657" s="19">
        <v>0.5171641598179284</v>
      </c>
      <c r="O3657" s="19">
        <v>0</v>
      </c>
      <c r="P3657" s="19">
        <v>0.44890020195069114</v>
      </c>
      <c r="Q3657" s="19">
        <v>1.138193486737529E-5</v>
      </c>
      <c r="R3657" s="19">
        <v>3.2801201556469706E-2</v>
      </c>
      <c r="S3657" s="19">
        <v>1.1230547400433229E-3</v>
      </c>
      <c r="T3657" s="20">
        <v>23</v>
      </c>
      <c r="U3657" s="17">
        <v>2</v>
      </c>
      <c r="V3657" s="17">
        <v>36</v>
      </c>
    </row>
    <row r="3658" spans="1:22" x14ac:dyDescent="0.2">
      <c r="A3658" t="s">
        <v>8152</v>
      </c>
      <c r="B3658" t="s">
        <v>7665</v>
      </c>
      <c r="C3658" t="s">
        <v>7666</v>
      </c>
      <c r="D3658" t="s">
        <v>8153</v>
      </c>
      <c r="E3658" s="10" t="s">
        <v>7676</v>
      </c>
      <c r="F3658" s="10"/>
      <c r="G3658" s="10"/>
      <c r="H3658" s="10" t="s">
        <v>7676</v>
      </c>
      <c r="I3658" s="14">
        <v>81449.04618265829</v>
      </c>
      <c r="J3658" s="19">
        <v>1.6155286635632028E-2</v>
      </c>
      <c r="K3658" s="19">
        <v>0.87597546076815813</v>
      </c>
      <c r="L3658" s="19">
        <v>0.1078692525962098</v>
      </c>
      <c r="M3658" s="20">
        <v>2</v>
      </c>
      <c r="N3658" s="19">
        <v>0.23331915843572756</v>
      </c>
      <c r="O3658" s="19">
        <v>0</v>
      </c>
      <c r="P3658" s="19">
        <v>0.64265630233243065</v>
      </c>
      <c r="Q3658" s="19">
        <v>0</v>
      </c>
      <c r="R3658" s="19">
        <v>0.1063398003008084</v>
      </c>
      <c r="S3658" s="19">
        <v>1.5294522954014042E-3</v>
      </c>
      <c r="T3658" s="20">
        <v>21</v>
      </c>
      <c r="U3658" s="17">
        <v>2</v>
      </c>
      <c r="V3658" s="17">
        <v>36</v>
      </c>
    </row>
    <row r="3659" spans="1:22" x14ac:dyDescent="0.2">
      <c r="A3659" t="s">
        <v>8154</v>
      </c>
      <c r="B3659" t="s">
        <v>7665</v>
      </c>
      <c r="C3659" t="s">
        <v>7666</v>
      </c>
      <c r="D3659" t="s">
        <v>8153</v>
      </c>
      <c r="E3659" s="10" t="s">
        <v>8155</v>
      </c>
      <c r="F3659" s="10"/>
      <c r="G3659" s="10"/>
      <c r="H3659" s="10" t="s">
        <v>8155</v>
      </c>
      <c r="I3659" s="14">
        <v>99936.496448438615</v>
      </c>
      <c r="J3659" s="19">
        <v>0.25037283695205337</v>
      </c>
      <c r="K3659" s="19">
        <v>0.67565628567949598</v>
      </c>
      <c r="L3659" s="19">
        <v>7.3970877368450635E-2</v>
      </c>
      <c r="M3659" s="20">
        <v>2</v>
      </c>
      <c r="N3659" s="19">
        <v>2.6727882926238535E-2</v>
      </c>
      <c r="O3659" s="19">
        <v>0</v>
      </c>
      <c r="P3659" s="19">
        <v>0.64892840275325747</v>
      </c>
      <c r="Q3659" s="19">
        <v>0</v>
      </c>
      <c r="R3659" s="19">
        <v>6.984992590650746E-2</v>
      </c>
      <c r="S3659" s="19">
        <v>4.1209514619431741E-3</v>
      </c>
      <c r="T3659" s="20">
        <v>21</v>
      </c>
      <c r="U3659" s="17">
        <v>2</v>
      </c>
      <c r="V3659" s="17">
        <v>36</v>
      </c>
    </row>
    <row r="3660" spans="1:22" x14ac:dyDescent="0.2">
      <c r="A3660" t="s">
        <v>8156</v>
      </c>
      <c r="B3660" t="s">
        <v>7665</v>
      </c>
      <c r="C3660" t="s">
        <v>7666</v>
      </c>
      <c r="D3660" t="s">
        <v>8153</v>
      </c>
      <c r="E3660" s="10" t="s">
        <v>8157</v>
      </c>
      <c r="F3660" s="10"/>
      <c r="G3660" s="10"/>
      <c r="H3660" s="10" t="s">
        <v>8157</v>
      </c>
      <c r="I3660" s="14">
        <v>86067.790774507681</v>
      </c>
      <c r="J3660" s="19">
        <v>0</v>
      </c>
      <c r="K3660" s="19">
        <v>0.71234756063986071</v>
      </c>
      <c r="L3660" s="19">
        <v>0.28765243936013929</v>
      </c>
      <c r="M3660" s="20">
        <v>2</v>
      </c>
      <c r="N3660" s="19">
        <v>5.7660634266407107E-3</v>
      </c>
      <c r="O3660" s="19">
        <v>0</v>
      </c>
      <c r="P3660" s="19">
        <v>0.70658149721321994</v>
      </c>
      <c r="Q3660" s="19">
        <v>8.760777692296193E-4</v>
      </c>
      <c r="R3660" s="19">
        <v>0.28586484987332228</v>
      </c>
      <c r="S3660" s="19">
        <v>9.1151171758741207E-4</v>
      </c>
      <c r="T3660" s="20">
        <v>21</v>
      </c>
      <c r="U3660" s="17">
        <v>2</v>
      </c>
      <c r="V3660" s="17">
        <v>36</v>
      </c>
    </row>
    <row r="3661" spans="1:22" x14ac:dyDescent="0.2">
      <c r="A3661" t="s">
        <v>8158</v>
      </c>
      <c r="B3661" t="s">
        <v>7665</v>
      </c>
      <c r="C3661" t="s">
        <v>7666</v>
      </c>
      <c r="D3661" t="s">
        <v>8153</v>
      </c>
      <c r="E3661" s="10" t="s">
        <v>8159</v>
      </c>
      <c r="F3661" s="10"/>
      <c r="G3661" s="10"/>
      <c r="H3661" s="10" t="s">
        <v>8159</v>
      </c>
      <c r="I3661" s="14">
        <v>69009.691044314764</v>
      </c>
      <c r="J3661" s="19">
        <v>0</v>
      </c>
      <c r="K3661" s="19">
        <v>0.79471014554676267</v>
      </c>
      <c r="L3661" s="19">
        <v>0.2052898544532373</v>
      </c>
      <c r="M3661" s="20">
        <v>2</v>
      </c>
      <c r="N3661" s="19">
        <v>0.34352250601300482</v>
      </c>
      <c r="O3661" s="19">
        <v>0</v>
      </c>
      <c r="P3661" s="19">
        <v>0.45118763953375784</v>
      </c>
      <c r="Q3661" s="19">
        <v>2.185104258973836E-2</v>
      </c>
      <c r="R3661" s="19">
        <v>0.17862050340892496</v>
      </c>
      <c r="S3661" s="19">
        <v>4.8183084545739717E-3</v>
      </c>
      <c r="T3661" s="20">
        <v>23</v>
      </c>
      <c r="U3661" s="17">
        <v>2</v>
      </c>
      <c r="V3661" s="17">
        <v>36</v>
      </c>
    </row>
    <row r="3662" spans="1:22" x14ac:dyDescent="0.2">
      <c r="A3662" t="s">
        <v>8160</v>
      </c>
      <c r="B3662" t="s">
        <v>7665</v>
      </c>
      <c r="C3662" t="s">
        <v>7666</v>
      </c>
      <c r="D3662" t="s">
        <v>8153</v>
      </c>
      <c r="E3662" s="10" t="s">
        <v>8161</v>
      </c>
      <c r="F3662" s="10"/>
      <c r="G3662" s="10"/>
      <c r="H3662" s="10" t="s">
        <v>8161</v>
      </c>
      <c r="I3662" s="14">
        <v>56368.836249540793</v>
      </c>
      <c r="J3662" s="19">
        <v>0</v>
      </c>
      <c r="K3662" s="19">
        <v>0.9108018386102642</v>
      </c>
      <c r="L3662" s="19">
        <v>8.9198161389735839E-2</v>
      </c>
      <c r="M3662" s="20">
        <v>2</v>
      </c>
      <c r="N3662" s="19">
        <v>0.44812205069558858</v>
      </c>
      <c r="O3662" s="19">
        <v>0</v>
      </c>
      <c r="P3662" s="19">
        <v>0.46267978791467557</v>
      </c>
      <c r="Q3662" s="19">
        <v>0</v>
      </c>
      <c r="R3662" s="19">
        <v>8.8474360425726178E-2</v>
      </c>
      <c r="S3662" s="19">
        <v>7.2380096400965501E-4</v>
      </c>
      <c r="T3662" s="20">
        <v>23</v>
      </c>
      <c r="U3662" s="17">
        <v>2</v>
      </c>
      <c r="V3662" s="17">
        <v>36</v>
      </c>
    </row>
    <row r="3663" spans="1:22" x14ac:dyDescent="0.2">
      <c r="A3663" t="s">
        <v>8162</v>
      </c>
      <c r="B3663" t="s">
        <v>7665</v>
      </c>
      <c r="C3663" t="s">
        <v>7666</v>
      </c>
      <c r="D3663" t="s">
        <v>8153</v>
      </c>
      <c r="E3663" s="10" t="s">
        <v>8163</v>
      </c>
      <c r="F3663" s="10"/>
      <c r="G3663" s="10"/>
      <c r="H3663" s="10" t="s">
        <v>8163</v>
      </c>
      <c r="I3663" s="14">
        <v>189255.15547167463</v>
      </c>
      <c r="J3663" s="19">
        <v>9.3404902101460879E-3</v>
      </c>
      <c r="K3663" s="19">
        <v>0.8072487444573786</v>
      </c>
      <c r="L3663" s="19">
        <v>0.1834107653324753</v>
      </c>
      <c r="M3663" s="20">
        <v>2</v>
      </c>
      <c r="N3663" s="19">
        <v>5.0042679559877935E-2</v>
      </c>
      <c r="O3663" s="19">
        <v>0</v>
      </c>
      <c r="P3663" s="19">
        <v>0.75720606489750064</v>
      </c>
      <c r="Q3663" s="19">
        <v>4.7857660726908164E-3</v>
      </c>
      <c r="R3663" s="19">
        <v>0.17153728781572822</v>
      </c>
      <c r="S3663" s="19">
        <v>7.0877114440562631E-3</v>
      </c>
      <c r="T3663" s="20">
        <v>21</v>
      </c>
      <c r="U3663" s="17">
        <v>2</v>
      </c>
      <c r="V3663" s="17">
        <v>36</v>
      </c>
    </row>
    <row r="3664" spans="1:22" x14ac:dyDescent="0.2">
      <c r="A3664" t="s">
        <v>8164</v>
      </c>
      <c r="B3664" t="s">
        <v>7665</v>
      </c>
      <c r="C3664" t="s">
        <v>7666</v>
      </c>
      <c r="D3664" t="s">
        <v>8153</v>
      </c>
      <c r="E3664" s="10" t="s">
        <v>8165</v>
      </c>
      <c r="F3664" s="10"/>
      <c r="G3664" s="10"/>
      <c r="H3664" s="10" t="s">
        <v>8165</v>
      </c>
      <c r="I3664" s="14">
        <v>70738.741268986836</v>
      </c>
      <c r="J3664" s="19">
        <v>0</v>
      </c>
      <c r="K3664" s="19">
        <v>0.83448590026087366</v>
      </c>
      <c r="L3664" s="19">
        <v>0.16551409973912634</v>
      </c>
      <c r="M3664" s="20">
        <v>2</v>
      </c>
      <c r="N3664" s="19">
        <v>0.45120060111221039</v>
      </c>
      <c r="O3664" s="19">
        <v>0</v>
      </c>
      <c r="P3664" s="19">
        <v>0.38328529914866327</v>
      </c>
      <c r="Q3664" s="19">
        <v>9.8532062800108546E-3</v>
      </c>
      <c r="R3664" s="19">
        <v>0.15385773922644264</v>
      </c>
      <c r="S3664" s="19">
        <v>1.8031542326728276E-3</v>
      </c>
      <c r="T3664" s="20">
        <v>23</v>
      </c>
      <c r="U3664" s="17">
        <v>2</v>
      </c>
      <c r="V3664" s="17">
        <v>36</v>
      </c>
    </row>
    <row r="3665" spans="1:22" x14ac:dyDescent="0.2">
      <c r="A3665" t="s">
        <v>8166</v>
      </c>
      <c r="B3665" t="s">
        <v>7665</v>
      </c>
      <c r="C3665" t="s">
        <v>7666</v>
      </c>
      <c r="D3665" t="s">
        <v>8153</v>
      </c>
      <c r="E3665" s="10" t="s">
        <v>8167</v>
      </c>
      <c r="F3665" s="10"/>
      <c r="G3665" s="10"/>
      <c r="H3665" s="10" t="s">
        <v>8167</v>
      </c>
      <c r="I3665" s="14">
        <v>99063.729634100571</v>
      </c>
      <c r="J3665" s="19">
        <v>0</v>
      </c>
      <c r="K3665" s="19">
        <v>0.82484957892604926</v>
      </c>
      <c r="L3665" s="19">
        <v>0.17515042107395068</v>
      </c>
      <c r="M3665" s="20">
        <v>2</v>
      </c>
      <c r="N3665" s="19">
        <v>9.1498885832469581E-2</v>
      </c>
      <c r="O3665" s="19">
        <v>0</v>
      </c>
      <c r="P3665" s="19">
        <v>0.7333506930935797</v>
      </c>
      <c r="Q3665" s="19">
        <v>0</v>
      </c>
      <c r="R3665" s="19">
        <v>0.17313806140683219</v>
      </c>
      <c r="S3665" s="19">
        <v>2.0123596671185033E-3</v>
      </c>
      <c r="T3665" s="20">
        <v>21</v>
      </c>
      <c r="U3665" s="17">
        <v>2</v>
      </c>
      <c r="V3665" s="17">
        <v>36</v>
      </c>
    </row>
    <row r="3666" spans="1:22" x14ac:dyDescent="0.2">
      <c r="A3666" t="s">
        <v>8168</v>
      </c>
      <c r="B3666" t="s">
        <v>7665</v>
      </c>
      <c r="C3666" t="s">
        <v>7666</v>
      </c>
      <c r="D3666" t="s">
        <v>8169</v>
      </c>
      <c r="E3666" s="10" t="s">
        <v>8170</v>
      </c>
      <c r="F3666" s="10"/>
      <c r="G3666" s="10"/>
      <c r="H3666" s="10" t="s">
        <v>8170</v>
      </c>
      <c r="I3666" s="14">
        <v>49539.995759818703</v>
      </c>
      <c r="J3666" s="19">
        <v>0</v>
      </c>
      <c r="K3666" s="19">
        <v>0.12433500076505856</v>
      </c>
      <c r="L3666" s="19">
        <v>0.87566499923494145</v>
      </c>
      <c r="M3666" s="20">
        <v>1</v>
      </c>
      <c r="N3666" s="19">
        <v>0.10595595047159492</v>
      </c>
      <c r="O3666" s="19">
        <v>0</v>
      </c>
      <c r="P3666" s="19">
        <v>1.8379050293463636E-2</v>
      </c>
      <c r="Q3666" s="19">
        <v>0.46533942994644101</v>
      </c>
      <c r="R3666" s="19">
        <v>0.35038953798184463</v>
      </c>
      <c r="S3666" s="19">
        <v>5.9936031306655764E-2</v>
      </c>
      <c r="T3666" s="20">
        <v>13</v>
      </c>
      <c r="U3666" s="17">
        <v>2</v>
      </c>
      <c r="V3666" s="17">
        <v>36</v>
      </c>
    </row>
    <row r="3667" spans="1:22" x14ac:dyDescent="0.2">
      <c r="A3667" t="s">
        <v>8171</v>
      </c>
      <c r="B3667" t="s">
        <v>7665</v>
      </c>
      <c r="C3667" t="s">
        <v>7666</v>
      </c>
      <c r="D3667" t="s">
        <v>8169</v>
      </c>
      <c r="E3667" s="10" t="s">
        <v>8172</v>
      </c>
      <c r="F3667" s="10"/>
      <c r="G3667" s="10"/>
      <c r="H3667" s="10" t="s">
        <v>8172</v>
      </c>
      <c r="I3667" s="14">
        <v>109078.34207378235</v>
      </c>
      <c r="J3667" s="19">
        <v>0</v>
      </c>
      <c r="K3667" s="19">
        <v>0.58722195135185684</v>
      </c>
      <c r="L3667" s="19">
        <v>0.41277804864814316</v>
      </c>
      <c r="M3667" s="20">
        <v>2</v>
      </c>
      <c r="N3667" s="19">
        <v>0.3263338022091869</v>
      </c>
      <c r="O3667" s="19">
        <v>0.19011624550014722</v>
      </c>
      <c r="P3667" s="19">
        <v>7.0771903642522754E-2</v>
      </c>
      <c r="Q3667" s="19">
        <v>0.19238033389854861</v>
      </c>
      <c r="R3667" s="19">
        <v>0.19073540021535462</v>
      </c>
      <c r="S3667" s="19">
        <v>2.9662314534239939E-2</v>
      </c>
      <c r="T3667" s="20">
        <v>23</v>
      </c>
      <c r="U3667" s="17">
        <v>2</v>
      </c>
      <c r="V3667" s="17">
        <v>36</v>
      </c>
    </row>
    <row r="3668" spans="1:22" x14ac:dyDescent="0.2">
      <c r="A3668" t="s">
        <v>8173</v>
      </c>
      <c r="B3668" t="s">
        <v>7665</v>
      </c>
      <c r="C3668" t="s">
        <v>7666</v>
      </c>
      <c r="D3668" t="s">
        <v>8169</v>
      </c>
      <c r="E3668" s="10" t="s">
        <v>8174</v>
      </c>
      <c r="F3668" s="10"/>
      <c r="G3668" s="10"/>
      <c r="H3668" s="10" t="s">
        <v>8174</v>
      </c>
      <c r="I3668" s="14">
        <v>66590.997635167092</v>
      </c>
      <c r="J3668" s="19">
        <v>0</v>
      </c>
      <c r="K3668" s="19">
        <v>0.56593710538571906</v>
      </c>
      <c r="L3668" s="19">
        <v>0.43406289461428094</v>
      </c>
      <c r="M3668" s="20">
        <v>2</v>
      </c>
      <c r="N3668" s="19">
        <v>9.9937893307442238E-2</v>
      </c>
      <c r="O3668" s="19">
        <v>0.4184216153083623</v>
      </c>
      <c r="P3668" s="19">
        <v>4.7577596769914569E-2</v>
      </c>
      <c r="Q3668" s="19">
        <v>8.6556599862053898E-2</v>
      </c>
      <c r="R3668" s="19">
        <v>0.31917015732477555</v>
      </c>
      <c r="S3668" s="19">
        <v>2.8336137427451499E-2</v>
      </c>
      <c r="T3668" s="20">
        <v>22</v>
      </c>
      <c r="U3668" s="17">
        <v>2</v>
      </c>
      <c r="V3668" s="17">
        <v>36</v>
      </c>
    </row>
    <row r="3669" spans="1:22" x14ac:dyDescent="0.2">
      <c r="A3669" t="s">
        <v>8175</v>
      </c>
      <c r="B3669" t="s">
        <v>7665</v>
      </c>
      <c r="C3669" t="s">
        <v>7666</v>
      </c>
      <c r="D3669" t="s">
        <v>8169</v>
      </c>
      <c r="E3669" s="10" t="s">
        <v>8169</v>
      </c>
      <c r="F3669" s="10"/>
      <c r="G3669" s="10"/>
      <c r="H3669" s="10" t="s">
        <v>8169</v>
      </c>
      <c r="I3669" s="14">
        <v>46198.327930402011</v>
      </c>
      <c r="J3669" s="19">
        <v>0</v>
      </c>
      <c r="K3669" s="19">
        <v>0.92367319091787359</v>
      </c>
      <c r="L3669" s="19">
        <v>7.6326809082126398E-2</v>
      </c>
      <c r="M3669" s="20">
        <v>2</v>
      </c>
      <c r="N3669" s="19">
        <v>0.7691281882075709</v>
      </c>
      <c r="O3669" s="19">
        <v>0</v>
      </c>
      <c r="P3669" s="19">
        <v>0.15454500271030266</v>
      </c>
      <c r="Q3669" s="19">
        <v>2.8354503288031012E-5</v>
      </c>
      <c r="R3669" s="19">
        <v>6.8363033872899825E-2</v>
      </c>
      <c r="S3669" s="19">
        <v>7.9354207059385493E-3</v>
      </c>
      <c r="T3669" s="20">
        <v>23</v>
      </c>
      <c r="U3669" s="17">
        <v>2</v>
      </c>
      <c r="V3669" s="17">
        <v>36</v>
      </c>
    </row>
    <row r="3670" spans="1:22" x14ac:dyDescent="0.2">
      <c r="A3670" t="s">
        <v>8176</v>
      </c>
      <c r="B3670" t="s">
        <v>7665</v>
      </c>
      <c r="C3670" t="s">
        <v>7666</v>
      </c>
      <c r="D3670" t="s">
        <v>8169</v>
      </c>
      <c r="E3670" s="10" t="s">
        <v>8177</v>
      </c>
      <c r="F3670" s="10"/>
      <c r="G3670" s="10"/>
      <c r="H3670" s="10" t="s">
        <v>8177</v>
      </c>
      <c r="I3670" s="14">
        <v>61604.675285675563</v>
      </c>
      <c r="J3670" s="19">
        <v>0</v>
      </c>
      <c r="K3670" s="19">
        <v>0.59562543819961677</v>
      </c>
      <c r="L3670" s="19">
        <v>0.40437456180038323</v>
      </c>
      <c r="M3670" s="20">
        <v>2</v>
      </c>
      <c r="N3670" s="19">
        <v>0</v>
      </c>
      <c r="O3670" s="19">
        <v>0.59562543819961677</v>
      </c>
      <c r="P3670" s="19">
        <v>0</v>
      </c>
      <c r="Q3670" s="19">
        <v>0.17741338162795647</v>
      </c>
      <c r="R3670" s="19">
        <v>0.18808270990116194</v>
      </c>
      <c r="S3670" s="19">
        <v>3.8878470271264814E-2</v>
      </c>
      <c r="T3670" s="20">
        <v>22</v>
      </c>
      <c r="U3670" s="17">
        <v>2</v>
      </c>
      <c r="V3670" s="17">
        <v>36</v>
      </c>
    </row>
    <row r="3671" spans="1:22" x14ac:dyDescent="0.2">
      <c r="A3671" t="s">
        <v>8178</v>
      </c>
      <c r="B3671" t="s">
        <v>7665</v>
      </c>
      <c r="C3671" t="s">
        <v>7666</v>
      </c>
      <c r="D3671" t="s">
        <v>8169</v>
      </c>
      <c r="E3671" s="10" t="s">
        <v>8179</v>
      </c>
      <c r="F3671" s="10"/>
      <c r="G3671" s="10"/>
      <c r="H3671" s="10" t="s">
        <v>8179</v>
      </c>
      <c r="I3671" s="14">
        <v>71887.828525971621</v>
      </c>
      <c r="J3671" s="19">
        <v>0</v>
      </c>
      <c r="K3671" s="19">
        <v>0.45025904882694445</v>
      </c>
      <c r="L3671" s="19">
        <v>0.54974095117305555</v>
      </c>
      <c r="M3671" s="20">
        <v>1</v>
      </c>
      <c r="N3671" s="19">
        <v>0.31266519542797389</v>
      </c>
      <c r="O3671" s="19">
        <v>9.1253633105246479E-2</v>
      </c>
      <c r="P3671" s="19">
        <v>4.6340220293724081E-2</v>
      </c>
      <c r="Q3671" s="19">
        <v>0.23947206798235321</v>
      </c>
      <c r="R3671" s="19">
        <v>0.28410906474030845</v>
      </c>
      <c r="S3671" s="19">
        <v>2.6159818450393928E-2</v>
      </c>
      <c r="T3671" s="20">
        <v>12</v>
      </c>
      <c r="U3671" s="17">
        <v>2</v>
      </c>
      <c r="V3671" s="17">
        <v>36</v>
      </c>
    </row>
    <row r="3672" spans="1:22" x14ac:dyDescent="0.2">
      <c r="A3672" t="s">
        <v>8180</v>
      </c>
      <c r="B3672" t="s">
        <v>7665</v>
      </c>
      <c r="C3672" t="s">
        <v>7666</v>
      </c>
      <c r="D3672" t="s">
        <v>8169</v>
      </c>
      <c r="E3672" s="10" t="s">
        <v>8181</v>
      </c>
      <c r="F3672" s="10"/>
      <c r="G3672" s="10"/>
      <c r="H3672" s="10" t="s">
        <v>8181</v>
      </c>
      <c r="I3672" s="14">
        <v>46179.041724593379</v>
      </c>
      <c r="J3672" s="19">
        <v>0</v>
      </c>
      <c r="K3672" s="19">
        <v>0.13771546159048895</v>
      </c>
      <c r="L3672" s="19">
        <v>0.86228453840951103</v>
      </c>
      <c r="M3672" s="20">
        <v>1</v>
      </c>
      <c r="N3672" s="19">
        <v>0</v>
      </c>
      <c r="O3672" s="19">
        <v>0.13771546159048895</v>
      </c>
      <c r="P3672" s="19">
        <v>0</v>
      </c>
      <c r="Q3672" s="19">
        <v>0.24505680515938996</v>
      </c>
      <c r="R3672" s="19">
        <v>0.56617591242580967</v>
      </c>
      <c r="S3672" s="19">
        <v>5.1051820824311415E-2</v>
      </c>
      <c r="T3672" s="20">
        <v>12</v>
      </c>
      <c r="U3672" s="17">
        <v>2</v>
      </c>
      <c r="V3672" s="17">
        <v>36</v>
      </c>
    </row>
    <row r="3673" spans="1:22" x14ac:dyDescent="0.2">
      <c r="A3673" t="s">
        <v>8182</v>
      </c>
      <c r="B3673" t="s">
        <v>7665</v>
      </c>
      <c r="C3673" t="s">
        <v>7666</v>
      </c>
      <c r="D3673" t="s">
        <v>8169</v>
      </c>
      <c r="E3673" s="10" t="s">
        <v>8183</v>
      </c>
      <c r="F3673" s="10"/>
      <c r="G3673" s="10"/>
      <c r="H3673" s="10" t="s">
        <v>8183</v>
      </c>
      <c r="I3673" s="14">
        <v>58723.276600018144</v>
      </c>
      <c r="J3673" s="19">
        <v>0</v>
      </c>
      <c r="K3673" s="19">
        <v>0.5544166264341438</v>
      </c>
      <c r="L3673" s="19">
        <v>0.44558337356585626</v>
      </c>
      <c r="M3673" s="20">
        <v>2</v>
      </c>
      <c r="N3673" s="19">
        <v>0.33299778416807929</v>
      </c>
      <c r="O3673" s="19">
        <v>0.15522785831605923</v>
      </c>
      <c r="P3673" s="19">
        <v>6.6190983950005236E-2</v>
      </c>
      <c r="Q3673" s="19">
        <v>0.24547303752754698</v>
      </c>
      <c r="R3673" s="19">
        <v>0.16939311109741734</v>
      </c>
      <c r="S3673" s="19">
        <v>3.0717224940891869E-2</v>
      </c>
      <c r="T3673" s="20">
        <v>23</v>
      </c>
      <c r="U3673" s="17">
        <v>2</v>
      </c>
      <c r="V3673" s="17">
        <v>36</v>
      </c>
    </row>
    <row r="3674" spans="1:22" x14ac:dyDescent="0.2">
      <c r="A3674" t="s">
        <v>8184</v>
      </c>
      <c r="B3674" t="s">
        <v>7665</v>
      </c>
      <c r="C3674" t="s">
        <v>7666</v>
      </c>
      <c r="D3674" t="s">
        <v>8169</v>
      </c>
      <c r="E3674" s="10" t="s">
        <v>8185</v>
      </c>
      <c r="F3674" s="10"/>
      <c r="G3674" s="10"/>
      <c r="H3674" s="10" t="s">
        <v>8185</v>
      </c>
      <c r="I3674" s="14">
        <v>99254.511073389091</v>
      </c>
      <c r="J3674" s="19">
        <v>0</v>
      </c>
      <c r="K3674" s="19">
        <v>0.34783244311583572</v>
      </c>
      <c r="L3674" s="19">
        <v>0.65216755688416428</v>
      </c>
      <c r="M3674" s="20">
        <v>1</v>
      </c>
      <c r="N3674" s="19">
        <v>0.11269376214053012</v>
      </c>
      <c r="O3674" s="19">
        <v>0.15338433947703353</v>
      </c>
      <c r="P3674" s="19">
        <v>8.1754341498272043E-2</v>
      </c>
      <c r="Q3674" s="19">
        <v>0.20356596775322688</v>
      </c>
      <c r="R3674" s="19">
        <v>0.39209862498016779</v>
      </c>
      <c r="S3674" s="19">
        <v>5.650296415076965E-2</v>
      </c>
      <c r="T3674" s="20">
        <v>12</v>
      </c>
      <c r="U3674" s="17">
        <v>2</v>
      </c>
      <c r="V3674" s="17">
        <v>36</v>
      </c>
    </row>
    <row r="3675" spans="1:22" x14ac:dyDescent="0.2">
      <c r="A3675" t="s">
        <v>8186</v>
      </c>
      <c r="B3675" t="s">
        <v>7665</v>
      </c>
      <c r="C3675" t="s">
        <v>7666</v>
      </c>
      <c r="D3675" t="s">
        <v>8169</v>
      </c>
      <c r="E3675" s="10" t="s">
        <v>8187</v>
      </c>
      <c r="F3675" s="10"/>
      <c r="G3675" s="10"/>
      <c r="H3675" s="10" t="s">
        <v>8187</v>
      </c>
      <c r="I3675" s="14">
        <v>59260.703892357655</v>
      </c>
      <c r="J3675" s="19">
        <v>0</v>
      </c>
      <c r="K3675" s="19">
        <v>0.43408838331748134</v>
      </c>
      <c r="L3675" s="19">
        <v>0.56591161668251855</v>
      </c>
      <c r="M3675" s="20">
        <v>1</v>
      </c>
      <c r="N3675" s="19">
        <v>0.18543657244488779</v>
      </c>
      <c r="O3675" s="19">
        <v>0.20081780066713292</v>
      </c>
      <c r="P3675" s="19">
        <v>4.7834010205460631E-2</v>
      </c>
      <c r="Q3675" s="19">
        <v>0.26140531277317725</v>
      </c>
      <c r="R3675" s="19">
        <v>0.27623429987128861</v>
      </c>
      <c r="S3675" s="19">
        <v>2.8272004038052714E-2</v>
      </c>
      <c r="T3675" s="20">
        <v>12</v>
      </c>
      <c r="U3675" s="17">
        <v>2</v>
      </c>
      <c r="V3675" s="17">
        <v>36</v>
      </c>
    </row>
    <row r="3676" spans="1:22" x14ac:dyDescent="0.2">
      <c r="A3676" t="s">
        <v>8188</v>
      </c>
      <c r="B3676" t="s">
        <v>7665</v>
      </c>
      <c r="C3676" t="s">
        <v>7666</v>
      </c>
      <c r="D3676" t="s">
        <v>8169</v>
      </c>
      <c r="E3676" s="10" t="s">
        <v>8189</v>
      </c>
      <c r="F3676" s="10"/>
      <c r="G3676" s="10"/>
      <c r="H3676" s="10" t="s">
        <v>8189</v>
      </c>
      <c r="I3676" s="14">
        <v>80357.856507807955</v>
      </c>
      <c r="J3676" s="19">
        <v>0</v>
      </c>
      <c r="K3676" s="19">
        <v>0.31347854961826493</v>
      </c>
      <c r="L3676" s="19">
        <v>0.68652145038173529</v>
      </c>
      <c r="M3676" s="20">
        <v>1</v>
      </c>
      <c r="N3676" s="19">
        <v>9.1782407714396788E-2</v>
      </c>
      <c r="O3676" s="19">
        <v>0.19148621211231334</v>
      </c>
      <c r="P3676" s="19">
        <v>3.0209929791554815E-2</v>
      </c>
      <c r="Q3676" s="19">
        <v>0.32895305968205701</v>
      </c>
      <c r="R3676" s="19">
        <v>0.31730380097568234</v>
      </c>
      <c r="S3676" s="19">
        <v>4.0264589723995901E-2</v>
      </c>
      <c r="T3676" s="20">
        <v>13</v>
      </c>
      <c r="U3676" s="17">
        <v>2</v>
      </c>
      <c r="V3676" s="17">
        <v>36</v>
      </c>
    </row>
    <row r="3677" spans="1:22" x14ac:dyDescent="0.2">
      <c r="A3677" t="s">
        <v>8190</v>
      </c>
      <c r="B3677" t="s">
        <v>7665</v>
      </c>
      <c r="C3677" t="s">
        <v>7666</v>
      </c>
      <c r="D3677" t="s">
        <v>8191</v>
      </c>
      <c r="E3677" s="10" t="s">
        <v>8192</v>
      </c>
      <c r="F3677" s="10"/>
      <c r="G3677" s="10"/>
      <c r="H3677" s="10" t="s">
        <v>8192</v>
      </c>
      <c r="I3677" s="14">
        <v>144350.08537453855</v>
      </c>
      <c r="J3677" s="19">
        <v>0.20411591902335402</v>
      </c>
      <c r="K3677" s="19">
        <v>0.7731076544488823</v>
      </c>
      <c r="L3677" s="19">
        <v>2.2776426527763585E-2</v>
      </c>
      <c r="M3677" s="20">
        <v>2</v>
      </c>
      <c r="N3677" s="19">
        <v>0.12303966867632239</v>
      </c>
      <c r="O3677" s="19">
        <v>0</v>
      </c>
      <c r="P3677" s="19">
        <v>0.65006798577255998</v>
      </c>
      <c r="Q3677" s="19">
        <v>0</v>
      </c>
      <c r="R3677" s="19">
        <v>2.2775037809938267E-2</v>
      </c>
      <c r="S3677" s="19">
        <v>1.3887178253186406E-6</v>
      </c>
      <c r="T3677" s="20">
        <v>21</v>
      </c>
      <c r="U3677" s="17">
        <v>2</v>
      </c>
      <c r="V3677" s="17">
        <v>36</v>
      </c>
    </row>
    <row r="3678" spans="1:22" x14ac:dyDescent="0.2">
      <c r="A3678" t="s">
        <v>8193</v>
      </c>
      <c r="B3678" t="s">
        <v>7665</v>
      </c>
      <c r="C3678" t="s">
        <v>7666</v>
      </c>
      <c r="D3678" t="s">
        <v>8191</v>
      </c>
      <c r="E3678" s="10" t="s">
        <v>8194</v>
      </c>
      <c r="F3678" s="10"/>
      <c r="G3678" s="10"/>
      <c r="H3678" s="10" t="s">
        <v>8194</v>
      </c>
      <c r="I3678" s="14">
        <v>123103.26394873485</v>
      </c>
      <c r="J3678" s="19">
        <v>8.36116679345578E-3</v>
      </c>
      <c r="K3678" s="19">
        <v>0.9675915131208479</v>
      </c>
      <c r="L3678" s="19">
        <v>2.4047320085696332E-2</v>
      </c>
      <c r="M3678" s="20">
        <v>2</v>
      </c>
      <c r="N3678" s="19">
        <v>0.45722300633671586</v>
      </c>
      <c r="O3678" s="19">
        <v>0</v>
      </c>
      <c r="P3678" s="19">
        <v>0.51036850678413204</v>
      </c>
      <c r="Q3678" s="19">
        <v>0</v>
      </c>
      <c r="R3678" s="19">
        <v>2.3333647463359999E-2</v>
      </c>
      <c r="S3678" s="19">
        <v>7.1367262233633453E-4</v>
      </c>
      <c r="T3678" s="20">
        <v>21</v>
      </c>
      <c r="U3678" s="17">
        <v>2</v>
      </c>
      <c r="V3678" s="17">
        <v>36</v>
      </c>
    </row>
    <row r="3679" spans="1:22" x14ac:dyDescent="0.2">
      <c r="A3679" t="s">
        <v>8195</v>
      </c>
      <c r="B3679" t="s">
        <v>7665</v>
      </c>
      <c r="C3679" t="s">
        <v>7666</v>
      </c>
      <c r="D3679" t="s">
        <v>8191</v>
      </c>
      <c r="E3679" s="10" t="s">
        <v>8196</v>
      </c>
      <c r="F3679" s="10"/>
      <c r="G3679" s="10"/>
      <c r="H3679" s="10" t="s">
        <v>8196</v>
      </c>
      <c r="I3679" s="14">
        <v>125095.00567583274</v>
      </c>
      <c r="J3679" s="19">
        <v>5.6731688286348933E-2</v>
      </c>
      <c r="K3679" s="19">
        <v>0.88872679897251161</v>
      </c>
      <c r="L3679" s="19">
        <v>5.4541512741139407E-2</v>
      </c>
      <c r="M3679" s="20">
        <v>2</v>
      </c>
      <c r="N3679" s="19">
        <v>0.31585688772683662</v>
      </c>
      <c r="O3679" s="19">
        <v>0</v>
      </c>
      <c r="P3679" s="19">
        <v>0.5728699112456751</v>
      </c>
      <c r="Q3679" s="19">
        <v>0</v>
      </c>
      <c r="R3679" s="19">
        <v>5.2806507131672661E-2</v>
      </c>
      <c r="S3679" s="19">
        <v>1.7350056094667401E-3</v>
      </c>
      <c r="T3679" s="20">
        <v>21</v>
      </c>
      <c r="U3679" s="17">
        <v>2</v>
      </c>
      <c r="V3679" s="17">
        <v>36</v>
      </c>
    </row>
    <row r="3680" spans="1:22" x14ac:dyDescent="0.2">
      <c r="A3680" t="s">
        <v>8197</v>
      </c>
      <c r="B3680" t="s">
        <v>7665</v>
      </c>
      <c r="C3680" t="s">
        <v>7666</v>
      </c>
      <c r="D3680" t="s">
        <v>8191</v>
      </c>
      <c r="E3680" s="10" t="s">
        <v>8198</v>
      </c>
      <c r="F3680" s="10"/>
      <c r="G3680" s="10"/>
      <c r="H3680" s="10" t="s">
        <v>8198</v>
      </c>
      <c r="I3680" s="14">
        <v>183011.00302160718</v>
      </c>
      <c r="J3680" s="19">
        <v>0.35019181946093431</v>
      </c>
      <c r="K3680" s="19">
        <v>0.62386662419325056</v>
      </c>
      <c r="L3680" s="19">
        <v>2.5941556345815086E-2</v>
      </c>
      <c r="M3680" s="20">
        <v>2</v>
      </c>
      <c r="N3680" s="19">
        <v>0.1603531321215137</v>
      </c>
      <c r="O3680" s="19">
        <v>0</v>
      </c>
      <c r="P3680" s="19">
        <v>0.46351349207173692</v>
      </c>
      <c r="Q3680" s="19">
        <v>0</v>
      </c>
      <c r="R3680" s="19">
        <v>2.5647625822901237E-2</v>
      </c>
      <c r="S3680" s="19">
        <v>2.9393052291384783E-4</v>
      </c>
      <c r="T3680" s="20">
        <v>23</v>
      </c>
      <c r="U3680" s="17">
        <v>2</v>
      </c>
      <c r="V3680" s="17">
        <v>36</v>
      </c>
    </row>
    <row r="3681" spans="1:22" x14ac:dyDescent="0.2">
      <c r="A3681" t="s">
        <v>8199</v>
      </c>
      <c r="B3681" t="s">
        <v>7665</v>
      </c>
      <c r="C3681" t="s">
        <v>7666</v>
      </c>
      <c r="D3681" t="s">
        <v>8191</v>
      </c>
      <c r="E3681" s="10" t="s">
        <v>8200</v>
      </c>
      <c r="F3681" s="10"/>
      <c r="G3681" s="10"/>
      <c r="H3681" s="10" t="s">
        <v>8200</v>
      </c>
      <c r="I3681" s="14">
        <v>131041.62179225078</v>
      </c>
      <c r="J3681" s="19">
        <v>0.71337282325532869</v>
      </c>
      <c r="K3681" s="19">
        <v>0.27095945106866615</v>
      </c>
      <c r="L3681" s="19">
        <v>1.5667725676005159E-2</v>
      </c>
      <c r="M3681" s="20">
        <v>3</v>
      </c>
      <c r="N3681" s="19">
        <v>9.062235982817366E-4</v>
      </c>
      <c r="O3681" s="19">
        <v>0</v>
      </c>
      <c r="P3681" s="19">
        <v>0.2700532274703844</v>
      </c>
      <c r="Q3681" s="19">
        <v>0</v>
      </c>
      <c r="R3681" s="19">
        <v>1.5390105874408162E-2</v>
      </c>
      <c r="S3681" s="19">
        <v>2.7761980159699652E-4</v>
      </c>
      <c r="T3681" s="20">
        <v>30</v>
      </c>
      <c r="U3681" s="17">
        <v>2</v>
      </c>
      <c r="V3681" s="17">
        <v>36</v>
      </c>
    </row>
    <row r="3682" spans="1:22" x14ac:dyDescent="0.2">
      <c r="A3682" t="s">
        <v>8201</v>
      </c>
      <c r="B3682" t="s">
        <v>7665</v>
      </c>
      <c r="C3682" t="s">
        <v>7666</v>
      </c>
      <c r="D3682" t="s">
        <v>8191</v>
      </c>
      <c r="E3682" s="10" t="s">
        <v>8202</v>
      </c>
      <c r="F3682" s="10"/>
      <c r="G3682" s="10"/>
      <c r="H3682" s="10" t="s">
        <v>8202</v>
      </c>
      <c r="I3682" s="14">
        <v>116461.24139178172</v>
      </c>
      <c r="J3682" s="19">
        <v>0.2464968226842765</v>
      </c>
      <c r="K3682" s="19">
        <v>0.69820881861033368</v>
      </c>
      <c r="L3682" s="19">
        <v>5.5294358705389825E-2</v>
      </c>
      <c r="M3682" s="20">
        <v>2</v>
      </c>
      <c r="N3682" s="19">
        <v>5.3033258268337158E-2</v>
      </c>
      <c r="O3682" s="19">
        <v>0</v>
      </c>
      <c r="P3682" s="19">
        <v>0.64517556034199652</v>
      </c>
      <c r="Q3682" s="19">
        <v>0</v>
      </c>
      <c r="R3682" s="19">
        <v>5.1976499567737422E-2</v>
      </c>
      <c r="S3682" s="19">
        <v>3.3178591376524019E-3</v>
      </c>
      <c r="T3682" s="20">
        <v>21</v>
      </c>
      <c r="U3682" s="17">
        <v>2</v>
      </c>
      <c r="V3682" s="17">
        <v>36</v>
      </c>
    </row>
    <row r="3683" spans="1:22" x14ac:dyDescent="0.2">
      <c r="A3683" t="s">
        <v>8203</v>
      </c>
      <c r="B3683" t="s">
        <v>7665</v>
      </c>
      <c r="C3683" t="s">
        <v>7666</v>
      </c>
      <c r="D3683" t="s">
        <v>8204</v>
      </c>
      <c r="E3683" s="10" t="s">
        <v>8205</v>
      </c>
      <c r="F3683" s="10"/>
      <c r="G3683" s="10"/>
      <c r="H3683" s="10" t="s">
        <v>8205</v>
      </c>
      <c r="I3683" s="14">
        <v>141209.04802392772</v>
      </c>
      <c r="J3683" s="19">
        <v>0</v>
      </c>
      <c r="K3683" s="19">
        <v>0.83825689748607801</v>
      </c>
      <c r="L3683" s="19">
        <v>0.16174310251392199</v>
      </c>
      <c r="M3683" s="20">
        <v>2</v>
      </c>
      <c r="N3683" s="19">
        <v>0.11634284814947868</v>
      </c>
      <c r="O3683" s="19">
        <v>0</v>
      </c>
      <c r="P3683" s="19">
        <v>0.72191404933659931</v>
      </c>
      <c r="Q3683" s="19">
        <v>1.1267328224303243E-2</v>
      </c>
      <c r="R3683" s="19">
        <v>0.14347014011422937</v>
      </c>
      <c r="S3683" s="19">
        <v>7.0056341753893586E-3</v>
      </c>
      <c r="T3683" s="20">
        <v>21</v>
      </c>
      <c r="U3683" s="17">
        <v>2</v>
      </c>
      <c r="V3683" s="17">
        <v>36</v>
      </c>
    </row>
    <row r="3684" spans="1:22" x14ac:dyDescent="0.2">
      <c r="A3684" t="s">
        <v>8206</v>
      </c>
      <c r="B3684" t="s">
        <v>7665</v>
      </c>
      <c r="C3684" t="s">
        <v>7666</v>
      </c>
      <c r="D3684" t="s">
        <v>8204</v>
      </c>
      <c r="E3684" s="10" t="s">
        <v>8207</v>
      </c>
      <c r="F3684" s="10"/>
      <c r="G3684" s="10"/>
      <c r="H3684" s="10" t="s">
        <v>8207</v>
      </c>
      <c r="I3684" s="14">
        <v>128772.57211111952</v>
      </c>
      <c r="J3684" s="19">
        <v>0</v>
      </c>
      <c r="K3684" s="19">
        <v>0.91109216606070886</v>
      </c>
      <c r="L3684" s="19">
        <v>8.8907833939291123E-2</v>
      </c>
      <c r="M3684" s="20">
        <v>2</v>
      </c>
      <c r="N3684" s="19">
        <v>0.25662264173271898</v>
      </c>
      <c r="O3684" s="19">
        <v>0</v>
      </c>
      <c r="P3684" s="19">
        <v>0.65446952432798988</v>
      </c>
      <c r="Q3684" s="19">
        <v>0</v>
      </c>
      <c r="R3684" s="19">
        <v>8.2022866978512632E-2</v>
      </c>
      <c r="S3684" s="19">
        <v>6.8849669607784934E-3</v>
      </c>
      <c r="T3684" s="20">
        <v>21</v>
      </c>
      <c r="U3684" s="17">
        <v>2</v>
      </c>
      <c r="V3684" s="17">
        <v>36</v>
      </c>
    </row>
    <row r="3685" spans="1:22" x14ac:dyDescent="0.2">
      <c r="A3685" t="s">
        <v>8208</v>
      </c>
      <c r="B3685" t="s">
        <v>7665</v>
      </c>
      <c r="C3685" t="s">
        <v>7666</v>
      </c>
      <c r="D3685" t="s">
        <v>8204</v>
      </c>
      <c r="E3685" s="10" t="s">
        <v>8209</v>
      </c>
      <c r="F3685" s="10"/>
      <c r="G3685" s="10"/>
      <c r="H3685" s="10" t="s">
        <v>8209</v>
      </c>
      <c r="I3685" s="14">
        <v>104145.92513289</v>
      </c>
      <c r="J3685" s="19">
        <v>0</v>
      </c>
      <c r="K3685" s="19">
        <v>0.90232424466555072</v>
      </c>
      <c r="L3685" s="19">
        <v>9.7675755334449221E-2</v>
      </c>
      <c r="M3685" s="20">
        <v>2</v>
      </c>
      <c r="N3685" s="19">
        <v>0.21883055575741484</v>
      </c>
      <c r="O3685" s="19">
        <v>0</v>
      </c>
      <c r="P3685" s="19">
        <v>0.68349368890813589</v>
      </c>
      <c r="Q3685" s="19">
        <v>0</v>
      </c>
      <c r="R3685" s="19">
        <v>9.0997252321563027E-2</v>
      </c>
      <c r="S3685" s="19">
        <v>6.6785030128862135E-3</v>
      </c>
      <c r="T3685" s="20">
        <v>21</v>
      </c>
      <c r="U3685" s="17">
        <v>2</v>
      </c>
      <c r="V3685" s="17">
        <v>36</v>
      </c>
    </row>
    <row r="3686" spans="1:22" x14ac:dyDescent="0.2">
      <c r="A3686" t="s">
        <v>8210</v>
      </c>
      <c r="B3686" t="s">
        <v>7665</v>
      </c>
      <c r="C3686" t="s">
        <v>7666</v>
      </c>
      <c r="D3686" t="s">
        <v>8204</v>
      </c>
      <c r="E3686" s="10" t="s">
        <v>8211</v>
      </c>
      <c r="F3686" s="10"/>
      <c r="G3686" s="10"/>
      <c r="H3686" s="10" t="s">
        <v>8211</v>
      </c>
      <c r="I3686" s="14">
        <v>35789.802853960777</v>
      </c>
      <c r="J3686" s="19">
        <v>0</v>
      </c>
      <c r="K3686" s="19">
        <v>0.94471897513011627</v>
      </c>
      <c r="L3686" s="19">
        <v>5.5281024869883739E-2</v>
      </c>
      <c r="M3686" s="20">
        <v>2</v>
      </c>
      <c r="N3686" s="19">
        <v>0.40959129858677323</v>
      </c>
      <c r="O3686" s="19">
        <v>0</v>
      </c>
      <c r="P3686" s="19">
        <v>0.53512767654334303</v>
      </c>
      <c r="Q3686" s="19">
        <v>0</v>
      </c>
      <c r="R3686" s="19">
        <v>5.2508495018767677E-2</v>
      </c>
      <c r="S3686" s="19">
        <v>2.7725298511160541E-3</v>
      </c>
      <c r="T3686" s="20">
        <v>21</v>
      </c>
      <c r="U3686" s="17">
        <v>2</v>
      </c>
      <c r="V3686" s="17">
        <v>36</v>
      </c>
    </row>
    <row r="3687" spans="1:22" x14ac:dyDescent="0.2">
      <c r="A3687" t="s">
        <v>8212</v>
      </c>
      <c r="B3687" t="s">
        <v>7665</v>
      </c>
      <c r="C3687" t="s">
        <v>7666</v>
      </c>
      <c r="D3687" t="s">
        <v>8204</v>
      </c>
      <c r="E3687" s="10" t="s">
        <v>8204</v>
      </c>
      <c r="F3687" s="10"/>
      <c r="G3687" s="10"/>
      <c r="H3687" s="10" t="s">
        <v>8204</v>
      </c>
      <c r="I3687" s="14">
        <v>89044.671477632364</v>
      </c>
      <c r="J3687" s="19">
        <v>0.72940974631517908</v>
      </c>
      <c r="K3687" s="19">
        <v>0.26322093314674105</v>
      </c>
      <c r="L3687" s="19">
        <v>7.3693205380798909E-3</v>
      </c>
      <c r="M3687" s="20">
        <v>3</v>
      </c>
      <c r="N3687" s="19">
        <v>5.1767878826014975E-3</v>
      </c>
      <c r="O3687" s="19">
        <v>0</v>
      </c>
      <c r="P3687" s="19">
        <v>0.25804414526413955</v>
      </c>
      <c r="Q3687" s="19">
        <v>0</v>
      </c>
      <c r="R3687" s="19">
        <v>6.9627397158395776E-3</v>
      </c>
      <c r="S3687" s="19">
        <v>4.0658082224031357E-4</v>
      </c>
      <c r="T3687" s="20">
        <v>30</v>
      </c>
      <c r="U3687" s="17">
        <v>2</v>
      </c>
      <c r="V3687" s="17">
        <v>36</v>
      </c>
    </row>
    <row r="3688" spans="1:22" x14ac:dyDescent="0.2">
      <c r="A3688" t="s">
        <v>8213</v>
      </c>
      <c r="B3688" t="s">
        <v>7665</v>
      </c>
      <c r="C3688" t="s">
        <v>7666</v>
      </c>
      <c r="D3688" t="s">
        <v>8204</v>
      </c>
      <c r="E3688" s="10" t="s">
        <v>8214</v>
      </c>
      <c r="F3688" s="10"/>
      <c r="G3688" s="10"/>
      <c r="H3688" s="10" t="s">
        <v>8214</v>
      </c>
      <c r="I3688" s="14">
        <v>98337.295203295536</v>
      </c>
      <c r="J3688" s="19">
        <v>0</v>
      </c>
      <c r="K3688" s="19">
        <v>0.56339954569756512</v>
      </c>
      <c r="L3688" s="19">
        <v>0.43660045430243488</v>
      </c>
      <c r="M3688" s="20">
        <v>2</v>
      </c>
      <c r="N3688" s="19">
        <v>0.15884224883849143</v>
      </c>
      <c r="O3688" s="19">
        <v>0</v>
      </c>
      <c r="P3688" s="19">
        <v>0.40455729685907371</v>
      </c>
      <c r="Q3688" s="19">
        <v>0.13103769768236168</v>
      </c>
      <c r="R3688" s="19">
        <v>0.28169514018125613</v>
      </c>
      <c r="S3688" s="19">
        <v>2.3867616438817015E-2</v>
      </c>
      <c r="T3688" s="20">
        <v>23</v>
      </c>
      <c r="U3688" s="17">
        <v>2</v>
      </c>
      <c r="V3688" s="17">
        <v>36</v>
      </c>
    </row>
    <row r="3689" spans="1:22" x14ac:dyDescent="0.2">
      <c r="A3689" t="s">
        <v>8215</v>
      </c>
      <c r="B3689" t="s">
        <v>7665</v>
      </c>
      <c r="C3689" t="s">
        <v>7666</v>
      </c>
      <c r="D3689" t="s">
        <v>8204</v>
      </c>
      <c r="E3689" s="10" t="s">
        <v>8216</v>
      </c>
      <c r="F3689" s="10"/>
      <c r="G3689" s="10"/>
      <c r="H3689" s="10" t="s">
        <v>8216</v>
      </c>
      <c r="I3689" s="14">
        <v>117499.76672405703</v>
      </c>
      <c r="J3689" s="19">
        <v>0</v>
      </c>
      <c r="K3689" s="19">
        <v>0.63940191349929931</v>
      </c>
      <c r="L3689" s="19">
        <v>0.36059808650070074</v>
      </c>
      <c r="M3689" s="20">
        <v>2</v>
      </c>
      <c r="N3689" s="19">
        <v>0.14309768233073208</v>
      </c>
      <c r="O3689" s="19">
        <v>6.8592571946626643E-2</v>
      </c>
      <c r="P3689" s="19">
        <v>0.42771165922194054</v>
      </c>
      <c r="Q3689" s="19">
        <v>6.7398508242761418E-2</v>
      </c>
      <c r="R3689" s="19">
        <v>0.27630602224003964</v>
      </c>
      <c r="S3689" s="19">
        <v>1.6893556017899689E-2</v>
      </c>
      <c r="T3689" s="20">
        <v>23</v>
      </c>
      <c r="U3689" s="17">
        <v>2</v>
      </c>
      <c r="V3689" s="17">
        <v>36</v>
      </c>
    </row>
    <row r="3690" spans="1:22" x14ac:dyDescent="0.2">
      <c r="A3690" t="s">
        <v>8217</v>
      </c>
      <c r="B3690" t="s">
        <v>7665</v>
      </c>
      <c r="C3690" t="s">
        <v>7666</v>
      </c>
      <c r="D3690" t="s">
        <v>8204</v>
      </c>
      <c r="E3690" s="10" t="s">
        <v>8218</v>
      </c>
      <c r="F3690" s="10"/>
      <c r="G3690" s="10"/>
      <c r="H3690" s="10" t="s">
        <v>8218</v>
      </c>
      <c r="I3690" s="14">
        <v>88392.437209236785</v>
      </c>
      <c r="J3690" s="19">
        <v>0</v>
      </c>
      <c r="K3690" s="19">
        <v>0.65343691433144502</v>
      </c>
      <c r="L3690" s="19">
        <v>0.34656308566855498</v>
      </c>
      <c r="M3690" s="20">
        <v>2</v>
      </c>
      <c r="N3690" s="19">
        <v>0.16372760307786371</v>
      </c>
      <c r="O3690" s="19">
        <v>0</v>
      </c>
      <c r="P3690" s="19">
        <v>0.4897093112535813</v>
      </c>
      <c r="Q3690" s="19">
        <v>8.9537619518748557E-2</v>
      </c>
      <c r="R3690" s="19">
        <v>0.22469425704963353</v>
      </c>
      <c r="S3690" s="19">
        <v>3.2331209100172904E-2</v>
      </c>
      <c r="T3690" s="20">
        <v>23</v>
      </c>
      <c r="U3690" s="17">
        <v>2</v>
      </c>
      <c r="V3690" s="17">
        <v>36</v>
      </c>
    </row>
    <row r="3691" spans="1:22" x14ac:dyDescent="0.2">
      <c r="A3691" t="s">
        <v>8219</v>
      </c>
      <c r="B3691" t="s">
        <v>7665</v>
      </c>
      <c r="C3691" t="s">
        <v>7666</v>
      </c>
      <c r="D3691" t="s">
        <v>8204</v>
      </c>
      <c r="E3691" s="10" t="s">
        <v>8220</v>
      </c>
      <c r="F3691" s="10"/>
      <c r="G3691" s="10"/>
      <c r="H3691" s="10" t="s">
        <v>8220</v>
      </c>
      <c r="I3691" s="14">
        <v>83936.477652353584</v>
      </c>
      <c r="J3691" s="19">
        <v>0</v>
      </c>
      <c r="K3691" s="19">
        <v>0.82108839140634582</v>
      </c>
      <c r="L3691" s="19">
        <v>0.17891160859365418</v>
      </c>
      <c r="M3691" s="20">
        <v>2</v>
      </c>
      <c r="N3691" s="19">
        <v>0.25115368865943249</v>
      </c>
      <c r="O3691" s="19">
        <v>0</v>
      </c>
      <c r="P3691" s="19">
        <v>0.56993470274691338</v>
      </c>
      <c r="Q3691" s="19">
        <v>6.3031334267782749E-2</v>
      </c>
      <c r="R3691" s="19">
        <v>0.10325403669950323</v>
      </c>
      <c r="S3691" s="19">
        <v>1.262623762636822E-2</v>
      </c>
      <c r="T3691" s="20">
        <v>21</v>
      </c>
      <c r="U3691" s="17">
        <v>2</v>
      </c>
      <c r="V3691" s="17">
        <v>36</v>
      </c>
    </row>
    <row r="3692" spans="1:22" x14ac:dyDescent="0.2">
      <c r="A3692" t="s">
        <v>8221</v>
      </c>
      <c r="B3692" t="s">
        <v>7665</v>
      </c>
      <c r="C3692" t="s">
        <v>7666</v>
      </c>
      <c r="D3692" t="s">
        <v>8204</v>
      </c>
      <c r="E3692" s="10" t="s">
        <v>8222</v>
      </c>
      <c r="F3692" s="10"/>
      <c r="G3692" s="10"/>
      <c r="H3692" s="10" t="s">
        <v>8222</v>
      </c>
      <c r="I3692" s="14">
        <v>78305.841573955258</v>
      </c>
      <c r="J3692" s="19">
        <v>0</v>
      </c>
      <c r="K3692" s="19">
        <v>0.9558035786378194</v>
      </c>
      <c r="L3692" s="19">
        <v>4.4196421362180639E-2</v>
      </c>
      <c r="M3692" s="20">
        <v>2</v>
      </c>
      <c r="N3692" s="19">
        <v>0.26648370945037519</v>
      </c>
      <c r="O3692" s="19">
        <v>0</v>
      </c>
      <c r="P3692" s="19">
        <v>0.68931986918744415</v>
      </c>
      <c r="Q3692" s="19">
        <v>0</v>
      </c>
      <c r="R3692" s="19">
        <v>3.8219349425734725E-2</v>
      </c>
      <c r="S3692" s="19">
        <v>5.97707193644591E-3</v>
      </c>
      <c r="T3692" s="20">
        <v>21</v>
      </c>
      <c r="U3692" s="17">
        <v>2</v>
      </c>
      <c r="V3692" s="17">
        <v>36</v>
      </c>
    </row>
    <row r="3693" spans="1:22" x14ac:dyDescent="0.2">
      <c r="A3693" t="s">
        <v>8223</v>
      </c>
      <c r="B3693" t="s">
        <v>7665</v>
      </c>
      <c r="C3693" t="s">
        <v>7666</v>
      </c>
      <c r="D3693" t="s">
        <v>8204</v>
      </c>
      <c r="E3693" s="10" t="s">
        <v>8224</v>
      </c>
      <c r="F3693" s="10"/>
      <c r="G3693" s="10"/>
      <c r="H3693" s="10" t="s">
        <v>8224</v>
      </c>
      <c r="I3693" s="14">
        <v>98028.941418764167</v>
      </c>
      <c r="J3693" s="19">
        <v>0</v>
      </c>
      <c r="K3693" s="19">
        <v>0.89172269944062155</v>
      </c>
      <c r="L3693" s="19">
        <v>0.10827730055937858</v>
      </c>
      <c r="M3693" s="20">
        <v>2</v>
      </c>
      <c r="N3693" s="19">
        <v>0.38606623702008969</v>
      </c>
      <c r="O3693" s="19">
        <v>0</v>
      </c>
      <c r="P3693" s="19">
        <v>0.50565646242053186</v>
      </c>
      <c r="Q3693" s="19">
        <v>1.5399517775628349E-2</v>
      </c>
      <c r="R3693" s="19">
        <v>8.4001968743822694E-2</v>
      </c>
      <c r="S3693" s="19">
        <v>8.8758140399275275E-3</v>
      </c>
      <c r="T3693" s="20">
        <v>21</v>
      </c>
      <c r="U3693" s="17">
        <v>2</v>
      </c>
      <c r="V3693" s="17">
        <v>36</v>
      </c>
    </row>
    <row r="3694" spans="1:22" x14ac:dyDescent="0.2">
      <c r="A3694" t="s">
        <v>8225</v>
      </c>
      <c r="B3694" t="s">
        <v>7665</v>
      </c>
      <c r="C3694" t="s">
        <v>7666</v>
      </c>
      <c r="D3694" t="s">
        <v>8204</v>
      </c>
      <c r="E3694" s="10" t="s">
        <v>8226</v>
      </c>
      <c r="F3694" s="10"/>
      <c r="G3694" s="10"/>
      <c r="H3694" s="10" t="s">
        <v>8226</v>
      </c>
      <c r="I3694" s="14">
        <v>132717.17691172101</v>
      </c>
      <c r="J3694" s="19">
        <v>2.7107807178280312E-2</v>
      </c>
      <c r="K3694" s="19">
        <v>0.79572641444477721</v>
      </c>
      <c r="L3694" s="19">
        <v>0.1771657783769425</v>
      </c>
      <c r="M3694" s="20">
        <v>2</v>
      </c>
      <c r="N3694" s="19">
        <v>4.5911471785034137E-2</v>
      </c>
      <c r="O3694" s="19">
        <v>0</v>
      </c>
      <c r="P3694" s="19">
        <v>0.74981494265974302</v>
      </c>
      <c r="Q3694" s="19">
        <v>3.6712001058894765E-2</v>
      </c>
      <c r="R3694" s="19">
        <v>0.13485917131336009</v>
      </c>
      <c r="S3694" s="19">
        <v>5.5946060046876377E-3</v>
      </c>
      <c r="T3694" s="20">
        <v>21</v>
      </c>
      <c r="U3694" s="17">
        <v>2</v>
      </c>
      <c r="V3694" s="17">
        <v>36</v>
      </c>
    </row>
    <row r="3695" spans="1:22" x14ac:dyDescent="0.2">
      <c r="A3695" t="s">
        <v>8227</v>
      </c>
      <c r="B3695" t="s">
        <v>7665</v>
      </c>
      <c r="C3695" t="s">
        <v>7666</v>
      </c>
      <c r="D3695" t="s">
        <v>8204</v>
      </c>
      <c r="E3695" s="10" t="s">
        <v>8228</v>
      </c>
      <c r="F3695" s="10"/>
      <c r="G3695" s="10"/>
      <c r="H3695" s="10" t="s">
        <v>8228</v>
      </c>
      <c r="I3695" s="14">
        <v>31045.785719547188</v>
      </c>
      <c r="J3695" s="19">
        <v>0</v>
      </c>
      <c r="K3695" s="19">
        <v>0.31552545707004298</v>
      </c>
      <c r="L3695" s="19">
        <v>0.68447454292995702</v>
      </c>
      <c r="M3695" s="20">
        <v>1</v>
      </c>
      <c r="N3695" s="19">
        <v>0</v>
      </c>
      <c r="O3695" s="19">
        <v>0</v>
      </c>
      <c r="P3695" s="19">
        <v>0.31552545707004298</v>
      </c>
      <c r="Q3695" s="19">
        <v>0.27180342793679946</v>
      </c>
      <c r="R3695" s="19">
        <v>0.37766275354500095</v>
      </c>
      <c r="S3695" s="19">
        <v>3.500836144815659E-2</v>
      </c>
      <c r="T3695" s="20">
        <v>12</v>
      </c>
      <c r="U3695" s="17">
        <v>2</v>
      </c>
      <c r="V3695" s="17">
        <v>36</v>
      </c>
    </row>
    <row r="3696" spans="1:22" x14ac:dyDescent="0.2">
      <c r="A3696" t="s">
        <v>8229</v>
      </c>
      <c r="B3696" t="s">
        <v>7665</v>
      </c>
      <c r="C3696" t="s">
        <v>7666</v>
      </c>
      <c r="D3696" t="s">
        <v>7698</v>
      </c>
      <c r="E3696" s="10" t="s">
        <v>8230</v>
      </c>
      <c r="F3696" s="10"/>
      <c r="G3696" s="10"/>
      <c r="H3696" s="10" t="s">
        <v>8230</v>
      </c>
      <c r="I3696" s="14">
        <v>40492.591101245955</v>
      </c>
      <c r="J3696" s="19">
        <v>0</v>
      </c>
      <c r="K3696" s="19">
        <v>0.72185315852634668</v>
      </c>
      <c r="L3696" s="19">
        <v>0.27814684147365337</v>
      </c>
      <c r="M3696" s="20">
        <v>2</v>
      </c>
      <c r="N3696" s="19">
        <v>0</v>
      </c>
      <c r="O3696" s="19">
        <v>0.72185315852634668</v>
      </c>
      <c r="P3696" s="19">
        <v>0</v>
      </c>
      <c r="Q3696" s="19">
        <v>7.3501846055414641E-2</v>
      </c>
      <c r="R3696" s="19">
        <v>0.17987357232862525</v>
      </c>
      <c r="S3696" s="19">
        <v>2.477142308961346E-2</v>
      </c>
      <c r="T3696" s="20">
        <v>22</v>
      </c>
      <c r="U3696" s="17">
        <v>2</v>
      </c>
      <c r="V3696" s="17">
        <v>36</v>
      </c>
    </row>
    <row r="3697" spans="1:22" x14ac:dyDescent="0.2">
      <c r="A3697" t="s">
        <v>8231</v>
      </c>
      <c r="B3697" t="s">
        <v>7665</v>
      </c>
      <c r="C3697" t="s">
        <v>7666</v>
      </c>
      <c r="D3697" t="s">
        <v>7698</v>
      </c>
      <c r="E3697" s="10" t="s">
        <v>8232</v>
      </c>
      <c r="F3697" s="10"/>
      <c r="G3697" s="10"/>
      <c r="H3697" s="10" t="s">
        <v>8232</v>
      </c>
      <c r="I3697" s="14">
        <v>51525.731125682592</v>
      </c>
      <c r="J3697" s="19">
        <v>0</v>
      </c>
      <c r="K3697" s="19">
        <v>0.58275847411566628</v>
      </c>
      <c r="L3697" s="19">
        <v>0.41724152588433372</v>
      </c>
      <c r="M3697" s="20">
        <v>2</v>
      </c>
      <c r="N3697" s="19">
        <v>0.19999277778589686</v>
      </c>
      <c r="O3697" s="19">
        <v>0.10936753511164461</v>
      </c>
      <c r="P3697" s="19">
        <v>0.27339816121812477</v>
      </c>
      <c r="Q3697" s="19">
        <v>0.1125216107752507</v>
      </c>
      <c r="R3697" s="19">
        <v>0.259705930912357</v>
      </c>
      <c r="S3697" s="19">
        <v>4.5013984196726059E-2</v>
      </c>
      <c r="T3697" s="20">
        <v>23</v>
      </c>
      <c r="U3697" s="17">
        <v>2</v>
      </c>
      <c r="V3697" s="17">
        <v>36</v>
      </c>
    </row>
    <row r="3698" spans="1:22" x14ac:dyDescent="0.2">
      <c r="A3698" t="s">
        <v>8233</v>
      </c>
      <c r="B3698" t="s">
        <v>7665</v>
      </c>
      <c r="C3698" t="s">
        <v>7666</v>
      </c>
      <c r="D3698" t="s">
        <v>7698</v>
      </c>
      <c r="E3698" s="10" t="s">
        <v>8234</v>
      </c>
      <c r="F3698" s="10"/>
      <c r="G3698" s="10"/>
      <c r="H3698" s="10" t="s">
        <v>8234</v>
      </c>
      <c r="I3698" s="14">
        <v>90605.337860379368</v>
      </c>
      <c r="J3698" s="19">
        <v>0.73823631304209192</v>
      </c>
      <c r="K3698" s="19">
        <v>0.21068282470982627</v>
      </c>
      <c r="L3698" s="19">
        <v>5.1080862248081865E-2</v>
      </c>
      <c r="M3698" s="20">
        <v>3</v>
      </c>
      <c r="N3698" s="19">
        <v>7.7106211170992062E-2</v>
      </c>
      <c r="O3698" s="19">
        <v>0</v>
      </c>
      <c r="P3698" s="19">
        <v>0.13357661353883421</v>
      </c>
      <c r="Q3698" s="19">
        <v>1.9387562664196446E-3</v>
      </c>
      <c r="R3698" s="19">
        <v>4.316918662165535E-2</v>
      </c>
      <c r="S3698" s="19">
        <v>5.9729193600068699E-3</v>
      </c>
      <c r="T3698" s="20">
        <v>30</v>
      </c>
      <c r="U3698" s="17">
        <v>2</v>
      </c>
      <c r="V3698" s="17">
        <v>36</v>
      </c>
    </row>
    <row r="3699" spans="1:22" x14ac:dyDescent="0.2">
      <c r="A3699" t="s">
        <v>8235</v>
      </c>
      <c r="B3699" t="s">
        <v>7665</v>
      </c>
      <c r="C3699" t="s">
        <v>7666</v>
      </c>
      <c r="D3699" t="s">
        <v>7698</v>
      </c>
      <c r="E3699" s="10" t="s">
        <v>8236</v>
      </c>
      <c r="F3699" s="10"/>
      <c r="G3699" s="10"/>
      <c r="H3699" s="10" t="s">
        <v>8236</v>
      </c>
      <c r="I3699" s="14">
        <v>25646.098810359836</v>
      </c>
      <c r="J3699" s="19">
        <v>0</v>
      </c>
      <c r="K3699" s="19">
        <v>0.59322028301233787</v>
      </c>
      <c r="L3699" s="19">
        <v>0.40677971698766219</v>
      </c>
      <c r="M3699" s="20">
        <v>2</v>
      </c>
      <c r="N3699" s="19">
        <v>0</v>
      </c>
      <c r="O3699" s="19">
        <v>0.19582229351732469</v>
      </c>
      <c r="P3699" s="19">
        <v>0.39739798949501315</v>
      </c>
      <c r="Q3699" s="19">
        <v>0.12668493811896361</v>
      </c>
      <c r="R3699" s="19">
        <v>0.24882312139151053</v>
      </c>
      <c r="S3699" s="19">
        <v>3.1271657477188054E-2</v>
      </c>
      <c r="T3699" s="20">
        <v>22</v>
      </c>
      <c r="U3699" s="17">
        <v>2</v>
      </c>
      <c r="V3699" s="17">
        <v>36</v>
      </c>
    </row>
    <row r="3700" spans="1:22" x14ac:dyDescent="0.2">
      <c r="A3700" t="s">
        <v>8237</v>
      </c>
      <c r="B3700" t="s">
        <v>7665</v>
      </c>
      <c r="C3700" t="s">
        <v>7666</v>
      </c>
      <c r="D3700" t="s">
        <v>7698</v>
      </c>
      <c r="E3700" s="10" t="s">
        <v>8238</v>
      </c>
      <c r="F3700" s="10"/>
      <c r="G3700" s="10"/>
      <c r="H3700" s="10" t="s">
        <v>8238</v>
      </c>
      <c r="I3700" s="14">
        <v>94855.138795058243</v>
      </c>
      <c r="J3700" s="19">
        <v>0</v>
      </c>
      <c r="K3700" s="19">
        <v>0.74420266587911044</v>
      </c>
      <c r="L3700" s="19">
        <v>0.25579733412088956</v>
      </c>
      <c r="M3700" s="20">
        <v>2</v>
      </c>
      <c r="N3700" s="19">
        <v>0.126400108383529</v>
      </c>
      <c r="O3700" s="19">
        <v>0.17300554331440623</v>
      </c>
      <c r="P3700" s="19">
        <v>0.44479701418117518</v>
      </c>
      <c r="Q3700" s="19">
        <v>9.2288132307209621E-3</v>
      </c>
      <c r="R3700" s="19">
        <v>0.22469786649875809</v>
      </c>
      <c r="S3700" s="19">
        <v>2.1870654391410518E-2</v>
      </c>
      <c r="T3700" s="20">
        <v>22</v>
      </c>
      <c r="U3700" s="17">
        <v>2</v>
      </c>
      <c r="V3700" s="17">
        <v>36</v>
      </c>
    </row>
    <row r="3701" spans="1:22" x14ac:dyDescent="0.2">
      <c r="A3701" t="s">
        <v>8239</v>
      </c>
      <c r="B3701" t="s">
        <v>7665</v>
      </c>
      <c r="C3701" t="s">
        <v>7666</v>
      </c>
      <c r="D3701" t="s">
        <v>7698</v>
      </c>
      <c r="E3701" s="10" t="s">
        <v>8240</v>
      </c>
      <c r="F3701" s="10"/>
      <c r="G3701" s="10"/>
      <c r="H3701" s="10" t="s">
        <v>8240</v>
      </c>
      <c r="I3701" s="14">
        <v>130883.6660541147</v>
      </c>
      <c r="J3701" s="19">
        <v>0</v>
      </c>
      <c r="K3701" s="19">
        <v>0.72510173166580261</v>
      </c>
      <c r="L3701" s="19">
        <v>0.27489826833419756</v>
      </c>
      <c r="M3701" s="20">
        <v>2</v>
      </c>
      <c r="N3701" s="19">
        <v>7.9112226485219692E-2</v>
      </c>
      <c r="O3701" s="19">
        <v>5.4034098951251532E-2</v>
      </c>
      <c r="P3701" s="19">
        <v>0.59195540622933118</v>
      </c>
      <c r="Q3701" s="19">
        <v>7.8440531161224986E-2</v>
      </c>
      <c r="R3701" s="19">
        <v>0.17920517354284285</v>
      </c>
      <c r="S3701" s="19">
        <v>1.7252563630129718E-2</v>
      </c>
      <c r="T3701" s="20">
        <v>21</v>
      </c>
      <c r="U3701" s="17">
        <v>2</v>
      </c>
      <c r="V3701" s="17">
        <v>36</v>
      </c>
    </row>
    <row r="3702" spans="1:22" x14ac:dyDescent="0.2">
      <c r="A3702" t="s">
        <v>8241</v>
      </c>
      <c r="B3702" t="s">
        <v>7665</v>
      </c>
      <c r="C3702" t="s">
        <v>7666</v>
      </c>
      <c r="D3702" t="s">
        <v>7698</v>
      </c>
      <c r="E3702" s="10" t="s">
        <v>8242</v>
      </c>
      <c r="F3702" s="10"/>
      <c r="G3702" s="10"/>
      <c r="H3702" s="10" t="s">
        <v>8242</v>
      </c>
      <c r="I3702" s="14">
        <v>56823.613920918666</v>
      </c>
      <c r="J3702" s="19">
        <v>0</v>
      </c>
      <c r="K3702" s="19">
        <v>0.55097072926295865</v>
      </c>
      <c r="L3702" s="19">
        <v>0.44902927073704141</v>
      </c>
      <c r="M3702" s="20">
        <v>2</v>
      </c>
      <c r="N3702" s="19">
        <v>0.11385048452852746</v>
      </c>
      <c r="O3702" s="19">
        <v>0</v>
      </c>
      <c r="P3702" s="19">
        <v>0.43712024473443112</v>
      </c>
      <c r="Q3702" s="19">
        <v>0.10426631416686924</v>
      </c>
      <c r="R3702" s="19">
        <v>0.31080554936580301</v>
      </c>
      <c r="S3702" s="19">
        <v>3.3957407204369149E-2</v>
      </c>
      <c r="T3702" s="20">
        <v>23</v>
      </c>
      <c r="U3702" s="17">
        <v>2</v>
      </c>
      <c r="V3702" s="17">
        <v>36</v>
      </c>
    </row>
    <row r="3703" spans="1:22" x14ac:dyDescent="0.2">
      <c r="A3703" t="s">
        <v>8243</v>
      </c>
      <c r="B3703" t="s">
        <v>7665</v>
      </c>
      <c r="C3703" t="s">
        <v>7666</v>
      </c>
      <c r="D3703" t="s">
        <v>7698</v>
      </c>
      <c r="E3703" s="10" t="s">
        <v>8244</v>
      </c>
      <c r="F3703" s="10"/>
      <c r="G3703" s="10"/>
      <c r="H3703" s="10" t="s">
        <v>8244</v>
      </c>
      <c r="I3703" s="14">
        <v>87600.132462327601</v>
      </c>
      <c r="J3703" s="19">
        <v>0</v>
      </c>
      <c r="K3703" s="19">
        <v>0.76247572660777296</v>
      </c>
      <c r="L3703" s="19">
        <v>0.23752427339222704</v>
      </c>
      <c r="M3703" s="20">
        <v>2</v>
      </c>
      <c r="N3703" s="19">
        <v>0.13979175772813046</v>
      </c>
      <c r="O3703" s="19">
        <v>0</v>
      </c>
      <c r="P3703" s="19">
        <v>0.6226839688796425</v>
      </c>
      <c r="Q3703" s="19">
        <v>1.8046019182643959E-2</v>
      </c>
      <c r="R3703" s="19">
        <v>0.2062091691732634</v>
      </c>
      <c r="S3703" s="19">
        <v>1.3269085036319668E-2</v>
      </c>
      <c r="T3703" s="20">
        <v>21</v>
      </c>
      <c r="U3703" s="17">
        <v>2</v>
      </c>
      <c r="V3703" s="17">
        <v>36</v>
      </c>
    </row>
    <row r="3704" spans="1:22" x14ac:dyDescent="0.2">
      <c r="A3704" t="s">
        <v>8245</v>
      </c>
      <c r="B3704" t="s">
        <v>7665</v>
      </c>
      <c r="C3704" t="s">
        <v>7666</v>
      </c>
      <c r="D3704" t="s">
        <v>7698</v>
      </c>
      <c r="E3704" s="10" t="s">
        <v>8246</v>
      </c>
      <c r="F3704" s="10"/>
      <c r="G3704" s="10"/>
      <c r="H3704" s="10" t="s">
        <v>8246</v>
      </c>
      <c r="I3704" s="14">
        <v>49831.99042494921</v>
      </c>
      <c r="J3704" s="19">
        <v>0</v>
      </c>
      <c r="K3704" s="19">
        <v>0.29258184441181079</v>
      </c>
      <c r="L3704" s="19">
        <v>0.70741815558818932</v>
      </c>
      <c r="M3704" s="20">
        <v>1</v>
      </c>
      <c r="N3704" s="19">
        <v>0.1574680449482983</v>
      </c>
      <c r="O3704" s="19">
        <v>0</v>
      </c>
      <c r="P3704" s="19">
        <v>0.13511379946351249</v>
      </c>
      <c r="Q3704" s="19">
        <v>0.27483022760134157</v>
      </c>
      <c r="R3704" s="19">
        <v>0.40125517176657532</v>
      </c>
      <c r="S3704" s="19">
        <v>3.133275622027222E-2</v>
      </c>
      <c r="T3704" s="20">
        <v>12</v>
      </c>
      <c r="U3704" s="17">
        <v>2</v>
      </c>
      <c r="V3704" s="17">
        <v>36</v>
      </c>
    </row>
    <row r="3705" spans="1:22" x14ac:dyDescent="0.2">
      <c r="A3705" t="s">
        <v>8247</v>
      </c>
      <c r="B3705" t="s">
        <v>7665</v>
      </c>
      <c r="C3705" t="s">
        <v>7666</v>
      </c>
      <c r="D3705" t="s">
        <v>7698</v>
      </c>
      <c r="E3705" s="10" t="s">
        <v>8248</v>
      </c>
      <c r="F3705" s="10"/>
      <c r="G3705" s="10"/>
      <c r="H3705" s="10" t="s">
        <v>8248</v>
      </c>
      <c r="I3705" s="14">
        <v>77832.883545165882</v>
      </c>
      <c r="J3705" s="19">
        <v>0</v>
      </c>
      <c r="K3705" s="19">
        <v>0.69811256372824637</v>
      </c>
      <c r="L3705" s="19">
        <v>0.30188743627175363</v>
      </c>
      <c r="M3705" s="20">
        <v>2</v>
      </c>
      <c r="N3705" s="19">
        <v>0.13559816658752863</v>
      </c>
      <c r="O3705" s="19">
        <v>0</v>
      </c>
      <c r="P3705" s="19">
        <v>0.56251439714071771</v>
      </c>
      <c r="Q3705" s="19">
        <v>6.8364225351906963E-2</v>
      </c>
      <c r="R3705" s="19">
        <v>0.2065758998831497</v>
      </c>
      <c r="S3705" s="19">
        <v>2.6947311036696935E-2</v>
      </c>
      <c r="T3705" s="20">
        <v>21</v>
      </c>
      <c r="U3705" s="17">
        <v>2</v>
      </c>
      <c r="V3705" s="17">
        <v>36</v>
      </c>
    </row>
    <row r="3706" spans="1:22" x14ac:dyDescent="0.2">
      <c r="A3706" t="s">
        <v>8249</v>
      </c>
      <c r="B3706" t="s">
        <v>7665</v>
      </c>
      <c r="C3706" t="s">
        <v>7666</v>
      </c>
      <c r="D3706" t="s">
        <v>7698</v>
      </c>
      <c r="E3706" s="10" t="s">
        <v>8250</v>
      </c>
      <c r="F3706" s="10"/>
      <c r="G3706" s="10"/>
      <c r="H3706" s="10" t="s">
        <v>8250</v>
      </c>
      <c r="I3706" s="14">
        <v>58964.439378425472</v>
      </c>
      <c r="J3706" s="19">
        <v>0</v>
      </c>
      <c r="K3706" s="19">
        <v>0.63511566485267756</v>
      </c>
      <c r="L3706" s="19">
        <v>0.36488433514732255</v>
      </c>
      <c r="M3706" s="20">
        <v>2</v>
      </c>
      <c r="N3706" s="19">
        <v>0.17461220949419654</v>
      </c>
      <c r="O3706" s="19">
        <v>0.10927569207137726</v>
      </c>
      <c r="P3706" s="19">
        <v>0.35122776328710376</v>
      </c>
      <c r="Q3706" s="19">
        <v>5.0309400170972678E-2</v>
      </c>
      <c r="R3706" s="19">
        <v>0.29607095708884668</v>
      </c>
      <c r="S3706" s="19">
        <v>1.8503977887503218E-2</v>
      </c>
      <c r="T3706" s="20">
        <v>23</v>
      </c>
      <c r="U3706" s="17">
        <v>2</v>
      </c>
      <c r="V3706" s="17">
        <v>36</v>
      </c>
    </row>
    <row r="3707" spans="1:22" x14ac:dyDescent="0.2">
      <c r="A3707" t="s">
        <v>8251</v>
      </c>
      <c r="B3707" t="s">
        <v>7665</v>
      </c>
      <c r="C3707" t="s">
        <v>7666</v>
      </c>
      <c r="D3707" t="s">
        <v>8252</v>
      </c>
      <c r="E3707" s="10" t="s">
        <v>8253</v>
      </c>
      <c r="F3707" s="10"/>
      <c r="G3707" s="10"/>
      <c r="H3707" s="10" t="s">
        <v>8253</v>
      </c>
      <c r="I3707" s="14">
        <v>135999.58151407121</v>
      </c>
      <c r="J3707" s="19">
        <v>6.0806554997660377E-2</v>
      </c>
      <c r="K3707" s="19">
        <v>0.91219260996223472</v>
      </c>
      <c r="L3707" s="19">
        <v>2.7000835040105007E-2</v>
      </c>
      <c r="M3707" s="20">
        <v>2</v>
      </c>
      <c r="N3707" s="19">
        <v>0.39295488091286229</v>
      </c>
      <c r="O3707" s="19">
        <v>0</v>
      </c>
      <c r="P3707" s="19">
        <v>0.51923772904937238</v>
      </c>
      <c r="Q3707" s="19">
        <v>0</v>
      </c>
      <c r="R3707" s="19">
        <v>2.5047885300839304E-2</v>
      </c>
      <c r="S3707" s="19">
        <v>1.9529497392657066E-3</v>
      </c>
      <c r="T3707" s="20">
        <v>21</v>
      </c>
      <c r="U3707" s="17">
        <v>2</v>
      </c>
      <c r="V3707" s="17">
        <v>36</v>
      </c>
    </row>
    <row r="3708" spans="1:22" x14ac:dyDescent="0.2">
      <c r="A3708" t="s">
        <v>8254</v>
      </c>
      <c r="B3708" t="s">
        <v>7665</v>
      </c>
      <c r="C3708" t="s">
        <v>7666</v>
      </c>
      <c r="D3708" t="s">
        <v>8252</v>
      </c>
      <c r="E3708" s="10" t="s">
        <v>8252</v>
      </c>
      <c r="F3708" s="10"/>
      <c r="G3708" s="10"/>
      <c r="H3708" s="10" t="s">
        <v>8252</v>
      </c>
      <c r="I3708" s="14">
        <v>136695.42474968662</v>
      </c>
      <c r="J3708" s="19">
        <v>0.71851986968841608</v>
      </c>
      <c r="K3708" s="19">
        <v>0.27258718400392751</v>
      </c>
      <c r="L3708" s="19">
        <v>8.8929463076564286E-3</v>
      </c>
      <c r="M3708" s="20">
        <v>3</v>
      </c>
      <c r="N3708" s="19">
        <v>0.10163512019679434</v>
      </c>
      <c r="O3708" s="19">
        <v>0</v>
      </c>
      <c r="P3708" s="19">
        <v>0.17095206380713318</v>
      </c>
      <c r="Q3708" s="19">
        <v>0</v>
      </c>
      <c r="R3708" s="19">
        <v>8.4790549600802199E-3</v>
      </c>
      <c r="S3708" s="19">
        <v>4.1389134757620902E-4</v>
      </c>
      <c r="T3708" s="20">
        <v>30</v>
      </c>
      <c r="U3708" s="17">
        <v>2</v>
      </c>
      <c r="V3708" s="17">
        <v>36</v>
      </c>
    </row>
    <row r="3709" spans="1:22" x14ac:dyDescent="0.2">
      <c r="A3709" t="s">
        <v>8255</v>
      </c>
      <c r="B3709" t="s">
        <v>7665</v>
      </c>
      <c r="C3709" t="s">
        <v>7666</v>
      </c>
      <c r="D3709" t="s">
        <v>8252</v>
      </c>
      <c r="E3709" s="10" t="s">
        <v>8256</v>
      </c>
      <c r="F3709" s="10"/>
      <c r="G3709" s="10"/>
      <c r="H3709" s="10" t="s">
        <v>8256</v>
      </c>
      <c r="I3709" s="14">
        <v>193253.88797430508</v>
      </c>
      <c r="J3709" s="19">
        <v>7.6054088276074558E-3</v>
      </c>
      <c r="K3709" s="19">
        <v>0.97846962281497929</v>
      </c>
      <c r="L3709" s="19">
        <v>1.3924968357413296E-2</v>
      </c>
      <c r="M3709" s="20">
        <v>2</v>
      </c>
      <c r="N3709" s="19">
        <v>0.66696224832658313</v>
      </c>
      <c r="O3709" s="19">
        <v>0</v>
      </c>
      <c r="P3709" s="19">
        <v>0.31150737448839616</v>
      </c>
      <c r="Q3709" s="19">
        <v>0</v>
      </c>
      <c r="R3709" s="19">
        <v>1.3494611788129834E-2</v>
      </c>
      <c r="S3709" s="19">
        <v>4.3035656928346071E-4</v>
      </c>
      <c r="T3709" s="20">
        <v>23</v>
      </c>
      <c r="U3709" s="17">
        <v>2</v>
      </c>
      <c r="V3709" s="17">
        <v>36</v>
      </c>
    </row>
    <row r="3710" spans="1:22" x14ac:dyDescent="0.2">
      <c r="A3710" t="s">
        <v>8257</v>
      </c>
      <c r="B3710" t="s">
        <v>7665</v>
      </c>
      <c r="C3710" t="s">
        <v>7666</v>
      </c>
      <c r="D3710" t="s">
        <v>8252</v>
      </c>
      <c r="E3710" s="10" t="s">
        <v>8258</v>
      </c>
      <c r="F3710" s="10"/>
      <c r="G3710" s="10"/>
      <c r="H3710" s="10" t="s">
        <v>8258</v>
      </c>
      <c r="I3710" s="14">
        <v>108958.58786001499</v>
      </c>
      <c r="J3710" s="19">
        <v>0</v>
      </c>
      <c r="K3710" s="19">
        <v>0.9744406082081194</v>
      </c>
      <c r="L3710" s="19">
        <v>2.5559391791880562E-2</v>
      </c>
      <c r="M3710" s="20">
        <v>2</v>
      </c>
      <c r="N3710" s="19">
        <v>0.5843883294899751</v>
      </c>
      <c r="O3710" s="19">
        <v>0</v>
      </c>
      <c r="P3710" s="19">
        <v>0.39005227871814435</v>
      </c>
      <c r="Q3710" s="19">
        <v>0</v>
      </c>
      <c r="R3710" s="19">
        <v>2.4622467331808891E-2</v>
      </c>
      <c r="S3710" s="19">
        <v>9.3692446007167098E-4</v>
      </c>
      <c r="T3710" s="20">
        <v>23</v>
      </c>
      <c r="U3710" s="17">
        <v>2</v>
      </c>
      <c r="V3710" s="17">
        <v>36</v>
      </c>
    </row>
    <row r="3711" spans="1:22" x14ac:dyDescent="0.2">
      <c r="A3711" t="s">
        <v>8259</v>
      </c>
      <c r="B3711" t="s">
        <v>7665</v>
      </c>
      <c r="C3711" t="s">
        <v>7666</v>
      </c>
      <c r="D3711" t="s">
        <v>8252</v>
      </c>
      <c r="E3711" s="10" t="s">
        <v>8260</v>
      </c>
      <c r="F3711" s="10"/>
      <c r="G3711" s="10"/>
      <c r="H3711" s="10" t="s">
        <v>8260</v>
      </c>
      <c r="I3711" s="14">
        <v>100365.27565941354</v>
      </c>
      <c r="J3711" s="19">
        <v>0.75624432553856935</v>
      </c>
      <c r="K3711" s="19">
        <v>0.22892922244807851</v>
      </c>
      <c r="L3711" s="19">
        <v>1.4826452013352103E-2</v>
      </c>
      <c r="M3711" s="20">
        <v>3</v>
      </c>
      <c r="N3711" s="19">
        <v>0</v>
      </c>
      <c r="O3711" s="19">
        <v>0</v>
      </c>
      <c r="P3711" s="19">
        <v>0.22892922244807851</v>
      </c>
      <c r="Q3711" s="19">
        <v>0</v>
      </c>
      <c r="R3711" s="19">
        <v>1.4108475711994261E-2</v>
      </c>
      <c r="S3711" s="19">
        <v>7.179763013578439E-4</v>
      </c>
      <c r="T3711" s="20">
        <v>30</v>
      </c>
      <c r="U3711" s="17">
        <v>2</v>
      </c>
      <c r="V3711" s="17">
        <v>36</v>
      </c>
    </row>
    <row r="3712" spans="1:22" x14ac:dyDescent="0.2">
      <c r="A3712" t="s">
        <v>8261</v>
      </c>
      <c r="B3712" t="s">
        <v>7665</v>
      </c>
      <c r="C3712" t="s">
        <v>7666</v>
      </c>
      <c r="D3712" t="s">
        <v>8252</v>
      </c>
      <c r="E3712" s="10" t="s">
        <v>8262</v>
      </c>
      <c r="F3712" s="10"/>
      <c r="G3712" s="10"/>
      <c r="H3712" s="10" t="s">
        <v>8262</v>
      </c>
      <c r="I3712" s="14">
        <v>82640.820344732827</v>
      </c>
      <c r="J3712" s="19">
        <v>0</v>
      </c>
      <c r="K3712" s="19">
        <v>0.96285565146459628</v>
      </c>
      <c r="L3712" s="19">
        <v>3.7144348535403861E-2</v>
      </c>
      <c r="M3712" s="20">
        <v>2</v>
      </c>
      <c r="N3712" s="19">
        <v>8.3148886459200183E-2</v>
      </c>
      <c r="O3712" s="19">
        <v>0</v>
      </c>
      <c r="P3712" s="19">
        <v>0.87970676500539613</v>
      </c>
      <c r="Q3712" s="19">
        <v>0</v>
      </c>
      <c r="R3712" s="19">
        <v>3.530987966915386E-2</v>
      </c>
      <c r="S3712" s="19">
        <v>1.83446886625E-3</v>
      </c>
      <c r="T3712" s="20">
        <v>21</v>
      </c>
      <c r="U3712" s="17">
        <v>2</v>
      </c>
      <c r="V3712" s="17">
        <v>36</v>
      </c>
    </row>
    <row r="3713" spans="1:22" x14ac:dyDescent="0.2">
      <c r="A3713" t="s">
        <v>8263</v>
      </c>
      <c r="B3713" t="s">
        <v>7665</v>
      </c>
      <c r="C3713" t="s">
        <v>7666</v>
      </c>
      <c r="D3713" t="s">
        <v>8252</v>
      </c>
      <c r="E3713" s="10" t="s">
        <v>8264</v>
      </c>
      <c r="F3713" s="10"/>
      <c r="G3713" s="10"/>
      <c r="H3713" s="10" t="s">
        <v>8264</v>
      </c>
      <c r="I3713" s="14">
        <v>78342.994935342576</v>
      </c>
      <c r="J3713" s="19">
        <v>0</v>
      </c>
      <c r="K3713" s="19">
        <v>0.97966665237255424</v>
      </c>
      <c r="L3713" s="19">
        <v>2.0333347627445746E-2</v>
      </c>
      <c r="M3713" s="20">
        <v>2</v>
      </c>
      <c r="N3713" s="19">
        <v>0.17349190074943338</v>
      </c>
      <c r="O3713" s="19">
        <v>0</v>
      </c>
      <c r="P3713" s="19">
        <v>0.80617475162312091</v>
      </c>
      <c r="Q3713" s="19">
        <v>0</v>
      </c>
      <c r="R3713" s="19">
        <v>1.8316059820087185E-2</v>
      </c>
      <c r="S3713" s="19">
        <v>2.0172878073585593E-3</v>
      </c>
      <c r="T3713" s="20">
        <v>21</v>
      </c>
      <c r="U3713" s="17">
        <v>2</v>
      </c>
      <c r="V3713" s="17">
        <v>36</v>
      </c>
    </row>
    <row r="3714" spans="1:22" x14ac:dyDescent="0.2">
      <c r="A3714" t="s">
        <v>8265</v>
      </c>
      <c r="B3714" t="s">
        <v>7665</v>
      </c>
      <c r="C3714" t="s">
        <v>7666</v>
      </c>
      <c r="D3714" t="s">
        <v>8252</v>
      </c>
      <c r="E3714" s="10" t="s">
        <v>8266</v>
      </c>
      <c r="F3714" s="10"/>
      <c r="G3714" s="10"/>
      <c r="H3714" s="10" t="s">
        <v>8266</v>
      </c>
      <c r="I3714" s="14">
        <v>102478.01567210909</v>
      </c>
      <c r="J3714" s="19">
        <v>0.67669884575808548</v>
      </c>
      <c r="K3714" s="19">
        <v>0.31228621885477248</v>
      </c>
      <c r="L3714" s="19">
        <v>1.1014935387142053E-2</v>
      </c>
      <c r="M3714" s="20">
        <v>3</v>
      </c>
      <c r="N3714" s="19">
        <v>0.17265033842519012</v>
      </c>
      <c r="O3714" s="19">
        <v>0</v>
      </c>
      <c r="P3714" s="19">
        <v>0.13963588042958239</v>
      </c>
      <c r="Q3714" s="19">
        <v>0</v>
      </c>
      <c r="R3714" s="19">
        <v>1.0205075273091072E-2</v>
      </c>
      <c r="S3714" s="19">
        <v>8.098601140509818E-4</v>
      </c>
      <c r="T3714" s="20">
        <v>30</v>
      </c>
      <c r="U3714" s="17">
        <v>2</v>
      </c>
      <c r="V3714" s="17">
        <v>36</v>
      </c>
    </row>
    <row r="3715" spans="1:22" x14ac:dyDescent="0.2">
      <c r="A3715" t="s">
        <v>8267</v>
      </c>
      <c r="B3715" t="s">
        <v>7665</v>
      </c>
      <c r="C3715" t="s">
        <v>7666</v>
      </c>
      <c r="D3715" t="s">
        <v>8252</v>
      </c>
      <c r="E3715" s="10" t="s">
        <v>8268</v>
      </c>
      <c r="F3715" s="10"/>
      <c r="G3715" s="10"/>
      <c r="H3715" s="10" t="s">
        <v>8268</v>
      </c>
      <c r="I3715" s="14">
        <v>124535.41360321011</v>
      </c>
      <c r="J3715" s="19">
        <v>0.77552494486075185</v>
      </c>
      <c r="K3715" s="19">
        <v>0.2120275291017302</v>
      </c>
      <c r="L3715" s="19">
        <v>1.2447526037518119E-2</v>
      </c>
      <c r="M3715" s="20">
        <v>3</v>
      </c>
      <c r="N3715" s="19">
        <v>0</v>
      </c>
      <c r="O3715" s="19">
        <v>0</v>
      </c>
      <c r="P3715" s="19">
        <v>0.21202752910173023</v>
      </c>
      <c r="Q3715" s="19">
        <v>0</v>
      </c>
      <c r="R3715" s="19">
        <v>1.2137701948418971E-2</v>
      </c>
      <c r="S3715" s="19">
        <v>3.0982408909914928E-4</v>
      </c>
      <c r="T3715" s="20">
        <v>30</v>
      </c>
      <c r="U3715" s="17">
        <v>2</v>
      </c>
      <c r="V3715" s="17">
        <v>36</v>
      </c>
    </row>
    <row r="3716" spans="1:22" x14ac:dyDescent="0.2">
      <c r="A3716" t="s">
        <v>8269</v>
      </c>
      <c r="B3716" t="s">
        <v>7665</v>
      </c>
      <c r="C3716" t="s">
        <v>7666</v>
      </c>
      <c r="D3716" t="s">
        <v>8252</v>
      </c>
      <c r="E3716" s="10" t="s">
        <v>8270</v>
      </c>
      <c r="F3716" s="10"/>
      <c r="G3716" s="10"/>
      <c r="H3716" s="10" t="s">
        <v>8270</v>
      </c>
      <c r="I3716" s="14">
        <v>142505.76555250306</v>
      </c>
      <c r="J3716" s="19">
        <v>0.65808104361866604</v>
      </c>
      <c r="K3716" s="19">
        <v>0.32933755304536327</v>
      </c>
      <c r="L3716" s="19">
        <v>1.2581403335970718E-2</v>
      </c>
      <c r="M3716" s="20">
        <v>3</v>
      </c>
      <c r="N3716" s="19">
        <v>0.11042990487041977</v>
      </c>
      <c r="O3716" s="19">
        <v>0</v>
      </c>
      <c r="P3716" s="19">
        <v>0.21890764817494346</v>
      </c>
      <c r="Q3716" s="19">
        <v>0</v>
      </c>
      <c r="R3716" s="19">
        <v>1.2061800141211765E-2</v>
      </c>
      <c r="S3716" s="19">
        <v>5.1960319475895212E-4</v>
      </c>
      <c r="T3716" s="20">
        <v>30</v>
      </c>
      <c r="U3716" s="17">
        <v>2</v>
      </c>
      <c r="V3716" s="17">
        <v>36</v>
      </c>
    </row>
    <row r="3717" spans="1:22" x14ac:dyDescent="0.2">
      <c r="A3717" t="s">
        <v>8271</v>
      </c>
      <c r="B3717" t="s">
        <v>7665</v>
      </c>
      <c r="C3717" t="s">
        <v>7666</v>
      </c>
      <c r="D3717" t="s">
        <v>8272</v>
      </c>
      <c r="E3717" s="10" t="s">
        <v>8273</v>
      </c>
      <c r="F3717" s="10"/>
      <c r="G3717" s="10"/>
      <c r="H3717" s="10" t="s">
        <v>8273</v>
      </c>
      <c r="I3717" s="14">
        <v>99717.291945459787</v>
      </c>
      <c r="J3717" s="19">
        <v>0</v>
      </c>
      <c r="K3717" s="19">
        <v>0.8406389426791866</v>
      </c>
      <c r="L3717" s="19">
        <v>0.15936105732081343</v>
      </c>
      <c r="M3717" s="20">
        <v>2</v>
      </c>
      <c r="N3717" s="19">
        <v>0.36565273584858349</v>
      </c>
      <c r="O3717" s="19">
        <v>0</v>
      </c>
      <c r="P3717" s="19">
        <v>0.47498620683060311</v>
      </c>
      <c r="Q3717" s="19">
        <v>2.0219655155288101E-2</v>
      </c>
      <c r="R3717" s="19">
        <v>0.12885007423078262</v>
      </c>
      <c r="S3717" s="19">
        <v>1.0291327934742724E-2</v>
      </c>
      <c r="T3717" s="20">
        <v>23</v>
      </c>
      <c r="U3717" s="17">
        <v>2</v>
      </c>
      <c r="V3717" s="17">
        <v>36</v>
      </c>
    </row>
    <row r="3718" spans="1:22" x14ac:dyDescent="0.2">
      <c r="A3718" t="s">
        <v>8274</v>
      </c>
      <c r="B3718" t="s">
        <v>7665</v>
      </c>
      <c r="C3718" t="s">
        <v>7666</v>
      </c>
      <c r="D3718" t="s">
        <v>8272</v>
      </c>
      <c r="E3718" s="10" t="s">
        <v>8275</v>
      </c>
      <c r="F3718" s="10"/>
      <c r="G3718" s="10"/>
      <c r="H3718" s="10" t="s">
        <v>8275</v>
      </c>
      <c r="I3718" s="14">
        <v>134935.29414530843</v>
      </c>
      <c r="J3718" s="19">
        <v>0.51811277846712356</v>
      </c>
      <c r="K3718" s="19">
        <v>0.3617267290850647</v>
      </c>
      <c r="L3718" s="19">
        <v>0.1201604924478118</v>
      </c>
      <c r="M3718" s="20">
        <v>3</v>
      </c>
      <c r="N3718" s="19">
        <v>0.24883703345093675</v>
      </c>
      <c r="O3718" s="19">
        <v>0</v>
      </c>
      <c r="P3718" s="19">
        <v>0.11288969563412796</v>
      </c>
      <c r="Q3718" s="19">
        <v>3.6427964444404777E-2</v>
      </c>
      <c r="R3718" s="19">
        <v>7.4930866346230224E-2</v>
      </c>
      <c r="S3718" s="19">
        <v>8.8016616571767962E-3</v>
      </c>
      <c r="T3718" s="20">
        <v>30</v>
      </c>
      <c r="U3718" s="17">
        <v>2</v>
      </c>
      <c r="V3718" s="17">
        <v>36</v>
      </c>
    </row>
    <row r="3719" spans="1:22" x14ac:dyDescent="0.2">
      <c r="A3719" t="s">
        <v>8276</v>
      </c>
      <c r="B3719" t="s">
        <v>7665</v>
      </c>
      <c r="C3719" t="s">
        <v>7666</v>
      </c>
      <c r="D3719" t="s">
        <v>8272</v>
      </c>
      <c r="E3719" s="10" t="s">
        <v>8277</v>
      </c>
      <c r="F3719" s="10"/>
      <c r="G3719" s="10"/>
      <c r="H3719" s="10" t="s">
        <v>8277</v>
      </c>
      <c r="I3719" s="14">
        <v>137148.65881441091</v>
      </c>
      <c r="J3719" s="19">
        <v>0.70742242015226475</v>
      </c>
      <c r="K3719" s="19">
        <v>0.18784920443098557</v>
      </c>
      <c r="L3719" s="19">
        <v>0.10472837541674972</v>
      </c>
      <c r="M3719" s="20">
        <v>3</v>
      </c>
      <c r="N3719" s="19">
        <v>0</v>
      </c>
      <c r="O3719" s="19">
        <v>1.0065054054957767E-3</v>
      </c>
      <c r="P3719" s="19">
        <v>0.18684269902548981</v>
      </c>
      <c r="Q3719" s="19">
        <v>3.3675142020135766E-2</v>
      </c>
      <c r="R3719" s="19">
        <v>6.4892023282239503E-2</v>
      </c>
      <c r="S3719" s="19">
        <v>6.1612101143744434E-3</v>
      </c>
      <c r="T3719" s="20">
        <v>30</v>
      </c>
      <c r="U3719" s="17">
        <v>2</v>
      </c>
      <c r="V3719" s="17">
        <v>36</v>
      </c>
    </row>
    <row r="3720" spans="1:22" x14ac:dyDescent="0.2">
      <c r="A3720" t="s">
        <v>8278</v>
      </c>
      <c r="B3720" t="s">
        <v>7665</v>
      </c>
      <c r="C3720" t="s">
        <v>7666</v>
      </c>
      <c r="D3720" t="s">
        <v>8272</v>
      </c>
      <c r="E3720" s="10" t="s">
        <v>8279</v>
      </c>
      <c r="F3720" s="10"/>
      <c r="G3720" s="10"/>
      <c r="H3720" s="10" t="s">
        <v>8279</v>
      </c>
      <c r="I3720" s="14">
        <v>22129.766384396702</v>
      </c>
      <c r="J3720" s="19">
        <v>0</v>
      </c>
      <c r="K3720" s="19">
        <v>0.58533367177099138</v>
      </c>
      <c r="L3720" s="19">
        <v>0.41466632822900856</v>
      </c>
      <c r="M3720" s="20">
        <v>2</v>
      </c>
      <c r="N3720" s="19">
        <v>0.51138378980360422</v>
      </c>
      <c r="O3720" s="19">
        <v>0</v>
      </c>
      <c r="P3720" s="19">
        <v>7.3949881967387165E-2</v>
      </c>
      <c r="Q3720" s="19">
        <v>8.8847666583050003E-2</v>
      </c>
      <c r="R3720" s="19">
        <v>0.29243516152553772</v>
      </c>
      <c r="S3720" s="19">
        <v>3.3383500120420864E-2</v>
      </c>
      <c r="T3720" s="20">
        <v>23</v>
      </c>
      <c r="U3720" s="17">
        <v>2</v>
      </c>
      <c r="V3720" s="17">
        <v>36</v>
      </c>
    </row>
    <row r="3721" spans="1:22" x14ac:dyDescent="0.2">
      <c r="A3721" t="s">
        <v>8280</v>
      </c>
      <c r="B3721" t="s">
        <v>7665</v>
      </c>
      <c r="C3721" t="s">
        <v>7666</v>
      </c>
      <c r="D3721" t="s">
        <v>8272</v>
      </c>
      <c r="E3721" s="10" t="s">
        <v>8281</v>
      </c>
      <c r="F3721" s="10"/>
      <c r="G3721" s="10"/>
      <c r="H3721" s="10" t="s">
        <v>8281</v>
      </c>
      <c r="I3721" s="14">
        <v>35594.931454555131</v>
      </c>
      <c r="J3721" s="19">
        <v>0</v>
      </c>
      <c r="K3721" s="19">
        <v>0.37554158333316445</v>
      </c>
      <c r="L3721" s="19">
        <v>0.62445841666683555</v>
      </c>
      <c r="M3721" s="20">
        <v>1</v>
      </c>
      <c r="N3721" s="19">
        <v>0</v>
      </c>
      <c r="O3721" s="19">
        <v>0.37554158333316445</v>
      </c>
      <c r="P3721" s="19">
        <v>0</v>
      </c>
      <c r="Q3721" s="19">
        <v>0.23471457720386676</v>
      </c>
      <c r="R3721" s="19">
        <v>0.35124040829615194</v>
      </c>
      <c r="S3721" s="19">
        <v>3.8503431166816891E-2</v>
      </c>
      <c r="T3721" s="20">
        <v>12</v>
      </c>
      <c r="U3721" s="17">
        <v>2</v>
      </c>
      <c r="V3721" s="17">
        <v>36</v>
      </c>
    </row>
    <row r="3722" spans="1:22" x14ac:dyDescent="0.2">
      <c r="A3722" t="s">
        <v>8282</v>
      </c>
      <c r="B3722" t="s">
        <v>7665</v>
      </c>
      <c r="C3722" t="s">
        <v>7666</v>
      </c>
      <c r="D3722" t="s">
        <v>8272</v>
      </c>
      <c r="E3722" s="10" t="s">
        <v>8283</v>
      </c>
      <c r="F3722" s="10"/>
      <c r="G3722" s="10"/>
      <c r="H3722" s="10" t="s">
        <v>8283</v>
      </c>
      <c r="I3722" s="14">
        <v>413442.74590068543</v>
      </c>
      <c r="J3722" s="19">
        <v>0.84233112524231424</v>
      </c>
      <c r="K3722" s="19">
        <v>0.14459131594853797</v>
      </c>
      <c r="L3722" s="19">
        <v>1.3077558809147799E-2</v>
      </c>
      <c r="M3722" s="20">
        <v>3</v>
      </c>
      <c r="N3722" s="19">
        <v>8.4566986087966076E-2</v>
      </c>
      <c r="O3722" s="19">
        <v>0</v>
      </c>
      <c r="P3722" s="19">
        <v>6.0024329860571893E-2</v>
      </c>
      <c r="Q3722" s="19">
        <v>3.6950704129332093E-3</v>
      </c>
      <c r="R3722" s="19">
        <v>8.0265566151657263E-3</v>
      </c>
      <c r="S3722" s="19">
        <v>1.3559317810488618E-3</v>
      </c>
      <c r="T3722" s="20">
        <v>30</v>
      </c>
      <c r="U3722" s="17">
        <v>2</v>
      </c>
      <c r="V3722" s="17">
        <v>36</v>
      </c>
    </row>
    <row r="3723" spans="1:22" x14ac:dyDescent="0.2">
      <c r="A3723" t="s">
        <v>8284</v>
      </c>
      <c r="B3723" t="s">
        <v>7665</v>
      </c>
      <c r="C3723" t="s">
        <v>7666</v>
      </c>
      <c r="D3723" t="s">
        <v>8272</v>
      </c>
      <c r="E3723" s="10" t="s">
        <v>8285</v>
      </c>
      <c r="F3723" s="10"/>
      <c r="G3723" s="10"/>
      <c r="H3723" s="10" t="s">
        <v>8285</v>
      </c>
      <c r="I3723" s="14">
        <v>242333.41600477183</v>
      </c>
      <c r="J3723" s="19">
        <v>0.360453927147461</v>
      </c>
      <c r="K3723" s="19">
        <v>0.47651684775866043</v>
      </c>
      <c r="L3723" s="19">
        <v>0.16302922509387849</v>
      </c>
      <c r="M3723" s="20">
        <v>2</v>
      </c>
      <c r="N3723" s="19">
        <v>0.13602192321269968</v>
      </c>
      <c r="O3723" s="19">
        <v>4.9183578254327905E-2</v>
      </c>
      <c r="P3723" s="19">
        <v>0.29131134629163291</v>
      </c>
      <c r="Q3723" s="19">
        <v>4.9830757967136895E-2</v>
      </c>
      <c r="R3723" s="19">
        <v>9.9433789433821668E-2</v>
      </c>
      <c r="S3723" s="19">
        <v>1.3764677692919934E-2</v>
      </c>
      <c r="T3723" s="20">
        <v>23</v>
      </c>
      <c r="U3723" s="17">
        <v>2</v>
      </c>
      <c r="V3723" s="17">
        <v>36</v>
      </c>
    </row>
    <row r="3724" spans="1:22" x14ac:dyDescent="0.2">
      <c r="A3724" t="s">
        <v>8286</v>
      </c>
      <c r="B3724" t="s">
        <v>7665</v>
      </c>
      <c r="C3724" t="s">
        <v>7666</v>
      </c>
      <c r="D3724" t="s">
        <v>8272</v>
      </c>
      <c r="E3724" s="10" t="s">
        <v>8287</v>
      </c>
      <c r="F3724" s="10"/>
      <c r="G3724" s="10"/>
      <c r="H3724" s="10" t="s">
        <v>8287</v>
      </c>
      <c r="I3724" s="14">
        <v>132304.35216143914</v>
      </c>
      <c r="J3724" s="19">
        <v>0.49554355543087186</v>
      </c>
      <c r="K3724" s="19">
        <v>0.3844878356518992</v>
      </c>
      <c r="L3724" s="19">
        <v>0.11996860891722891</v>
      </c>
      <c r="M3724" s="20">
        <v>2</v>
      </c>
      <c r="N3724" s="19">
        <v>0.20047475710992857</v>
      </c>
      <c r="O3724" s="19">
        <v>0</v>
      </c>
      <c r="P3724" s="19">
        <v>0.18401307854197069</v>
      </c>
      <c r="Q3724" s="19">
        <v>3.891611268198257E-2</v>
      </c>
      <c r="R3724" s="19">
        <v>7.2781635851856125E-2</v>
      </c>
      <c r="S3724" s="19">
        <v>8.2708603833902185E-3</v>
      </c>
      <c r="T3724" s="20">
        <v>23</v>
      </c>
      <c r="U3724" s="17">
        <v>2</v>
      </c>
      <c r="V3724" s="17">
        <v>36</v>
      </c>
    </row>
    <row r="3725" spans="1:22" x14ac:dyDescent="0.2">
      <c r="A3725" t="s">
        <v>8288</v>
      </c>
      <c r="B3725" t="s">
        <v>7665</v>
      </c>
      <c r="C3725" t="s">
        <v>7666</v>
      </c>
      <c r="D3725" t="s">
        <v>8289</v>
      </c>
      <c r="E3725" s="10" t="s">
        <v>8290</v>
      </c>
      <c r="F3725" s="10"/>
      <c r="G3725" s="10"/>
      <c r="H3725" s="10" t="s">
        <v>8290</v>
      </c>
      <c r="I3725" s="14">
        <v>131698.61094570649</v>
      </c>
      <c r="J3725" s="19">
        <v>0</v>
      </c>
      <c r="K3725" s="19">
        <v>0.79844472505977659</v>
      </c>
      <c r="L3725" s="19">
        <v>0.20155527494022327</v>
      </c>
      <c r="M3725" s="20">
        <v>2</v>
      </c>
      <c r="N3725" s="19">
        <v>7.8600749106376044E-2</v>
      </c>
      <c r="O3725" s="19">
        <v>0</v>
      </c>
      <c r="P3725" s="19">
        <v>0.71984397595340066</v>
      </c>
      <c r="Q3725" s="19">
        <v>4.6047870428904836E-3</v>
      </c>
      <c r="R3725" s="19">
        <v>0.19170098501799496</v>
      </c>
      <c r="S3725" s="19">
        <v>5.2495028793378175E-3</v>
      </c>
      <c r="T3725" s="20">
        <v>21</v>
      </c>
      <c r="U3725" s="17">
        <v>2</v>
      </c>
      <c r="V3725" s="17">
        <v>36</v>
      </c>
    </row>
    <row r="3726" spans="1:22" x14ac:dyDescent="0.2">
      <c r="A3726" t="s">
        <v>8291</v>
      </c>
      <c r="B3726" t="s">
        <v>7665</v>
      </c>
      <c r="C3726" t="s">
        <v>7666</v>
      </c>
      <c r="D3726" t="s">
        <v>8289</v>
      </c>
      <c r="E3726" s="10" t="s">
        <v>8292</v>
      </c>
      <c r="F3726" s="10"/>
      <c r="G3726" s="10"/>
      <c r="H3726" s="10" t="s">
        <v>8292</v>
      </c>
      <c r="I3726" s="14">
        <v>122776.21915661496</v>
      </c>
      <c r="J3726" s="19">
        <v>0</v>
      </c>
      <c r="K3726" s="19">
        <v>0.61767647190907349</v>
      </c>
      <c r="L3726" s="19">
        <v>0.38232352809092668</v>
      </c>
      <c r="M3726" s="20">
        <v>2</v>
      </c>
      <c r="N3726" s="19">
        <v>4.2417785416827024E-2</v>
      </c>
      <c r="O3726" s="19">
        <v>0</v>
      </c>
      <c r="P3726" s="19">
        <v>0.57525868649224654</v>
      </c>
      <c r="Q3726" s="19">
        <v>2.2188935494809785E-3</v>
      </c>
      <c r="R3726" s="19">
        <v>0.36986139192516626</v>
      </c>
      <c r="S3726" s="19">
        <v>1.0243242616279383E-2</v>
      </c>
      <c r="T3726" s="20">
        <v>21</v>
      </c>
      <c r="U3726" s="17">
        <v>2</v>
      </c>
      <c r="V3726" s="17">
        <v>36</v>
      </c>
    </row>
    <row r="3727" spans="1:22" x14ac:dyDescent="0.2">
      <c r="A3727" t="s">
        <v>8293</v>
      </c>
      <c r="B3727" t="s">
        <v>7665</v>
      </c>
      <c r="C3727" t="s">
        <v>7666</v>
      </c>
      <c r="D3727" t="s">
        <v>8289</v>
      </c>
      <c r="E3727" s="10" t="s">
        <v>7676</v>
      </c>
      <c r="F3727" s="10"/>
      <c r="G3727" s="10"/>
      <c r="H3727" s="10" t="s">
        <v>7676</v>
      </c>
      <c r="I3727" s="14">
        <v>158437.23389481334</v>
      </c>
      <c r="J3727" s="19">
        <v>0.21502410325082746</v>
      </c>
      <c r="K3727" s="19">
        <v>0.67327742331775919</v>
      </c>
      <c r="L3727" s="19">
        <v>0.11169847343141338</v>
      </c>
      <c r="M3727" s="20">
        <v>2</v>
      </c>
      <c r="N3727" s="19">
        <v>0.19982567319225514</v>
      </c>
      <c r="O3727" s="19">
        <v>0</v>
      </c>
      <c r="P3727" s="19">
        <v>0.473451750125504</v>
      </c>
      <c r="Q3727" s="19">
        <v>0</v>
      </c>
      <c r="R3727" s="19">
        <v>0.1056747543472515</v>
      </c>
      <c r="S3727" s="19">
        <v>6.0237190841618835E-3</v>
      </c>
      <c r="T3727" s="20">
        <v>23</v>
      </c>
      <c r="U3727" s="17">
        <v>2</v>
      </c>
      <c r="V3727" s="17">
        <v>36</v>
      </c>
    </row>
    <row r="3728" spans="1:22" x14ac:dyDescent="0.2">
      <c r="A3728" t="s">
        <v>8294</v>
      </c>
      <c r="B3728" t="s">
        <v>7665</v>
      </c>
      <c r="C3728" t="s">
        <v>7666</v>
      </c>
      <c r="D3728" t="s">
        <v>8289</v>
      </c>
      <c r="E3728" s="10" t="s">
        <v>8295</v>
      </c>
      <c r="F3728" s="10"/>
      <c r="G3728" s="10"/>
      <c r="H3728" s="10" t="s">
        <v>8295</v>
      </c>
      <c r="I3728" s="14">
        <v>230068.6105948966</v>
      </c>
      <c r="J3728" s="19">
        <v>0</v>
      </c>
      <c r="K3728" s="19">
        <v>0.81119678832942665</v>
      </c>
      <c r="L3728" s="19">
        <v>0.1888032116705734</v>
      </c>
      <c r="M3728" s="20">
        <v>2</v>
      </c>
      <c r="N3728" s="19">
        <v>9.9735310580920708E-2</v>
      </c>
      <c r="O3728" s="19">
        <v>0</v>
      </c>
      <c r="P3728" s="19">
        <v>0.71146147774850588</v>
      </c>
      <c r="Q3728" s="19">
        <v>0</v>
      </c>
      <c r="R3728" s="19">
        <v>0.18007920445134579</v>
      </c>
      <c r="S3728" s="19">
        <v>8.7240072192275777E-3</v>
      </c>
      <c r="T3728" s="20">
        <v>21</v>
      </c>
      <c r="U3728" s="17">
        <v>2</v>
      </c>
      <c r="V3728" s="17">
        <v>36</v>
      </c>
    </row>
    <row r="3729" spans="1:22" x14ac:dyDescent="0.2">
      <c r="A3729" t="s">
        <v>8296</v>
      </c>
      <c r="B3729" t="s">
        <v>7665</v>
      </c>
      <c r="C3729" t="s">
        <v>7666</v>
      </c>
      <c r="D3729" t="s">
        <v>8289</v>
      </c>
      <c r="E3729" s="10" t="s">
        <v>8297</v>
      </c>
      <c r="F3729" s="10"/>
      <c r="G3729" s="10"/>
      <c r="H3729" s="10" t="s">
        <v>8297</v>
      </c>
      <c r="I3729" s="14">
        <v>7528.5487606610404</v>
      </c>
      <c r="J3729" s="19">
        <v>0</v>
      </c>
      <c r="K3729" s="19">
        <v>0</v>
      </c>
      <c r="L3729" s="19">
        <v>1</v>
      </c>
      <c r="M3729" s="20">
        <v>1</v>
      </c>
      <c r="N3729" s="19">
        <v>0</v>
      </c>
      <c r="O3729" s="19">
        <v>0</v>
      </c>
      <c r="P3729" s="19">
        <v>0</v>
      </c>
      <c r="Q3729" s="19">
        <v>1.309277492536292E-2</v>
      </c>
      <c r="R3729" s="19">
        <v>0.55345729734751081</v>
      </c>
      <c r="S3729" s="19">
        <v>0.43344992772712626</v>
      </c>
      <c r="T3729" s="20">
        <v>12</v>
      </c>
      <c r="U3729" s="17">
        <v>2</v>
      </c>
      <c r="V3729" s="17">
        <v>36</v>
      </c>
    </row>
    <row r="3730" spans="1:22" x14ac:dyDescent="0.2">
      <c r="A3730" t="s">
        <v>8298</v>
      </c>
      <c r="B3730" t="s">
        <v>7665</v>
      </c>
      <c r="C3730" t="s">
        <v>7666</v>
      </c>
      <c r="D3730" t="s">
        <v>8289</v>
      </c>
      <c r="E3730" s="10" t="s">
        <v>8299</v>
      </c>
      <c r="F3730" s="10"/>
      <c r="G3730" s="10"/>
      <c r="H3730" s="10" t="s">
        <v>8299</v>
      </c>
      <c r="I3730" s="14">
        <v>146761.24576131767</v>
      </c>
      <c r="J3730" s="19">
        <v>0</v>
      </c>
      <c r="K3730" s="19">
        <v>0.73566668186942563</v>
      </c>
      <c r="L3730" s="19">
        <v>0.26433331813057437</v>
      </c>
      <c r="M3730" s="20">
        <v>2</v>
      </c>
      <c r="N3730" s="19">
        <v>0.13306077237002728</v>
      </c>
      <c r="O3730" s="19">
        <v>0</v>
      </c>
      <c r="P3730" s="19">
        <v>0.60260590949939841</v>
      </c>
      <c r="Q3730" s="19">
        <v>0</v>
      </c>
      <c r="R3730" s="19">
        <v>0.2590036759725346</v>
      </c>
      <c r="S3730" s="19">
        <v>5.3296421580397461E-3</v>
      </c>
      <c r="T3730" s="20">
        <v>21</v>
      </c>
      <c r="U3730" s="17">
        <v>2</v>
      </c>
      <c r="V3730" s="17">
        <v>36</v>
      </c>
    </row>
    <row r="3731" spans="1:22" x14ac:dyDescent="0.2">
      <c r="A3731" t="s">
        <v>8300</v>
      </c>
      <c r="B3731" t="s">
        <v>7665</v>
      </c>
      <c r="C3731" t="s">
        <v>7666</v>
      </c>
      <c r="D3731" t="s">
        <v>8289</v>
      </c>
      <c r="E3731" s="10" t="s">
        <v>8301</v>
      </c>
      <c r="F3731" s="10"/>
      <c r="G3731" s="10"/>
      <c r="H3731" s="10" t="s">
        <v>8301</v>
      </c>
      <c r="I3731" s="14">
        <v>15180.179142074019</v>
      </c>
      <c r="J3731" s="19">
        <v>0</v>
      </c>
      <c r="K3731" s="19">
        <v>0.72378901634176573</v>
      </c>
      <c r="L3731" s="19">
        <v>0.27621098365823427</v>
      </c>
      <c r="M3731" s="20">
        <v>2</v>
      </c>
      <c r="N3731" s="19">
        <v>0.40111369963981952</v>
      </c>
      <c r="O3731" s="19">
        <v>4.6051088150174599E-3</v>
      </c>
      <c r="P3731" s="19">
        <v>0.31807020788692875</v>
      </c>
      <c r="Q3731" s="19">
        <v>0</v>
      </c>
      <c r="R3731" s="19">
        <v>0.2296721471526294</v>
      </c>
      <c r="S3731" s="19">
        <v>4.6538836505604843E-2</v>
      </c>
      <c r="T3731" s="20">
        <v>23</v>
      </c>
      <c r="U3731" s="17">
        <v>2</v>
      </c>
      <c r="V3731" s="17">
        <v>36</v>
      </c>
    </row>
    <row r="3732" spans="1:22" x14ac:dyDescent="0.2">
      <c r="A3732" t="s">
        <v>8302</v>
      </c>
      <c r="B3732" t="s">
        <v>7665</v>
      </c>
      <c r="C3732" t="s">
        <v>7666</v>
      </c>
      <c r="D3732" t="s">
        <v>8289</v>
      </c>
      <c r="E3732" s="10" t="s">
        <v>8303</v>
      </c>
      <c r="F3732" s="10"/>
      <c r="G3732" s="10"/>
      <c r="H3732" s="10" t="s">
        <v>8303</v>
      </c>
      <c r="I3732" s="14">
        <v>178411.9561936917</v>
      </c>
      <c r="J3732" s="19">
        <v>0</v>
      </c>
      <c r="K3732" s="19">
        <v>0.7219094469471955</v>
      </c>
      <c r="L3732" s="19">
        <v>0.27809055305280461</v>
      </c>
      <c r="M3732" s="20">
        <v>2</v>
      </c>
      <c r="N3732" s="19">
        <v>0.21268779559163092</v>
      </c>
      <c r="O3732" s="19">
        <v>1.2481222795071661E-3</v>
      </c>
      <c r="P3732" s="19">
        <v>0.50797352907605731</v>
      </c>
      <c r="Q3732" s="19">
        <v>3.9159752479626567E-2</v>
      </c>
      <c r="R3732" s="19">
        <v>0.19865581094722976</v>
      </c>
      <c r="S3732" s="19">
        <v>4.0274989625948242E-2</v>
      </c>
      <c r="T3732" s="20">
        <v>21</v>
      </c>
      <c r="U3732" s="17">
        <v>2</v>
      </c>
      <c r="V3732" s="17">
        <v>36</v>
      </c>
    </row>
    <row r="3733" spans="1:22" x14ac:dyDescent="0.2">
      <c r="A3733" t="s">
        <v>8304</v>
      </c>
      <c r="B3733" t="s">
        <v>7665</v>
      </c>
      <c r="C3733" t="s">
        <v>7666</v>
      </c>
      <c r="D3733" t="s">
        <v>8289</v>
      </c>
      <c r="E3733" s="10" t="s">
        <v>8305</v>
      </c>
      <c r="F3733" s="10"/>
      <c r="G3733" s="10"/>
      <c r="H3733" s="10" t="s">
        <v>8305</v>
      </c>
      <c r="I3733" s="14">
        <v>19910.126271395013</v>
      </c>
      <c r="J3733" s="19">
        <v>0</v>
      </c>
      <c r="K3733" s="19">
        <v>0.75561636611998984</v>
      </c>
      <c r="L3733" s="19">
        <v>0.2443836338800103</v>
      </c>
      <c r="M3733" s="20">
        <v>2</v>
      </c>
      <c r="N3733" s="19">
        <v>0.61868638872920834</v>
      </c>
      <c r="O3733" s="19">
        <v>0</v>
      </c>
      <c r="P3733" s="19">
        <v>0.13692997739078142</v>
      </c>
      <c r="Q3733" s="19">
        <v>0.22259406547914729</v>
      </c>
      <c r="R3733" s="19">
        <v>1.8750540969485033E-2</v>
      </c>
      <c r="S3733" s="19">
        <v>3.0390274313779721E-3</v>
      </c>
      <c r="T3733" s="20">
        <v>23</v>
      </c>
      <c r="U3733" s="17">
        <v>2</v>
      </c>
      <c r="V3733" s="17">
        <v>36</v>
      </c>
    </row>
    <row r="3734" spans="1:22" x14ac:dyDescent="0.2">
      <c r="A3734" t="s">
        <v>8306</v>
      </c>
      <c r="B3734" t="s">
        <v>7665</v>
      </c>
      <c r="C3734" t="s">
        <v>7666</v>
      </c>
      <c r="D3734" t="s">
        <v>8289</v>
      </c>
      <c r="E3734" s="10" t="s">
        <v>8307</v>
      </c>
      <c r="F3734" s="10"/>
      <c r="G3734" s="10"/>
      <c r="H3734" s="10" t="s">
        <v>8307</v>
      </c>
      <c r="I3734" s="14">
        <v>117510.36312418949</v>
      </c>
      <c r="J3734" s="19">
        <v>0.76772952189677379</v>
      </c>
      <c r="K3734" s="19">
        <v>8.9174403819195308E-2</v>
      </c>
      <c r="L3734" s="19">
        <v>0.14309607428403096</v>
      </c>
      <c r="M3734" s="20">
        <v>3</v>
      </c>
      <c r="N3734" s="19">
        <v>0</v>
      </c>
      <c r="O3734" s="19">
        <v>8.8623148921861086E-2</v>
      </c>
      <c r="P3734" s="19">
        <v>5.5125489733421815E-4</v>
      </c>
      <c r="Q3734" s="19">
        <v>4.00381797016219E-2</v>
      </c>
      <c r="R3734" s="19">
        <v>7.8748947673923791E-2</v>
      </c>
      <c r="S3734" s="19">
        <v>2.4308946908485261E-2</v>
      </c>
      <c r="T3734" s="20">
        <v>30</v>
      </c>
      <c r="U3734" s="17">
        <v>2</v>
      </c>
      <c r="V3734" s="17">
        <v>36</v>
      </c>
    </row>
    <row r="3735" spans="1:22" x14ac:dyDescent="0.2">
      <c r="A3735" t="s">
        <v>8308</v>
      </c>
      <c r="B3735" t="s">
        <v>7665</v>
      </c>
      <c r="C3735" t="s">
        <v>7666</v>
      </c>
      <c r="D3735" t="s">
        <v>8289</v>
      </c>
      <c r="E3735" s="10" t="s">
        <v>8309</v>
      </c>
      <c r="F3735" s="10"/>
      <c r="G3735" s="10"/>
      <c r="H3735" s="10" t="s">
        <v>8309</v>
      </c>
      <c r="I3735" s="14">
        <v>96747.829750134726</v>
      </c>
      <c r="J3735" s="19">
        <v>0</v>
      </c>
      <c r="K3735" s="19">
        <v>0.63785109303311016</v>
      </c>
      <c r="L3735" s="19">
        <v>0.36214890696688973</v>
      </c>
      <c r="M3735" s="20">
        <v>2</v>
      </c>
      <c r="N3735" s="19">
        <v>0.40728757024156809</v>
      </c>
      <c r="O3735" s="19">
        <v>0</v>
      </c>
      <c r="P3735" s="19">
        <v>0.2305635227915421</v>
      </c>
      <c r="Q3735" s="19">
        <v>0.13912948267931435</v>
      </c>
      <c r="R3735" s="19">
        <v>0.19677215659537028</v>
      </c>
      <c r="S3735" s="19">
        <v>2.6247267692205159E-2</v>
      </c>
      <c r="T3735" s="20">
        <v>23</v>
      </c>
      <c r="U3735" s="17">
        <v>2</v>
      </c>
      <c r="V3735" s="17">
        <v>36</v>
      </c>
    </row>
    <row r="3736" spans="1:22" x14ac:dyDescent="0.2">
      <c r="A3736" t="s">
        <v>8310</v>
      </c>
      <c r="B3736" t="s">
        <v>7665</v>
      </c>
      <c r="C3736" t="s">
        <v>7666</v>
      </c>
      <c r="D3736" t="s">
        <v>8289</v>
      </c>
      <c r="E3736" s="10" t="s">
        <v>8311</v>
      </c>
      <c r="F3736" s="10"/>
      <c r="G3736" s="10"/>
      <c r="H3736" s="10" t="s">
        <v>8311</v>
      </c>
      <c r="I3736" s="14">
        <v>252709.60801628232</v>
      </c>
      <c r="J3736" s="19">
        <v>0.91272953430733883</v>
      </c>
      <c r="K3736" s="19">
        <v>6.3641932751452829E-2</v>
      </c>
      <c r="L3736" s="19">
        <v>2.362853294120839E-2</v>
      </c>
      <c r="M3736" s="20">
        <v>3</v>
      </c>
      <c r="N3736" s="19">
        <v>0</v>
      </c>
      <c r="O3736" s="19">
        <v>0</v>
      </c>
      <c r="P3736" s="19">
        <v>6.3641932751452829E-2</v>
      </c>
      <c r="Q3736" s="19">
        <v>3.3709693900815219E-3</v>
      </c>
      <c r="R3736" s="19">
        <v>1.8804046509478308E-2</v>
      </c>
      <c r="S3736" s="19">
        <v>1.4535170416485612E-3</v>
      </c>
      <c r="T3736" s="20">
        <v>30</v>
      </c>
      <c r="U3736" s="17">
        <v>2</v>
      </c>
      <c r="V3736" s="17">
        <v>36</v>
      </c>
    </row>
    <row r="3737" spans="1:22" x14ac:dyDescent="0.2">
      <c r="A3737" t="s">
        <v>8312</v>
      </c>
      <c r="B3737" t="s">
        <v>7665</v>
      </c>
      <c r="C3737" t="s">
        <v>7666</v>
      </c>
      <c r="D3737" t="s">
        <v>8289</v>
      </c>
      <c r="E3737" s="10" t="s">
        <v>8313</v>
      </c>
      <c r="F3737" s="10"/>
      <c r="G3737" s="10"/>
      <c r="H3737" s="10" t="s">
        <v>8313</v>
      </c>
      <c r="I3737" s="14">
        <v>151898.36292952183</v>
      </c>
      <c r="J3737" s="19">
        <v>0</v>
      </c>
      <c r="K3737" s="19">
        <v>0.84404552739683436</v>
      </c>
      <c r="L3737" s="19">
        <v>0.15595447260316561</v>
      </c>
      <c r="M3737" s="20">
        <v>2</v>
      </c>
      <c r="N3737" s="19">
        <v>0.11241266885640061</v>
      </c>
      <c r="O3737" s="19">
        <v>0</v>
      </c>
      <c r="P3737" s="19">
        <v>0.73163285854043381</v>
      </c>
      <c r="Q3737" s="19">
        <v>8.4133021246863959E-3</v>
      </c>
      <c r="R3737" s="19">
        <v>0.13895751533740802</v>
      </c>
      <c r="S3737" s="19">
        <v>8.583655141071185E-3</v>
      </c>
      <c r="T3737" s="20">
        <v>21</v>
      </c>
      <c r="U3737" s="17">
        <v>2</v>
      </c>
      <c r="V3737" s="17">
        <v>36</v>
      </c>
    </row>
    <row r="3738" spans="1:22" x14ac:dyDescent="0.2">
      <c r="A3738" t="s">
        <v>8314</v>
      </c>
      <c r="B3738" t="s">
        <v>7665</v>
      </c>
      <c r="C3738" t="s">
        <v>7666</v>
      </c>
      <c r="D3738" t="s">
        <v>8289</v>
      </c>
      <c r="E3738" s="10" t="s">
        <v>8315</v>
      </c>
      <c r="F3738" s="10"/>
      <c r="G3738" s="10"/>
      <c r="H3738" s="10" t="s">
        <v>8315</v>
      </c>
      <c r="I3738" s="14">
        <v>73084.694522576174</v>
      </c>
      <c r="J3738" s="19">
        <v>0</v>
      </c>
      <c r="K3738" s="19">
        <v>0.5333997634246036</v>
      </c>
      <c r="L3738" s="19">
        <v>0.46660023657539645</v>
      </c>
      <c r="M3738" s="20">
        <v>2</v>
      </c>
      <c r="N3738" s="19">
        <v>0</v>
      </c>
      <c r="O3738" s="19">
        <v>0</v>
      </c>
      <c r="P3738" s="19">
        <v>0.5333997634246036</v>
      </c>
      <c r="Q3738" s="19">
        <v>7.6784034403915125E-2</v>
      </c>
      <c r="R3738" s="19">
        <v>0.36876573044916378</v>
      </c>
      <c r="S3738" s="19">
        <v>2.1050471722317551E-2</v>
      </c>
      <c r="T3738" s="20">
        <v>21</v>
      </c>
      <c r="U3738" s="17">
        <v>2</v>
      </c>
      <c r="V3738" s="17">
        <v>36</v>
      </c>
    </row>
    <row r="3739" spans="1:22" x14ac:dyDescent="0.2">
      <c r="A3739" t="s">
        <v>8316</v>
      </c>
      <c r="B3739" t="s">
        <v>7665</v>
      </c>
      <c r="C3739" t="s">
        <v>7666</v>
      </c>
      <c r="D3739" t="s">
        <v>8289</v>
      </c>
      <c r="E3739" s="10" t="s">
        <v>8317</v>
      </c>
      <c r="F3739" s="10"/>
      <c r="G3739" s="10"/>
      <c r="H3739" s="10" t="s">
        <v>8317</v>
      </c>
      <c r="I3739" s="14">
        <v>95232.515613254393</v>
      </c>
      <c r="J3739" s="19">
        <v>0</v>
      </c>
      <c r="K3739" s="19">
        <v>0.57718258265957523</v>
      </c>
      <c r="L3739" s="19">
        <v>0.42281741734042477</v>
      </c>
      <c r="M3739" s="20">
        <v>2</v>
      </c>
      <c r="N3739" s="19">
        <v>9.1896044734467289E-2</v>
      </c>
      <c r="O3739" s="19">
        <v>0</v>
      </c>
      <c r="P3739" s="19">
        <v>0.48528653792510795</v>
      </c>
      <c r="Q3739" s="19">
        <v>6.7158502806379292E-2</v>
      </c>
      <c r="R3739" s="19">
        <v>0.34690032494360235</v>
      </c>
      <c r="S3739" s="19">
        <v>8.758589590443084E-3</v>
      </c>
      <c r="T3739" s="20">
        <v>23</v>
      </c>
      <c r="U3739" s="17">
        <v>2</v>
      </c>
      <c r="V3739" s="17">
        <v>36</v>
      </c>
    </row>
    <row r="3740" spans="1:22" x14ac:dyDescent="0.2">
      <c r="A3740" t="s">
        <v>8318</v>
      </c>
      <c r="B3740" t="s">
        <v>7665</v>
      </c>
      <c r="C3740" t="s">
        <v>7666</v>
      </c>
      <c r="D3740" t="s">
        <v>8319</v>
      </c>
      <c r="E3740" s="10" t="s">
        <v>8320</v>
      </c>
      <c r="F3740" s="10"/>
      <c r="G3740" s="10"/>
      <c r="H3740" s="10" t="s">
        <v>8320</v>
      </c>
      <c r="I3740" s="14">
        <v>50128.054557152558</v>
      </c>
      <c r="J3740" s="19">
        <v>0</v>
      </c>
      <c r="K3740" s="19">
        <v>0.44139009060041212</v>
      </c>
      <c r="L3740" s="19">
        <v>0.55860990939958788</v>
      </c>
      <c r="M3740" s="20">
        <v>1</v>
      </c>
      <c r="N3740" s="19">
        <v>0.14931017838614752</v>
      </c>
      <c r="O3740" s="19">
        <v>0.10832198659784889</v>
      </c>
      <c r="P3740" s="19">
        <v>0.18375792561641574</v>
      </c>
      <c r="Q3740" s="19">
        <v>0.21379839204063159</v>
      </c>
      <c r="R3740" s="19">
        <v>0.30436391078760044</v>
      </c>
      <c r="S3740" s="19">
        <v>4.0447606571355835E-2</v>
      </c>
      <c r="T3740" s="20">
        <v>12</v>
      </c>
      <c r="U3740" s="17">
        <v>2</v>
      </c>
      <c r="V3740" s="17">
        <v>36</v>
      </c>
    </row>
    <row r="3741" spans="1:22" x14ac:dyDescent="0.2">
      <c r="A3741" t="s">
        <v>8321</v>
      </c>
      <c r="B3741" t="s">
        <v>7665</v>
      </c>
      <c r="C3741" t="s">
        <v>7666</v>
      </c>
      <c r="D3741" t="s">
        <v>8319</v>
      </c>
      <c r="E3741" s="10" t="s">
        <v>8322</v>
      </c>
      <c r="F3741" s="10"/>
      <c r="G3741" s="10"/>
      <c r="H3741" s="10" t="s">
        <v>8322</v>
      </c>
      <c r="I3741" s="14">
        <v>79605.115853475407</v>
      </c>
      <c r="J3741" s="19">
        <v>0</v>
      </c>
      <c r="K3741" s="19">
        <v>0.67959281407798366</v>
      </c>
      <c r="L3741" s="19">
        <v>0.32040718592201645</v>
      </c>
      <c r="M3741" s="20">
        <v>2</v>
      </c>
      <c r="N3741" s="19">
        <v>0.38689258597512444</v>
      </c>
      <c r="O3741" s="19">
        <v>0</v>
      </c>
      <c r="P3741" s="19">
        <v>0.29270022810285917</v>
      </c>
      <c r="Q3741" s="19">
        <v>7.215873059151437E-2</v>
      </c>
      <c r="R3741" s="19">
        <v>0.22525484581345173</v>
      </c>
      <c r="S3741" s="19">
        <v>2.2993609517050276E-2</v>
      </c>
      <c r="T3741" s="20">
        <v>23</v>
      </c>
      <c r="U3741" s="17">
        <v>2</v>
      </c>
      <c r="V3741" s="17">
        <v>36</v>
      </c>
    </row>
    <row r="3742" spans="1:22" x14ac:dyDescent="0.2">
      <c r="A3742" t="s">
        <v>8323</v>
      </c>
      <c r="B3742" t="s">
        <v>7665</v>
      </c>
      <c r="C3742" t="s">
        <v>7666</v>
      </c>
      <c r="D3742" t="s">
        <v>8319</v>
      </c>
      <c r="E3742" s="10" t="s">
        <v>8324</v>
      </c>
      <c r="F3742" s="10"/>
      <c r="G3742" s="10"/>
      <c r="H3742" s="10" t="s">
        <v>8324</v>
      </c>
      <c r="I3742" s="14">
        <v>47901.766155595891</v>
      </c>
      <c r="J3742" s="19">
        <v>0</v>
      </c>
      <c r="K3742" s="19">
        <v>0.7307742868671937</v>
      </c>
      <c r="L3742" s="19">
        <v>0.26922571313280624</v>
      </c>
      <c r="M3742" s="20">
        <v>2</v>
      </c>
      <c r="N3742" s="19">
        <v>0.3903163969967286</v>
      </c>
      <c r="O3742" s="19">
        <v>0.12356661992803991</v>
      </c>
      <c r="P3742" s="19">
        <v>0.21689126994242525</v>
      </c>
      <c r="Q3742" s="19">
        <v>5.5125766393820289E-2</v>
      </c>
      <c r="R3742" s="19">
        <v>0.19289474652271077</v>
      </c>
      <c r="S3742" s="19">
        <v>2.1205200216275189E-2</v>
      </c>
      <c r="T3742" s="20">
        <v>23</v>
      </c>
      <c r="U3742" s="17">
        <v>2</v>
      </c>
      <c r="V3742" s="17">
        <v>36</v>
      </c>
    </row>
    <row r="3743" spans="1:22" x14ac:dyDescent="0.2">
      <c r="A3743" t="s">
        <v>8325</v>
      </c>
      <c r="B3743" t="s">
        <v>7665</v>
      </c>
      <c r="C3743" t="s">
        <v>7666</v>
      </c>
      <c r="D3743" t="s">
        <v>8319</v>
      </c>
      <c r="E3743" s="10" t="s">
        <v>8326</v>
      </c>
      <c r="F3743" s="10"/>
      <c r="G3743" s="10"/>
      <c r="H3743" s="10" t="s">
        <v>8326</v>
      </c>
      <c r="I3743" s="14">
        <v>7326.2873689169064</v>
      </c>
      <c r="J3743" s="19">
        <v>0</v>
      </c>
      <c r="K3743" s="19">
        <v>0</v>
      </c>
      <c r="L3743" s="19">
        <v>1</v>
      </c>
      <c r="M3743" s="20">
        <v>1</v>
      </c>
      <c r="N3743" s="19">
        <v>0</v>
      </c>
      <c r="O3743" s="19">
        <v>0</v>
      </c>
      <c r="P3743" s="19">
        <v>0</v>
      </c>
      <c r="Q3743" s="19">
        <v>7.5848687209573676E-2</v>
      </c>
      <c r="R3743" s="19">
        <v>0.65998853125236689</v>
      </c>
      <c r="S3743" s="19">
        <v>0.26416278153805944</v>
      </c>
      <c r="T3743" s="20">
        <v>12</v>
      </c>
      <c r="U3743" s="17">
        <v>2</v>
      </c>
      <c r="V3743" s="17">
        <v>36</v>
      </c>
    </row>
    <row r="3744" spans="1:22" x14ac:dyDescent="0.2">
      <c r="A3744" t="s">
        <v>8327</v>
      </c>
      <c r="B3744" t="s">
        <v>7665</v>
      </c>
      <c r="C3744" t="s">
        <v>7666</v>
      </c>
      <c r="D3744" t="s">
        <v>8319</v>
      </c>
      <c r="E3744" s="10" t="s">
        <v>8328</v>
      </c>
      <c r="F3744" s="10"/>
      <c r="G3744" s="10"/>
      <c r="H3744" s="10" t="s">
        <v>8328</v>
      </c>
      <c r="I3744" s="14">
        <v>26987.226122662425</v>
      </c>
      <c r="J3744" s="19">
        <v>0</v>
      </c>
      <c r="K3744" s="19">
        <v>0</v>
      </c>
      <c r="L3744" s="19">
        <v>1</v>
      </c>
      <c r="M3744" s="20">
        <v>1</v>
      </c>
      <c r="N3744" s="19">
        <v>0</v>
      </c>
      <c r="O3744" s="19">
        <v>0</v>
      </c>
      <c r="P3744" s="19">
        <v>0</v>
      </c>
      <c r="Q3744" s="19">
        <v>0.32890147225304783</v>
      </c>
      <c r="R3744" s="19">
        <v>0.56074047256375048</v>
      </c>
      <c r="S3744" s="19">
        <v>0.1103580551832017</v>
      </c>
      <c r="T3744" s="20">
        <v>12</v>
      </c>
      <c r="U3744" s="17">
        <v>2</v>
      </c>
      <c r="V3744" s="17">
        <v>36</v>
      </c>
    </row>
    <row r="3745" spans="1:22" x14ac:dyDescent="0.2">
      <c r="A3745" t="s">
        <v>8329</v>
      </c>
      <c r="B3745" t="s">
        <v>7665</v>
      </c>
      <c r="C3745" t="s">
        <v>7666</v>
      </c>
      <c r="D3745" t="s">
        <v>8319</v>
      </c>
      <c r="E3745" s="10" t="s">
        <v>8330</v>
      </c>
      <c r="F3745" s="10"/>
      <c r="G3745" s="10"/>
      <c r="H3745" s="10" t="s">
        <v>8330</v>
      </c>
      <c r="I3745" s="14">
        <v>29181.989475491457</v>
      </c>
      <c r="J3745" s="19">
        <v>0</v>
      </c>
      <c r="K3745" s="19">
        <v>0.47856253097217849</v>
      </c>
      <c r="L3745" s="19">
        <v>0.52143746902782151</v>
      </c>
      <c r="M3745" s="20">
        <v>1</v>
      </c>
      <c r="N3745" s="19">
        <v>0</v>
      </c>
      <c r="O3745" s="19">
        <v>0.47856253097217849</v>
      </c>
      <c r="P3745" s="19">
        <v>0</v>
      </c>
      <c r="Q3745" s="19">
        <v>0.163391428254787</v>
      </c>
      <c r="R3745" s="19">
        <v>0.3090411728944058</v>
      </c>
      <c r="S3745" s="19">
        <v>4.9004867878628677E-2</v>
      </c>
      <c r="T3745" s="20">
        <v>12</v>
      </c>
      <c r="U3745" s="17">
        <v>2</v>
      </c>
      <c r="V3745" s="17">
        <v>36</v>
      </c>
    </row>
    <row r="3746" spans="1:22" x14ac:dyDescent="0.2">
      <c r="A3746" t="s">
        <v>8331</v>
      </c>
      <c r="B3746" t="s">
        <v>7665</v>
      </c>
      <c r="C3746" t="s">
        <v>7666</v>
      </c>
      <c r="D3746" t="s">
        <v>8319</v>
      </c>
      <c r="E3746" s="10" t="s">
        <v>8319</v>
      </c>
      <c r="F3746" s="10"/>
      <c r="G3746" s="10"/>
      <c r="H3746" s="10" t="s">
        <v>8319</v>
      </c>
      <c r="I3746" s="14">
        <v>184503.24250192614</v>
      </c>
      <c r="J3746" s="19">
        <v>0.68314112166064711</v>
      </c>
      <c r="K3746" s="19">
        <v>0.22407633983402189</v>
      </c>
      <c r="L3746" s="19">
        <v>9.2782538505331025E-2</v>
      </c>
      <c r="M3746" s="20">
        <v>3</v>
      </c>
      <c r="N3746" s="19">
        <v>8.6681673665387121E-2</v>
      </c>
      <c r="O3746" s="19">
        <v>0</v>
      </c>
      <c r="P3746" s="19">
        <v>0.13739466616863477</v>
      </c>
      <c r="Q3746" s="19">
        <v>1.8401957774090795E-2</v>
      </c>
      <c r="R3746" s="19">
        <v>6.780853350466709E-2</v>
      </c>
      <c r="S3746" s="19">
        <v>6.5720472265731467E-3</v>
      </c>
      <c r="T3746" s="20">
        <v>30</v>
      </c>
      <c r="U3746" s="17">
        <v>2</v>
      </c>
      <c r="V3746" s="17">
        <v>36</v>
      </c>
    </row>
    <row r="3747" spans="1:22" x14ac:dyDescent="0.2">
      <c r="A3747" t="s">
        <v>8332</v>
      </c>
      <c r="B3747" t="s">
        <v>7665</v>
      </c>
      <c r="C3747" t="s">
        <v>7666</v>
      </c>
      <c r="D3747" t="s">
        <v>8319</v>
      </c>
      <c r="E3747" s="10" t="s">
        <v>8333</v>
      </c>
      <c r="F3747" s="10"/>
      <c r="G3747" s="10"/>
      <c r="H3747" s="10" t="s">
        <v>8333</v>
      </c>
      <c r="I3747" s="14">
        <v>53868.0143803889</v>
      </c>
      <c r="J3747" s="19">
        <v>0</v>
      </c>
      <c r="K3747" s="19">
        <v>0.51565816822978683</v>
      </c>
      <c r="L3747" s="19">
        <v>0.48434183177021295</v>
      </c>
      <c r="M3747" s="20">
        <v>2</v>
      </c>
      <c r="N3747" s="19">
        <v>0.32622983443488962</v>
      </c>
      <c r="O3747" s="19">
        <v>3.8571297626201029E-3</v>
      </c>
      <c r="P3747" s="19">
        <v>0.18557120403227717</v>
      </c>
      <c r="Q3747" s="19">
        <v>0.24719008881543342</v>
      </c>
      <c r="R3747" s="19">
        <v>0.20581555863881881</v>
      </c>
      <c r="S3747" s="19">
        <v>3.1336184315960698E-2</v>
      </c>
      <c r="T3747" s="20">
        <v>23</v>
      </c>
      <c r="U3747" s="17">
        <v>2</v>
      </c>
      <c r="V3747" s="17">
        <v>36</v>
      </c>
    </row>
    <row r="3748" spans="1:22" x14ac:dyDescent="0.2">
      <c r="A3748" t="s">
        <v>8334</v>
      </c>
      <c r="B3748" t="s">
        <v>7665</v>
      </c>
      <c r="C3748" t="s">
        <v>7666</v>
      </c>
      <c r="D3748" t="s">
        <v>8319</v>
      </c>
      <c r="E3748" s="10" t="s">
        <v>8335</v>
      </c>
      <c r="F3748" s="10"/>
      <c r="G3748" s="10"/>
      <c r="H3748" s="10" t="s">
        <v>8335</v>
      </c>
      <c r="I3748" s="14">
        <v>55464.885181402788</v>
      </c>
      <c r="J3748" s="19">
        <v>0</v>
      </c>
      <c r="K3748" s="19">
        <v>0.63284228916611562</v>
      </c>
      <c r="L3748" s="19">
        <v>0.36715771083388449</v>
      </c>
      <c r="M3748" s="20">
        <v>2</v>
      </c>
      <c r="N3748" s="19">
        <v>0.35087563021674933</v>
      </c>
      <c r="O3748" s="19">
        <v>0</v>
      </c>
      <c r="P3748" s="19">
        <v>0.28196665894936623</v>
      </c>
      <c r="Q3748" s="19">
        <v>0.1098339630907329</v>
      </c>
      <c r="R3748" s="19">
        <v>0.22796881923280754</v>
      </c>
      <c r="S3748" s="19">
        <v>2.9354928510343985E-2</v>
      </c>
      <c r="T3748" s="20">
        <v>23</v>
      </c>
      <c r="U3748" s="17">
        <v>2</v>
      </c>
      <c r="V3748" s="17">
        <v>36</v>
      </c>
    </row>
    <row r="3749" spans="1:22" x14ac:dyDescent="0.2">
      <c r="A3749" t="s">
        <v>8336</v>
      </c>
      <c r="B3749" t="s">
        <v>7665</v>
      </c>
      <c r="C3749" t="s">
        <v>7666</v>
      </c>
      <c r="D3749" t="s">
        <v>8319</v>
      </c>
      <c r="E3749" s="10" t="s">
        <v>8337</v>
      </c>
      <c r="F3749" s="10"/>
      <c r="G3749" s="10"/>
      <c r="H3749" s="10" t="s">
        <v>8337</v>
      </c>
      <c r="I3749" s="14">
        <v>29030.133467510346</v>
      </c>
      <c r="J3749" s="19">
        <v>0</v>
      </c>
      <c r="K3749" s="19">
        <v>0</v>
      </c>
      <c r="L3749" s="19">
        <v>1</v>
      </c>
      <c r="M3749" s="20">
        <v>1</v>
      </c>
      <c r="N3749" s="19">
        <v>0</v>
      </c>
      <c r="O3749" s="19">
        <v>0</v>
      </c>
      <c r="P3749" s="19">
        <v>0</v>
      </c>
      <c r="Q3749" s="19">
        <v>0.52774108819507015</v>
      </c>
      <c r="R3749" s="19">
        <v>0.42067886657634657</v>
      </c>
      <c r="S3749" s="19">
        <v>5.1580045228583234E-2</v>
      </c>
      <c r="T3749" s="20">
        <v>13</v>
      </c>
      <c r="U3749" s="17">
        <v>2</v>
      </c>
      <c r="V3749" s="17">
        <v>36</v>
      </c>
    </row>
    <row r="3750" spans="1:22" x14ac:dyDescent="0.2">
      <c r="A3750" t="s">
        <v>8338</v>
      </c>
      <c r="B3750" t="s">
        <v>7665</v>
      </c>
      <c r="C3750" t="s">
        <v>7666</v>
      </c>
      <c r="D3750" t="s">
        <v>8339</v>
      </c>
      <c r="E3750" s="10" t="s">
        <v>8340</v>
      </c>
      <c r="F3750" s="10"/>
      <c r="G3750" s="10"/>
      <c r="H3750" s="10" t="s">
        <v>8340</v>
      </c>
      <c r="I3750" s="14">
        <v>65139.352573081851</v>
      </c>
      <c r="J3750" s="19">
        <v>0</v>
      </c>
      <c r="K3750" s="19">
        <v>0.55321926496340734</v>
      </c>
      <c r="L3750" s="19">
        <v>0.44678073503659266</v>
      </c>
      <c r="M3750" s="20">
        <v>2</v>
      </c>
      <c r="N3750" s="19">
        <v>0.20157777543684871</v>
      </c>
      <c r="O3750" s="19">
        <v>0.23913830308114248</v>
      </c>
      <c r="P3750" s="19">
        <v>0.11250318644541615</v>
      </c>
      <c r="Q3750" s="19">
        <v>0.16033457526551206</v>
      </c>
      <c r="R3750" s="19">
        <v>0.24342523652703746</v>
      </c>
      <c r="S3750" s="19">
        <v>4.3020923244043136E-2</v>
      </c>
      <c r="T3750" s="20">
        <v>22</v>
      </c>
      <c r="U3750" s="17">
        <v>2</v>
      </c>
      <c r="V3750" s="17">
        <v>36</v>
      </c>
    </row>
    <row r="3751" spans="1:22" x14ac:dyDescent="0.2">
      <c r="A3751" t="s">
        <v>8341</v>
      </c>
      <c r="B3751" t="s">
        <v>7665</v>
      </c>
      <c r="C3751" t="s">
        <v>7666</v>
      </c>
      <c r="D3751" t="s">
        <v>8339</v>
      </c>
      <c r="E3751" s="10" t="s">
        <v>8342</v>
      </c>
      <c r="F3751" s="10"/>
      <c r="G3751" s="10"/>
      <c r="H3751" s="10" t="s">
        <v>8342</v>
      </c>
      <c r="I3751" s="14">
        <v>51545.931000301614</v>
      </c>
      <c r="J3751" s="19">
        <v>0</v>
      </c>
      <c r="K3751" s="19">
        <v>0.34596867208039833</v>
      </c>
      <c r="L3751" s="19">
        <v>0.65403132791960172</v>
      </c>
      <c r="M3751" s="20">
        <v>1</v>
      </c>
      <c r="N3751" s="19">
        <v>0.15588647158284819</v>
      </c>
      <c r="O3751" s="19">
        <v>0</v>
      </c>
      <c r="P3751" s="19">
        <v>0.19008220049755015</v>
      </c>
      <c r="Q3751" s="19">
        <v>0.23389455957061653</v>
      </c>
      <c r="R3751" s="19">
        <v>0.35202206558777149</v>
      </c>
      <c r="S3751" s="19">
        <v>6.8114702761213633E-2</v>
      </c>
      <c r="T3751" s="20">
        <v>12</v>
      </c>
      <c r="U3751" s="17">
        <v>2</v>
      </c>
      <c r="V3751" s="17">
        <v>36</v>
      </c>
    </row>
    <row r="3752" spans="1:22" x14ac:dyDescent="0.2">
      <c r="A3752" t="s">
        <v>8343</v>
      </c>
      <c r="B3752" t="s">
        <v>7665</v>
      </c>
      <c r="C3752" t="s">
        <v>7666</v>
      </c>
      <c r="D3752" t="s">
        <v>8339</v>
      </c>
      <c r="E3752" s="10" t="s">
        <v>8344</v>
      </c>
      <c r="F3752" s="10"/>
      <c r="G3752" s="10"/>
      <c r="H3752" s="10" t="s">
        <v>8344</v>
      </c>
      <c r="I3752" s="14">
        <v>68869.922381581273</v>
      </c>
      <c r="J3752" s="19">
        <v>0.3012772603916688</v>
      </c>
      <c r="K3752" s="19">
        <v>0.30731931455187123</v>
      </c>
      <c r="L3752" s="19">
        <v>0.39140342505645997</v>
      </c>
      <c r="M3752" s="20">
        <v>2</v>
      </c>
      <c r="N3752" s="19">
        <v>0.1917571325265951</v>
      </c>
      <c r="O3752" s="19">
        <v>0</v>
      </c>
      <c r="P3752" s="19">
        <v>0.11556218202527617</v>
      </c>
      <c r="Q3752" s="19">
        <v>3.4273579509343108E-2</v>
      </c>
      <c r="R3752" s="19">
        <v>0.30463804992731142</v>
      </c>
      <c r="S3752" s="19">
        <v>5.2491795619805416E-2</v>
      </c>
      <c r="T3752" s="20">
        <v>23</v>
      </c>
      <c r="U3752" s="17">
        <v>2</v>
      </c>
      <c r="V3752" s="17">
        <v>36</v>
      </c>
    </row>
    <row r="3753" spans="1:22" x14ac:dyDescent="0.2">
      <c r="A3753" t="s">
        <v>8345</v>
      </c>
      <c r="B3753" t="s">
        <v>7665</v>
      </c>
      <c r="C3753" t="s">
        <v>7666</v>
      </c>
      <c r="D3753" t="s">
        <v>8339</v>
      </c>
      <c r="E3753" s="10" t="s">
        <v>8346</v>
      </c>
      <c r="F3753" s="10"/>
      <c r="G3753" s="10"/>
      <c r="H3753" s="10" t="s">
        <v>8346</v>
      </c>
      <c r="I3753" s="14">
        <v>73195.373982716817</v>
      </c>
      <c r="J3753" s="19">
        <v>0</v>
      </c>
      <c r="K3753" s="19">
        <v>0.48698885961548649</v>
      </c>
      <c r="L3753" s="19">
        <v>0.51301114038451356</v>
      </c>
      <c r="M3753" s="20">
        <v>1</v>
      </c>
      <c r="N3753" s="19">
        <v>8.6125788697684849E-2</v>
      </c>
      <c r="O3753" s="19">
        <v>9.3290358410827182E-2</v>
      </c>
      <c r="P3753" s="19">
        <v>0.30757271250697443</v>
      </c>
      <c r="Q3753" s="19">
        <v>0.13279548918359882</v>
      </c>
      <c r="R3753" s="19">
        <v>0.33331444517152942</v>
      </c>
      <c r="S3753" s="19">
        <v>4.6901206029385287E-2</v>
      </c>
      <c r="T3753" s="20">
        <v>12</v>
      </c>
      <c r="U3753" s="17">
        <v>2</v>
      </c>
      <c r="V3753" s="17">
        <v>36</v>
      </c>
    </row>
    <row r="3754" spans="1:22" x14ac:dyDescent="0.2">
      <c r="A3754" t="s">
        <v>8347</v>
      </c>
      <c r="B3754" t="s">
        <v>7665</v>
      </c>
      <c r="C3754" t="s">
        <v>7666</v>
      </c>
      <c r="D3754" t="s">
        <v>8339</v>
      </c>
      <c r="E3754" s="10" t="s">
        <v>8348</v>
      </c>
      <c r="F3754" s="10"/>
      <c r="G3754" s="10"/>
      <c r="H3754" s="10" t="s">
        <v>8348</v>
      </c>
      <c r="I3754" s="14">
        <v>26045.543423035648</v>
      </c>
      <c r="J3754" s="19">
        <v>0</v>
      </c>
      <c r="K3754" s="19">
        <v>0.20686453918808084</v>
      </c>
      <c r="L3754" s="19">
        <v>0.79313546081191921</v>
      </c>
      <c r="M3754" s="20">
        <v>1</v>
      </c>
      <c r="N3754" s="19">
        <v>0</v>
      </c>
      <c r="O3754" s="19">
        <v>0.20686453918808084</v>
      </c>
      <c r="P3754" s="19">
        <v>0</v>
      </c>
      <c r="Q3754" s="19">
        <v>2.2244468630511927E-2</v>
      </c>
      <c r="R3754" s="19">
        <v>0.60118925777385324</v>
      </c>
      <c r="S3754" s="19">
        <v>0.16970173440755398</v>
      </c>
      <c r="T3754" s="20">
        <v>12</v>
      </c>
      <c r="U3754" s="17">
        <v>2</v>
      </c>
      <c r="V3754" s="17">
        <v>36</v>
      </c>
    </row>
    <row r="3755" spans="1:22" x14ac:dyDescent="0.2">
      <c r="A3755" t="s">
        <v>8349</v>
      </c>
      <c r="B3755" t="s">
        <v>7665</v>
      </c>
      <c r="C3755" t="s">
        <v>7666</v>
      </c>
      <c r="D3755" t="s">
        <v>8339</v>
      </c>
      <c r="E3755" s="10" t="s">
        <v>8350</v>
      </c>
      <c r="F3755" s="10"/>
      <c r="G3755" s="10"/>
      <c r="H3755" s="10" t="s">
        <v>8350</v>
      </c>
      <c r="I3755" s="14">
        <v>111137.03403477604</v>
      </c>
      <c r="J3755" s="19">
        <v>0</v>
      </c>
      <c r="K3755" s="19">
        <v>0.52378914137480359</v>
      </c>
      <c r="L3755" s="19">
        <v>0.47621085862519641</v>
      </c>
      <c r="M3755" s="20">
        <v>2</v>
      </c>
      <c r="N3755" s="19">
        <v>0.11247421797288185</v>
      </c>
      <c r="O3755" s="19">
        <v>0.12576102715685436</v>
      </c>
      <c r="P3755" s="19">
        <v>0.28555389624506733</v>
      </c>
      <c r="Q3755" s="19">
        <v>0.1265270436756171</v>
      </c>
      <c r="R3755" s="19">
        <v>0.31934543852963843</v>
      </c>
      <c r="S3755" s="19">
        <v>3.0338376419940926E-2</v>
      </c>
      <c r="T3755" s="20">
        <v>22</v>
      </c>
      <c r="U3755" s="17">
        <v>2</v>
      </c>
      <c r="V3755" s="17">
        <v>36</v>
      </c>
    </row>
    <row r="3756" spans="1:22" x14ac:dyDescent="0.2">
      <c r="A3756" t="s">
        <v>8351</v>
      </c>
      <c r="B3756" t="s">
        <v>7665</v>
      </c>
      <c r="C3756" t="s">
        <v>7666</v>
      </c>
      <c r="D3756" t="s">
        <v>8339</v>
      </c>
      <c r="E3756" s="10" t="s">
        <v>8339</v>
      </c>
      <c r="F3756" s="10"/>
      <c r="G3756" s="10"/>
      <c r="H3756" s="10" t="s">
        <v>8339</v>
      </c>
      <c r="I3756" s="14">
        <v>89566.38944880385</v>
      </c>
      <c r="J3756" s="19">
        <v>0.90091444146764899</v>
      </c>
      <c r="K3756" s="19">
        <v>5.7369819336468786E-2</v>
      </c>
      <c r="L3756" s="19">
        <v>4.1715739195882201E-2</v>
      </c>
      <c r="M3756" s="20">
        <v>3</v>
      </c>
      <c r="N3756" s="19">
        <v>0</v>
      </c>
      <c r="O3756" s="19">
        <v>0</v>
      </c>
      <c r="P3756" s="19">
        <v>5.7369819336468786E-2</v>
      </c>
      <c r="Q3756" s="19">
        <v>0</v>
      </c>
      <c r="R3756" s="19">
        <v>3.6891822507028542E-2</v>
      </c>
      <c r="S3756" s="19">
        <v>4.8239166888536652E-3</v>
      </c>
      <c r="T3756" s="20">
        <v>30</v>
      </c>
      <c r="U3756" s="17">
        <v>2</v>
      </c>
      <c r="V3756" s="17">
        <v>36</v>
      </c>
    </row>
    <row r="3757" spans="1:22" x14ac:dyDescent="0.2">
      <c r="A3757" t="s">
        <v>8352</v>
      </c>
      <c r="B3757" t="s">
        <v>7665</v>
      </c>
      <c r="C3757" t="s">
        <v>7666</v>
      </c>
      <c r="D3757" t="s">
        <v>8339</v>
      </c>
      <c r="E3757" s="10" t="s">
        <v>8353</v>
      </c>
      <c r="F3757" s="10"/>
      <c r="G3757" s="10"/>
      <c r="H3757" s="10" t="s">
        <v>8353</v>
      </c>
      <c r="I3757" s="14">
        <v>77423.453169981483</v>
      </c>
      <c r="J3757" s="19">
        <v>0</v>
      </c>
      <c r="K3757" s="19">
        <v>0.46981252822654562</v>
      </c>
      <c r="L3757" s="19">
        <v>0.53018747177345438</v>
      </c>
      <c r="M3757" s="20">
        <v>1</v>
      </c>
      <c r="N3757" s="19">
        <v>0.25915449446052646</v>
      </c>
      <c r="O3757" s="19">
        <v>3.109393057781874E-2</v>
      </c>
      <c r="P3757" s="19">
        <v>0.17956410318820043</v>
      </c>
      <c r="Q3757" s="19">
        <v>0.13197936895903084</v>
      </c>
      <c r="R3757" s="19">
        <v>0.33966063519884931</v>
      </c>
      <c r="S3757" s="19">
        <v>5.8547467615574215E-2</v>
      </c>
      <c r="T3757" s="20">
        <v>12</v>
      </c>
      <c r="U3757" s="17">
        <v>2</v>
      </c>
      <c r="V3757" s="17">
        <v>36</v>
      </c>
    </row>
    <row r="3758" spans="1:22" x14ac:dyDescent="0.2">
      <c r="A3758" t="s">
        <v>8354</v>
      </c>
      <c r="B3758" t="s">
        <v>7665</v>
      </c>
      <c r="C3758" t="s">
        <v>7666</v>
      </c>
      <c r="D3758" t="s">
        <v>8339</v>
      </c>
      <c r="E3758" s="10" t="s">
        <v>8355</v>
      </c>
      <c r="F3758" s="10"/>
      <c r="G3758" s="10"/>
      <c r="H3758" s="10" t="s">
        <v>8355</v>
      </c>
      <c r="I3758" s="14">
        <v>57729.211636294611</v>
      </c>
      <c r="J3758" s="19">
        <v>0</v>
      </c>
      <c r="K3758" s="19">
        <v>0.64862110061872824</v>
      </c>
      <c r="L3758" s="19">
        <v>0.35137889938127181</v>
      </c>
      <c r="M3758" s="20">
        <v>2</v>
      </c>
      <c r="N3758" s="19">
        <v>0.50247089419142832</v>
      </c>
      <c r="O3758" s="19">
        <v>0</v>
      </c>
      <c r="P3758" s="19">
        <v>0.14615020642729976</v>
      </c>
      <c r="Q3758" s="19">
        <v>0.12745230581347464</v>
      </c>
      <c r="R3758" s="19">
        <v>0.1943322403119</v>
      </c>
      <c r="S3758" s="19">
        <v>2.9594353255897165E-2</v>
      </c>
      <c r="T3758" s="20">
        <v>23</v>
      </c>
      <c r="U3758" s="17">
        <v>2</v>
      </c>
      <c r="V3758" s="17">
        <v>36</v>
      </c>
    </row>
    <row r="3759" spans="1:22" x14ac:dyDescent="0.2">
      <c r="A3759" t="s">
        <v>8356</v>
      </c>
      <c r="B3759" t="s">
        <v>7665</v>
      </c>
      <c r="C3759" t="s">
        <v>7666</v>
      </c>
      <c r="D3759" t="s">
        <v>8339</v>
      </c>
      <c r="E3759" s="10" t="s">
        <v>8357</v>
      </c>
      <c r="F3759" s="10"/>
      <c r="G3759" s="10"/>
      <c r="H3759" s="10" t="s">
        <v>8357</v>
      </c>
      <c r="I3759" s="14">
        <v>47838.356707586907</v>
      </c>
      <c r="J3759" s="19">
        <v>0</v>
      </c>
      <c r="K3759" s="19">
        <v>0.42491859782600039</v>
      </c>
      <c r="L3759" s="19">
        <v>0.57508140217399961</v>
      </c>
      <c r="M3759" s="20">
        <v>1</v>
      </c>
      <c r="N3759" s="19">
        <v>1.1517996510044462E-4</v>
      </c>
      <c r="O3759" s="19">
        <v>0.28609681158022293</v>
      </c>
      <c r="P3759" s="19">
        <v>0.13870660628067702</v>
      </c>
      <c r="Q3759" s="19">
        <v>8.2668237194952865E-2</v>
      </c>
      <c r="R3759" s="19">
        <v>0.42239840602267126</v>
      </c>
      <c r="S3759" s="19">
        <v>7.0014758956375503E-2</v>
      </c>
      <c r="T3759" s="20">
        <v>12</v>
      </c>
      <c r="U3759" s="17">
        <v>2</v>
      </c>
      <c r="V3759" s="17">
        <v>36</v>
      </c>
    </row>
    <row r="3760" spans="1:22" x14ac:dyDescent="0.2">
      <c r="A3760" t="s">
        <v>8358</v>
      </c>
      <c r="B3760" t="s">
        <v>7665</v>
      </c>
      <c r="C3760" t="s">
        <v>7666</v>
      </c>
      <c r="D3760" t="s">
        <v>8339</v>
      </c>
      <c r="E3760" s="10" t="s">
        <v>8359</v>
      </c>
      <c r="F3760" s="10"/>
      <c r="G3760" s="10"/>
      <c r="H3760" s="10" t="s">
        <v>8359</v>
      </c>
      <c r="I3760" s="14">
        <v>53594.277644486167</v>
      </c>
      <c r="J3760" s="19">
        <v>0</v>
      </c>
      <c r="K3760" s="19">
        <v>0.13235311921847309</v>
      </c>
      <c r="L3760" s="19">
        <v>0.86764688078152685</v>
      </c>
      <c r="M3760" s="20">
        <v>1</v>
      </c>
      <c r="N3760" s="19">
        <v>0</v>
      </c>
      <c r="O3760" s="19">
        <v>0.13235311921847309</v>
      </c>
      <c r="P3760" s="19">
        <v>0</v>
      </c>
      <c r="Q3760" s="19">
        <v>0.24464878968388118</v>
      </c>
      <c r="R3760" s="19">
        <v>0.55915550663638691</v>
      </c>
      <c r="S3760" s="19">
        <v>6.3842584461258789E-2</v>
      </c>
      <c r="T3760" s="20">
        <v>12</v>
      </c>
      <c r="U3760" s="17">
        <v>2</v>
      </c>
      <c r="V3760" s="17">
        <v>36</v>
      </c>
    </row>
    <row r="3761" spans="1:22" x14ac:dyDescent="0.2">
      <c r="A3761" t="s">
        <v>8360</v>
      </c>
      <c r="B3761" t="s">
        <v>7665</v>
      </c>
      <c r="C3761" t="s">
        <v>7666</v>
      </c>
      <c r="D3761" t="s">
        <v>8361</v>
      </c>
      <c r="E3761" s="10" t="s">
        <v>8361</v>
      </c>
      <c r="F3761" s="10"/>
      <c r="G3761" s="10"/>
      <c r="H3761" s="10" t="s">
        <v>8361</v>
      </c>
      <c r="I3761" s="14">
        <v>31706.485150588676</v>
      </c>
      <c r="J3761" s="19">
        <v>0</v>
      </c>
      <c r="K3761" s="19">
        <v>0.91037376966734962</v>
      </c>
      <c r="L3761" s="19">
        <v>8.9626230332650311E-2</v>
      </c>
      <c r="M3761" s="20">
        <v>2</v>
      </c>
      <c r="N3761" s="19">
        <v>0.73427742936542284</v>
      </c>
      <c r="O3761" s="19">
        <v>0</v>
      </c>
      <c r="P3761" s="19">
        <v>0.17609634030192681</v>
      </c>
      <c r="Q3761" s="19">
        <v>6.6932134820424079E-4</v>
      </c>
      <c r="R3761" s="19">
        <v>7.7732140239134093E-2</v>
      </c>
      <c r="S3761" s="19">
        <v>1.1224768745311959E-2</v>
      </c>
      <c r="T3761" s="20">
        <v>23</v>
      </c>
      <c r="U3761" s="17">
        <v>2</v>
      </c>
      <c r="V3761" s="17">
        <v>36</v>
      </c>
    </row>
    <row r="3762" spans="1:22" x14ac:dyDescent="0.2">
      <c r="A3762" t="s">
        <v>8362</v>
      </c>
      <c r="B3762" t="s">
        <v>7665</v>
      </c>
      <c r="C3762" t="s">
        <v>7666</v>
      </c>
      <c r="D3762" t="s">
        <v>8361</v>
      </c>
      <c r="E3762" s="10" t="s">
        <v>8363</v>
      </c>
      <c r="F3762" s="10"/>
      <c r="G3762" s="10"/>
      <c r="H3762" s="10" t="s">
        <v>8363</v>
      </c>
      <c r="I3762" s="14">
        <v>36958.821936283261</v>
      </c>
      <c r="J3762" s="19">
        <v>0</v>
      </c>
      <c r="K3762" s="19">
        <v>0.29784976357770343</v>
      </c>
      <c r="L3762" s="19">
        <v>0.70215023642229657</v>
      </c>
      <c r="M3762" s="20">
        <v>1</v>
      </c>
      <c r="N3762" s="19">
        <v>0</v>
      </c>
      <c r="O3762" s="19">
        <v>0.29784976357770343</v>
      </c>
      <c r="P3762" s="19">
        <v>0</v>
      </c>
      <c r="Q3762" s="19">
        <v>0.2498039936778729</v>
      </c>
      <c r="R3762" s="19">
        <v>0.38576046477076031</v>
      </c>
      <c r="S3762" s="19">
        <v>6.6585777973663399E-2</v>
      </c>
      <c r="T3762" s="20">
        <v>12</v>
      </c>
      <c r="U3762" s="17">
        <v>2</v>
      </c>
      <c r="V3762" s="17">
        <v>36</v>
      </c>
    </row>
    <row r="3763" spans="1:22" x14ac:dyDescent="0.2">
      <c r="A3763" t="s">
        <v>8364</v>
      </c>
      <c r="B3763" t="s">
        <v>7665</v>
      </c>
      <c r="C3763" t="s">
        <v>7666</v>
      </c>
      <c r="D3763" t="s">
        <v>8361</v>
      </c>
      <c r="E3763" s="10" t="s">
        <v>8365</v>
      </c>
      <c r="F3763" s="10"/>
      <c r="G3763" s="10"/>
      <c r="H3763" s="10" t="s">
        <v>8365</v>
      </c>
      <c r="I3763" s="14">
        <v>27690.952400736511</v>
      </c>
      <c r="J3763" s="19">
        <v>0</v>
      </c>
      <c r="K3763" s="19">
        <v>0.27162080360302304</v>
      </c>
      <c r="L3763" s="19">
        <v>0.72837919639697701</v>
      </c>
      <c r="M3763" s="20">
        <v>1</v>
      </c>
      <c r="N3763" s="19">
        <v>0</v>
      </c>
      <c r="O3763" s="19">
        <v>0.27162080360302304</v>
      </c>
      <c r="P3763" s="19">
        <v>0</v>
      </c>
      <c r="Q3763" s="19">
        <v>0.2305658656032713</v>
      </c>
      <c r="R3763" s="19">
        <v>0.41474502112189487</v>
      </c>
      <c r="S3763" s="19">
        <v>8.3068309671810808E-2</v>
      </c>
      <c r="T3763" s="20">
        <v>12</v>
      </c>
      <c r="U3763" s="17">
        <v>2</v>
      </c>
      <c r="V3763" s="17">
        <v>36</v>
      </c>
    </row>
    <row r="3764" spans="1:22" x14ac:dyDescent="0.2">
      <c r="A3764" t="s">
        <v>8366</v>
      </c>
      <c r="B3764" t="s">
        <v>7665</v>
      </c>
      <c r="C3764" t="s">
        <v>7666</v>
      </c>
      <c r="D3764" t="s">
        <v>8361</v>
      </c>
      <c r="E3764" s="10" t="s">
        <v>8367</v>
      </c>
      <c r="F3764" s="10"/>
      <c r="G3764" s="10"/>
      <c r="H3764" s="10" t="s">
        <v>8367</v>
      </c>
      <c r="I3764" s="14">
        <v>96109.966391687747</v>
      </c>
      <c r="J3764" s="19">
        <v>0</v>
      </c>
      <c r="K3764" s="19">
        <v>0.3356991003351491</v>
      </c>
      <c r="L3764" s="19">
        <v>0.66430089966485095</v>
      </c>
      <c r="M3764" s="20">
        <v>1</v>
      </c>
      <c r="N3764" s="19">
        <v>2.0401087867136257E-2</v>
      </c>
      <c r="O3764" s="19">
        <v>0.30387752612386315</v>
      </c>
      <c r="P3764" s="19">
        <v>1.1420486344149728E-2</v>
      </c>
      <c r="Q3764" s="19">
        <v>0.32645885270204145</v>
      </c>
      <c r="R3764" s="19">
        <v>0.30326161350703112</v>
      </c>
      <c r="S3764" s="19">
        <v>3.4580433455778298E-2</v>
      </c>
      <c r="T3764" s="20">
        <v>13</v>
      </c>
      <c r="U3764" s="17">
        <v>2</v>
      </c>
      <c r="V3764" s="17">
        <v>36</v>
      </c>
    </row>
    <row r="3765" spans="1:22" x14ac:dyDescent="0.2">
      <c r="A3765" t="s">
        <v>8368</v>
      </c>
      <c r="B3765" t="s">
        <v>7665</v>
      </c>
      <c r="C3765" t="s">
        <v>7666</v>
      </c>
      <c r="D3765" t="s">
        <v>8361</v>
      </c>
      <c r="E3765" s="10" t="s">
        <v>8369</v>
      </c>
      <c r="F3765" s="10"/>
      <c r="G3765" s="10"/>
      <c r="H3765" s="10" t="s">
        <v>8369</v>
      </c>
      <c r="I3765" s="14">
        <v>72612.840453669429</v>
      </c>
      <c r="J3765" s="19">
        <v>0</v>
      </c>
      <c r="K3765" s="19">
        <v>0.38031578153474915</v>
      </c>
      <c r="L3765" s="19">
        <v>0.61968421846525079</v>
      </c>
      <c r="M3765" s="20">
        <v>1</v>
      </c>
      <c r="N3765" s="19">
        <v>0.1264652567272265</v>
      </c>
      <c r="O3765" s="19">
        <v>0.20276387520198316</v>
      </c>
      <c r="P3765" s="19">
        <v>5.1086649605539519E-2</v>
      </c>
      <c r="Q3765" s="19">
        <v>0.31775568157718548</v>
      </c>
      <c r="R3765" s="19">
        <v>0.25991386979321035</v>
      </c>
      <c r="S3765" s="19">
        <v>4.2014667094855025E-2</v>
      </c>
      <c r="T3765" s="20">
        <v>13</v>
      </c>
      <c r="U3765" s="17">
        <v>2</v>
      </c>
      <c r="V3765" s="17">
        <v>36</v>
      </c>
    </row>
    <row r="3766" spans="1:22" x14ac:dyDescent="0.2">
      <c r="A3766" t="s">
        <v>8370</v>
      </c>
      <c r="B3766" t="s">
        <v>7665</v>
      </c>
      <c r="C3766" t="s">
        <v>7666</v>
      </c>
      <c r="D3766" t="s">
        <v>8361</v>
      </c>
      <c r="E3766" s="10" t="s">
        <v>8371</v>
      </c>
      <c r="F3766" s="10"/>
      <c r="G3766" s="10"/>
      <c r="H3766" s="10" t="s">
        <v>8371</v>
      </c>
      <c r="I3766" s="14">
        <v>53740.803812861908</v>
      </c>
      <c r="J3766" s="19">
        <v>0</v>
      </c>
      <c r="K3766" s="19">
        <v>0.41805264026230649</v>
      </c>
      <c r="L3766" s="19">
        <v>0.5819473597376934</v>
      </c>
      <c r="M3766" s="20">
        <v>1</v>
      </c>
      <c r="N3766" s="19">
        <v>0.27586852544407792</v>
      </c>
      <c r="O3766" s="19">
        <v>0</v>
      </c>
      <c r="P3766" s="19">
        <v>0.1421841148182286</v>
      </c>
      <c r="Q3766" s="19">
        <v>0.27329852981226499</v>
      </c>
      <c r="R3766" s="19">
        <v>0.27507507557442223</v>
      </c>
      <c r="S3766" s="19">
        <v>3.3573754351006194E-2</v>
      </c>
      <c r="T3766" s="20">
        <v>12</v>
      </c>
      <c r="U3766" s="17">
        <v>2</v>
      </c>
      <c r="V3766" s="17">
        <v>36</v>
      </c>
    </row>
    <row r="3767" spans="1:22" x14ac:dyDescent="0.2">
      <c r="A3767" t="s">
        <v>8372</v>
      </c>
      <c r="B3767" t="s">
        <v>7665</v>
      </c>
      <c r="C3767" t="s">
        <v>7666</v>
      </c>
      <c r="D3767" t="s">
        <v>8361</v>
      </c>
      <c r="E3767" s="10" t="s">
        <v>7824</v>
      </c>
      <c r="F3767" s="10"/>
      <c r="G3767" s="10"/>
      <c r="H3767" s="10" t="s">
        <v>7824</v>
      </c>
      <c r="I3767" s="14">
        <v>54474.419378265738</v>
      </c>
      <c r="J3767" s="19">
        <v>0</v>
      </c>
      <c r="K3767" s="19">
        <v>0.70210858315137992</v>
      </c>
      <c r="L3767" s="19">
        <v>0.29789141684862008</v>
      </c>
      <c r="M3767" s="20">
        <v>2</v>
      </c>
      <c r="N3767" s="19">
        <v>0.31339114980717447</v>
      </c>
      <c r="O3767" s="19">
        <v>0.18862498265797112</v>
      </c>
      <c r="P3767" s="19">
        <v>0.2000924506862343</v>
      </c>
      <c r="Q3767" s="19">
        <v>0.13626888483604122</v>
      </c>
      <c r="R3767" s="19">
        <v>0.13612109742020856</v>
      </c>
      <c r="S3767" s="19">
        <v>2.5501434592370267E-2</v>
      </c>
      <c r="T3767" s="20">
        <v>23</v>
      </c>
      <c r="U3767" s="17">
        <v>2</v>
      </c>
      <c r="V3767" s="17">
        <v>36</v>
      </c>
    </row>
    <row r="3768" spans="1:22" x14ac:dyDescent="0.2">
      <c r="A3768" t="s">
        <v>8373</v>
      </c>
      <c r="B3768" t="s">
        <v>7665</v>
      </c>
      <c r="C3768" t="s">
        <v>7666</v>
      </c>
      <c r="D3768" t="s">
        <v>8361</v>
      </c>
      <c r="E3768" s="10" t="s">
        <v>8374</v>
      </c>
      <c r="F3768" s="10"/>
      <c r="G3768" s="10"/>
      <c r="H3768" s="10" t="s">
        <v>8374</v>
      </c>
      <c r="I3768" s="14">
        <v>68629.318829551339</v>
      </c>
      <c r="J3768" s="19">
        <v>0</v>
      </c>
      <c r="K3768" s="19">
        <v>0.70329557110580931</v>
      </c>
      <c r="L3768" s="19">
        <v>0.29670442889419069</v>
      </c>
      <c r="M3768" s="20">
        <v>2</v>
      </c>
      <c r="N3768" s="19">
        <v>0.49058627369000468</v>
      </c>
      <c r="O3768" s="19">
        <v>0</v>
      </c>
      <c r="P3768" s="19">
        <v>0.21270929741580458</v>
      </c>
      <c r="Q3768" s="19">
        <v>0.20032956580784952</v>
      </c>
      <c r="R3768" s="19">
        <v>8.2751483273463072E-2</v>
      </c>
      <c r="S3768" s="19">
        <v>1.3623379812878129E-2</v>
      </c>
      <c r="T3768" s="20">
        <v>23</v>
      </c>
      <c r="U3768" s="17">
        <v>2</v>
      </c>
      <c r="V3768" s="17">
        <v>36</v>
      </c>
    </row>
    <row r="3769" spans="1:22" x14ac:dyDescent="0.2">
      <c r="A3769" t="s">
        <v>8375</v>
      </c>
      <c r="B3769" t="s">
        <v>7665</v>
      </c>
      <c r="C3769" t="s">
        <v>7666</v>
      </c>
      <c r="D3769" t="s">
        <v>8376</v>
      </c>
      <c r="E3769" s="10" t="s">
        <v>8377</v>
      </c>
      <c r="F3769" s="10"/>
      <c r="G3769" s="10"/>
      <c r="H3769" s="10" t="s">
        <v>8377</v>
      </c>
      <c r="I3769" s="14">
        <v>182763.25505102379</v>
      </c>
      <c r="J3769" s="19">
        <v>0.61118529431126856</v>
      </c>
      <c r="K3769" s="19">
        <v>0.30768029827827004</v>
      </c>
      <c r="L3769" s="19">
        <v>8.1134407410461462E-2</v>
      </c>
      <c r="M3769" s="20">
        <v>3</v>
      </c>
      <c r="N3769" s="19">
        <v>0.10181756700077697</v>
      </c>
      <c r="O3769" s="19">
        <v>0</v>
      </c>
      <c r="P3769" s="19">
        <v>0.20586273127749305</v>
      </c>
      <c r="Q3769" s="19">
        <v>1.0773012494951058E-2</v>
      </c>
      <c r="R3769" s="19">
        <v>6.5623837645639158E-2</v>
      </c>
      <c r="S3769" s="19">
        <v>4.7375572698712554E-3</v>
      </c>
      <c r="T3769" s="20">
        <v>30</v>
      </c>
      <c r="U3769" s="17">
        <v>2</v>
      </c>
      <c r="V3769" s="17">
        <v>36</v>
      </c>
    </row>
    <row r="3770" spans="1:22" x14ac:dyDescent="0.2">
      <c r="A3770" t="s">
        <v>8378</v>
      </c>
      <c r="B3770" t="s">
        <v>7665</v>
      </c>
      <c r="C3770" t="s">
        <v>7666</v>
      </c>
      <c r="D3770" t="s">
        <v>8376</v>
      </c>
      <c r="E3770" s="10" t="s">
        <v>7911</v>
      </c>
      <c r="F3770" s="10"/>
      <c r="G3770" s="10"/>
      <c r="H3770" s="10" t="s">
        <v>7911</v>
      </c>
      <c r="I3770" s="14">
        <v>134415.07824468752</v>
      </c>
      <c r="J3770" s="19">
        <v>0</v>
      </c>
      <c r="K3770" s="19">
        <v>0.62165267342311781</v>
      </c>
      <c r="L3770" s="19">
        <v>0.3783473265768823</v>
      </c>
      <c r="M3770" s="20">
        <v>2</v>
      </c>
      <c r="N3770" s="19">
        <v>0.1725528753467761</v>
      </c>
      <c r="O3770" s="19">
        <v>5.8131055551006783E-2</v>
      </c>
      <c r="P3770" s="19">
        <v>0.39096874252533481</v>
      </c>
      <c r="Q3770" s="19">
        <v>8.384026736259402E-2</v>
      </c>
      <c r="R3770" s="19">
        <v>0.24445711843587459</v>
      </c>
      <c r="S3770" s="19">
        <v>5.0049940778413626E-2</v>
      </c>
      <c r="T3770" s="20">
        <v>23</v>
      </c>
      <c r="U3770" s="17">
        <v>2</v>
      </c>
      <c r="V3770" s="17">
        <v>36</v>
      </c>
    </row>
    <row r="3771" spans="1:22" x14ac:dyDescent="0.2">
      <c r="A3771" t="s">
        <v>8379</v>
      </c>
      <c r="B3771" t="s">
        <v>7665</v>
      </c>
      <c r="C3771" t="s">
        <v>7666</v>
      </c>
      <c r="D3771" t="s">
        <v>8376</v>
      </c>
      <c r="E3771" s="10" t="s">
        <v>8380</v>
      </c>
      <c r="F3771" s="10"/>
      <c r="G3771" s="10"/>
      <c r="H3771" s="10" t="s">
        <v>8380</v>
      </c>
      <c r="I3771" s="14">
        <v>45597.265631275252</v>
      </c>
      <c r="J3771" s="19">
        <v>0</v>
      </c>
      <c r="K3771" s="19">
        <v>0.75438930167501694</v>
      </c>
      <c r="L3771" s="19">
        <v>0.245610698324983</v>
      </c>
      <c r="M3771" s="20">
        <v>2</v>
      </c>
      <c r="N3771" s="19">
        <v>0</v>
      </c>
      <c r="O3771" s="19">
        <v>0.75438930167501694</v>
      </c>
      <c r="P3771" s="19">
        <v>0</v>
      </c>
      <c r="Q3771" s="19">
        <v>1.9513984796167418E-2</v>
      </c>
      <c r="R3771" s="19">
        <v>0.20516175868322944</v>
      </c>
      <c r="S3771" s="19">
        <v>2.0934954845586169E-2</v>
      </c>
      <c r="T3771" s="20">
        <v>22</v>
      </c>
      <c r="U3771" s="17">
        <v>2</v>
      </c>
      <c r="V3771" s="17">
        <v>36</v>
      </c>
    </row>
    <row r="3772" spans="1:22" x14ac:dyDescent="0.2">
      <c r="A3772" t="s">
        <v>8381</v>
      </c>
      <c r="B3772" t="s">
        <v>7665</v>
      </c>
      <c r="C3772" t="s">
        <v>7666</v>
      </c>
      <c r="D3772" t="s">
        <v>8376</v>
      </c>
      <c r="E3772" s="10" t="s">
        <v>8382</v>
      </c>
      <c r="F3772" s="10"/>
      <c r="G3772" s="10"/>
      <c r="H3772" s="10" t="s">
        <v>8382</v>
      </c>
      <c r="I3772" s="14">
        <v>40555.327634728514</v>
      </c>
      <c r="J3772" s="19">
        <v>0</v>
      </c>
      <c r="K3772" s="19">
        <v>0.60473581091040451</v>
      </c>
      <c r="L3772" s="19">
        <v>0.39526418908959554</v>
      </c>
      <c r="M3772" s="20">
        <v>2</v>
      </c>
      <c r="N3772" s="19">
        <v>0.27909010302805498</v>
      </c>
      <c r="O3772" s="19">
        <v>0.20092824137623982</v>
      </c>
      <c r="P3772" s="19">
        <v>0.1247174665061096</v>
      </c>
      <c r="Q3772" s="19">
        <v>0.11311920452816789</v>
      </c>
      <c r="R3772" s="19">
        <v>0.24554462823592552</v>
      </c>
      <c r="S3772" s="19">
        <v>3.6600356325502195E-2</v>
      </c>
      <c r="T3772" s="20">
        <v>23</v>
      </c>
      <c r="U3772" s="17">
        <v>2</v>
      </c>
      <c r="V3772" s="17">
        <v>36</v>
      </c>
    </row>
    <row r="3773" spans="1:22" x14ac:dyDescent="0.2">
      <c r="A3773" t="s">
        <v>8383</v>
      </c>
      <c r="B3773" t="s">
        <v>7665</v>
      </c>
      <c r="C3773" t="s">
        <v>7666</v>
      </c>
      <c r="D3773" t="s">
        <v>8376</v>
      </c>
      <c r="E3773" s="10" t="s">
        <v>8384</v>
      </c>
      <c r="F3773" s="10"/>
      <c r="G3773" s="10"/>
      <c r="H3773" s="10" t="s">
        <v>8384</v>
      </c>
      <c r="I3773" s="14">
        <v>53876.929391536862</v>
      </c>
      <c r="J3773" s="19">
        <v>0</v>
      </c>
      <c r="K3773" s="19">
        <v>0.71663786603471125</v>
      </c>
      <c r="L3773" s="19">
        <v>0.2833621339652887</v>
      </c>
      <c r="M3773" s="20">
        <v>2</v>
      </c>
      <c r="N3773" s="19">
        <v>0.30711382268708054</v>
      </c>
      <c r="O3773" s="19">
        <v>0</v>
      </c>
      <c r="P3773" s="19">
        <v>0.40952404334763071</v>
      </c>
      <c r="Q3773" s="19">
        <v>5.0717066966388481E-2</v>
      </c>
      <c r="R3773" s="19">
        <v>0.21062929021041391</v>
      </c>
      <c r="S3773" s="19">
        <v>2.2015776788486371E-2</v>
      </c>
      <c r="T3773" s="20">
        <v>23</v>
      </c>
      <c r="U3773" s="17">
        <v>2</v>
      </c>
      <c r="V3773" s="17">
        <v>36</v>
      </c>
    </row>
    <row r="3774" spans="1:22" x14ac:dyDescent="0.2">
      <c r="A3774" t="s">
        <v>8385</v>
      </c>
      <c r="B3774" t="s">
        <v>7665</v>
      </c>
      <c r="C3774" t="s">
        <v>7666</v>
      </c>
      <c r="D3774" t="s">
        <v>8376</v>
      </c>
      <c r="E3774" s="10" t="s">
        <v>8386</v>
      </c>
      <c r="F3774" s="10"/>
      <c r="G3774" s="10"/>
      <c r="H3774" s="10" t="s">
        <v>8386</v>
      </c>
      <c r="I3774" s="14">
        <v>204573.55268919608</v>
      </c>
      <c r="J3774" s="19">
        <v>0.51213857349629033</v>
      </c>
      <c r="K3774" s="19">
        <v>0.30693198914514019</v>
      </c>
      <c r="L3774" s="19">
        <v>0.18092943735856948</v>
      </c>
      <c r="M3774" s="20">
        <v>3</v>
      </c>
      <c r="N3774" s="19">
        <v>3.3972496194512911E-2</v>
      </c>
      <c r="O3774" s="19">
        <v>3.9310270383707158E-2</v>
      </c>
      <c r="P3774" s="19">
        <v>0.23364922256692011</v>
      </c>
      <c r="Q3774" s="19">
        <v>4.6347641457044939E-2</v>
      </c>
      <c r="R3774" s="19">
        <v>0.11023795056789464</v>
      </c>
      <c r="S3774" s="19">
        <v>2.4343845333629894E-2</v>
      </c>
      <c r="T3774" s="20">
        <v>30</v>
      </c>
      <c r="U3774" s="17">
        <v>2</v>
      </c>
      <c r="V3774" s="17">
        <v>36</v>
      </c>
    </row>
    <row r="3775" spans="1:22" x14ac:dyDescent="0.2">
      <c r="A3775" t="s">
        <v>8387</v>
      </c>
      <c r="B3775" t="s">
        <v>7665</v>
      </c>
      <c r="C3775" t="s">
        <v>7666</v>
      </c>
      <c r="D3775" t="s">
        <v>8376</v>
      </c>
      <c r="E3775" s="10" t="s">
        <v>8388</v>
      </c>
      <c r="F3775" s="10"/>
      <c r="G3775" s="10"/>
      <c r="H3775" s="10" t="s">
        <v>8388</v>
      </c>
      <c r="I3775" s="14">
        <v>242067.26395075303</v>
      </c>
      <c r="J3775" s="19">
        <v>0.85784571973525436</v>
      </c>
      <c r="K3775" s="19">
        <v>7.5715344083615743E-2</v>
      </c>
      <c r="L3775" s="19">
        <v>6.6438936181129921E-2</v>
      </c>
      <c r="M3775" s="20">
        <v>3</v>
      </c>
      <c r="N3775" s="19">
        <v>2.3401428708571815E-5</v>
      </c>
      <c r="O3775" s="19">
        <v>0</v>
      </c>
      <c r="P3775" s="19">
        <v>7.5691942654907182E-2</v>
      </c>
      <c r="Q3775" s="19">
        <v>2.1557444629256288E-2</v>
      </c>
      <c r="R3775" s="19">
        <v>3.7123420875867306E-2</v>
      </c>
      <c r="S3775" s="19">
        <v>7.7580706760063114E-3</v>
      </c>
      <c r="T3775" s="20">
        <v>30</v>
      </c>
      <c r="U3775" s="17">
        <v>2</v>
      </c>
      <c r="V3775" s="17">
        <v>36</v>
      </c>
    </row>
    <row r="3776" spans="1:22" x14ac:dyDescent="0.2">
      <c r="A3776" t="s">
        <v>8389</v>
      </c>
      <c r="B3776" t="s">
        <v>7665</v>
      </c>
      <c r="C3776" t="s">
        <v>7666</v>
      </c>
      <c r="D3776" t="s">
        <v>8376</v>
      </c>
      <c r="E3776" s="10" t="s">
        <v>8390</v>
      </c>
      <c r="F3776" s="10"/>
      <c r="G3776" s="10"/>
      <c r="H3776" s="10" t="s">
        <v>8390</v>
      </c>
      <c r="I3776" s="14">
        <v>47178.071392578997</v>
      </c>
      <c r="J3776" s="19">
        <v>0</v>
      </c>
      <c r="K3776" s="19">
        <v>0.4567875151639601</v>
      </c>
      <c r="L3776" s="19">
        <v>0.54321248483604012</v>
      </c>
      <c r="M3776" s="20">
        <v>1</v>
      </c>
      <c r="N3776" s="19">
        <v>8.1285255068807141E-2</v>
      </c>
      <c r="O3776" s="19">
        <v>0.31040989666780755</v>
      </c>
      <c r="P3776" s="19">
        <v>6.509236342734534E-2</v>
      </c>
      <c r="Q3776" s="19">
        <v>0.20275105670465185</v>
      </c>
      <c r="R3776" s="19">
        <v>0.2885008624356849</v>
      </c>
      <c r="S3776" s="19">
        <v>5.1960565695703349E-2</v>
      </c>
      <c r="T3776" s="20">
        <v>12</v>
      </c>
      <c r="U3776" s="17">
        <v>2</v>
      </c>
      <c r="V3776" s="17">
        <v>36</v>
      </c>
    </row>
    <row r="3777" spans="1:22" x14ac:dyDescent="0.2">
      <c r="A3777" t="s">
        <v>8391</v>
      </c>
      <c r="B3777" t="s">
        <v>7665</v>
      </c>
      <c r="C3777" t="s">
        <v>7666</v>
      </c>
      <c r="D3777" t="s">
        <v>8376</v>
      </c>
      <c r="E3777" s="10" t="s">
        <v>8392</v>
      </c>
      <c r="F3777" s="10"/>
      <c r="G3777" s="10"/>
      <c r="H3777" s="10" t="s">
        <v>8392</v>
      </c>
      <c r="I3777" s="14">
        <v>189879.48216985259</v>
      </c>
      <c r="J3777" s="19">
        <v>0</v>
      </c>
      <c r="K3777" s="19">
        <v>0.77484945868022204</v>
      </c>
      <c r="L3777" s="19">
        <v>0.22515054131977796</v>
      </c>
      <c r="M3777" s="20">
        <v>2</v>
      </c>
      <c r="N3777" s="19">
        <v>0.28534399536852589</v>
      </c>
      <c r="O3777" s="19">
        <v>3.5434067545785611E-2</v>
      </c>
      <c r="P3777" s="19">
        <v>0.45407139576591055</v>
      </c>
      <c r="Q3777" s="19">
        <v>3.9882570447926716E-2</v>
      </c>
      <c r="R3777" s="19">
        <v>0.15543247222175319</v>
      </c>
      <c r="S3777" s="19">
        <v>2.9835498650098057E-2</v>
      </c>
      <c r="T3777" s="20">
        <v>23</v>
      </c>
      <c r="U3777" s="17">
        <v>2</v>
      </c>
      <c r="V3777" s="17">
        <v>36</v>
      </c>
    </row>
    <row r="3778" spans="1:22" x14ac:dyDescent="0.2">
      <c r="A3778" t="s">
        <v>8393</v>
      </c>
      <c r="B3778" t="s">
        <v>7665</v>
      </c>
      <c r="C3778" t="s">
        <v>7666</v>
      </c>
      <c r="D3778" t="s">
        <v>8376</v>
      </c>
      <c r="E3778" s="10" t="s">
        <v>8394</v>
      </c>
      <c r="F3778" s="10"/>
      <c r="G3778" s="10"/>
      <c r="H3778" s="10" t="s">
        <v>8394</v>
      </c>
      <c r="I3778" s="14">
        <v>115288.10724935262</v>
      </c>
      <c r="J3778" s="19">
        <v>0</v>
      </c>
      <c r="K3778" s="19">
        <v>0.86692722930809329</v>
      </c>
      <c r="L3778" s="19">
        <v>0.13307277069190676</v>
      </c>
      <c r="M3778" s="20">
        <v>2</v>
      </c>
      <c r="N3778" s="19">
        <v>0.29278554741154855</v>
      </c>
      <c r="O3778" s="19">
        <v>0</v>
      </c>
      <c r="P3778" s="19">
        <v>0.57414168189654469</v>
      </c>
      <c r="Q3778" s="19">
        <v>1.9219862602460301E-2</v>
      </c>
      <c r="R3778" s="19">
        <v>0.10490219141080796</v>
      </c>
      <c r="S3778" s="19">
        <v>8.9507166786384797E-3</v>
      </c>
      <c r="T3778" s="20">
        <v>21</v>
      </c>
      <c r="U3778" s="17">
        <v>2</v>
      </c>
      <c r="V3778" s="17">
        <v>36</v>
      </c>
    </row>
    <row r="3779" spans="1:22" x14ac:dyDescent="0.2">
      <c r="A3779" t="s">
        <v>8395</v>
      </c>
      <c r="B3779" t="s">
        <v>7665</v>
      </c>
      <c r="C3779" t="s">
        <v>7666</v>
      </c>
      <c r="D3779" t="s">
        <v>8376</v>
      </c>
      <c r="E3779" s="10" t="s">
        <v>8396</v>
      </c>
      <c r="F3779" s="10"/>
      <c r="G3779" s="10"/>
      <c r="H3779" s="10" t="s">
        <v>8396</v>
      </c>
      <c r="I3779" s="14">
        <v>24707.720713846851</v>
      </c>
      <c r="J3779" s="19">
        <v>0</v>
      </c>
      <c r="K3779" s="19">
        <v>0.41646396691440446</v>
      </c>
      <c r="L3779" s="19">
        <v>0.58353603308559554</v>
      </c>
      <c r="M3779" s="20">
        <v>1</v>
      </c>
      <c r="N3779" s="19">
        <v>0.27219005746371966</v>
      </c>
      <c r="O3779" s="19">
        <v>0</v>
      </c>
      <c r="P3779" s="19">
        <v>0.1442739094506848</v>
      </c>
      <c r="Q3779" s="19">
        <v>0.24499825130113179</v>
      </c>
      <c r="R3779" s="19">
        <v>0.25274074540087915</v>
      </c>
      <c r="S3779" s="19">
        <v>8.5797036383584602E-2</v>
      </c>
      <c r="T3779" s="20">
        <v>12</v>
      </c>
      <c r="U3779" s="17">
        <v>2</v>
      </c>
      <c r="V3779" s="17">
        <v>36</v>
      </c>
    </row>
    <row r="3780" spans="1:22" x14ac:dyDescent="0.2">
      <c r="A3780" t="s">
        <v>8397</v>
      </c>
      <c r="B3780" t="s">
        <v>7665</v>
      </c>
      <c r="C3780" t="s">
        <v>7666</v>
      </c>
      <c r="D3780" t="s">
        <v>8376</v>
      </c>
      <c r="E3780" s="10" t="s">
        <v>8398</v>
      </c>
      <c r="F3780" s="10"/>
      <c r="G3780" s="10"/>
      <c r="H3780" s="10" t="s">
        <v>8398</v>
      </c>
      <c r="I3780" s="14">
        <v>168297.80956819607</v>
      </c>
      <c r="J3780" s="19">
        <v>0</v>
      </c>
      <c r="K3780" s="19">
        <v>0.60150722290654102</v>
      </c>
      <c r="L3780" s="19">
        <v>0.39849277709345898</v>
      </c>
      <c r="M3780" s="20">
        <v>2</v>
      </c>
      <c r="N3780" s="19">
        <v>0.14139449286878705</v>
      </c>
      <c r="O3780" s="19">
        <v>0.26339864787833461</v>
      </c>
      <c r="P3780" s="19">
        <v>0.19671408215941935</v>
      </c>
      <c r="Q3780" s="19">
        <v>7.1306503851469902E-2</v>
      </c>
      <c r="R3780" s="19">
        <v>0.29830048247998275</v>
      </c>
      <c r="S3780" s="19">
        <v>2.8885790762006307E-2</v>
      </c>
      <c r="T3780" s="20">
        <v>22</v>
      </c>
      <c r="U3780" s="17">
        <v>2</v>
      </c>
      <c r="V3780" s="17">
        <v>36</v>
      </c>
    </row>
    <row r="3781" spans="1:22" x14ac:dyDescent="0.2">
      <c r="A3781" t="s">
        <v>8399</v>
      </c>
      <c r="B3781" t="s">
        <v>7665</v>
      </c>
      <c r="C3781" t="s">
        <v>7666</v>
      </c>
      <c r="D3781" t="s">
        <v>8400</v>
      </c>
      <c r="E3781" s="10" t="s">
        <v>8401</v>
      </c>
      <c r="F3781" s="10"/>
      <c r="G3781" s="10"/>
      <c r="H3781" s="10" t="s">
        <v>8401</v>
      </c>
      <c r="I3781" s="14">
        <v>98710.87541426254</v>
      </c>
      <c r="J3781" s="19">
        <v>0</v>
      </c>
      <c r="K3781" s="19">
        <v>0.71460324978823619</v>
      </c>
      <c r="L3781" s="19">
        <v>0.28539675021176358</v>
      </c>
      <c r="M3781" s="20">
        <v>2</v>
      </c>
      <c r="N3781" s="19">
        <v>0.48210546632841778</v>
      </c>
      <c r="O3781" s="19">
        <v>0</v>
      </c>
      <c r="P3781" s="19">
        <v>0.23249778345981845</v>
      </c>
      <c r="Q3781" s="19">
        <v>8.3851164664913491E-2</v>
      </c>
      <c r="R3781" s="19">
        <v>0.16743143782783831</v>
      </c>
      <c r="S3781" s="19">
        <v>3.4114147719011799E-2</v>
      </c>
      <c r="T3781" s="20">
        <v>23</v>
      </c>
      <c r="U3781" s="17">
        <v>2</v>
      </c>
      <c r="V3781" s="17">
        <v>36</v>
      </c>
    </row>
    <row r="3782" spans="1:22" x14ac:dyDescent="0.2">
      <c r="A3782" t="s">
        <v>8402</v>
      </c>
      <c r="B3782" t="s">
        <v>7665</v>
      </c>
      <c r="C3782" t="s">
        <v>7666</v>
      </c>
      <c r="D3782" t="s">
        <v>8400</v>
      </c>
      <c r="E3782" s="10" t="s">
        <v>8403</v>
      </c>
      <c r="F3782" s="10"/>
      <c r="G3782" s="10"/>
      <c r="H3782" s="10" t="s">
        <v>8403</v>
      </c>
      <c r="I3782" s="14">
        <v>75425.768151553348</v>
      </c>
      <c r="J3782" s="19">
        <v>0</v>
      </c>
      <c r="K3782" s="19">
        <v>0.56889546155903492</v>
      </c>
      <c r="L3782" s="19">
        <v>0.43110453844096513</v>
      </c>
      <c r="M3782" s="20">
        <v>2</v>
      </c>
      <c r="N3782" s="19">
        <v>0.41407062997879562</v>
      </c>
      <c r="O3782" s="19">
        <v>0</v>
      </c>
      <c r="P3782" s="19">
        <v>0.1548248315802393</v>
      </c>
      <c r="Q3782" s="19">
        <v>0.20830115090664458</v>
      </c>
      <c r="R3782" s="19">
        <v>0.19076380277381197</v>
      </c>
      <c r="S3782" s="19">
        <v>3.2039584760508513E-2</v>
      </c>
      <c r="T3782" s="20">
        <v>23</v>
      </c>
      <c r="U3782" s="17">
        <v>2</v>
      </c>
      <c r="V3782" s="17">
        <v>36</v>
      </c>
    </row>
    <row r="3783" spans="1:22" x14ac:dyDescent="0.2">
      <c r="A3783" t="s">
        <v>8404</v>
      </c>
      <c r="B3783" t="s">
        <v>7665</v>
      </c>
      <c r="C3783" t="s">
        <v>7666</v>
      </c>
      <c r="D3783" t="s">
        <v>8400</v>
      </c>
      <c r="E3783" s="10" t="s">
        <v>8405</v>
      </c>
      <c r="F3783" s="10"/>
      <c r="G3783" s="10"/>
      <c r="H3783" s="10" t="s">
        <v>8405</v>
      </c>
      <c r="I3783" s="14">
        <v>52888.105213750154</v>
      </c>
      <c r="J3783" s="19">
        <v>0</v>
      </c>
      <c r="K3783" s="19">
        <v>0.68753783864193996</v>
      </c>
      <c r="L3783" s="19">
        <v>0.31246216135806004</v>
      </c>
      <c r="M3783" s="20">
        <v>2</v>
      </c>
      <c r="N3783" s="19">
        <v>0.58607995876421515</v>
      </c>
      <c r="O3783" s="19">
        <v>0</v>
      </c>
      <c r="P3783" s="19">
        <v>0.10145787987772485</v>
      </c>
      <c r="Q3783" s="19">
        <v>9.7596721290904687E-2</v>
      </c>
      <c r="R3783" s="19">
        <v>0.16654207368733875</v>
      </c>
      <c r="S3783" s="19">
        <v>4.8323366379816594E-2</v>
      </c>
      <c r="T3783" s="20">
        <v>23</v>
      </c>
      <c r="U3783" s="17">
        <v>2</v>
      </c>
      <c r="V3783" s="17">
        <v>36</v>
      </c>
    </row>
    <row r="3784" spans="1:22" x14ac:dyDescent="0.2">
      <c r="A3784" t="s">
        <v>8406</v>
      </c>
      <c r="B3784" t="s">
        <v>7665</v>
      </c>
      <c r="C3784" t="s">
        <v>7666</v>
      </c>
      <c r="D3784" t="s">
        <v>8400</v>
      </c>
      <c r="E3784" s="10" t="s">
        <v>8407</v>
      </c>
      <c r="F3784" s="10"/>
      <c r="G3784" s="10"/>
      <c r="H3784" s="10" t="s">
        <v>8407</v>
      </c>
      <c r="I3784" s="14">
        <v>69042.500351729803</v>
      </c>
      <c r="J3784" s="19">
        <v>0</v>
      </c>
      <c r="K3784" s="19">
        <v>0.48414677996511113</v>
      </c>
      <c r="L3784" s="19">
        <v>0.51585322003488887</v>
      </c>
      <c r="M3784" s="20">
        <v>1</v>
      </c>
      <c r="N3784" s="19">
        <v>8.4361032624596915E-3</v>
      </c>
      <c r="O3784" s="19">
        <v>0</v>
      </c>
      <c r="P3784" s="19">
        <v>0.47571067670265144</v>
      </c>
      <c r="Q3784" s="19">
        <v>0.16468516659983765</v>
      </c>
      <c r="R3784" s="19">
        <v>0.31317449909083184</v>
      </c>
      <c r="S3784" s="19">
        <v>3.7993554344219381E-2</v>
      </c>
      <c r="T3784" s="20">
        <v>12</v>
      </c>
      <c r="U3784" s="17">
        <v>2</v>
      </c>
      <c r="V3784" s="17">
        <v>36</v>
      </c>
    </row>
    <row r="3785" spans="1:22" x14ac:dyDescent="0.2">
      <c r="A3785" t="s">
        <v>8408</v>
      </c>
      <c r="B3785" t="s">
        <v>7665</v>
      </c>
      <c r="C3785" t="s">
        <v>7666</v>
      </c>
      <c r="D3785" t="s">
        <v>8400</v>
      </c>
      <c r="E3785" s="10" t="s">
        <v>8400</v>
      </c>
      <c r="F3785" s="10"/>
      <c r="G3785" s="10"/>
      <c r="H3785" s="10" t="s">
        <v>8400</v>
      </c>
      <c r="I3785" s="14">
        <v>97511.553319878876</v>
      </c>
      <c r="J3785" s="19">
        <v>0.75890115748993903</v>
      </c>
      <c r="K3785" s="19">
        <v>0.17829953987833239</v>
      </c>
      <c r="L3785" s="19">
        <v>6.2799302631728574E-2</v>
      </c>
      <c r="M3785" s="20">
        <v>3</v>
      </c>
      <c r="N3785" s="19">
        <v>1.2599934837428271E-3</v>
      </c>
      <c r="O3785" s="19">
        <v>0</v>
      </c>
      <c r="P3785" s="19">
        <v>0.17703954639458955</v>
      </c>
      <c r="Q3785" s="19">
        <v>0</v>
      </c>
      <c r="R3785" s="19">
        <v>5.3739350595368461E-2</v>
      </c>
      <c r="S3785" s="19">
        <v>9.0599520363601055E-3</v>
      </c>
      <c r="T3785" s="20">
        <v>30</v>
      </c>
      <c r="U3785" s="17">
        <v>2</v>
      </c>
      <c r="V3785" s="17">
        <v>36</v>
      </c>
    </row>
    <row r="3786" spans="1:22" x14ac:dyDescent="0.2">
      <c r="A3786" t="s">
        <v>8409</v>
      </c>
      <c r="B3786" t="s">
        <v>7665</v>
      </c>
      <c r="C3786" t="s">
        <v>7666</v>
      </c>
      <c r="D3786" t="s">
        <v>8400</v>
      </c>
      <c r="E3786" s="10" t="s">
        <v>8410</v>
      </c>
      <c r="F3786" s="10"/>
      <c r="G3786" s="10"/>
      <c r="H3786" s="10" t="s">
        <v>8410</v>
      </c>
      <c r="I3786" s="14">
        <v>51086.090854708105</v>
      </c>
      <c r="J3786" s="19">
        <v>0</v>
      </c>
      <c r="K3786" s="19">
        <v>0.35010456401228629</v>
      </c>
      <c r="L3786" s="19">
        <v>0.64989543598771382</v>
      </c>
      <c r="M3786" s="20">
        <v>1</v>
      </c>
      <c r="N3786" s="19">
        <v>0.10208645715100494</v>
      </c>
      <c r="O3786" s="19">
        <v>0.20197395993059897</v>
      </c>
      <c r="P3786" s="19">
        <v>4.6044146930682366E-2</v>
      </c>
      <c r="Q3786" s="19">
        <v>8.2968247619990776E-2</v>
      </c>
      <c r="R3786" s="19">
        <v>0.51170733974238558</v>
      </c>
      <c r="S3786" s="19">
        <v>5.5219848625337367E-2</v>
      </c>
      <c r="T3786" s="20">
        <v>12</v>
      </c>
      <c r="U3786" s="17">
        <v>2</v>
      </c>
      <c r="V3786" s="17">
        <v>36</v>
      </c>
    </row>
    <row r="3787" spans="1:22" x14ac:dyDescent="0.2">
      <c r="A3787" t="s">
        <v>8411</v>
      </c>
      <c r="B3787" t="s">
        <v>7665</v>
      </c>
      <c r="C3787" t="s">
        <v>7666</v>
      </c>
      <c r="D3787" t="s">
        <v>8400</v>
      </c>
      <c r="E3787" s="10" t="s">
        <v>8412</v>
      </c>
      <c r="F3787" s="10"/>
      <c r="G3787" s="10"/>
      <c r="H3787" s="10" t="s">
        <v>8412</v>
      </c>
      <c r="I3787" s="14">
        <v>52969.230825256556</v>
      </c>
      <c r="J3787" s="19">
        <v>0</v>
      </c>
      <c r="K3787" s="19">
        <v>0.82145322098151297</v>
      </c>
      <c r="L3787" s="19">
        <v>0.17854677901848701</v>
      </c>
      <c r="M3787" s="20">
        <v>2</v>
      </c>
      <c r="N3787" s="19">
        <v>0.76345485497999743</v>
      </c>
      <c r="O3787" s="19">
        <v>0</v>
      </c>
      <c r="P3787" s="19">
        <v>5.7998366001515617E-2</v>
      </c>
      <c r="Q3787" s="19">
        <v>7.9309301595565554E-2</v>
      </c>
      <c r="R3787" s="19">
        <v>7.8797952579408137E-2</v>
      </c>
      <c r="S3787" s="19">
        <v>2.0439524843513298E-2</v>
      </c>
      <c r="T3787" s="20">
        <v>23</v>
      </c>
      <c r="U3787" s="17">
        <v>2</v>
      </c>
      <c r="V3787" s="17">
        <v>36</v>
      </c>
    </row>
    <row r="3788" spans="1:22" x14ac:dyDescent="0.2">
      <c r="A3788" t="s">
        <v>8413</v>
      </c>
      <c r="B3788" t="s">
        <v>7665</v>
      </c>
      <c r="C3788" t="s">
        <v>7666</v>
      </c>
      <c r="D3788" t="s">
        <v>8400</v>
      </c>
      <c r="E3788" s="10" t="s">
        <v>8414</v>
      </c>
      <c r="F3788" s="10"/>
      <c r="G3788" s="10"/>
      <c r="H3788" s="10" t="s">
        <v>8414</v>
      </c>
      <c r="I3788" s="14">
        <v>30853.732045669105</v>
      </c>
      <c r="J3788" s="19">
        <v>0</v>
      </c>
      <c r="K3788" s="19">
        <v>0.3654125661118785</v>
      </c>
      <c r="L3788" s="19">
        <v>0.63458743388812167</v>
      </c>
      <c r="M3788" s="20">
        <v>1</v>
      </c>
      <c r="N3788" s="19">
        <v>0</v>
      </c>
      <c r="O3788" s="19">
        <v>0.3654125661118785</v>
      </c>
      <c r="P3788" s="19">
        <v>0</v>
      </c>
      <c r="Q3788" s="19">
        <v>0.23915928672478315</v>
      </c>
      <c r="R3788" s="19">
        <v>0.35072764128276035</v>
      </c>
      <c r="S3788" s="19">
        <v>4.4700505880578147E-2</v>
      </c>
      <c r="T3788" s="20">
        <v>12</v>
      </c>
      <c r="U3788" s="17">
        <v>2</v>
      </c>
      <c r="V3788" s="17">
        <v>36</v>
      </c>
    </row>
    <row r="3789" spans="1:22" x14ac:dyDescent="0.2">
      <c r="A3789" t="s">
        <v>8415</v>
      </c>
      <c r="B3789" t="s">
        <v>7665</v>
      </c>
      <c r="C3789" t="s">
        <v>7666</v>
      </c>
      <c r="D3789" t="s">
        <v>8400</v>
      </c>
      <c r="E3789" s="10" t="s">
        <v>8416</v>
      </c>
      <c r="F3789" s="10"/>
      <c r="G3789" s="10"/>
      <c r="H3789" s="10" t="s">
        <v>8416</v>
      </c>
      <c r="I3789" s="14">
        <v>78339.238303331658</v>
      </c>
      <c r="J3789" s="19">
        <v>0</v>
      </c>
      <c r="K3789" s="19">
        <v>0.55623484811739055</v>
      </c>
      <c r="L3789" s="19">
        <v>0.44376515188260945</v>
      </c>
      <c r="M3789" s="20">
        <v>2</v>
      </c>
      <c r="N3789" s="19">
        <v>0.32082758079525031</v>
      </c>
      <c r="O3789" s="19">
        <v>0.1708416737574559</v>
      </c>
      <c r="P3789" s="19">
        <v>6.4565593564684373E-2</v>
      </c>
      <c r="Q3789" s="19">
        <v>0.2413513986842144</v>
      </c>
      <c r="R3789" s="19">
        <v>0.17367163816231229</v>
      </c>
      <c r="S3789" s="19">
        <v>2.8742115036082719E-2</v>
      </c>
      <c r="T3789" s="20">
        <v>23</v>
      </c>
      <c r="U3789" s="17">
        <v>2</v>
      </c>
      <c r="V3789" s="17">
        <v>36</v>
      </c>
    </row>
    <row r="3790" spans="1:22" x14ac:dyDescent="0.2">
      <c r="A3790" t="s">
        <v>8417</v>
      </c>
      <c r="B3790" t="s">
        <v>7665</v>
      </c>
      <c r="C3790" t="s">
        <v>7666</v>
      </c>
      <c r="D3790" t="s">
        <v>8418</v>
      </c>
      <c r="E3790" s="10" t="s">
        <v>8419</v>
      </c>
      <c r="F3790" s="10"/>
      <c r="G3790" s="10"/>
      <c r="H3790" s="10" t="s">
        <v>8419</v>
      </c>
      <c r="I3790" s="14">
        <v>159131.80839385581</v>
      </c>
      <c r="J3790" s="19">
        <v>0.54328949322973064</v>
      </c>
      <c r="K3790" s="19">
        <v>0.35342557997973489</v>
      </c>
      <c r="L3790" s="19">
        <v>0.10328492679053451</v>
      </c>
      <c r="M3790" s="20">
        <v>3</v>
      </c>
      <c r="N3790" s="19">
        <v>2.1047514363258871E-3</v>
      </c>
      <c r="O3790" s="19">
        <v>0</v>
      </c>
      <c r="P3790" s="19">
        <v>0.35132082854340896</v>
      </c>
      <c r="Q3790" s="19">
        <v>4.9080166052953009E-5</v>
      </c>
      <c r="R3790" s="19">
        <v>9.7032199488585505E-2</v>
      </c>
      <c r="S3790" s="19">
        <v>6.2036471358960484E-3</v>
      </c>
      <c r="T3790" s="20">
        <v>30</v>
      </c>
      <c r="U3790" s="17">
        <v>2</v>
      </c>
      <c r="V3790" s="17">
        <v>36</v>
      </c>
    </row>
    <row r="3791" spans="1:22" x14ac:dyDescent="0.2">
      <c r="A3791" t="s">
        <v>8420</v>
      </c>
      <c r="B3791" t="s">
        <v>7665</v>
      </c>
      <c r="C3791" t="s">
        <v>7666</v>
      </c>
      <c r="D3791" t="s">
        <v>8418</v>
      </c>
      <c r="E3791" s="10" t="s">
        <v>8421</v>
      </c>
      <c r="F3791" s="10"/>
      <c r="G3791" s="10"/>
      <c r="H3791" s="10" t="s">
        <v>8421</v>
      </c>
      <c r="I3791" s="14">
        <v>179134.83754046354</v>
      </c>
      <c r="J3791" s="19">
        <v>0.3012745764594506</v>
      </c>
      <c r="K3791" s="19">
        <v>0.66629278024372152</v>
      </c>
      <c r="L3791" s="19">
        <v>3.2432643296827907E-2</v>
      </c>
      <c r="M3791" s="20">
        <v>2</v>
      </c>
      <c r="N3791" s="19">
        <v>0.11149885832847964</v>
      </c>
      <c r="O3791" s="19">
        <v>0</v>
      </c>
      <c r="P3791" s="19">
        <v>0.55479392191524191</v>
      </c>
      <c r="Q3791" s="19">
        <v>0</v>
      </c>
      <c r="R3791" s="19">
        <v>3.2420061882363259E-2</v>
      </c>
      <c r="S3791" s="19">
        <v>1.2581414464649213E-5</v>
      </c>
      <c r="T3791" s="20">
        <v>21</v>
      </c>
      <c r="U3791" s="17">
        <v>2</v>
      </c>
      <c r="V3791" s="17">
        <v>36</v>
      </c>
    </row>
    <row r="3792" spans="1:22" x14ac:dyDescent="0.2">
      <c r="A3792" t="s">
        <v>8422</v>
      </c>
      <c r="B3792" t="s">
        <v>7665</v>
      </c>
      <c r="C3792" t="s">
        <v>7666</v>
      </c>
      <c r="D3792" t="s">
        <v>8418</v>
      </c>
      <c r="E3792" s="10" t="s">
        <v>8423</v>
      </c>
      <c r="F3792" s="10"/>
      <c r="G3792" s="10"/>
      <c r="H3792" s="10" t="s">
        <v>8423</v>
      </c>
      <c r="I3792" s="14">
        <v>179564.62161320078</v>
      </c>
      <c r="J3792" s="19">
        <v>0.63160600544449164</v>
      </c>
      <c r="K3792" s="19">
        <v>0.30153992429242726</v>
      </c>
      <c r="L3792" s="19">
        <v>6.6854070263080934E-2</v>
      </c>
      <c r="M3792" s="20">
        <v>3</v>
      </c>
      <c r="N3792" s="19">
        <v>3.9903890469757529E-2</v>
      </c>
      <c r="O3792" s="19">
        <v>0</v>
      </c>
      <c r="P3792" s="19">
        <v>0.26163603382266976</v>
      </c>
      <c r="Q3792" s="19">
        <v>3.4095279664862342E-3</v>
      </c>
      <c r="R3792" s="19">
        <v>6.3181769491120615E-2</v>
      </c>
      <c r="S3792" s="19">
        <v>2.6277280547408954E-4</v>
      </c>
      <c r="T3792" s="20">
        <v>30</v>
      </c>
      <c r="U3792" s="17">
        <v>2</v>
      </c>
      <c r="V3792" s="17">
        <v>36</v>
      </c>
    </row>
    <row r="3793" spans="1:22" x14ac:dyDescent="0.2">
      <c r="A3793" t="s">
        <v>8424</v>
      </c>
      <c r="B3793" t="s">
        <v>7665</v>
      </c>
      <c r="C3793" t="s">
        <v>7666</v>
      </c>
      <c r="D3793" t="s">
        <v>8418</v>
      </c>
      <c r="E3793" s="10" t="s">
        <v>7676</v>
      </c>
      <c r="F3793" s="10"/>
      <c r="G3793" s="10"/>
      <c r="H3793" s="10" t="s">
        <v>7676</v>
      </c>
      <c r="I3793" s="14">
        <v>103534.20732535701</v>
      </c>
      <c r="J3793" s="19">
        <v>0</v>
      </c>
      <c r="K3793" s="19">
        <v>0.96102365738988005</v>
      </c>
      <c r="L3793" s="19">
        <v>3.8976342610119979E-2</v>
      </c>
      <c r="M3793" s="20">
        <v>2</v>
      </c>
      <c r="N3793" s="19">
        <v>0.13429795964416275</v>
      </c>
      <c r="O3793" s="19">
        <v>0</v>
      </c>
      <c r="P3793" s="19">
        <v>0.82672569774571725</v>
      </c>
      <c r="Q3793" s="19">
        <v>0</v>
      </c>
      <c r="R3793" s="19">
        <v>3.8976342610119979E-2</v>
      </c>
      <c r="S3793" s="19">
        <v>0</v>
      </c>
      <c r="T3793" s="20">
        <v>21</v>
      </c>
      <c r="U3793" s="17">
        <v>2</v>
      </c>
      <c r="V3793" s="17">
        <v>36</v>
      </c>
    </row>
    <row r="3794" spans="1:22" x14ac:dyDescent="0.2">
      <c r="A3794" t="s">
        <v>8425</v>
      </c>
      <c r="B3794" t="s">
        <v>7665</v>
      </c>
      <c r="C3794" t="s">
        <v>7666</v>
      </c>
      <c r="D3794" t="s">
        <v>8418</v>
      </c>
      <c r="E3794" s="10" t="s">
        <v>8426</v>
      </c>
      <c r="F3794" s="10"/>
      <c r="G3794" s="10"/>
      <c r="H3794" s="10" t="s">
        <v>8426</v>
      </c>
      <c r="I3794" s="14">
        <v>230390.90470662387</v>
      </c>
      <c r="J3794" s="19">
        <v>0.36289515145096496</v>
      </c>
      <c r="K3794" s="19">
        <v>0.49598195266580031</v>
      </c>
      <c r="L3794" s="19">
        <v>0.14112289588323476</v>
      </c>
      <c r="M3794" s="20">
        <v>2</v>
      </c>
      <c r="N3794" s="19">
        <v>0.11009773443969276</v>
      </c>
      <c r="O3794" s="19">
        <v>1.0554185821996177E-2</v>
      </c>
      <c r="P3794" s="19">
        <v>0.37533003240411139</v>
      </c>
      <c r="Q3794" s="19">
        <v>2.8338551078819856E-3</v>
      </c>
      <c r="R3794" s="19">
        <v>0.134305722976782</v>
      </c>
      <c r="S3794" s="19">
        <v>3.9833177985707574E-3</v>
      </c>
      <c r="T3794" s="20">
        <v>23</v>
      </c>
      <c r="U3794" s="17">
        <v>2</v>
      </c>
      <c r="V3794" s="17">
        <v>36</v>
      </c>
    </row>
    <row r="3795" spans="1:22" x14ac:dyDescent="0.2">
      <c r="A3795" t="s">
        <v>8427</v>
      </c>
      <c r="B3795" t="s">
        <v>7665</v>
      </c>
      <c r="C3795" t="s">
        <v>7666</v>
      </c>
      <c r="D3795" t="s">
        <v>8418</v>
      </c>
      <c r="E3795" s="10" t="s">
        <v>8428</v>
      </c>
      <c r="F3795" s="10"/>
      <c r="G3795" s="10"/>
      <c r="H3795" s="10" t="s">
        <v>8428</v>
      </c>
      <c r="I3795" s="14">
        <v>62747.340456252219</v>
      </c>
      <c r="J3795" s="19">
        <v>0</v>
      </c>
      <c r="K3795" s="19">
        <v>0.26593947104309035</v>
      </c>
      <c r="L3795" s="19">
        <v>0.73406052895690943</v>
      </c>
      <c r="M3795" s="20">
        <v>1</v>
      </c>
      <c r="N3795" s="19">
        <v>0</v>
      </c>
      <c r="O3795" s="19">
        <v>0.25427391545409123</v>
      </c>
      <c r="P3795" s="19">
        <v>1.1665555588999121E-2</v>
      </c>
      <c r="Q3795" s="19">
        <v>0.21959010680330515</v>
      </c>
      <c r="R3795" s="19">
        <v>0.47845807281403024</v>
      </c>
      <c r="S3795" s="19">
        <v>3.6012349339574243E-2</v>
      </c>
      <c r="T3795" s="20">
        <v>12</v>
      </c>
      <c r="U3795" s="17">
        <v>2</v>
      </c>
      <c r="V3795" s="17">
        <v>36</v>
      </c>
    </row>
    <row r="3796" spans="1:22" x14ac:dyDescent="0.2">
      <c r="A3796" t="s">
        <v>8429</v>
      </c>
      <c r="B3796" t="s">
        <v>7665</v>
      </c>
      <c r="C3796" t="s">
        <v>7666</v>
      </c>
      <c r="D3796" t="s">
        <v>8418</v>
      </c>
      <c r="E3796" s="10" t="s">
        <v>8430</v>
      </c>
      <c r="F3796" s="10"/>
      <c r="G3796" s="10"/>
      <c r="H3796" s="10" t="s">
        <v>8430</v>
      </c>
      <c r="I3796" s="14">
        <v>48950.938314791769</v>
      </c>
      <c r="J3796" s="19">
        <v>0</v>
      </c>
      <c r="K3796" s="19">
        <v>0.72408477775883784</v>
      </c>
      <c r="L3796" s="19">
        <v>0.27591522224116216</v>
      </c>
      <c r="M3796" s="20">
        <v>2</v>
      </c>
      <c r="N3796" s="19">
        <v>0.42316566604537814</v>
      </c>
      <c r="O3796" s="19">
        <v>1.4961513844904934E-4</v>
      </c>
      <c r="P3796" s="19">
        <v>0.30076949657501068</v>
      </c>
      <c r="Q3796" s="19">
        <v>3.6310266848946983E-2</v>
      </c>
      <c r="R3796" s="19">
        <v>0.22532016531780874</v>
      </c>
      <c r="S3796" s="19">
        <v>1.4284790074406419E-2</v>
      </c>
      <c r="T3796" s="20">
        <v>23</v>
      </c>
      <c r="U3796" s="17">
        <v>2</v>
      </c>
      <c r="V3796" s="17">
        <v>36</v>
      </c>
    </row>
    <row r="3797" spans="1:22" x14ac:dyDescent="0.2">
      <c r="A3797" t="s">
        <v>8431</v>
      </c>
      <c r="B3797" t="s">
        <v>7665</v>
      </c>
      <c r="C3797" t="s">
        <v>7666</v>
      </c>
      <c r="D3797" t="s">
        <v>8418</v>
      </c>
      <c r="E3797" s="10" t="s">
        <v>8432</v>
      </c>
      <c r="F3797" s="10"/>
      <c r="G3797" s="10"/>
      <c r="H3797" s="10" t="s">
        <v>8432</v>
      </c>
      <c r="I3797" s="14">
        <v>24453.390070675407</v>
      </c>
      <c r="J3797" s="19">
        <v>0</v>
      </c>
      <c r="K3797" s="19">
        <v>0.13194542475175031</v>
      </c>
      <c r="L3797" s="19">
        <v>0.86805457524824969</v>
      </c>
      <c r="M3797" s="20">
        <v>1</v>
      </c>
      <c r="N3797" s="19">
        <v>2.7433781813486467E-2</v>
      </c>
      <c r="O3797" s="19">
        <v>0</v>
      </c>
      <c r="P3797" s="19">
        <v>0.10451164293826384</v>
      </c>
      <c r="Q3797" s="19">
        <v>0.25920517088742007</v>
      </c>
      <c r="R3797" s="19">
        <v>0.4919907620591018</v>
      </c>
      <c r="S3797" s="19">
        <v>0.11685864230172786</v>
      </c>
      <c r="T3797" s="20">
        <v>12</v>
      </c>
      <c r="U3797" s="17">
        <v>2</v>
      </c>
      <c r="V3797" s="17">
        <v>36</v>
      </c>
    </row>
    <row r="3798" spans="1:22" x14ac:dyDescent="0.2">
      <c r="A3798" t="s">
        <v>8433</v>
      </c>
      <c r="B3798" t="s">
        <v>7665</v>
      </c>
      <c r="C3798" t="s">
        <v>7666</v>
      </c>
      <c r="D3798" t="s">
        <v>8418</v>
      </c>
      <c r="E3798" s="10" t="s">
        <v>8434</v>
      </c>
      <c r="F3798" s="10"/>
      <c r="G3798" s="10"/>
      <c r="H3798" s="10" t="s">
        <v>8434</v>
      </c>
      <c r="I3798" s="14">
        <v>141747.91348905675</v>
      </c>
      <c r="J3798" s="19">
        <v>0.76747385661677636</v>
      </c>
      <c r="K3798" s="19">
        <v>0.22583544227578164</v>
      </c>
      <c r="L3798" s="19">
        <v>6.690701107441935E-3</v>
      </c>
      <c r="M3798" s="20">
        <v>3</v>
      </c>
      <c r="N3798" s="19">
        <v>0</v>
      </c>
      <c r="O3798" s="19">
        <v>0</v>
      </c>
      <c r="P3798" s="19">
        <v>0.22583544227578164</v>
      </c>
      <c r="Q3798" s="19">
        <v>0</v>
      </c>
      <c r="R3798" s="19">
        <v>6.690701107441935E-3</v>
      </c>
      <c r="S3798" s="19">
        <v>0</v>
      </c>
      <c r="T3798" s="20">
        <v>30</v>
      </c>
      <c r="U3798" s="17">
        <v>2</v>
      </c>
      <c r="V3798" s="17">
        <v>36</v>
      </c>
    </row>
    <row r="3799" spans="1:22" x14ac:dyDescent="0.2">
      <c r="A3799" t="s">
        <v>8435</v>
      </c>
      <c r="B3799" t="s">
        <v>7665</v>
      </c>
      <c r="C3799" t="s">
        <v>7666</v>
      </c>
      <c r="D3799" t="s">
        <v>8418</v>
      </c>
      <c r="E3799" s="10" t="s">
        <v>8436</v>
      </c>
      <c r="F3799" s="10"/>
      <c r="G3799" s="10"/>
      <c r="H3799" s="10" t="s">
        <v>8436</v>
      </c>
      <c r="I3799" s="14">
        <v>50384.347668361392</v>
      </c>
      <c r="J3799" s="19">
        <v>0</v>
      </c>
      <c r="K3799" s="19">
        <v>0.29169386420178023</v>
      </c>
      <c r="L3799" s="19">
        <v>0.70830613579821966</v>
      </c>
      <c r="M3799" s="20">
        <v>1</v>
      </c>
      <c r="N3799" s="19">
        <v>0.16279742162066366</v>
      </c>
      <c r="O3799" s="19">
        <v>0</v>
      </c>
      <c r="P3799" s="19">
        <v>0.12889644258111657</v>
      </c>
      <c r="Q3799" s="19">
        <v>0.24585992644317012</v>
      </c>
      <c r="R3799" s="19">
        <v>0.40112625670023783</v>
      </c>
      <c r="S3799" s="19">
        <v>6.1319952654811632E-2</v>
      </c>
      <c r="T3799" s="20">
        <v>12</v>
      </c>
      <c r="U3799" s="17">
        <v>2</v>
      </c>
      <c r="V3799" s="17">
        <v>36</v>
      </c>
    </row>
    <row r="3800" spans="1:22" x14ac:dyDescent="0.2">
      <c r="A3800" t="s">
        <v>8437</v>
      </c>
      <c r="B3800" t="s">
        <v>7665</v>
      </c>
      <c r="C3800" t="s">
        <v>7666</v>
      </c>
      <c r="D3800" t="s">
        <v>8418</v>
      </c>
      <c r="E3800" s="10" t="s">
        <v>8438</v>
      </c>
      <c r="F3800" s="10"/>
      <c r="G3800" s="10"/>
      <c r="H3800" s="10" t="s">
        <v>8438</v>
      </c>
      <c r="I3800" s="14">
        <v>80415.577286561485</v>
      </c>
      <c r="J3800" s="19">
        <v>0</v>
      </c>
      <c r="K3800" s="19">
        <v>0.37787847764216326</v>
      </c>
      <c r="L3800" s="19">
        <v>0.62212152235783669</v>
      </c>
      <c r="M3800" s="20">
        <v>1</v>
      </c>
      <c r="N3800" s="19">
        <v>0.10480588179430393</v>
      </c>
      <c r="O3800" s="19">
        <v>0.13967562546016932</v>
      </c>
      <c r="P3800" s="19">
        <v>0.13339697038769002</v>
      </c>
      <c r="Q3800" s="19">
        <v>0.15756147737474582</v>
      </c>
      <c r="R3800" s="19">
        <v>0.44017908517717313</v>
      </c>
      <c r="S3800" s="19">
        <v>2.4380959805917771E-2</v>
      </c>
      <c r="T3800" s="20">
        <v>12</v>
      </c>
      <c r="U3800" s="17">
        <v>2</v>
      </c>
      <c r="V3800" s="17">
        <v>36</v>
      </c>
    </row>
    <row r="3801" spans="1:22" x14ac:dyDescent="0.2">
      <c r="A3801" t="s">
        <v>8439</v>
      </c>
      <c r="B3801" t="s">
        <v>7665</v>
      </c>
      <c r="C3801" t="s">
        <v>7666</v>
      </c>
      <c r="D3801" t="s">
        <v>8418</v>
      </c>
      <c r="E3801" s="10" t="s">
        <v>8440</v>
      </c>
      <c r="F3801" s="10"/>
      <c r="G3801" s="10"/>
      <c r="H3801" s="10" t="s">
        <v>8440</v>
      </c>
      <c r="I3801" s="14">
        <v>63510.307381741004</v>
      </c>
      <c r="J3801" s="19">
        <v>2.8694550549485435E-4</v>
      </c>
      <c r="K3801" s="19">
        <v>0.98027422952529131</v>
      </c>
      <c r="L3801" s="19">
        <v>1.9438824969213855E-2</v>
      </c>
      <c r="M3801" s="20">
        <v>2</v>
      </c>
      <c r="N3801" s="19">
        <v>2.0931428850161058E-2</v>
      </c>
      <c r="O3801" s="19">
        <v>0</v>
      </c>
      <c r="P3801" s="19">
        <v>0.95934280067513023</v>
      </c>
      <c r="Q3801" s="19">
        <v>0</v>
      </c>
      <c r="R3801" s="19">
        <v>1.9438824969213855E-2</v>
      </c>
      <c r="S3801" s="19">
        <v>0</v>
      </c>
      <c r="T3801" s="20">
        <v>21</v>
      </c>
      <c r="U3801" s="17">
        <v>2</v>
      </c>
      <c r="V3801" s="17">
        <v>36</v>
      </c>
    </row>
    <row r="3802" spans="1:22" x14ac:dyDescent="0.2">
      <c r="A3802" t="s">
        <v>8441</v>
      </c>
      <c r="B3802" t="s">
        <v>7665</v>
      </c>
      <c r="C3802" t="s">
        <v>7666</v>
      </c>
      <c r="D3802" t="s">
        <v>8418</v>
      </c>
      <c r="E3802" s="10" t="s">
        <v>8442</v>
      </c>
      <c r="F3802" s="10"/>
      <c r="G3802" s="10"/>
      <c r="H3802" s="10" t="s">
        <v>8442</v>
      </c>
      <c r="I3802" s="14">
        <v>56751.515621066559</v>
      </c>
      <c r="J3802" s="19">
        <v>0</v>
      </c>
      <c r="K3802" s="19">
        <v>0.5009422493286142</v>
      </c>
      <c r="L3802" s="19">
        <v>0.4990577506713858</v>
      </c>
      <c r="M3802" s="20">
        <v>2</v>
      </c>
      <c r="N3802" s="19">
        <v>0</v>
      </c>
      <c r="O3802" s="19">
        <v>0.41113785889322985</v>
      </c>
      <c r="P3802" s="19">
        <v>8.9804390435384379E-2</v>
      </c>
      <c r="Q3802" s="19">
        <v>2.8861382494881994E-2</v>
      </c>
      <c r="R3802" s="19">
        <v>0.41277479820684243</v>
      </c>
      <c r="S3802" s="19">
        <v>5.7421569969661357E-2</v>
      </c>
      <c r="T3802" s="20">
        <v>22</v>
      </c>
      <c r="U3802" s="17">
        <v>2</v>
      </c>
      <c r="V3802" s="17">
        <v>36</v>
      </c>
    </row>
    <row r="3803" spans="1:22" x14ac:dyDescent="0.2">
      <c r="A3803" t="s">
        <v>8443</v>
      </c>
      <c r="B3803" t="s">
        <v>7665</v>
      </c>
      <c r="C3803" t="s">
        <v>7666</v>
      </c>
      <c r="D3803" t="s">
        <v>8418</v>
      </c>
      <c r="E3803" s="10" t="s">
        <v>8444</v>
      </c>
      <c r="F3803" s="10"/>
      <c r="G3803" s="10"/>
      <c r="H3803" s="10" t="s">
        <v>8444</v>
      </c>
      <c r="I3803" s="14">
        <v>94705.790483790683</v>
      </c>
      <c r="J3803" s="19">
        <v>8.3544683094288578E-3</v>
      </c>
      <c r="K3803" s="19">
        <v>0.79385156715314231</v>
      </c>
      <c r="L3803" s="19">
        <v>0.19779396453742881</v>
      </c>
      <c r="M3803" s="20">
        <v>2</v>
      </c>
      <c r="N3803" s="19">
        <v>0.27917662049130149</v>
      </c>
      <c r="O3803" s="19">
        <v>0</v>
      </c>
      <c r="P3803" s="19">
        <v>0.51467494666184088</v>
      </c>
      <c r="Q3803" s="19">
        <v>2.1703779126807845E-2</v>
      </c>
      <c r="R3803" s="19">
        <v>0.1609980380780936</v>
      </c>
      <c r="S3803" s="19">
        <v>1.5092147332527324E-2</v>
      </c>
      <c r="T3803" s="20">
        <v>21</v>
      </c>
      <c r="U3803" s="17">
        <v>2</v>
      </c>
      <c r="V3803" s="17">
        <v>36</v>
      </c>
    </row>
    <row r="3804" spans="1:22" x14ac:dyDescent="0.2">
      <c r="A3804" t="s">
        <v>8445</v>
      </c>
      <c r="B3804" t="s">
        <v>7665</v>
      </c>
      <c r="C3804" t="s">
        <v>7666</v>
      </c>
      <c r="D3804" t="s">
        <v>8418</v>
      </c>
      <c r="E3804" s="10" t="s">
        <v>8446</v>
      </c>
      <c r="F3804" s="10"/>
      <c r="G3804" s="10"/>
      <c r="H3804" s="10" t="s">
        <v>8446</v>
      </c>
      <c r="I3804" s="14">
        <v>52291.421162878163</v>
      </c>
      <c r="J3804" s="19">
        <v>0</v>
      </c>
      <c r="K3804" s="19">
        <v>0.30669756944361459</v>
      </c>
      <c r="L3804" s="19">
        <v>0.69330243055638552</v>
      </c>
      <c r="M3804" s="20">
        <v>1</v>
      </c>
      <c r="N3804" s="19">
        <v>0.23572230080654971</v>
      </c>
      <c r="O3804" s="19">
        <v>0</v>
      </c>
      <c r="P3804" s="19">
        <v>7.0975268637064895E-2</v>
      </c>
      <c r="Q3804" s="19">
        <v>0.26123628456151854</v>
      </c>
      <c r="R3804" s="19">
        <v>0.38259487868122993</v>
      </c>
      <c r="S3804" s="19">
        <v>4.9471267313636935E-2</v>
      </c>
      <c r="T3804" s="20">
        <v>12</v>
      </c>
      <c r="U3804" s="17">
        <v>2</v>
      </c>
      <c r="V3804" s="17">
        <v>36</v>
      </c>
    </row>
    <row r="3805" spans="1:22" x14ac:dyDescent="0.2">
      <c r="A3805" t="s">
        <v>8447</v>
      </c>
      <c r="B3805" t="s">
        <v>7665</v>
      </c>
      <c r="C3805" t="s">
        <v>7666</v>
      </c>
      <c r="D3805" t="s">
        <v>8448</v>
      </c>
      <c r="E3805" s="10" t="s">
        <v>8449</v>
      </c>
      <c r="F3805" s="10"/>
      <c r="G3805" s="10"/>
      <c r="H3805" s="10" t="s">
        <v>8449</v>
      </c>
      <c r="I3805" s="14">
        <v>195056.36910501585</v>
      </c>
      <c r="J3805" s="19">
        <v>0.30334880968996908</v>
      </c>
      <c r="K3805" s="19">
        <v>0.66928067971923078</v>
      </c>
      <c r="L3805" s="19">
        <v>2.7370510590800326E-2</v>
      </c>
      <c r="M3805" s="20">
        <v>2</v>
      </c>
      <c r="N3805" s="19">
        <v>0.23082504404122589</v>
      </c>
      <c r="O3805" s="19">
        <v>0</v>
      </c>
      <c r="P3805" s="19">
        <v>0.43845563567800488</v>
      </c>
      <c r="Q3805" s="19">
        <v>0</v>
      </c>
      <c r="R3805" s="19">
        <v>2.6673725889397648E-2</v>
      </c>
      <c r="S3805" s="19">
        <v>6.9678470140268126E-4</v>
      </c>
      <c r="T3805" s="20">
        <v>23</v>
      </c>
      <c r="U3805" s="17">
        <v>2</v>
      </c>
      <c r="V3805" s="17">
        <v>36</v>
      </c>
    </row>
    <row r="3806" spans="1:22" x14ac:dyDescent="0.2">
      <c r="A3806" t="s">
        <v>8450</v>
      </c>
      <c r="B3806" t="s">
        <v>7665</v>
      </c>
      <c r="C3806" t="s">
        <v>7666</v>
      </c>
      <c r="D3806" t="s">
        <v>8448</v>
      </c>
      <c r="E3806" s="10" t="s">
        <v>8451</v>
      </c>
      <c r="F3806" s="10"/>
      <c r="G3806" s="10"/>
      <c r="H3806" s="10" t="s">
        <v>8451</v>
      </c>
      <c r="I3806" s="14">
        <v>265438.71662173304</v>
      </c>
      <c r="J3806" s="19">
        <v>0.40143318293354585</v>
      </c>
      <c r="K3806" s="19">
        <v>0.57531164531011847</v>
      </c>
      <c r="L3806" s="19">
        <v>2.3255171756335628E-2</v>
      </c>
      <c r="M3806" s="20">
        <v>2</v>
      </c>
      <c r="N3806" s="19">
        <v>0.20912684106519511</v>
      </c>
      <c r="O3806" s="19">
        <v>0</v>
      </c>
      <c r="P3806" s="19">
        <v>0.36618480424492339</v>
      </c>
      <c r="Q3806" s="19">
        <v>0</v>
      </c>
      <c r="R3806" s="19">
        <v>2.3133907369730977E-2</v>
      </c>
      <c r="S3806" s="19">
        <v>1.2126438660465136E-4</v>
      </c>
      <c r="T3806" s="20">
        <v>23</v>
      </c>
      <c r="U3806" s="17">
        <v>2</v>
      </c>
      <c r="V3806" s="17">
        <v>36</v>
      </c>
    </row>
    <row r="3807" spans="1:22" x14ac:dyDescent="0.2">
      <c r="A3807" t="s">
        <v>8452</v>
      </c>
      <c r="B3807" t="s">
        <v>7665</v>
      </c>
      <c r="C3807" t="s">
        <v>7666</v>
      </c>
      <c r="D3807" t="s">
        <v>8448</v>
      </c>
      <c r="E3807" s="10" t="s">
        <v>8453</v>
      </c>
      <c r="F3807" s="10"/>
      <c r="G3807" s="10"/>
      <c r="H3807" s="10" t="s">
        <v>8453</v>
      </c>
      <c r="I3807" s="14">
        <v>71955.229558297666</v>
      </c>
      <c r="J3807" s="19">
        <v>0.57740526860511077</v>
      </c>
      <c r="K3807" s="19">
        <v>0.40801727537968002</v>
      </c>
      <c r="L3807" s="19">
        <v>1.4577456015209267E-2</v>
      </c>
      <c r="M3807" s="20">
        <v>3</v>
      </c>
      <c r="N3807" s="19">
        <v>0</v>
      </c>
      <c r="O3807" s="19">
        <v>0</v>
      </c>
      <c r="P3807" s="19">
        <v>0.40801727537968002</v>
      </c>
      <c r="Q3807" s="19">
        <v>0</v>
      </c>
      <c r="R3807" s="19">
        <v>1.3564607690134537E-2</v>
      </c>
      <c r="S3807" s="19">
        <v>1.0128483250747293E-3</v>
      </c>
      <c r="T3807" s="20">
        <v>30</v>
      </c>
      <c r="U3807" s="17">
        <v>2</v>
      </c>
      <c r="V3807" s="17">
        <v>36</v>
      </c>
    </row>
    <row r="3808" spans="1:22" x14ac:dyDescent="0.2">
      <c r="A3808" t="s">
        <v>8454</v>
      </c>
      <c r="B3808" t="s">
        <v>7665</v>
      </c>
      <c r="C3808" t="s">
        <v>7666</v>
      </c>
      <c r="D3808" t="s">
        <v>8448</v>
      </c>
      <c r="E3808" s="10" t="s">
        <v>8448</v>
      </c>
      <c r="F3808" s="10"/>
      <c r="G3808" s="10"/>
      <c r="H3808" s="10" t="s">
        <v>8448</v>
      </c>
      <c r="I3808" s="14">
        <v>251759.65975693776</v>
      </c>
      <c r="J3808" s="19">
        <v>0.97027345388435227</v>
      </c>
      <c r="K3808" s="19">
        <v>2.8927741959974267E-2</v>
      </c>
      <c r="L3808" s="19">
        <v>7.9880415567342865E-4</v>
      </c>
      <c r="M3808" s="20">
        <v>3</v>
      </c>
      <c r="N3808" s="19">
        <v>7.3187451775339407E-4</v>
      </c>
      <c r="O3808" s="19">
        <v>0</v>
      </c>
      <c r="P3808" s="19">
        <v>2.8195867442220867E-2</v>
      </c>
      <c r="Q3808" s="19">
        <v>0</v>
      </c>
      <c r="R3808" s="19">
        <v>7.9880415567342865E-4</v>
      </c>
      <c r="S3808" s="19">
        <v>0</v>
      </c>
      <c r="T3808" s="20">
        <v>30</v>
      </c>
      <c r="U3808" s="17">
        <v>2</v>
      </c>
      <c r="V3808" s="17">
        <v>36</v>
      </c>
    </row>
    <row r="3809" spans="1:22" x14ac:dyDescent="0.2">
      <c r="A3809" t="s">
        <v>8455</v>
      </c>
      <c r="B3809" t="s">
        <v>7665</v>
      </c>
      <c r="C3809" t="s">
        <v>7666</v>
      </c>
      <c r="D3809" t="s">
        <v>8448</v>
      </c>
      <c r="E3809" s="10" t="s">
        <v>8456</v>
      </c>
      <c r="F3809" s="10"/>
      <c r="G3809" s="10"/>
      <c r="H3809" s="10" t="s">
        <v>8456</v>
      </c>
      <c r="I3809" s="14">
        <v>200413.32218594034</v>
      </c>
      <c r="J3809" s="19">
        <v>9.2816738413522393E-2</v>
      </c>
      <c r="K3809" s="19">
        <v>0.88850329735512212</v>
      </c>
      <c r="L3809" s="19">
        <v>1.8679964231355504E-2</v>
      </c>
      <c r="M3809" s="20">
        <v>2</v>
      </c>
      <c r="N3809" s="19">
        <v>0.41621972609705765</v>
      </c>
      <c r="O3809" s="19">
        <v>0</v>
      </c>
      <c r="P3809" s="19">
        <v>0.47228357125806442</v>
      </c>
      <c r="Q3809" s="19">
        <v>0</v>
      </c>
      <c r="R3809" s="19">
        <v>1.796767750579659E-2</v>
      </c>
      <c r="S3809" s="19">
        <v>7.1228672555891451E-4</v>
      </c>
      <c r="T3809" s="20">
        <v>23</v>
      </c>
      <c r="U3809" s="17">
        <v>2</v>
      </c>
      <c r="V3809" s="17">
        <v>36</v>
      </c>
    </row>
    <row r="3810" spans="1:22" x14ac:dyDescent="0.2">
      <c r="A3810" t="s">
        <v>8457</v>
      </c>
      <c r="B3810" t="s">
        <v>7665</v>
      </c>
      <c r="C3810" t="s">
        <v>7666</v>
      </c>
      <c r="D3810" t="s">
        <v>8448</v>
      </c>
      <c r="E3810" s="10" t="s">
        <v>8458</v>
      </c>
      <c r="F3810" s="10"/>
      <c r="G3810" s="10"/>
      <c r="H3810" s="10" t="s">
        <v>8458</v>
      </c>
      <c r="I3810" s="14">
        <v>185588.82684855955</v>
      </c>
      <c r="J3810" s="19">
        <v>2.9400717290778769E-2</v>
      </c>
      <c r="K3810" s="19">
        <v>0.94372944754557475</v>
      </c>
      <c r="L3810" s="19">
        <v>2.6869835163646508E-2</v>
      </c>
      <c r="M3810" s="20">
        <v>2</v>
      </c>
      <c r="N3810" s="19">
        <v>0.29148252326379503</v>
      </c>
      <c r="O3810" s="19">
        <v>0</v>
      </c>
      <c r="P3810" s="19">
        <v>0.65224692428177955</v>
      </c>
      <c r="Q3810" s="19">
        <v>0</v>
      </c>
      <c r="R3810" s="19">
        <v>2.5988188154580663E-2</v>
      </c>
      <c r="S3810" s="19">
        <v>8.8164700906584307E-4</v>
      </c>
      <c r="T3810" s="20">
        <v>21</v>
      </c>
      <c r="U3810" s="17">
        <v>2</v>
      </c>
      <c r="V3810" s="17">
        <v>36</v>
      </c>
    </row>
    <row r="3811" spans="1:22" x14ac:dyDescent="0.2">
      <c r="A3811" t="s">
        <v>8459</v>
      </c>
      <c r="B3811" t="s">
        <v>7665</v>
      </c>
      <c r="C3811" t="s">
        <v>7666</v>
      </c>
      <c r="D3811" t="s">
        <v>8448</v>
      </c>
      <c r="E3811" s="10" t="s">
        <v>8460</v>
      </c>
      <c r="F3811" s="10"/>
      <c r="G3811" s="10"/>
      <c r="H3811" s="10" t="s">
        <v>8460</v>
      </c>
      <c r="I3811" s="14">
        <v>182740.6216514241</v>
      </c>
      <c r="J3811" s="19">
        <v>0.42550247307033967</v>
      </c>
      <c r="K3811" s="19">
        <v>0.56102146149450449</v>
      </c>
      <c r="L3811" s="19">
        <v>1.3476065435155839E-2</v>
      </c>
      <c r="M3811" s="20">
        <v>2</v>
      </c>
      <c r="N3811" s="19">
        <v>0.16228611818815641</v>
      </c>
      <c r="O3811" s="19">
        <v>0</v>
      </c>
      <c r="P3811" s="19">
        <v>0.39873534330634808</v>
      </c>
      <c r="Q3811" s="19">
        <v>0</v>
      </c>
      <c r="R3811" s="19">
        <v>1.3464190170946725E-2</v>
      </c>
      <c r="S3811" s="19">
        <v>1.1875264209111394E-5</v>
      </c>
      <c r="T3811" s="20">
        <v>23</v>
      </c>
      <c r="U3811" s="17">
        <v>2</v>
      </c>
      <c r="V3811" s="17">
        <v>36</v>
      </c>
    </row>
    <row r="3812" spans="1:22" x14ac:dyDescent="0.2">
      <c r="A3812" t="s">
        <v>8461</v>
      </c>
      <c r="B3812" t="s">
        <v>7665</v>
      </c>
      <c r="C3812" t="s">
        <v>7666</v>
      </c>
      <c r="D3812" t="s">
        <v>8448</v>
      </c>
      <c r="E3812" s="10" t="s">
        <v>8462</v>
      </c>
      <c r="F3812" s="10"/>
      <c r="G3812" s="10"/>
      <c r="H3812" s="10" t="s">
        <v>8462</v>
      </c>
      <c r="I3812" s="14">
        <v>134015.81410124456</v>
      </c>
      <c r="J3812" s="19">
        <v>1.5960610126601972E-2</v>
      </c>
      <c r="K3812" s="19">
        <v>0.9445139328587655</v>
      </c>
      <c r="L3812" s="19">
        <v>3.9525457014632559E-2</v>
      </c>
      <c r="M3812" s="20">
        <v>2</v>
      </c>
      <c r="N3812" s="19">
        <v>0.189756472917258</v>
      </c>
      <c r="O3812" s="19">
        <v>0</v>
      </c>
      <c r="P3812" s="19">
        <v>0.75475745994150745</v>
      </c>
      <c r="Q3812" s="19">
        <v>0</v>
      </c>
      <c r="R3812" s="19">
        <v>3.9023443315620646E-2</v>
      </c>
      <c r="S3812" s="19">
        <v>5.0201369901191708E-4</v>
      </c>
      <c r="T3812" s="20">
        <v>21</v>
      </c>
      <c r="U3812" s="17">
        <v>2</v>
      </c>
      <c r="V3812" s="17">
        <v>36</v>
      </c>
    </row>
    <row r="3813" spans="1:22" x14ac:dyDescent="0.2">
      <c r="A3813" t="s">
        <v>8463</v>
      </c>
      <c r="B3813" t="s">
        <v>7665</v>
      </c>
      <c r="C3813" t="s">
        <v>7666</v>
      </c>
      <c r="D3813" t="s">
        <v>8448</v>
      </c>
      <c r="E3813" s="10" t="s">
        <v>8464</v>
      </c>
      <c r="F3813" s="10"/>
      <c r="G3813" s="10"/>
      <c r="H3813" s="10" t="s">
        <v>8464</v>
      </c>
      <c r="I3813" s="14">
        <v>173886.61350147775</v>
      </c>
      <c r="J3813" s="19">
        <v>0.30631322734694022</v>
      </c>
      <c r="K3813" s="19">
        <v>0.68653712840346881</v>
      </c>
      <c r="L3813" s="19">
        <v>7.1496442495909704E-3</v>
      </c>
      <c r="M3813" s="20">
        <v>2</v>
      </c>
      <c r="N3813" s="19">
        <v>0.40594671737189875</v>
      </c>
      <c r="O3813" s="19">
        <v>0</v>
      </c>
      <c r="P3813" s="19">
        <v>0.28059041103157006</v>
      </c>
      <c r="Q3813" s="19">
        <v>0</v>
      </c>
      <c r="R3813" s="19">
        <v>7.1293201634559039E-3</v>
      </c>
      <c r="S3813" s="19">
        <v>2.0324086135066521E-5</v>
      </c>
      <c r="T3813" s="20">
        <v>23</v>
      </c>
      <c r="U3813" s="17">
        <v>2</v>
      </c>
      <c r="V3813" s="17">
        <v>36</v>
      </c>
    </row>
    <row r="3814" spans="1:22" x14ac:dyDescent="0.2">
      <c r="A3814" t="s">
        <v>8465</v>
      </c>
      <c r="B3814" t="s">
        <v>7665</v>
      </c>
      <c r="C3814" t="s">
        <v>7666</v>
      </c>
      <c r="D3814" t="s">
        <v>8448</v>
      </c>
      <c r="E3814" s="10" t="s">
        <v>8466</v>
      </c>
      <c r="F3814" s="10"/>
      <c r="G3814" s="10"/>
      <c r="H3814" s="10" t="s">
        <v>8466</v>
      </c>
      <c r="I3814" s="14">
        <v>235445.72393354005</v>
      </c>
      <c r="J3814" s="19">
        <v>5.6599762260156755E-3</v>
      </c>
      <c r="K3814" s="19">
        <v>0.9597838067879001</v>
      </c>
      <c r="L3814" s="19">
        <v>3.4556216986084097E-2</v>
      </c>
      <c r="M3814" s="20">
        <v>2</v>
      </c>
      <c r="N3814" s="19">
        <v>0.23926735164663968</v>
      </c>
      <c r="O3814" s="19">
        <v>0</v>
      </c>
      <c r="P3814" s="19">
        <v>0.7205164551412605</v>
      </c>
      <c r="Q3814" s="19">
        <v>0</v>
      </c>
      <c r="R3814" s="19">
        <v>3.3341711413279226E-2</v>
      </c>
      <c r="S3814" s="19">
        <v>1.2145055728048711E-3</v>
      </c>
      <c r="T3814" s="20">
        <v>21</v>
      </c>
      <c r="U3814" s="17">
        <v>2</v>
      </c>
      <c r="V3814" s="17">
        <v>36</v>
      </c>
    </row>
    <row r="3815" spans="1:22" x14ac:dyDescent="0.2">
      <c r="A3815" t="s">
        <v>8467</v>
      </c>
      <c r="B3815" t="s">
        <v>7665</v>
      </c>
      <c r="C3815" t="s">
        <v>7666</v>
      </c>
      <c r="D3815" t="s">
        <v>8468</v>
      </c>
      <c r="E3815" s="10" t="s">
        <v>8469</v>
      </c>
      <c r="F3815" s="10"/>
      <c r="G3815" s="10"/>
      <c r="H3815" s="10" t="s">
        <v>8469</v>
      </c>
      <c r="I3815" s="14">
        <v>102144.97935597226</v>
      </c>
      <c r="J3815" s="19">
        <v>0</v>
      </c>
      <c r="K3815" s="19">
        <v>0.7514089246331479</v>
      </c>
      <c r="L3815" s="19">
        <v>0.24859107536685204</v>
      </c>
      <c r="M3815" s="20">
        <v>2</v>
      </c>
      <c r="N3815" s="19">
        <v>0.13562064217637795</v>
      </c>
      <c r="O3815" s="19">
        <v>0.16101272895983137</v>
      </c>
      <c r="P3815" s="19">
        <v>0.4547755534969386</v>
      </c>
      <c r="Q3815" s="19">
        <v>6.028915871785543E-2</v>
      </c>
      <c r="R3815" s="19">
        <v>0.16270642910326302</v>
      </c>
      <c r="S3815" s="19">
        <v>2.5595487545733597E-2</v>
      </c>
      <c r="T3815" s="20">
        <v>22</v>
      </c>
      <c r="U3815" s="17">
        <v>2</v>
      </c>
      <c r="V3815" s="17">
        <v>36</v>
      </c>
    </row>
    <row r="3816" spans="1:22" x14ac:dyDescent="0.2">
      <c r="A3816" t="s">
        <v>8470</v>
      </c>
      <c r="B3816" t="s">
        <v>7665</v>
      </c>
      <c r="C3816" t="s">
        <v>7666</v>
      </c>
      <c r="D3816" t="s">
        <v>8468</v>
      </c>
      <c r="E3816" s="10" t="s">
        <v>8471</v>
      </c>
      <c r="F3816" s="10"/>
      <c r="G3816" s="10"/>
      <c r="H3816" s="10" t="s">
        <v>8471</v>
      </c>
      <c r="I3816" s="14">
        <v>55267.387500151766</v>
      </c>
      <c r="J3816" s="19">
        <v>0</v>
      </c>
      <c r="K3816" s="19">
        <v>0.9845356734510804</v>
      </c>
      <c r="L3816" s="19">
        <v>1.5464326548919461E-2</v>
      </c>
      <c r="M3816" s="20">
        <v>2</v>
      </c>
      <c r="N3816" s="19">
        <v>0.89715548283176483</v>
      </c>
      <c r="O3816" s="19">
        <v>0</v>
      </c>
      <c r="P3816" s="19">
        <v>8.7380190619315623E-2</v>
      </c>
      <c r="Q3816" s="19">
        <v>0</v>
      </c>
      <c r="R3816" s="19">
        <v>1.5361515645737553E-2</v>
      </c>
      <c r="S3816" s="19">
        <v>1.0281090318190908E-4</v>
      </c>
      <c r="T3816" s="20">
        <v>23</v>
      </c>
      <c r="U3816" s="17">
        <v>2</v>
      </c>
      <c r="V3816" s="17">
        <v>36</v>
      </c>
    </row>
    <row r="3817" spans="1:22" x14ac:dyDescent="0.2">
      <c r="A3817" t="s">
        <v>8472</v>
      </c>
      <c r="B3817" t="s">
        <v>7665</v>
      </c>
      <c r="C3817" t="s">
        <v>7666</v>
      </c>
      <c r="D3817" t="s">
        <v>8468</v>
      </c>
      <c r="E3817" s="10" t="s">
        <v>8473</v>
      </c>
      <c r="F3817" s="10"/>
      <c r="G3817" s="10"/>
      <c r="H3817" s="10" t="s">
        <v>8473</v>
      </c>
      <c r="I3817" s="14">
        <v>65625.110758488066</v>
      </c>
      <c r="J3817" s="19">
        <v>0</v>
      </c>
      <c r="K3817" s="19">
        <v>0.41390287084049399</v>
      </c>
      <c r="L3817" s="19">
        <v>0.58609712915950596</v>
      </c>
      <c r="M3817" s="20">
        <v>1</v>
      </c>
      <c r="N3817" s="19">
        <v>9.2603612886962283E-2</v>
      </c>
      <c r="O3817" s="19">
        <v>9.3370036092955827E-2</v>
      </c>
      <c r="P3817" s="19">
        <v>0.22792922186057588</v>
      </c>
      <c r="Q3817" s="19">
        <v>0.27094155974533413</v>
      </c>
      <c r="R3817" s="19">
        <v>0.2730871976643261</v>
      </c>
      <c r="S3817" s="19">
        <v>4.2068371749845825E-2</v>
      </c>
      <c r="T3817" s="20">
        <v>12</v>
      </c>
      <c r="U3817" s="17">
        <v>2</v>
      </c>
      <c r="V3817" s="17">
        <v>36</v>
      </c>
    </row>
    <row r="3818" spans="1:22" x14ac:dyDescent="0.2">
      <c r="A3818" t="s">
        <v>8474</v>
      </c>
      <c r="B3818" t="s">
        <v>7665</v>
      </c>
      <c r="C3818" t="s">
        <v>7666</v>
      </c>
      <c r="D3818" t="s">
        <v>8468</v>
      </c>
      <c r="E3818" s="10" t="s">
        <v>8475</v>
      </c>
      <c r="F3818" s="10"/>
      <c r="G3818" s="10"/>
      <c r="H3818" s="10" t="s">
        <v>8475</v>
      </c>
      <c r="I3818" s="14">
        <v>280663.25991021702</v>
      </c>
      <c r="J3818" s="19">
        <v>0.28485851909440141</v>
      </c>
      <c r="K3818" s="19">
        <v>0.68615639225364977</v>
      </c>
      <c r="L3818" s="19">
        <v>2.8985088651948755E-2</v>
      </c>
      <c r="M3818" s="20">
        <v>2</v>
      </c>
      <c r="N3818" s="19">
        <v>0.29481663953456549</v>
      </c>
      <c r="O3818" s="19">
        <v>0</v>
      </c>
      <c r="P3818" s="19">
        <v>0.39133975271908433</v>
      </c>
      <c r="Q3818" s="19">
        <v>0</v>
      </c>
      <c r="R3818" s="19">
        <v>2.686449017779232E-2</v>
      </c>
      <c r="S3818" s="19">
        <v>2.1205984741564359E-3</v>
      </c>
      <c r="T3818" s="20">
        <v>23</v>
      </c>
      <c r="U3818" s="17">
        <v>2</v>
      </c>
      <c r="V3818" s="17">
        <v>36</v>
      </c>
    </row>
    <row r="3819" spans="1:22" x14ac:dyDescent="0.2">
      <c r="A3819" t="s">
        <v>8476</v>
      </c>
      <c r="B3819" t="s">
        <v>7665</v>
      </c>
      <c r="C3819" t="s">
        <v>7666</v>
      </c>
      <c r="D3819" t="s">
        <v>8468</v>
      </c>
      <c r="E3819" s="10" t="s">
        <v>8477</v>
      </c>
      <c r="F3819" s="10"/>
      <c r="G3819" s="10"/>
      <c r="H3819" s="10" t="s">
        <v>8477</v>
      </c>
      <c r="I3819" s="14">
        <v>187695.4133499614</v>
      </c>
      <c r="J3819" s="19">
        <v>0</v>
      </c>
      <c r="K3819" s="19">
        <v>0.88220913141579715</v>
      </c>
      <c r="L3819" s="19">
        <v>0.11779086858420287</v>
      </c>
      <c r="M3819" s="20">
        <v>2</v>
      </c>
      <c r="N3819" s="19">
        <v>0.30341835150609098</v>
      </c>
      <c r="O3819" s="19">
        <v>7.0102725233960753E-3</v>
      </c>
      <c r="P3819" s="19">
        <v>0.57178050738631014</v>
      </c>
      <c r="Q3819" s="19">
        <v>1.7571528154997709E-2</v>
      </c>
      <c r="R3819" s="19">
        <v>9.2446088755699596E-2</v>
      </c>
      <c r="S3819" s="19">
        <v>7.7732516735055743E-3</v>
      </c>
      <c r="T3819" s="20">
        <v>21</v>
      </c>
      <c r="U3819" s="17">
        <v>2</v>
      </c>
      <c r="V3819" s="17">
        <v>36</v>
      </c>
    </row>
    <row r="3820" spans="1:22" x14ac:dyDescent="0.2">
      <c r="A3820" t="s">
        <v>8478</v>
      </c>
      <c r="B3820" t="s">
        <v>7665</v>
      </c>
      <c r="C3820" t="s">
        <v>7666</v>
      </c>
      <c r="D3820" t="s">
        <v>8468</v>
      </c>
      <c r="E3820" s="10" t="s">
        <v>8479</v>
      </c>
      <c r="F3820" s="10"/>
      <c r="G3820" s="10"/>
      <c r="H3820" s="10" t="s">
        <v>8479</v>
      </c>
      <c r="I3820" s="14">
        <v>87493.923625703668</v>
      </c>
      <c r="J3820" s="19">
        <v>0</v>
      </c>
      <c r="K3820" s="19">
        <v>0.89933311044080533</v>
      </c>
      <c r="L3820" s="19">
        <v>0.10066688955919471</v>
      </c>
      <c r="M3820" s="20">
        <v>2</v>
      </c>
      <c r="N3820" s="19">
        <v>0.36737157458695269</v>
      </c>
      <c r="O3820" s="19">
        <v>0</v>
      </c>
      <c r="P3820" s="19">
        <v>0.53196153585385264</v>
      </c>
      <c r="Q3820" s="19">
        <v>3.3968530135151546E-2</v>
      </c>
      <c r="R3820" s="19">
        <v>6.0111620369037749E-2</v>
      </c>
      <c r="S3820" s="19">
        <v>6.5867390550054111E-3</v>
      </c>
      <c r="T3820" s="20">
        <v>21</v>
      </c>
      <c r="U3820" s="17">
        <v>2</v>
      </c>
      <c r="V3820" s="17">
        <v>36</v>
      </c>
    </row>
    <row r="3821" spans="1:22" x14ac:dyDescent="0.2">
      <c r="A3821" t="s">
        <v>8480</v>
      </c>
      <c r="B3821" t="s">
        <v>7665</v>
      </c>
      <c r="C3821" t="s">
        <v>7666</v>
      </c>
      <c r="D3821" t="s">
        <v>8468</v>
      </c>
      <c r="E3821" s="10" t="s">
        <v>8481</v>
      </c>
      <c r="F3821" s="10"/>
      <c r="G3821" s="10"/>
      <c r="H3821" s="10" t="s">
        <v>8481</v>
      </c>
      <c r="I3821" s="14">
        <v>101317.82400921406</v>
      </c>
      <c r="J3821" s="19">
        <v>8.4596842369281958E-2</v>
      </c>
      <c r="K3821" s="19">
        <v>0.84281351442282793</v>
      </c>
      <c r="L3821" s="19">
        <v>7.2589643207890076E-2</v>
      </c>
      <c r="M3821" s="20">
        <v>2</v>
      </c>
      <c r="N3821" s="19">
        <v>4.7692812563502794E-2</v>
      </c>
      <c r="O3821" s="19">
        <v>0</v>
      </c>
      <c r="P3821" s="19">
        <v>0.79512070185932515</v>
      </c>
      <c r="Q3821" s="19">
        <v>0</v>
      </c>
      <c r="R3821" s="19">
        <v>7.0434052345369147E-2</v>
      </c>
      <c r="S3821" s="19">
        <v>2.1555908625209177E-3</v>
      </c>
      <c r="T3821" s="20">
        <v>21</v>
      </c>
      <c r="U3821" s="17">
        <v>2</v>
      </c>
      <c r="V3821" s="17">
        <v>36</v>
      </c>
    </row>
    <row r="3822" spans="1:22" x14ac:dyDescent="0.2">
      <c r="A3822" t="s">
        <v>8482</v>
      </c>
      <c r="B3822" t="s">
        <v>7665</v>
      </c>
      <c r="C3822" t="s">
        <v>7666</v>
      </c>
      <c r="D3822" t="s">
        <v>8468</v>
      </c>
      <c r="E3822" s="10" t="s">
        <v>8236</v>
      </c>
      <c r="F3822" s="10"/>
      <c r="G3822" s="10"/>
      <c r="H3822" s="10" t="s">
        <v>8236</v>
      </c>
      <c r="I3822" s="14">
        <v>70726.060388918966</v>
      </c>
      <c r="J3822" s="19">
        <v>0</v>
      </c>
      <c r="K3822" s="19">
        <v>0.15020636950125646</v>
      </c>
      <c r="L3822" s="19">
        <v>0.84979363049874346</v>
      </c>
      <c r="M3822" s="20">
        <v>1</v>
      </c>
      <c r="N3822" s="19">
        <v>0</v>
      </c>
      <c r="O3822" s="19">
        <v>0.15020636950125646</v>
      </c>
      <c r="P3822" s="19">
        <v>0</v>
      </c>
      <c r="Q3822" s="19">
        <v>0.28783976618240353</v>
      </c>
      <c r="R3822" s="19">
        <v>0.48259449601791204</v>
      </c>
      <c r="S3822" s="19">
        <v>7.9359368298427949E-2</v>
      </c>
      <c r="T3822" s="20">
        <v>12</v>
      </c>
      <c r="U3822" s="17">
        <v>2</v>
      </c>
      <c r="V3822" s="17">
        <v>36</v>
      </c>
    </row>
    <row r="3823" spans="1:22" x14ac:dyDescent="0.2">
      <c r="A3823" t="s">
        <v>8483</v>
      </c>
      <c r="B3823" t="s">
        <v>7665</v>
      </c>
      <c r="C3823" t="s">
        <v>7666</v>
      </c>
      <c r="D3823" t="s">
        <v>8468</v>
      </c>
      <c r="E3823" s="10" t="s">
        <v>8484</v>
      </c>
      <c r="F3823" s="10"/>
      <c r="G3823" s="10"/>
      <c r="H3823" s="10" t="s">
        <v>8484</v>
      </c>
      <c r="I3823" s="14">
        <v>153485.0427011</v>
      </c>
      <c r="J3823" s="19">
        <v>0</v>
      </c>
      <c r="K3823" s="19">
        <v>0.91367243778592333</v>
      </c>
      <c r="L3823" s="19">
        <v>8.6327562214076684E-2</v>
      </c>
      <c r="M3823" s="20">
        <v>2</v>
      </c>
      <c r="N3823" s="19">
        <v>0.19819238419244273</v>
      </c>
      <c r="O3823" s="19">
        <v>0</v>
      </c>
      <c r="P3823" s="19">
        <v>0.71548005359348055</v>
      </c>
      <c r="Q3823" s="19">
        <v>0</v>
      </c>
      <c r="R3823" s="19">
        <v>8.0941922385446036E-2</v>
      </c>
      <c r="S3823" s="19">
        <v>5.3856398286306435E-3</v>
      </c>
      <c r="T3823" s="20">
        <v>21</v>
      </c>
      <c r="U3823" s="17">
        <v>2</v>
      </c>
      <c r="V3823" s="17">
        <v>36</v>
      </c>
    </row>
    <row r="3824" spans="1:22" x14ac:dyDescent="0.2">
      <c r="A3824" t="s">
        <v>8485</v>
      </c>
      <c r="B3824" t="s">
        <v>7665</v>
      </c>
      <c r="C3824" t="s">
        <v>7666</v>
      </c>
      <c r="D3824" t="s">
        <v>8468</v>
      </c>
      <c r="E3824" s="10" t="s">
        <v>8486</v>
      </c>
      <c r="F3824" s="10"/>
      <c r="G3824" s="10"/>
      <c r="H3824" s="10" t="s">
        <v>8486</v>
      </c>
      <c r="I3824" s="14">
        <v>143109.50987886707</v>
      </c>
      <c r="J3824" s="19">
        <v>3.3000447520302426E-3</v>
      </c>
      <c r="K3824" s="19">
        <v>0.81950061642431882</v>
      </c>
      <c r="L3824" s="19">
        <v>0.17719933882365091</v>
      </c>
      <c r="M3824" s="20">
        <v>2</v>
      </c>
      <c r="N3824" s="19">
        <v>0.15214324227589873</v>
      </c>
      <c r="O3824" s="19">
        <v>0</v>
      </c>
      <c r="P3824" s="19">
        <v>0.66735737414842011</v>
      </c>
      <c r="Q3824" s="19">
        <v>5.2118518366834544E-2</v>
      </c>
      <c r="R3824" s="19">
        <v>0.11891395197544236</v>
      </c>
      <c r="S3824" s="19">
        <v>6.1668684813740073E-3</v>
      </c>
      <c r="T3824" s="20">
        <v>21</v>
      </c>
      <c r="U3824" s="17">
        <v>2</v>
      </c>
      <c r="V3824" s="17">
        <v>36</v>
      </c>
    </row>
    <row r="3825" spans="1:22" x14ac:dyDescent="0.2">
      <c r="A3825" t="s">
        <v>8487</v>
      </c>
      <c r="B3825" t="s">
        <v>7665</v>
      </c>
      <c r="C3825" t="s">
        <v>7666</v>
      </c>
      <c r="D3825" t="s">
        <v>8468</v>
      </c>
      <c r="E3825" s="10" t="s">
        <v>8488</v>
      </c>
      <c r="F3825" s="10"/>
      <c r="G3825" s="10"/>
      <c r="H3825" s="10" t="s">
        <v>8488</v>
      </c>
      <c r="I3825" s="14">
        <v>85129.441445073113</v>
      </c>
      <c r="J3825" s="19">
        <v>0</v>
      </c>
      <c r="K3825" s="19">
        <v>0.67591279232046431</v>
      </c>
      <c r="L3825" s="19">
        <v>0.32408720767953569</v>
      </c>
      <c r="M3825" s="20">
        <v>2</v>
      </c>
      <c r="N3825" s="19">
        <v>7.6722120604878354E-5</v>
      </c>
      <c r="O3825" s="19">
        <v>0.22612418488667024</v>
      </c>
      <c r="P3825" s="19">
        <v>0.44971188531318923</v>
      </c>
      <c r="Q3825" s="19">
        <v>4.4997741206977991E-2</v>
      </c>
      <c r="R3825" s="19">
        <v>0.25351684767259314</v>
      </c>
      <c r="S3825" s="19">
        <v>2.5572618799964537E-2</v>
      </c>
      <c r="T3825" s="20">
        <v>22</v>
      </c>
      <c r="U3825" s="17">
        <v>2</v>
      </c>
      <c r="V3825" s="17">
        <v>36</v>
      </c>
    </row>
    <row r="3826" spans="1:22" x14ac:dyDescent="0.2">
      <c r="A3826" t="s">
        <v>8489</v>
      </c>
      <c r="B3826" t="s">
        <v>7665</v>
      </c>
      <c r="C3826" t="s">
        <v>7666</v>
      </c>
      <c r="D3826" t="s">
        <v>8468</v>
      </c>
      <c r="E3826" s="10" t="s">
        <v>8490</v>
      </c>
      <c r="F3826" s="10"/>
      <c r="G3826" s="10"/>
      <c r="H3826" s="10" t="s">
        <v>8490</v>
      </c>
      <c r="I3826" s="14">
        <v>63643.242446143173</v>
      </c>
      <c r="J3826" s="19">
        <v>0</v>
      </c>
      <c r="K3826" s="19">
        <v>0.3543580137084415</v>
      </c>
      <c r="L3826" s="19">
        <v>0.64564198629155867</v>
      </c>
      <c r="M3826" s="20">
        <v>1</v>
      </c>
      <c r="N3826" s="19">
        <v>0.10955213243173072</v>
      </c>
      <c r="O3826" s="19">
        <v>1.0142742615986893E-4</v>
      </c>
      <c r="P3826" s="19">
        <v>0.2447044538505509</v>
      </c>
      <c r="Q3826" s="19">
        <v>0.19120654813267823</v>
      </c>
      <c r="R3826" s="19">
        <v>0.38136296897600991</v>
      </c>
      <c r="S3826" s="19">
        <v>7.3072469182870442E-2</v>
      </c>
      <c r="T3826" s="20">
        <v>12</v>
      </c>
      <c r="U3826" s="17">
        <v>2</v>
      </c>
      <c r="V3826" s="17">
        <v>36</v>
      </c>
    </row>
    <row r="3827" spans="1:22" x14ac:dyDescent="0.2">
      <c r="A3827" t="s">
        <v>8491</v>
      </c>
      <c r="B3827" t="s">
        <v>7665</v>
      </c>
      <c r="C3827" t="s">
        <v>7666</v>
      </c>
      <c r="D3827" t="s">
        <v>8468</v>
      </c>
      <c r="E3827" s="10" t="s">
        <v>8492</v>
      </c>
      <c r="F3827" s="10"/>
      <c r="G3827" s="10"/>
      <c r="H3827" s="10" t="s">
        <v>8492</v>
      </c>
      <c r="I3827" s="14">
        <v>53356.038438081741</v>
      </c>
      <c r="J3827" s="19">
        <v>0</v>
      </c>
      <c r="K3827" s="19">
        <v>0.51197554544582069</v>
      </c>
      <c r="L3827" s="19">
        <v>0.48802445455417937</v>
      </c>
      <c r="M3827" s="20">
        <v>2</v>
      </c>
      <c r="N3827" s="19">
        <v>0.11589424652955986</v>
      </c>
      <c r="O3827" s="19">
        <v>0.13162608083564206</v>
      </c>
      <c r="P3827" s="19">
        <v>0.26445521808061873</v>
      </c>
      <c r="Q3827" s="19">
        <v>0.24852026008335734</v>
      </c>
      <c r="R3827" s="19">
        <v>0.20472119417900869</v>
      </c>
      <c r="S3827" s="19">
        <v>3.4783000291813283E-2</v>
      </c>
      <c r="T3827" s="20">
        <v>22</v>
      </c>
      <c r="U3827" s="17">
        <v>2</v>
      </c>
      <c r="V3827" s="17">
        <v>36</v>
      </c>
    </row>
    <row r="3828" spans="1:22" x14ac:dyDescent="0.2">
      <c r="A3828" t="s">
        <v>8493</v>
      </c>
      <c r="B3828" t="s">
        <v>7665</v>
      </c>
      <c r="C3828" t="s">
        <v>7666</v>
      </c>
      <c r="D3828" t="s">
        <v>8468</v>
      </c>
      <c r="E3828" s="10" t="s">
        <v>8494</v>
      </c>
      <c r="F3828" s="10"/>
      <c r="G3828" s="10"/>
      <c r="H3828" s="10" t="s">
        <v>8494</v>
      </c>
      <c r="I3828" s="14">
        <v>118913.04407064615</v>
      </c>
      <c r="J3828" s="19">
        <v>0</v>
      </c>
      <c r="K3828" s="19">
        <v>0.69060685091613816</v>
      </c>
      <c r="L3828" s="19">
        <v>0.30939314908386195</v>
      </c>
      <c r="M3828" s="20">
        <v>2</v>
      </c>
      <c r="N3828" s="19">
        <v>0.2469074982957094</v>
      </c>
      <c r="O3828" s="19">
        <v>0.21782174161856355</v>
      </c>
      <c r="P3828" s="19">
        <v>0.22587761100186515</v>
      </c>
      <c r="Q3828" s="19">
        <v>0.11002247332286336</v>
      </c>
      <c r="R3828" s="19">
        <v>0.17381048410738184</v>
      </c>
      <c r="S3828" s="19">
        <v>2.5560191653616796E-2</v>
      </c>
      <c r="T3828" s="20">
        <v>23</v>
      </c>
      <c r="U3828" s="17">
        <v>2</v>
      </c>
      <c r="V3828" s="17">
        <v>36</v>
      </c>
    </row>
    <row r="3829" spans="1:22" x14ac:dyDescent="0.2">
      <c r="A3829" t="s">
        <v>8495</v>
      </c>
      <c r="B3829" t="s">
        <v>7665</v>
      </c>
      <c r="C3829" t="s">
        <v>7666</v>
      </c>
      <c r="D3829" t="s">
        <v>8468</v>
      </c>
      <c r="E3829" s="10" t="s">
        <v>8496</v>
      </c>
      <c r="F3829" s="10"/>
      <c r="G3829" s="10"/>
      <c r="H3829" s="10" t="s">
        <v>8496</v>
      </c>
      <c r="I3829" s="14">
        <v>265301.8817821024</v>
      </c>
      <c r="J3829" s="19">
        <v>0.58897377436338749</v>
      </c>
      <c r="K3829" s="19">
        <v>0.32685642767766632</v>
      </c>
      <c r="L3829" s="19">
        <v>8.4169797958946233E-2</v>
      </c>
      <c r="M3829" s="20">
        <v>3</v>
      </c>
      <c r="N3829" s="19">
        <v>7.2032578871493247E-3</v>
      </c>
      <c r="O3829" s="19">
        <v>2.2470243565616742E-2</v>
      </c>
      <c r="P3829" s="19">
        <v>0.29718292622490022</v>
      </c>
      <c r="Q3829" s="19">
        <v>1.4332335275033452E-2</v>
      </c>
      <c r="R3829" s="19">
        <v>6.5192653629955188E-2</v>
      </c>
      <c r="S3829" s="19">
        <v>4.6448090539575829E-3</v>
      </c>
      <c r="T3829" s="20">
        <v>30</v>
      </c>
      <c r="U3829" s="17">
        <v>2</v>
      </c>
      <c r="V3829" s="17">
        <v>36</v>
      </c>
    </row>
    <row r="3830" spans="1:22" x14ac:dyDescent="0.2">
      <c r="A3830" t="s">
        <v>8497</v>
      </c>
      <c r="B3830" t="s">
        <v>7665</v>
      </c>
      <c r="C3830" t="s">
        <v>7666</v>
      </c>
      <c r="D3830" t="s">
        <v>8468</v>
      </c>
      <c r="E3830" s="10" t="s">
        <v>8498</v>
      </c>
      <c r="F3830" s="10"/>
      <c r="G3830" s="10"/>
      <c r="H3830" s="10" t="s">
        <v>8498</v>
      </c>
      <c r="I3830" s="14">
        <v>130968.72641692311</v>
      </c>
      <c r="J3830" s="19">
        <v>0</v>
      </c>
      <c r="K3830" s="19">
        <v>0.69098190270697946</v>
      </c>
      <c r="L3830" s="19">
        <v>0.30901809729302054</v>
      </c>
      <c r="M3830" s="20">
        <v>2</v>
      </c>
      <c r="N3830" s="19">
        <v>0.26477794260199811</v>
      </c>
      <c r="O3830" s="19">
        <v>0.23070277046894841</v>
      </c>
      <c r="P3830" s="19">
        <v>0.19550118963603294</v>
      </c>
      <c r="Q3830" s="19">
        <v>7.6044129386318715E-2</v>
      </c>
      <c r="R3830" s="19">
        <v>0.20902728684348856</v>
      </c>
      <c r="S3830" s="19">
        <v>2.3946681063213279E-2</v>
      </c>
      <c r="T3830" s="20">
        <v>23</v>
      </c>
      <c r="U3830" s="17">
        <v>2</v>
      </c>
      <c r="V3830" s="17">
        <v>36</v>
      </c>
    </row>
    <row r="3831" spans="1:22" x14ac:dyDescent="0.2">
      <c r="A3831" t="s">
        <v>8499</v>
      </c>
      <c r="B3831" t="s">
        <v>7665</v>
      </c>
      <c r="C3831" t="s">
        <v>7666</v>
      </c>
      <c r="D3831" t="s">
        <v>8468</v>
      </c>
      <c r="E3831" s="10" t="s">
        <v>8500</v>
      </c>
      <c r="F3831" s="10"/>
      <c r="G3831" s="10"/>
      <c r="H3831" s="10" t="s">
        <v>8500</v>
      </c>
      <c r="I3831" s="14">
        <v>100589.00951890275</v>
      </c>
      <c r="J3831" s="19">
        <v>0</v>
      </c>
      <c r="K3831" s="19">
        <v>0.92844784179395923</v>
      </c>
      <c r="L3831" s="19">
        <v>7.1552158206040731E-2</v>
      </c>
      <c r="M3831" s="20">
        <v>2</v>
      </c>
      <c r="N3831" s="19">
        <v>0.44379758121973423</v>
      </c>
      <c r="O3831" s="19">
        <v>0</v>
      </c>
      <c r="P3831" s="19">
        <v>0.48465026057422506</v>
      </c>
      <c r="Q3831" s="19">
        <v>1.5413204649341579E-2</v>
      </c>
      <c r="R3831" s="19">
        <v>5.2790332389846741E-2</v>
      </c>
      <c r="S3831" s="19">
        <v>3.348621166852416E-3</v>
      </c>
      <c r="T3831" s="20">
        <v>23</v>
      </c>
      <c r="U3831" s="17">
        <v>2</v>
      </c>
      <c r="V3831" s="17">
        <v>36</v>
      </c>
    </row>
    <row r="3832" spans="1:22" x14ac:dyDescent="0.2">
      <c r="A3832" t="s">
        <v>8501</v>
      </c>
      <c r="B3832" t="s">
        <v>7665</v>
      </c>
      <c r="C3832" t="s">
        <v>7666</v>
      </c>
      <c r="D3832" t="s">
        <v>8468</v>
      </c>
      <c r="E3832" s="10" t="s">
        <v>8502</v>
      </c>
      <c r="F3832" s="10"/>
      <c r="G3832" s="10"/>
      <c r="H3832" s="10" t="s">
        <v>8502</v>
      </c>
      <c r="I3832" s="14">
        <v>215031.54209707584</v>
      </c>
      <c r="J3832" s="19">
        <v>0</v>
      </c>
      <c r="K3832" s="19">
        <v>0.78714250225815974</v>
      </c>
      <c r="L3832" s="19">
        <v>0.21285749774184026</v>
      </c>
      <c r="M3832" s="20">
        <v>2</v>
      </c>
      <c r="N3832" s="19">
        <v>0.26697521811189406</v>
      </c>
      <c r="O3832" s="19">
        <v>0</v>
      </c>
      <c r="P3832" s="19">
        <v>0.52016728414626567</v>
      </c>
      <c r="Q3832" s="19">
        <v>4.2565804959032769E-2</v>
      </c>
      <c r="R3832" s="19">
        <v>0.15698602516863222</v>
      </c>
      <c r="S3832" s="19">
        <v>1.3305667614175258E-2</v>
      </c>
      <c r="T3832" s="20">
        <v>21</v>
      </c>
      <c r="U3832" s="17">
        <v>2</v>
      </c>
      <c r="V3832" s="17">
        <v>36</v>
      </c>
    </row>
    <row r="3833" spans="1:22" x14ac:dyDescent="0.2">
      <c r="A3833" t="s">
        <v>8503</v>
      </c>
      <c r="B3833" t="s">
        <v>7665</v>
      </c>
      <c r="C3833" t="s">
        <v>7666</v>
      </c>
      <c r="D3833" t="s">
        <v>8468</v>
      </c>
      <c r="E3833" s="10" t="s">
        <v>8504</v>
      </c>
      <c r="F3833" s="10"/>
      <c r="G3833" s="10"/>
      <c r="H3833" s="10" t="s">
        <v>8504</v>
      </c>
      <c r="I3833" s="14">
        <v>73714.322463806719</v>
      </c>
      <c r="J3833" s="19">
        <v>0</v>
      </c>
      <c r="K3833" s="19">
        <v>0.23028969438530403</v>
      </c>
      <c r="L3833" s="19">
        <v>0.769710305614696</v>
      </c>
      <c r="M3833" s="20">
        <v>1</v>
      </c>
      <c r="N3833" s="19">
        <v>9.6784786144687815E-2</v>
      </c>
      <c r="O3833" s="19">
        <v>9.5294353723368377E-2</v>
      </c>
      <c r="P3833" s="19">
        <v>3.8210554517247829E-2</v>
      </c>
      <c r="Q3833" s="19">
        <v>0.31359495498527357</v>
      </c>
      <c r="R3833" s="19">
        <v>0.39506450405929827</v>
      </c>
      <c r="S3833" s="19">
        <v>6.1050846570124155E-2</v>
      </c>
      <c r="T3833" s="20">
        <v>12</v>
      </c>
      <c r="U3833" s="17">
        <v>2</v>
      </c>
      <c r="V3833" s="17">
        <v>36</v>
      </c>
    </row>
    <row r="3834" spans="1:22" x14ac:dyDescent="0.2">
      <c r="A3834" t="s">
        <v>8505</v>
      </c>
      <c r="B3834" t="s">
        <v>7665</v>
      </c>
      <c r="C3834" t="s">
        <v>7666</v>
      </c>
      <c r="D3834" t="s">
        <v>8468</v>
      </c>
      <c r="E3834" s="10" t="s">
        <v>8506</v>
      </c>
      <c r="F3834" s="10"/>
      <c r="G3834" s="10"/>
      <c r="H3834" s="10" t="s">
        <v>8506</v>
      </c>
      <c r="I3834" s="14">
        <v>361685.56505054393</v>
      </c>
      <c r="J3834" s="19">
        <v>0.95198771556147876</v>
      </c>
      <c r="K3834" s="19">
        <v>4.4351105008536125E-2</v>
      </c>
      <c r="L3834" s="19">
        <v>3.6611794299852497E-3</v>
      </c>
      <c r="M3834" s="20">
        <v>3</v>
      </c>
      <c r="N3834" s="19">
        <v>0</v>
      </c>
      <c r="O3834" s="19">
        <v>0</v>
      </c>
      <c r="P3834" s="19">
        <v>4.4351105008536125E-2</v>
      </c>
      <c r="Q3834" s="19">
        <v>0</v>
      </c>
      <c r="R3834" s="19">
        <v>3.5987121304655047E-3</v>
      </c>
      <c r="S3834" s="19">
        <v>6.2467299519744222E-5</v>
      </c>
      <c r="T3834" s="20">
        <v>30</v>
      </c>
      <c r="U3834" s="17">
        <v>2</v>
      </c>
      <c r="V3834" s="17">
        <v>36</v>
      </c>
    </row>
    <row r="3835" spans="1:22" x14ac:dyDescent="0.2">
      <c r="A3835" t="s">
        <v>8507</v>
      </c>
      <c r="B3835" t="s">
        <v>7665</v>
      </c>
      <c r="C3835" t="s">
        <v>7666</v>
      </c>
      <c r="D3835" t="s">
        <v>8468</v>
      </c>
      <c r="E3835" s="10" t="s">
        <v>8508</v>
      </c>
      <c r="F3835" s="10"/>
      <c r="G3835" s="10"/>
      <c r="H3835" s="10" t="s">
        <v>8508</v>
      </c>
      <c r="I3835" s="14">
        <v>253821.72752765985</v>
      </c>
      <c r="J3835" s="19">
        <v>0</v>
      </c>
      <c r="K3835" s="19">
        <v>0.89163255548135889</v>
      </c>
      <c r="L3835" s="19">
        <v>0.10836744451864108</v>
      </c>
      <c r="M3835" s="20">
        <v>2</v>
      </c>
      <c r="N3835" s="19">
        <v>0.32518084246175716</v>
      </c>
      <c r="O3835" s="19">
        <v>0</v>
      </c>
      <c r="P3835" s="19">
        <v>0.56645171301960173</v>
      </c>
      <c r="Q3835" s="19">
        <v>1.0086909657454174E-2</v>
      </c>
      <c r="R3835" s="19">
        <v>9.3221530660968471E-2</v>
      </c>
      <c r="S3835" s="19">
        <v>5.0590042002184327E-3</v>
      </c>
      <c r="T3835" s="20">
        <v>21</v>
      </c>
      <c r="U3835" s="17">
        <v>2</v>
      </c>
      <c r="V3835" s="17">
        <v>36</v>
      </c>
    </row>
    <row r="3836" spans="1:22" x14ac:dyDescent="0.2">
      <c r="A3836" t="s">
        <v>8509</v>
      </c>
      <c r="B3836" t="s">
        <v>7665</v>
      </c>
      <c r="C3836" t="s">
        <v>7666</v>
      </c>
      <c r="D3836" t="s">
        <v>8510</v>
      </c>
      <c r="E3836" s="10" t="s">
        <v>8511</v>
      </c>
      <c r="F3836" s="10"/>
      <c r="G3836" s="10"/>
      <c r="H3836" s="10" t="s">
        <v>8511</v>
      </c>
      <c r="I3836" s="14">
        <v>122249.3565146078</v>
      </c>
      <c r="J3836" s="19">
        <v>0</v>
      </c>
      <c r="K3836" s="19">
        <v>0.94569559107214907</v>
      </c>
      <c r="L3836" s="19">
        <v>5.4304408927850698E-2</v>
      </c>
      <c r="M3836" s="20">
        <v>2</v>
      </c>
      <c r="N3836" s="19">
        <v>0.31989603110624681</v>
      </c>
      <c r="O3836" s="19">
        <v>0</v>
      </c>
      <c r="P3836" s="19">
        <v>0.62579955996590242</v>
      </c>
      <c r="Q3836" s="19">
        <v>0</v>
      </c>
      <c r="R3836" s="19">
        <v>5.1371399082811374E-2</v>
      </c>
      <c r="S3836" s="19">
        <v>2.9330098450393179E-3</v>
      </c>
      <c r="T3836" s="20">
        <v>21</v>
      </c>
      <c r="U3836" s="17">
        <v>2</v>
      </c>
      <c r="V3836" s="17">
        <v>36</v>
      </c>
    </row>
    <row r="3837" spans="1:22" x14ac:dyDescent="0.2">
      <c r="A3837" t="s">
        <v>8512</v>
      </c>
      <c r="B3837" t="s">
        <v>7665</v>
      </c>
      <c r="C3837" t="s">
        <v>7666</v>
      </c>
      <c r="D3837" t="s">
        <v>8510</v>
      </c>
      <c r="E3837" s="10" t="s">
        <v>8513</v>
      </c>
      <c r="F3837" s="10"/>
      <c r="G3837" s="10"/>
      <c r="H3837" s="10" t="s">
        <v>8513</v>
      </c>
      <c r="I3837" s="14">
        <v>70437.024462588597</v>
      </c>
      <c r="J3837" s="19">
        <v>2.035553660831082E-3</v>
      </c>
      <c r="K3837" s="19">
        <v>0.94886333675314127</v>
      </c>
      <c r="L3837" s="19">
        <v>4.9101109586027626E-2</v>
      </c>
      <c r="M3837" s="20">
        <v>2</v>
      </c>
      <c r="N3837" s="19">
        <v>0.33801673206108113</v>
      </c>
      <c r="O3837" s="19">
        <v>0</v>
      </c>
      <c r="P3837" s="19">
        <v>0.6108466046920602</v>
      </c>
      <c r="Q3837" s="19">
        <v>0</v>
      </c>
      <c r="R3837" s="19">
        <v>4.4743748584138932E-2</v>
      </c>
      <c r="S3837" s="19">
        <v>4.3573610018886903E-3</v>
      </c>
      <c r="T3837" s="20">
        <v>21</v>
      </c>
      <c r="U3837" s="17">
        <v>2</v>
      </c>
      <c r="V3837" s="17">
        <v>36</v>
      </c>
    </row>
    <row r="3838" spans="1:22" x14ac:dyDescent="0.2">
      <c r="A3838" t="s">
        <v>8514</v>
      </c>
      <c r="B3838" t="s">
        <v>7665</v>
      </c>
      <c r="C3838" t="s">
        <v>7666</v>
      </c>
      <c r="D3838" t="s">
        <v>8510</v>
      </c>
      <c r="E3838" s="10" t="s">
        <v>8515</v>
      </c>
      <c r="F3838" s="10"/>
      <c r="G3838" s="10"/>
      <c r="H3838" s="10" t="s">
        <v>8515</v>
      </c>
      <c r="I3838" s="14">
        <v>173079.16045856383</v>
      </c>
      <c r="J3838" s="19">
        <v>0.47337962165820557</v>
      </c>
      <c r="K3838" s="19">
        <v>0.49437537980032054</v>
      </c>
      <c r="L3838" s="19">
        <v>3.224499854147387E-2</v>
      </c>
      <c r="M3838" s="20">
        <v>2</v>
      </c>
      <c r="N3838" s="19">
        <v>7.370603565135557E-2</v>
      </c>
      <c r="O3838" s="19">
        <v>0</v>
      </c>
      <c r="P3838" s="19">
        <v>0.42066934414896495</v>
      </c>
      <c r="Q3838" s="19">
        <v>0</v>
      </c>
      <c r="R3838" s="19">
        <v>3.1079911465285409E-2</v>
      </c>
      <c r="S3838" s="19">
        <v>1.1650870761884566E-3</v>
      </c>
      <c r="T3838" s="20">
        <v>23</v>
      </c>
      <c r="U3838" s="17">
        <v>2</v>
      </c>
      <c r="V3838" s="17">
        <v>36</v>
      </c>
    </row>
    <row r="3839" spans="1:22" x14ac:dyDescent="0.2">
      <c r="A3839" t="s">
        <v>8516</v>
      </c>
      <c r="B3839" t="s">
        <v>7665</v>
      </c>
      <c r="C3839" t="s">
        <v>7666</v>
      </c>
      <c r="D3839" t="s">
        <v>8510</v>
      </c>
      <c r="E3839" s="10" t="s">
        <v>8517</v>
      </c>
      <c r="F3839" s="10"/>
      <c r="G3839" s="10"/>
      <c r="H3839" s="10" t="s">
        <v>8517</v>
      </c>
      <c r="I3839" s="14">
        <v>151336.95651692525</v>
      </c>
      <c r="J3839" s="19">
        <v>0</v>
      </c>
      <c r="K3839" s="19">
        <v>0.86973414445578645</v>
      </c>
      <c r="L3839" s="19">
        <v>0.13026585554421349</v>
      </c>
      <c r="M3839" s="20">
        <v>2</v>
      </c>
      <c r="N3839" s="19">
        <v>0.13336842069576849</v>
      </c>
      <c r="O3839" s="19">
        <v>0</v>
      </c>
      <c r="P3839" s="19">
        <v>0.73636572376001797</v>
      </c>
      <c r="Q3839" s="19">
        <v>0</v>
      </c>
      <c r="R3839" s="19">
        <v>0.12243011648097359</v>
      </c>
      <c r="S3839" s="19">
        <v>7.8357390632399111E-3</v>
      </c>
      <c r="T3839" s="20">
        <v>21</v>
      </c>
      <c r="U3839" s="17">
        <v>2</v>
      </c>
      <c r="V3839" s="17">
        <v>36</v>
      </c>
    </row>
    <row r="3840" spans="1:22" x14ac:dyDescent="0.2">
      <c r="A3840" t="s">
        <v>8518</v>
      </c>
      <c r="B3840" t="s">
        <v>7665</v>
      </c>
      <c r="C3840" t="s">
        <v>7666</v>
      </c>
      <c r="D3840" t="s">
        <v>8510</v>
      </c>
      <c r="E3840" s="10" t="s">
        <v>8510</v>
      </c>
      <c r="F3840" s="10"/>
      <c r="G3840" s="10"/>
      <c r="H3840" s="10" t="s">
        <v>8510</v>
      </c>
      <c r="I3840" s="14">
        <v>116658.646534984</v>
      </c>
      <c r="J3840" s="19">
        <v>0.87932583346362436</v>
      </c>
      <c r="K3840" s="19">
        <v>0.11938443600592522</v>
      </c>
      <c r="L3840" s="19">
        <v>1.2897305304504602E-3</v>
      </c>
      <c r="M3840" s="20">
        <v>3</v>
      </c>
      <c r="N3840" s="19">
        <v>4.3728217501997091E-5</v>
      </c>
      <c r="O3840" s="19">
        <v>0</v>
      </c>
      <c r="P3840" s="19">
        <v>0.11934070778842321</v>
      </c>
      <c r="Q3840" s="19">
        <v>0</v>
      </c>
      <c r="R3840" s="19">
        <v>1.2897305304504602E-3</v>
      </c>
      <c r="S3840" s="19">
        <v>0</v>
      </c>
      <c r="T3840" s="20">
        <v>30</v>
      </c>
      <c r="U3840" s="17">
        <v>2</v>
      </c>
      <c r="V3840" s="17">
        <v>36</v>
      </c>
    </row>
    <row r="3841" spans="1:22" x14ac:dyDescent="0.2">
      <c r="A3841" t="s">
        <v>8519</v>
      </c>
      <c r="B3841" t="s">
        <v>7665</v>
      </c>
      <c r="C3841" t="s">
        <v>7666</v>
      </c>
      <c r="D3841" t="s">
        <v>8510</v>
      </c>
      <c r="E3841" s="10" t="s">
        <v>8520</v>
      </c>
      <c r="F3841" s="10"/>
      <c r="G3841" s="10"/>
      <c r="H3841" s="10" t="s">
        <v>8520</v>
      </c>
      <c r="I3841" s="14">
        <v>58198.91777047608</v>
      </c>
      <c r="J3841" s="19">
        <v>0</v>
      </c>
      <c r="K3841" s="19">
        <v>0.91228351193569412</v>
      </c>
      <c r="L3841" s="19">
        <v>8.7716488064305834E-2</v>
      </c>
      <c r="M3841" s="20">
        <v>2</v>
      </c>
      <c r="N3841" s="19">
        <v>0.62932609795639227</v>
      </c>
      <c r="O3841" s="19">
        <v>0</v>
      </c>
      <c r="P3841" s="19">
        <v>0.28295741397930191</v>
      </c>
      <c r="Q3841" s="19">
        <v>0</v>
      </c>
      <c r="R3841" s="19">
        <v>7.7948254102263095E-2</v>
      </c>
      <c r="S3841" s="19">
        <v>9.7682339620427348E-3</v>
      </c>
      <c r="T3841" s="20">
        <v>23</v>
      </c>
      <c r="U3841" s="17">
        <v>2</v>
      </c>
      <c r="V3841" s="17">
        <v>36</v>
      </c>
    </row>
    <row r="3842" spans="1:22" x14ac:dyDescent="0.2">
      <c r="A3842" t="s">
        <v>8521</v>
      </c>
      <c r="B3842" t="s">
        <v>7665</v>
      </c>
      <c r="C3842" t="s">
        <v>7666</v>
      </c>
      <c r="D3842" t="s">
        <v>8510</v>
      </c>
      <c r="E3842" s="10" t="s">
        <v>8522</v>
      </c>
      <c r="F3842" s="10"/>
      <c r="G3842" s="10"/>
      <c r="H3842" s="10" t="s">
        <v>8522</v>
      </c>
      <c r="I3842" s="14">
        <v>140746.94426382193</v>
      </c>
      <c r="J3842" s="19">
        <v>0.29712724790289746</v>
      </c>
      <c r="K3842" s="19">
        <v>0.67595672864604295</v>
      </c>
      <c r="L3842" s="19">
        <v>2.6916023451059631E-2</v>
      </c>
      <c r="M3842" s="20">
        <v>2</v>
      </c>
      <c r="N3842" s="19">
        <v>7.5681959421634262E-2</v>
      </c>
      <c r="O3842" s="19">
        <v>0</v>
      </c>
      <c r="P3842" s="19">
        <v>0.6002747692244087</v>
      </c>
      <c r="Q3842" s="19">
        <v>0</v>
      </c>
      <c r="R3842" s="19">
        <v>2.6088191480289798E-2</v>
      </c>
      <c r="S3842" s="19">
        <v>8.2783197076983053E-4</v>
      </c>
      <c r="T3842" s="20">
        <v>21</v>
      </c>
      <c r="U3842" s="17">
        <v>2</v>
      </c>
      <c r="V3842" s="17">
        <v>36</v>
      </c>
    </row>
    <row r="3843" spans="1:22" x14ac:dyDescent="0.2">
      <c r="A3843" t="s">
        <v>8523</v>
      </c>
      <c r="B3843" t="s">
        <v>7665</v>
      </c>
      <c r="C3843" t="s">
        <v>7666</v>
      </c>
      <c r="D3843" t="s">
        <v>8510</v>
      </c>
      <c r="E3843" s="10" t="s">
        <v>8524</v>
      </c>
      <c r="F3843" s="10"/>
      <c r="G3843" s="10"/>
      <c r="H3843" s="10" t="s">
        <v>8524</v>
      </c>
      <c r="I3843" s="14">
        <v>116638.72723857826</v>
      </c>
      <c r="J3843" s="19">
        <v>0.22326238281776928</v>
      </c>
      <c r="K3843" s="19">
        <v>0.73681556077581523</v>
      </c>
      <c r="L3843" s="19">
        <v>3.9922056406415447E-2</v>
      </c>
      <c r="M3843" s="20">
        <v>2</v>
      </c>
      <c r="N3843" s="19">
        <v>5.2488864487734183E-2</v>
      </c>
      <c r="O3843" s="19">
        <v>0</v>
      </c>
      <c r="P3843" s="19">
        <v>0.68432669628808107</v>
      </c>
      <c r="Q3843" s="19">
        <v>0</v>
      </c>
      <c r="R3843" s="19">
        <v>3.8811544283669994E-2</v>
      </c>
      <c r="S3843" s="19">
        <v>1.1105121227454528E-3</v>
      </c>
      <c r="T3843" s="20">
        <v>21</v>
      </c>
      <c r="U3843" s="17">
        <v>2</v>
      </c>
      <c r="V3843" s="17">
        <v>36</v>
      </c>
    </row>
    <row r="3844" spans="1:22" x14ac:dyDescent="0.2">
      <c r="A3844" t="s">
        <v>8525</v>
      </c>
      <c r="B3844" t="s">
        <v>7665</v>
      </c>
      <c r="C3844" t="s">
        <v>7666</v>
      </c>
      <c r="D3844" t="s">
        <v>8526</v>
      </c>
      <c r="E3844" s="10" t="s">
        <v>8527</v>
      </c>
      <c r="F3844" s="10"/>
      <c r="G3844" s="10"/>
      <c r="H3844" s="10" t="s">
        <v>8527</v>
      </c>
      <c r="I3844" s="14">
        <v>25348.22241742909</v>
      </c>
      <c r="J3844" s="19">
        <v>0</v>
      </c>
      <c r="K3844" s="19">
        <v>1.1664306950651933E-2</v>
      </c>
      <c r="L3844" s="19">
        <v>0.9883356930493481</v>
      </c>
      <c r="M3844" s="20">
        <v>1</v>
      </c>
      <c r="N3844" s="19">
        <v>0</v>
      </c>
      <c r="O3844" s="19">
        <v>0</v>
      </c>
      <c r="P3844" s="19">
        <v>1.1664306950651933E-2</v>
      </c>
      <c r="Q3844" s="19">
        <v>0.51444204491903278</v>
      </c>
      <c r="R3844" s="19">
        <v>0.39635985233463727</v>
      </c>
      <c r="S3844" s="19">
        <v>7.7533795795677998E-2</v>
      </c>
      <c r="T3844" s="20">
        <v>13</v>
      </c>
      <c r="U3844" s="17">
        <v>2</v>
      </c>
      <c r="V3844" s="17">
        <v>36</v>
      </c>
    </row>
    <row r="3845" spans="1:22" x14ac:dyDescent="0.2">
      <c r="A3845" t="s">
        <v>8528</v>
      </c>
      <c r="B3845" t="s">
        <v>7665</v>
      </c>
      <c r="C3845" t="s">
        <v>7666</v>
      </c>
      <c r="D3845" t="s">
        <v>8526</v>
      </c>
      <c r="E3845" s="10" t="s">
        <v>8529</v>
      </c>
      <c r="F3845" s="10"/>
      <c r="G3845" s="10"/>
      <c r="H3845" s="10" t="s">
        <v>8529</v>
      </c>
      <c r="I3845" s="14">
        <v>92958.745711195515</v>
      </c>
      <c r="J3845" s="19">
        <v>0</v>
      </c>
      <c r="K3845" s="19">
        <v>0.87559782926325569</v>
      </c>
      <c r="L3845" s="19">
        <v>0.12440217073674426</v>
      </c>
      <c r="M3845" s="20">
        <v>2</v>
      </c>
      <c r="N3845" s="19">
        <v>0.65782037970846741</v>
      </c>
      <c r="O3845" s="19">
        <v>0</v>
      </c>
      <c r="P3845" s="19">
        <v>0.21777744955478834</v>
      </c>
      <c r="Q3845" s="19">
        <v>3.5745048048349062E-2</v>
      </c>
      <c r="R3845" s="19">
        <v>8.1009588082309153E-2</v>
      </c>
      <c r="S3845" s="19">
        <v>7.6475346060860365E-3</v>
      </c>
      <c r="T3845" s="20">
        <v>23</v>
      </c>
      <c r="U3845" s="17">
        <v>2</v>
      </c>
      <c r="V3845" s="17">
        <v>36</v>
      </c>
    </row>
    <row r="3846" spans="1:22" x14ac:dyDescent="0.2">
      <c r="A3846" t="s">
        <v>8530</v>
      </c>
      <c r="B3846" t="s">
        <v>7665</v>
      </c>
      <c r="C3846" t="s">
        <v>7666</v>
      </c>
      <c r="D3846" t="s">
        <v>8526</v>
      </c>
      <c r="E3846" s="10" t="s">
        <v>8531</v>
      </c>
      <c r="F3846" s="10"/>
      <c r="G3846" s="10"/>
      <c r="H3846" s="10" t="s">
        <v>8531</v>
      </c>
      <c r="I3846" s="14">
        <v>134641.57042401796</v>
      </c>
      <c r="J3846" s="19">
        <v>0.16457116915512876</v>
      </c>
      <c r="K3846" s="19">
        <v>0.75133741118916908</v>
      </c>
      <c r="L3846" s="19">
        <v>8.4091419655702188E-2</v>
      </c>
      <c r="M3846" s="20">
        <v>2</v>
      </c>
      <c r="N3846" s="19">
        <v>0.23032492545506514</v>
      </c>
      <c r="O3846" s="19">
        <v>0</v>
      </c>
      <c r="P3846" s="19">
        <v>0.52101248573410397</v>
      </c>
      <c r="Q3846" s="19">
        <v>1.7162615770146182E-2</v>
      </c>
      <c r="R3846" s="19">
        <v>5.7082162541802074E-2</v>
      </c>
      <c r="S3846" s="19">
        <v>9.8466413437539365E-3</v>
      </c>
      <c r="T3846" s="20">
        <v>21</v>
      </c>
      <c r="U3846" s="17">
        <v>2</v>
      </c>
      <c r="V3846" s="17">
        <v>36</v>
      </c>
    </row>
    <row r="3847" spans="1:22" x14ac:dyDescent="0.2">
      <c r="A3847" t="s">
        <v>8532</v>
      </c>
      <c r="B3847" t="s">
        <v>7665</v>
      </c>
      <c r="C3847" t="s">
        <v>7666</v>
      </c>
      <c r="D3847" t="s">
        <v>8526</v>
      </c>
      <c r="E3847" s="10" t="s">
        <v>8533</v>
      </c>
      <c r="F3847" s="10"/>
      <c r="G3847" s="10"/>
      <c r="H3847" s="10" t="s">
        <v>8533</v>
      </c>
      <c r="I3847" s="14">
        <v>74990.197468275903</v>
      </c>
      <c r="J3847" s="19">
        <v>0</v>
      </c>
      <c r="K3847" s="19">
        <v>0.7214091248824408</v>
      </c>
      <c r="L3847" s="19">
        <v>0.2785908751175592</v>
      </c>
      <c r="M3847" s="20">
        <v>2</v>
      </c>
      <c r="N3847" s="19">
        <v>0.50525463177077912</v>
      </c>
      <c r="O3847" s="19">
        <v>0</v>
      </c>
      <c r="P3847" s="19">
        <v>0.21615449311166171</v>
      </c>
      <c r="Q3847" s="19">
        <v>0.11378533690627685</v>
      </c>
      <c r="R3847" s="19">
        <v>0.13522718600181519</v>
      </c>
      <c r="S3847" s="19">
        <v>2.9578352209467182E-2</v>
      </c>
      <c r="T3847" s="20">
        <v>23</v>
      </c>
      <c r="U3847" s="17">
        <v>2</v>
      </c>
      <c r="V3847" s="17">
        <v>36</v>
      </c>
    </row>
    <row r="3848" spans="1:22" x14ac:dyDescent="0.2">
      <c r="A3848" t="s">
        <v>8534</v>
      </c>
      <c r="B3848" t="s">
        <v>7665</v>
      </c>
      <c r="C3848" t="s">
        <v>7666</v>
      </c>
      <c r="D3848" t="s">
        <v>8526</v>
      </c>
      <c r="E3848" s="10" t="s">
        <v>8535</v>
      </c>
      <c r="F3848" s="10"/>
      <c r="G3848" s="10"/>
      <c r="H3848" s="10" t="s">
        <v>8535</v>
      </c>
      <c r="I3848" s="14">
        <v>170419.25724481465</v>
      </c>
      <c r="J3848" s="19">
        <v>0.75761584739491228</v>
      </c>
      <c r="K3848" s="19">
        <v>0.23154823274685954</v>
      </c>
      <c r="L3848" s="19">
        <v>1.0835919858228231E-2</v>
      </c>
      <c r="M3848" s="20">
        <v>3</v>
      </c>
      <c r="N3848" s="19">
        <v>0.1345006489487541</v>
      </c>
      <c r="O3848" s="19">
        <v>0</v>
      </c>
      <c r="P3848" s="19">
        <v>9.7047583798105408E-2</v>
      </c>
      <c r="Q3848" s="19">
        <v>0</v>
      </c>
      <c r="R3848" s="19">
        <v>9.7850619445761511E-3</v>
      </c>
      <c r="S3848" s="19">
        <v>1.0508579136520799E-3</v>
      </c>
      <c r="T3848" s="20">
        <v>30</v>
      </c>
      <c r="U3848" s="17">
        <v>2</v>
      </c>
      <c r="V3848" s="17">
        <v>36</v>
      </c>
    </row>
    <row r="3849" spans="1:22" x14ac:dyDescent="0.2">
      <c r="A3849" t="s">
        <v>8536</v>
      </c>
      <c r="B3849" t="s">
        <v>7665</v>
      </c>
      <c r="C3849" t="s">
        <v>7666</v>
      </c>
      <c r="D3849" t="s">
        <v>8526</v>
      </c>
      <c r="E3849" s="10" t="s">
        <v>8537</v>
      </c>
      <c r="F3849" s="10"/>
      <c r="G3849" s="10"/>
      <c r="H3849" s="10" t="s">
        <v>8537</v>
      </c>
      <c r="I3849" s="14">
        <v>40439.639992711134</v>
      </c>
      <c r="J3849" s="19">
        <v>0</v>
      </c>
      <c r="K3849" s="19">
        <v>0.59306969113153418</v>
      </c>
      <c r="L3849" s="19">
        <v>0.40693030886846587</v>
      </c>
      <c r="M3849" s="20">
        <v>2</v>
      </c>
      <c r="N3849" s="19">
        <v>0.37944325083661823</v>
      </c>
      <c r="O3849" s="19">
        <v>0</v>
      </c>
      <c r="P3849" s="19">
        <v>0.21362644029491587</v>
      </c>
      <c r="Q3849" s="19">
        <v>0.23807306792741154</v>
      </c>
      <c r="R3849" s="19">
        <v>0.14604247676539828</v>
      </c>
      <c r="S3849" s="19">
        <v>2.2814764175656092E-2</v>
      </c>
      <c r="T3849" s="20">
        <v>23</v>
      </c>
      <c r="U3849" s="17">
        <v>2</v>
      </c>
      <c r="V3849" s="17">
        <v>36</v>
      </c>
    </row>
    <row r="3850" spans="1:22" x14ac:dyDescent="0.2">
      <c r="A3850" t="s">
        <v>8538</v>
      </c>
      <c r="B3850" t="s">
        <v>7665</v>
      </c>
      <c r="C3850" t="s">
        <v>7666</v>
      </c>
      <c r="D3850" t="s">
        <v>8526</v>
      </c>
      <c r="E3850" s="10" t="s">
        <v>8539</v>
      </c>
      <c r="F3850" s="10"/>
      <c r="G3850" s="10"/>
      <c r="H3850" s="10" t="s">
        <v>8539</v>
      </c>
      <c r="I3850" s="14">
        <v>53717.924184717936</v>
      </c>
      <c r="J3850" s="19">
        <v>0</v>
      </c>
      <c r="K3850" s="19">
        <v>0.62031353721817661</v>
      </c>
      <c r="L3850" s="19">
        <v>0.37968646278182339</v>
      </c>
      <c r="M3850" s="20">
        <v>2</v>
      </c>
      <c r="N3850" s="19">
        <v>0.36056705056655997</v>
      </c>
      <c r="O3850" s="19">
        <v>9.8344390710930457E-2</v>
      </c>
      <c r="P3850" s="19">
        <v>0.16140209594068616</v>
      </c>
      <c r="Q3850" s="19">
        <v>0.18890721202823721</v>
      </c>
      <c r="R3850" s="19">
        <v>0.14292684911725342</v>
      </c>
      <c r="S3850" s="19">
        <v>4.7852401636332802E-2</v>
      </c>
      <c r="T3850" s="20">
        <v>23</v>
      </c>
      <c r="U3850" s="17">
        <v>2</v>
      </c>
      <c r="V3850" s="17">
        <v>36</v>
      </c>
    </row>
    <row r="3851" spans="1:22" x14ac:dyDescent="0.2">
      <c r="A3851" t="s">
        <v>8540</v>
      </c>
      <c r="B3851" t="s">
        <v>7665</v>
      </c>
      <c r="C3851" t="s">
        <v>7666</v>
      </c>
      <c r="D3851" t="s">
        <v>8541</v>
      </c>
      <c r="E3851" s="10" t="s">
        <v>8542</v>
      </c>
      <c r="F3851" s="10"/>
      <c r="G3851" s="10"/>
      <c r="H3851" s="10" t="s">
        <v>8542</v>
      </c>
      <c r="I3851" s="14">
        <v>97654.254629621268</v>
      </c>
      <c r="J3851" s="19">
        <v>0</v>
      </c>
      <c r="K3851" s="19">
        <v>0.8605205255485594</v>
      </c>
      <c r="L3851" s="19">
        <v>0.13947947445144074</v>
      </c>
      <c r="M3851" s="20">
        <v>2</v>
      </c>
      <c r="N3851" s="19">
        <v>9.6333368415379733E-2</v>
      </c>
      <c r="O3851" s="19">
        <v>0</v>
      </c>
      <c r="P3851" s="19">
        <v>0.76418715713317975</v>
      </c>
      <c r="Q3851" s="19">
        <v>8.2848136465728285E-3</v>
      </c>
      <c r="R3851" s="19">
        <v>0.1239628578753605</v>
      </c>
      <c r="S3851" s="19">
        <v>7.2318029295073919E-3</v>
      </c>
      <c r="T3851" s="20">
        <v>21</v>
      </c>
      <c r="U3851" s="17">
        <v>2</v>
      </c>
      <c r="V3851" s="17">
        <v>36</v>
      </c>
    </row>
    <row r="3852" spans="1:22" x14ac:dyDescent="0.2">
      <c r="A3852" t="s">
        <v>8543</v>
      </c>
      <c r="B3852" t="s">
        <v>7665</v>
      </c>
      <c r="C3852" t="s">
        <v>7666</v>
      </c>
      <c r="D3852" t="s">
        <v>8541</v>
      </c>
      <c r="E3852" s="10" t="s">
        <v>8544</v>
      </c>
      <c r="F3852" s="10"/>
      <c r="G3852" s="10"/>
      <c r="H3852" s="10" t="s">
        <v>8544</v>
      </c>
      <c r="I3852" s="14">
        <v>80834.996099828044</v>
      </c>
      <c r="J3852" s="19">
        <v>0</v>
      </c>
      <c r="K3852" s="19">
        <v>0.66430662746318048</v>
      </c>
      <c r="L3852" s="19">
        <v>0.33569337253681941</v>
      </c>
      <c r="M3852" s="20">
        <v>2</v>
      </c>
      <c r="N3852" s="19">
        <v>6.7564853583983481E-2</v>
      </c>
      <c r="O3852" s="19">
        <v>0</v>
      </c>
      <c r="P3852" s="19">
        <v>0.59674177387919691</v>
      </c>
      <c r="Q3852" s="19">
        <v>1.5226049644144193E-2</v>
      </c>
      <c r="R3852" s="19">
        <v>0.30780420262051994</v>
      </c>
      <c r="S3852" s="19">
        <v>1.266312027215538E-2</v>
      </c>
      <c r="T3852" s="20">
        <v>21</v>
      </c>
      <c r="U3852" s="17">
        <v>2</v>
      </c>
      <c r="V3852" s="17">
        <v>36</v>
      </c>
    </row>
    <row r="3853" spans="1:22" x14ac:dyDescent="0.2">
      <c r="A3853" t="s">
        <v>8545</v>
      </c>
      <c r="B3853" t="s">
        <v>7665</v>
      </c>
      <c r="C3853" t="s">
        <v>7666</v>
      </c>
      <c r="D3853" t="s">
        <v>8541</v>
      </c>
      <c r="E3853" s="10" t="s">
        <v>8546</v>
      </c>
      <c r="F3853" s="10"/>
      <c r="G3853" s="10"/>
      <c r="H3853" s="10" t="s">
        <v>8546</v>
      </c>
      <c r="I3853" s="14">
        <v>81253.686287566554</v>
      </c>
      <c r="J3853" s="19">
        <v>0</v>
      </c>
      <c r="K3853" s="19">
        <v>0.74750625141152816</v>
      </c>
      <c r="L3853" s="19">
        <v>0.25249374858847179</v>
      </c>
      <c r="M3853" s="20">
        <v>2</v>
      </c>
      <c r="N3853" s="19">
        <v>7.9624247295694645E-2</v>
      </c>
      <c r="O3853" s="19">
        <v>0.11898382766284558</v>
      </c>
      <c r="P3853" s="19">
        <v>0.548898176452988</v>
      </c>
      <c r="Q3853" s="19">
        <v>5.0480397409568434E-3</v>
      </c>
      <c r="R3853" s="19">
        <v>0.22833972888389495</v>
      </c>
      <c r="S3853" s="19">
        <v>1.9105979963620026E-2</v>
      </c>
      <c r="T3853" s="20">
        <v>21</v>
      </c>
      <c r="U3853" s="17">
        <v>2</v>
      </c>
      <c r="V3853" s="17">
        <v>36</v>
      </c>
    </row>
    <row r="3854" spans="1:22" x14ac:dyDescent="0.2">
      <c r="A3854" t="s">
        <v>8547</v>
      </c>
      <c r="B3854" t="s">
        <v>7665</v>
      </c>
      <c r="C3854" t="s">
        <v>7666</v>
      </c>
      <c r="D3854" t="s">
        <v>8541</v>
      </c>
      <c r="E3854" s="10" t="s">
        <v>8548</v>
      </c>
      <c r="F3854" s="10"/>
      <c r="G3854" s="10"/>
      <c r="H3854" s="10" t="s">
        <v>8548</v>
      </c>
      <c r="I3854" s="14">
        <v>81082.243210833403</v>
      </c>
      <c r="J3854" s="19">
        <v>0</v>
      </c>
      <c r="K3854" s="19">
        <v>0.95176991353022511</v>
      </c>
      <c r="L3854" s="19">
        <v>4.8230086469774856E-2</v>
      </c>
      <c r="M3854" s="20">
        <v>2</v>
      </c>
      <c r="N3854" s="19">
        <v>0.59855099225049768</v>
      </c>
      <c r="O3854" s="19">
        <v>0</v>
      </c>
      <c r="P3854" s="19">
        <v>0.35321892127972743</v>
      </c>
      <c r="Q3854" s="19">
        <v>0</v>
      </c>
      <c r="R3854" s="19">
        <v>4.5795420515134917E-2</v>
      </c>
      <c r="S3854" s="19">
        <v>2.434665954639933E-3</v>
      </c>
      <c r="T3854" s="20">
        <v>23</v>
      </c>
      <c r="U3854" s="17">
        <v>2</v>
      </c>
      <c r="V3854" s="17">
        <v>36</v>
      </c>
    </row>
    <row r="3855" spans="1:22" x14ac:dyDescent="0.2">
      <c r="A3855" t="s">
        <v>8549</v>
      </c>
      <c r="B3855" t="s">
        <v>7665</v>
      </c>
      <c r="C3855" t="s">
        <v>7666</v>
      </c>
      <c r="D3855" t="s">
        <v>8541</v>
      </c>
      <c r="E3855" s="10" t="s">
        <v>8550</v>
      </c>
      <c r="F3855" s="10"/>
      <c r="G3855" s="10"/>
      <c r="H3855" s="10" t="s">
        <v>8550</v>
      </c>
      <c r="I3855" s="14">
        <v>69428.392531766789</v>
      </c>
      <c r="J3855" s="19">
        <v>0</v>
      </c>
      <c r="K3855" s="19">
        <v>0.76543901971324457</v>
      </c>
      <c r="L3855" s="19">
        <v>0.23456098028675548</v>
      </c>
      <c r="M3855" s="20">
        <v>2</v>
      </c>
      <c r="N3855" s="19">
        <v>0.32084790950557424</v>
      </c>
      <c r="O3855" s="19">
        <v>0</v>
      </c>
      <c r="P3855" s="19">
        <v>0.44459111020767028</v>
      </c>
      <c r="Q3855" s="19">
        <v>1.1986996482093077E-2</v>
      </c>
      <c r="R3855" s="19">
        <v>0.220292507283573</v>
      </c>
      <c r="S3855" s="19">
        <v>2.281476521089401E-3</v>
      </c>
      <c r="T3855" s="20">
        <v>23</v>
      </c>
      <c r="U3855" s="17">
        <v>2</v>
      </c>
      <c r="V3855" s="17">
        <v>36</v>
      </c>
    </row>
    <row r="3856" spans="1:22" x14ac:dyDescent="0.2">
      <c r="A3856" t="s">
        <v>8551</v>
      </c>
      <c r="B3856" t="s">
        <v>7665</v>
      </c>
      <c r="C3856" t="s">
        <v>7666</v>
      </c>
      <c r="D3856" t="s">
        <v>8541</v>
      </c>
      <c r="E3856" s="10" t="s">
        <v>8541</v>
      </c>
      <c r="F3856" s="10"/>
      <c r="G3856" s="10"/>
      <c r="H3856" s="10" t="s">
        <v>8541</v>
      </c>
      <c r="I3856" s="14">
        <v>52993.579400043935</v>
      </c>
      <c r="J3856" s="19">
        <v>0</v>
      </c>
      <c r="K3856" s="19">
        <v>0.92083729374896905</v>
      </c>
      <c r="L3856" s="19">
        <v>7.9162706251030904E-2</v>
      </c>
      <c r="M3856" s="20">
        <v>2</v>
      </c>
      <c r="N3856" s="19">
        <v>0.55300535027082076</v>
      </c>
      <c r="O3856" s="19">
        <v>0</v>
      </c>
      <c r="P3856" s="19">
        <v>0.36783194347814835</v>
      </c>
      <c r="Q3856" s="19">
        <v>0</v>
      </c>
      <c r="R3856" s="19">
        <v>7.886460269679002E-2</v>
      </c>
      <c r="S3856" s="19">
        <v>2.9810355424088179E-4</v>
      </c>
      <c r="T3856" s="20">
        <v>23</v>
      </c>
      <c r="U3856" s="17">
        <v>2</v>
      </c>
      <c r="V3856" s="17">
        <v>36</v>
      </c>
    </row>
    <row r="3857" spans="1:22" x14ac:dyDescent="0.2">
      <c r="A3857" t="s">
        <v>8552</v>
      </c>
      <c r="B3857" t="s">
        <v>7665</v>
      </c>
      <c r="C3857" t="s">
        <v>7666</v>
      </c>
      <c r="D3857" t="s">
        <v>8541</v>
      </c>
      <c r="E3857" s="10" t="s">
        <v>8021</v>
      </c>
      <c r="F3857" s="10"/>
      <c r="G3857" s="10"/>
      <c r="H3857" s="10" t="s">
        <v>8021</v>
      </c>
      <c r="I3857" s="14">
        <v>58292.914383348776</v>
      </c>
      <c r="J3857" s="19">
        <v>1.5026213440339381E-2</v>
      </c>
      <c r="K3857" s="19">
        <v>0.80259806810156309</v>
      </c>
      <c r="L3857" s="19">
        <v>0.18237571845809752</v>
      </c>
      <c r="M3857" s="20">
        <v>2</v>
      </c>
      <c r="N3857" s="19">
        <v>6.9887290501514765E-2</v>
      </c>
      <c r="O3857" s="19">
        <v>0</v>
      </c>
      <c r="P3857" s="19">
        <v>0.73271077760004832</v>
      </c>
      <c r="Q3857" s="19">
        <v>0</v>
      </c>
      <c r="R3857" s="19">
        <v>0.17715011302311465</v>
      </c>
      <c r="S3857" s="19">
        <v>5.2256054349828817E-3</v>
      </c>
      <c r="T3857" s="20">
        <v>21</v>
      </c>
      <c r="U3857" s="17">
        <v>2</v>
      </c>
      <c r="V3857" s="17">
        <v>36</v>
      </c>
    </row>
    <row r="3858" spans="1:22" x14ac:dyDescent="0.2">
      <c r="A3858" t="s">
        <v>8553</v>
      </c>
      <c r="B3858" t="s">
        <v>7665</v>
      </c>
      <c r="C3858" t="s">
        <v>7666</v>
      </c>
      <c r="D3858" t="s">
        <v>8541</v>
      </c>
      <c r="E3858" s="10" t="s">
        <v>8554</v>
      </c>
      <c r="F3858" s="10"/>
      <c r="G3858" s="10"/>
      <c r="H3858" s="10" t="s">
        <v>8554</v>
      </c>
      <c r="I3858" s="14">
        <v>59206.996951092966</v>
      </c>
      <c r="J3858" s="19">
        <v>0</v>
      </c>
      <c r="K3858" s="19">
        <v>0.48824531100533247</v>
      </c>
      <c r="L3858" s="19">
        <v>0.51175468899466747</v>
      </c>
      <c r="M3858" s="20">
        <v>1</v>
      </c>
      <c r="N3858" s="19">
        <v>0</v>
      </c>
      <c r="O3858" s="19">
        <v>0.48824531100533247</v>
      </c>
      <c r="P3858" s="19">
        <v>0</v>
      </c>
      <c r="Q3858" s="19">
        <v>0.2237361091637913</v>
      </c>
      <c r="R3858" s="19">
        <v>0.26310858281130273</v>
      </c>
      <c r="S3858" s="19">
        <v>2.4909997019573495E-2</v>
      </c>
      <c r="T3858" s="20">
        <v>12</v>
      </c>
      <c r="U3858" s="17">
        <v>2</v>
      </c>
      <c r="V3858" s="17">
        <v>36</v>
      </c>
    </row>
    <row r="3859" spans="1:22" x14ac:dyDescent="0.2">
      <c r="A3859" t="s">
        <v>8555</v>
      </c>
      <c r="B3859" t="s">
        <v>7665</v>
      </c>
      <c r="C3859" t="s">
        <v>7666</v>
      </c>
      <c r="D3859" t="s">
        <v>8541</v>
      </c>
      <c r="E3859" s="10" t="s">
        <v>8556</v>
      </c>
      <c r="F3859" s="10"/>
      <c r="G3859" s="10"/>
      <c r="H3859" s="10" t="s">
        <v>8556</v>
      </c>
      <c r="I3859" s="14">
        <v>84228.690445101354</v>
      </c>
      <c r="J3859" s="19">
        <v>0</v>
      </c>
      <c r="K3859" s="19">
        <v>0.7909134922437342</v>
      </c>
      <c r="L3859" s="19">
        <v>0.20908650775626575</v>
      </c>
      <c r="M3859" s="20">
        <v>2</v>
      </c>
      <c r="N3859" s="19">
        <v>8.2091886500307867E-2</v>
      </c>
      <c r="O3859" s="19">
        <v>0</v>
      </c>
      <c r="P3859" s="19">
        <v>0.70882160574342634</v>
      </c>
      <c r="Q3859" s="19">
        <v>0</v>
      </c>
      <c r="R3859" s="19">
        <v>0.20368066239647656</v>
      </c>
      <c r="S3859" s="19">
        <v>5.4058453597892377E-3</v>
      </c>
      <c r="T3859" s="20">
        <v>21</v>
      </c>
      <c r="U3859" s="17">
        <v>2</v>
      </c>
      <c r="V3859" s="17">
        <v>36</v>
      </c>
    </row>
    <row r="3860" spans="1:22" x14ac:dyDescent="0.2">
      <c r="A3860" t="s">
        <v>8557</v>
      </c>
      <c r="B3860" t="s">
        <v>7665</v>
      </c>
      <c r="C3860" t="s">
        <v>7666</v>
      </c>
      <c r="D3860" t="s">
        <v>8541</v>
      </c>
      <c r="E3860" s="10" t="s">
        <v>8558</v>
      </c>
      <c r="F3860" s="10"/>
      <c r="G3860" s="10"/>
      <c r="H3860" s="10" t="s">
        <v>8558</v>
      </c>
      <c r="I3860" s="14">
        <v>91805.392990710912</v>
      </c>
      <c r="J3860" s="19">
        <v>0</v>
      </c>
      <c r="K3860" s="19">
        <v>0.51068288902045211</v>
      </c>
      <c r="L3860" s="19">
        <v>0.48931711097954789</v>
      </c>
      <c r="M3860" s="20">
        <v>2</v>
      </c>
      <c r="N3860" s="19">
        <v>0.18917041231836315</v>
      </c>
      <c r="O3860" s="19">
        <v>4.4708925703368908E-2</v>
      </c>
      <c r="P3860" s="19">
        <v>0.27680355099872006</v>
      </c>
      <c r="Q3860" s="19">
        <v>0.14022386273030399</v>
      </c>
      <c r="R3860" s="19">
        <v>0.32082840019899994</v>
      </c>
      <c r="S3860" s="19">
        <v>2.8264848050244009E-2</v>
      </c>
      <c r="T3860" s="20">
        <v>23</v>
      </c>
      <c r="U3860" s="17">
        <v>2</v>
      </c>
      <c r="V3860" s="17">
        <v>36</v>
      </c>
    </row>
    <row r="3861" spans="1:22" x14ac:dyDescent="0.2">
      <c r="A3861" t="s">
        <v>8559</v>
      </c>
      <c r="B3861" t="s">
        <v>7665</v>
      </c>
      <c r="C3861" t="s">
        <v>7666</v>
      </c>
      <c r="D3861" t="s">
        <v>8541</v>
      </c>
      <c r="E3861" s="10" t="s">
        <v>8560</v>
      </c>
      <c r="F3861" s="10"/>
      <c r="G3861" s="10"/>
      <c r="H3861" s="10" t="s">
        <v>8560</v>
      </c>
      <c r="I3861" s="14">
        <v>59143.955265031196</v>
      </c>
      <c r="J3861" s="19">
        <v>4.9007226754063937E-3</v>
      </c>
      <c r="K3861" s="19">
        <v>0.80664619025045736</v>
      </c>
      <c r="L3861" s="19">
        <v>0.1884530870741363</v>
      </c>
      <c r="M3861" s="20">
        <v>2</v>
      </c>
      <c r="N3861" s="19">
        <v>0.40485883330376582</v>
      </c>
      <c r="O3861" s="19">
        <v>9.0369870975158789E-3</v>
      </c>
      <c r="P3861" s="19">
        <v>0.39275036984917561</v>
      </c>
      <c r="Q3861" s="19">
        <v>3.3124222245784943E-2</v>
      </c>
      <c r="R3861" s="19">
        <v>0.15122982056693027</v>
      </c>
      <c r="S3861" s="19">
        <v>4.0990442614210797E-3</v>
      </c>
      <c r="T3861" s="20">
        <v>23</v>
      </c>
      <c r="U3861" s="17">
        <v>2</v>
      </c>
      <c r="V3861" s="17">
        <v>36</v>
      </c>
    </row>
    <row r="3862" spans="1:22" x14ac:dyDescent="0.2">
      <c r="A3862" t="s">
        <v>8561</v>
      </c>
      <c r="B3862" t="s">
        <v>7665</v>
      </c>
      <c r="C3862" t="s">
        <v>7666</v>
      </c>
      <c r="D3862" t="s">
        <v>8541</v>
      </c>
      <c r="E3862" s="10" t="s">
        <v>8562</v>
      </c>
      <c r="F3862" s="10"/>
      <c r="G3862" s="10"/>
      <c r="H3862" s="10" t="s">
        <v>8562</v>
      </c>
      <c r="I3862" s="14">
        <v>144808.09109066136</v>
      </c>
      <c r="J3862" s="19">
        <v>0.75246955203756716</v>
      </c>
      <c r="K3862" s="19">
        <v>0.21210906064394219</v>
      </c>
      <c r="L3862" s="19">
        <v>3.5421387318490621E-2</v>
      </c>
      <c r="M3862" s="20">
        <v>3</v>
      </c>
      <c r="N3862" s="19">
        <v>3.8292286824900913E-2</v>
      </c>
      <c r="O3862" s="19">
        <v>0</v>
      </c>
      <c r="P3862" s="19">
        <v>0.17381677381904129</v>
      </c>
      <c r="Q3862" s="19">
        <v>0</v>
      </c>
      <c r="R3862" s="19">
        <v>3.4117295920930199E-2</v>
      </c>
      <c r="S3862" s="19">
        <v>1.3040913975604217E-3</v>
      </c>
      <c r="T3862" s="20">
        <v>30</v>
      </c>
      <c r="U3862" s="17">
        <v>2</v>
      </c>
      <c r="V3862" s="17">
        <v>36</v>
      </c>
    </row>
    <row r="3863" spans="1:22" x14ac:dyDescent="0.2">
      <c r="A3863" t="s">
        <v>8563</v>
      </c>
      <c r="B3863" t="s">
        <v>7665</v>
      </c>
      <c r="C3863" t="s">
        <v>7666</v>
      </c>
      <c r="D3863" t="s">
        <v>8541</v>
      </c>
      <c r="E3863" s="10" t="s">
        <v>8564</v>
      </c>
      <c r="F3863" s="10"/>
      <c r="G3863" s="10"/>
      <c r="H3863" s="10" t="s">
        <v>8564</v>
      </c>
      <c r="I3863" s="14">
        <v>63954.297036966309</v>
      </c>
      <c r="J3863" s="19">
        <v>0</v>
      </c>
      <c r="K3863" s="19">
        <v>0.43572625058675496</v>
      </c>
      <c r="L3863" s="19">
        <v>0.56427374941324493</v>
      </c>
      <c r="M3863" s="20">
        <v>1</v>
      </c>
      <c r="N3863" s="19">
        <v>0.15161860378938266</v>
      </c>
      <c r="O3863" s="19">
        <v>0</v>
      </c>
      <c r="P3863" s="19">
        <v>0.28410764679737238</v>
      </c>
      <c r="Q3863" s="19">
        <v>0.21368385695434644</v>
      </c>
      <c r="R3863" s="19">
        <v>0.32752413242714079</v>
      </c>
      <c r="S3863" s="19">
        <v>2.306576003175775E-2</v>
      </c>
      <c r="T3863" s="20">
        <v>12</v>
      </c>
      <c r="U3863" s="17">
        <v>2</v>
      </c>
      <c r="V3863" s="17">
        <v>36</v>
      </c>
    </row>
    <row r="3864" spans="1:22" x14ac:dyDescent="0.2">
      <c r="A3864" t="s">
        <v>8565</v>
      </c>
      <c r="B3864" t="s">
        <v>7665</v>
      </c>
      <c r="C3864" t="s">
        <v>7666</v>
      </c>
      <c r="D3864" t="s">
        <v>8566</v>
      </c>
      <c r="E3864" s="10" t="s">
        <v>8567</v>
      </c>
      <c r="F3864" s="10"/>
      <c r="G3864" s="10"/>
      <c r="H3864" s="10" t="s">
        <v>8567</v>
      </c>
      <c r="I3864" s="14">
        <v>60519.773403413601</v>
      </c>
      <c r="J3864" s="19">
        <v>0</v>
      </c>
      <c r="K3864" s="19">
        <v>0.52306076035169913</v>
      </c>
      <c r="L3864" s="19">
        <v>0.47693923964830076</v>
      </c>
      <c r="M3864" s="20">
        <v>2</v>
      </c>
      <c r="N3864" s="19">
        <v>0.15131352896940292</v>
      </c>
      <c r="O3864" s="19">
        <v>0</v>
      </c>
      <c r="P3864" s="19">
        <v>0.37174723138229621</v>
      </c>
      <c r="Q3864" s="19">
        <v>0.21914381703568059</v>
      </c>
      <c r="R3864" s="19">
        <v>0.24312631386821767</v>
      </c>
      <c r="S3864" s="19">
        <v>1.4669108744402528E-2</v>
      </c>
      <c r="T3864" s="20">
        <v>23</v>
      </c>
      <c r="U3864" s="17">
        <v>2</v>
      </c>
      <c r="V3864" s="17">
        <v>36</v>
      </c>
    </row>
    <row r="3865" spans="1:22" x14ac:dyDescent="0.2">
      <c r="A3865" t="s">
        <v>8568</v>
      </c>
      <c r="B3865" t="s">
        <v>7665</v>
      </c>
      <c r="C3865" t="s">
        <v>7666</v>
      </c>
      <c r="D3865" t="s">
        <v>8566</v>
      </c>
      <c r="E3865" s="10" t="s">
        <v>8569</v>
      </c>
      <c r="F3865" s="10"/>
      <c r="G3865" s="10"/>
      <c r="H3865" s="10" t="s">
        <v>8569</v>
      </c>
      <c r="I3865" s="14">
        <v>114984.54968769358</v>
      </c>
      <c r="J3865" s="19">
        <v>1.4879486624179436E-4</v>
      </c>
      <c r="K3865" s="19">
        <v>0.92136091674513532</v>
      </c>
      <c r="L3865" s="19">
        <v>7.8490288388623056E-2</v>
      </c>
      <c r="M3865" s="20">
        <v>2</v>
      </c>
      <c r="N3865" s="19">
        <v>0.61950933006401099</v>
      </c>
      <c r="O3865" s="19">
        <v>0</v>
      </c>
      <c r="P3865" s="19">
        <v>0.30185158668112427</v>
      </c>
      <c r="Q3865" s="19">
        <v>8.104566987535056E-3</v>
      </c>
      <c r="R3865" s="19">
        <v>6.4031732167526653E-2</v>
      </c>
      <c r="S3865" s="19">
        <v>6.3539892335613404E-3</v>
      </c>
      <c r="T3865" s="20">
        <v>23</v>
      </c>
      <c r="U3865" s="17">
        <v>2</v>
      </c>
      <c r="V3865" s="17">
        <v>36</v>
      </c>
    </row>
    <row r="3866" spans="1:22" x14ac:dyDescent="0.2">
      <c r="A3866" t="s">
        <v>8570</v>
      </c>
      <c r="B3866" t="s">
        <v>7665</v>
      </c>
      <c r="C3866" t="s">
        <v>7666</v>
      </c>
      <c r="D3866" t="s">
        <v>8566</v>
      </c>
      <c r="E3866" s="10" t="s">
        <v>8571</v>
      </c>
      <c r="F3866" s="10"/>
      <c r="G3866" s="10"/>
      <c r="H3866" s="10" t="s">
        <v>8571</v>
      </c>
      <c r="I3866" s="14">
        <v>105753.28376299329</v>
      </c>
      <c r="J3866" s="19">
        <v>0.31337849125075029</v>
      </c>
      <c r="K3866" s="19">
        <v>0.60814416430596563</v>
      </c>
      <c r="L3866" s="19">
        <v>7.8477344443284067E-2</v>
      </c>
      <c r="M3866" s="20">
        <v>2</v>
      </c>
      <c r="N3866" s="19">
        <v>0.13697192612980663</v>
      </c>
      <c r="O3866" s="19">
        <v>0</v>
      </c>
      <c r="P3866" s="19">
        <v>0.47117223817615911</v>
      </c>
      <c r="Q3866" s="19">
        <v>2.391966903063562E-2</v>
      </c>
      <c r="R3866" s="19">
        <v>5.1543037253302615E-2</v>
      </c>
      <c r="S3866" s="19">
        <v>3.0146381593458261E-3</v>
      </c>
      <c r="T3866" s="20">
        <v>23</v>
      </c>
      <c r="U3866" s="17">
        <v>2</v>
      </c>
      <c r="V3866" s="17">
        <v>36</v>
      </c>
    </row>
    <row r="3867" spans="1:22" x14ac:dyDescent="0.2">
      <c r="A3867" t="s">
        <v>8572</v>
      </c>
      <c r="B3867" t="s">
        <v>7665</v>
      </c>
      <c r="C3867" t="s">
        <v>7666</v>
      </c>
      <c r="D3867" t="s">
        <v>8566</v>
      </c>
      <c r="E3867" s="10" t="s">
        <v>8573</v>
      </c>
      <c r="F3867" s="10"/>
      <c r="G3867" s="10"/>
      <c r="H3867" s="10" t="s">
        <v>8573</v>
      </c>
      <c r="I3867" s="14">
        <v>56356.480697681429</v>
      </c>
      <c r="J3867" s="19">
        <v>0</v>
      </c>
      <c r="K3867" s="19">
        <v>0.56231923015965635</v>
      </c>
      <c r="L3867" s="19">
        <v>0.43768076984034354</v>
      </c>
      <c r="M3867" s="20">
        <v>2</v>
      </c>
      <c r="N3867" s="19">
        <v>0.18704317011138641</v>
      </c>
      <c r="O3867" s="19">
        <v>3.470127774298911E-2</v>
      </c>
      <c r="P3867" s="19">
        <v>0.34057478230528088</v>
      </c>
      <c r="Q3867" s="19">
        <v>5.8895834051303393E-2</v>
      </c>
      <c r="R3867" s="19">
        <v>0.34666309811935692</v>
      </c>
      <c r="S3867" s="19">
        <v>3.2121837669683281E-2</v>
      </c>
      <c r="T3867" s="20">
        <v>23</v>
      </c>
      <c r="U3867" s="17">
        <v>2</v>
      </c>
      <c r="V3867" s="17">
        <v>36</v>
      </c>
    </row>
    <row r="3868" spans="1:22" x14ac:dyDescent="0.2">
      <c r="A3868" t="s">
        <v>8574</v>
      </c>
      <c r="B3868" t="s">
        <v>7665</v>
      </c>
      <c r="C3868" t="s">
        <v>7666</v>
      </c>
      <c r="D3868" t="s">
        <v>8566</v>
      </c>
      <c r="E3868" s="10" t="s">
        <v>8575</v>
      </c>
      <c r="F3868" s="10"/>
      <c r="G3868" s="10"/>
      <c r="H3868" s="10" t="s">
        <v>8575</v>
      </c>
      <c r="I3868" s="14">
        <v>101340.10611662549</v>
      </c>
      <c r="J3868" s="19">
        <v>0</v>
      </c>
      <c r="K3868" s="19">
        <v>0.85675545782584561</v>
      </c>
      <c r="L3868" s="19">
        <v>0.14324454217415422</v>
      </c>
      <c r="M3868" s="20">
        <v>2</v>
      </c>
      <c r="N3868" s="19">
        <v>0.2446812301071111</v>
      </c>
      <c r="O3868" s="19">
        <v>0.44649918149716356</v>
      </c>
      <c r="P3868" s="19">
        <v>0.16557504622157093</v>
      </c>
      <c r="Q3868" s="19">
        <v>2.6130497459902865E-2</v>
      </c>
      <c r="R3868" s="19">
        <v>0.10549605729888169</v>
      </c>
      <c r="S3868" s="19">
        <v>1.1617987415369672E-2</v>
      </c>
      <c r="T3868" s="20">
        <v>22</v>
      </c>
      <c r="U3868" s="17">
        <v>2</v>
      </c>
      <c r="V3868" s="17">
        <v>36</v>
      </c>
    </row>
    <row r="3869" spans="1:22" x14ac:dyDescent="0.2">
      <c r="A3869" t="s">
        <v>8576</v>
      </c>
      <c r="B3869" t="s">
        <v>7665</v>
      </c>
      <c r="C3869" t="s">
        <v>7666</v>
      </c>
      <c r="D3869" t="s">
        <v>8566</v>
      </c>
      <c r="E3869" s="10" t="s">
        <v>8577</v>
      </c>
      <c r="F3869" s="10"/>
      <c r="G3869" s="10"/>
      <c r="H3869" s="10" t="s">
        <v>8577</v>
      </c>
      <c r="I3869" s="14">
        <v>47485.190085742623</v>
      </c>
      <c r="J3869" s="19">
        <v>0</v>
      </c>
      <c r="K3869" s="19">
        <v>0.36329814450214287</v>
      </c>
      <c r="L3869" s="19">
        <v>0.63670185549785718</v>
      </c>
      <c r="M3869" s="20">
        <v>1</v>
      </c>
      <c r="N3869" s="19">
        <v>0.1895569195047275</v>
      </c>
      <c r="O3869" s="19">
        <v>0</v>
      </c>
      <c r="P3869" s="19">
        <v>0.17374122499741537</v>
      </c>
      <c r="Q3869" s="19">
        <v>0.23816300854911815</v>
      </c>
      <c r="R3869" s="19">
        <v>0.35390225888409477</v>
      </c>
      <c r="S3869" s="19">
        <v>4.4636588064644205E-2</v>
      </c>
      <c r="T3869" s="20">
        <v>12</v>
      </c>
      <c r="U3869" s="17">
        <v>2</v>
      </c>
      <c r="V3869" s="17">
        <v>36</v>
      </c>
    </row>
    <row r="3870" spans="1:22" x14ac:dyDescent="0.2">
      <c r="A3870" t="s">
        <v>8578</v>
      </c>
      <c r="B3870" t="s">
        <v>7665</v>
      </c>
      <c r="C3870" t="s">
        <v>7666</v>
      </c>
      <c r="D3870" t="s">
        <v>8566</v>
      </c>
      <c r="E3870" s="10" t="s">
        <v>8579</v>
      </c>
      <c r="F3870" s="10"/>
      <c r="G3870" s="10"/>
      <c r="H3870" s="10" t="s">
        <v>8579</v>
      </c>
      <c r="I3870" s="14">
        <v>122288.59238984087</v>
      </c>
      <c r="J3870" s="19">
        <v>0</v>
      </c>
      <c r="K3870" s="19">
        <v>0.90291443888153222</v>
      </c>
      <c r="L3870" s="19">
        <v>9.7085561118467834E-2</v>
      </c>
      <c r="M3870" s="20">
        <v>2</v>
      </c>
      <c r="N3870" s="19">
        <v>0.2303722985776023</v>
      </c>
      <c r="O3870" s="19">
        <v>0</v>
      </c>
      <c r="P3870" s="19">
        <v>0.67254214030392989</v>
      </c>
      <c r="Q3870" s="19">
        <v>2.9641516450174201E-3</v>
      </c>
      <c r="R3870" s="19">
        <v>8.6703102059469753E-2</v>
      </c>
      <c r="S3870" s="19">
        <v>7.4183074139806508E-3</v>
      </c>
      <c r="T3870" s="20">
        <v>21</v>
      </c>
      <c r="U3870" s="17">
        <v>2</v>
      </c>
      <c r="V3870" s="17">
        <v>36</v>
      </c>
    </row>
    <row r="3871" spans="1:22" x14ac:dyDescent="0.2">
      <c r="A3871" t="s">
        <v>8580</v>
      </c>
      <c r="B3871" t="s">
        <v>7665</v>
      </c>
      <c r="C3871" t="s">
        <v>7666</v>
      </c>
      <c r="D3871" t="s">
        <v>8566</v>
      </c>
      <c r="E3871" s="10" t="s">
        <v>8581</v>
      </c>
      <c r="F3871" s="10"/>
      <c r="G3871" s="10"/>
      <c r="H3871" s="10" t="s">
        <v>8581</v>
      </c>
      <c r="I3871" s="14">
        <v>126821.74833148858</v>
      </c>
      <c r="J3871" s="19">
        <v>0</v>
      </c>
      <c r="K3871" s="19">
        <v>0.85209886459276973</v>
      </c>
      <c r="L3871" s="19">
        <v>0.14790113540723027</v>
      </c>
      <c r="M3871" s="20">
        <v>2</v>
      </c>
      <c r="N3871" s="19">
        <v>0.30070075353063908</v>
      </c>
      <c r="O3871" s="19">
        <v>0</v>
      </c>
      <c r="P3871" s="19">
        <v>0.55139811106213066</v>
      </c>
      <c r="Q3871" s="19">
        <v>1.2127948467992854E-2</v>
      </c>
      <c r="R3871" s="19">
        <v>0.12544843620546325</v>
      </c>
      <c r="S3871" s="19">
        <v>1.0324750733774143E-2</v>
      </c>
      <c r="T3871" s="20">
        <v>21</v>
      </c>
      <c r="U3871" s="17">
        <v>2</v>
      </c>
      <c r="V3871" s="17">
        <v>36</v>
      </c>
    </row>
    <row r="3872" spans="1:22" x14ac:dyDescent="0.2">
      <c r="A3872" t="s">
        <v>8582</v>
      </c>
      <c r="B3872" t="s">
        <v>7665</v>
      </c>
      <c r="C3872" t="s">
        <v>7666</v>
      </c>
      <c r="D3872" t="s">
        <v>8566</v>
      </c>
      <c r="E3872" s="10" t="s">
        <v>8583</v>
      </c>
      <c r="F3872" s="10"/>
      <c r="G3872" s="10"/>
      <c r="H3872" s="10" t="s">
        <v>8583</v>
      </c>
      <c r="I3872" s="14">
        <v>164356.32584321033</v>
      </c>
      <c r="J3872" s="19">
        <v>0.6785360892032577</v>
      </c>
      <c r="K3872" s="19">
        <v>0.28807902742689095</v>
      </c>
      <c r="L3872" s="19">
        <v>3.3384883369851327E-2</v>
      </c>
      <c r="M3872" s="20">
        <v>3</v>
      </c>
      <c r="N3872" s="19">
        <v>0.22912846063607489</v>
      </c>
      <c r="O3872" s="19">
        <v>0</v>
      </c>
      <c r="P3872" s="19">
        <v>5.8950566790816096E-2</v>
      </c>
      <c r="Q3872" s="19">
        <v>4.5081981340225966E-3</v>
      </c>
      <c r="R3872" s="19">
        <v>2.7028924104799967E-2</v>
      </c>
      <c r="S3872" s="19">
        <v>1.847761131028761E-3</v>
      </c>
      <c r="T3872" s="20">
        <v>30</v>
      </c>
      <c r="U3872" s="17">
        <v>2</v>
      </c>
      <c r="V3872" s="17">
        <v>36</v>
      </c>
    </row>
    <row r="3873" spans="1:22" x14ac:dyDescent="0.2">
      <c r="A3873" t="s">
        <v>8584</v>
      </c>
      <c r="B3873" t="s">
        <v>7665</v>
      </c>
      <c r="C3873" t="s">
        <v>7666</v>
      </c>
      <c r="D3873" t="s">
        <v>8585</v>
      </c>
      <c r="E3873" s="10" t="s">
        <v>8586</v>
      </c>
      <c r="F3873" s="10"/>
      <c r="G3873" s="10"/>
      <c r="H3873" s="10" t="s">
        <v>8586</v>
      </c>
      <c r="I3873" s="14">
        <v>207127.55420471448</v>
      </c>
      <c r="J3873" s="19">
        <v>0</v>
      </c>
      <c r="K3873" s="19">
        <v>0.85320803456578598</v>
      </c>
      <c r="L3873" s="19">
        <v>0.14679196543421408</v>
      </c>
      <c r="M3873" s="20">
        <v>2</v>
      </c>
      <c r="N3873" s="19">
        <v>0.32250177686187786</v>
      </c>
      <c r="O3873" s="19">
        <v>5.6510120995555684E-2</v>
      </c>
      <c r="P3873" s="19">
        <v>0.47419613670835242</v>
      </c>
      <c r="Q3873" s="19">
        <v>4.2157447287015447E-2</v>
      </c>
      <c r="R3873" s="19">
        <v>9.4338510234683412E-2</v>
      </c>
      <c r="S3873" s="19">
        <v>1.0296007912515202E-2</v>
      </c>
      <c r="T3873" s="20">
        <v>23</v>
      </c>
      <c r="U3873" s="17">
        <v>2</v>
      </c>
      <c r="V3873" s="17">
        <v>36</v>
      </c>
    </row>
    <row r="3874" spans="1:22" x14ac:dyDescent="0.2">
      <c r="A3874" t="s">
        <v>8587</v>
      </c>
      <c r="B3874" t="s">
        <v>7665</v>
      </c>
      <c r="C3874" t="s">
        <v>7666</v>
      </c>
      <c r="D3874" t="s">
        <v>8585</v>
      </c>
      <c r="E3874" s="10" t="s">
        <v>8588</v>
      </c>
      <c r="F3874" s="10"/>
      <c r="G3874" s="10"/>
      <c r="H3874" s="10" t="s">
        <v>8588</v>
      </c>
      <c r="I3874" s="14">
        <v>118611.90465822816</v>
      </c>
      <c r="J3874" s="19">
        <v>0</v>
      </c>
      <c r="K3874" s="19">
        <v>0.97514674212900121</v>
      </c>
      <c r="L3874" s="19">
        <v>2.4853257870998794E-2</v>
      </c>
      <c r="M3874" s="20">
        <v>2</v>
      </c>
      <c r="N3874" s="19">
        <v>0.68174042669328561</v>
      </c>
      <c r="O3874" s="19">
        <v>0</v>
      </c>
      <c r="P3874" s="19">
        <v>0.29340631543571555</v>
      </c>
      <c r="Q3874" s="19">
        <v>0</v>
      </c>
      <c r="R3874" s="19">
        <v>2.2973492349468945E-2</v>
      </c>
      <c r="S3874" s="19">
        <v>1.879765521529848E-3</v>
      </c>
      <c r="T3874" s="20">
        <v>23</v>
      </c>
      <c r="U3874" s="17">
        <v>2</v>
      </c>
      <c r="V3874" s="17">
        <v>36</v>
      </c>
    </row>
    <row r="3875" spans="1:22" x14ac:dyDescent="0.2">
      <c r="A3875" t="s">
        <v>8589</v>
      </c>
      <c r="B3875" t="s">
        <v>7665</v>
      </c>
      <c r="C3875" t="s">
        <v>7666</v>
      </c>
      <c r="D3875" t="s">
        <v>8585</v>
      </c>
      <c r="E3875" s="10" t="s">
        <v>8590</v>
      </c>
      <c r="F3875" s="10"/>
      <c r="G3875" s="10"/>
      <c r="H3875" s="10" t="s">
        <v>8590</v>
      </c>
      <c r="I3875" s="14">
        <v>145284.24091216922</v>
      </c>
      <c r="J3875" s="19">
        <v>0</v>
      </c>
      <c r="K3875" s="19">
        <v>0.70376955232938743</v>
      </c>
      <c r="L3875" s="19">
        <v>0.29623044767061257</v>
      </c>
      <c r="M3875" s="20">
        <v>2</v>
      </c>
      <c r="N3875" s="19">
        <v>0.13439232502557216</v>
      </c>
      <c r="O3875" s="19">
        <v>0.1022224016897576</v>
      </c>
      <c r="P3875" s="19">
        <v>0.46715482561405769</v>
      </c>
      <c r="Q3875" s="19">
        <v>0.12697715345850699</v>
      </c>
      <c r="R3875" s="19">
        <v>0.14849869271737401</v>
      </c>
      <c r="S3875" s="19">
        <v>2.0754601494731541E-2</v>
      </c>
      <c r="T3875" s="20">
        <v>23</v>
      </c>
      <c r="U3875" s="17">
        <v>2</v>
      </c>
      <c r="V3875" s="17">
        <v>36</v>
      </c>
    </row>
    <row r="3876" spans="1:22" x14ac:dyDescent="0.2">
      <c r="A3876" t="s">
        <v>8591</v>
      </c>
      <c r="B3876" t="s">
        <v>7665</v>
      </c>
      <c r="C3876" t="s">
        <v>7666</v>
      </c>
      <c r="D3876" t="s">
        <v>8585</v>
      </c>
      <c r="E3876" s="10" t="s">
        <v>8592</v>
      </c>
      <c r="F3876" s="10"/>
      <c r="G3876" s="10"/>
      <c r="H3876" s="10" t="s">
        <v>8592</v>
      </c>
      <c r="I3876" s="14">
        <v>48494.875725455582</v>
      </c>
      <c r="J3876" s="19">
        <v>0</v>
      </c>
      <c r="K3876" s="19">
        <v>0.32800394668977667</v>
      </c>
      <c r="L3876" s="19">
        <v>0.67199605331022338</v>
      </c>
      <c r="M3876" s="20">
        <v>1</v>
      </c>
      <c r="N3876" s="19">
        <v>0</v>
      </c>
      <c r="O3876" s="19">
        <v>0.32800394668977667</v>
      </c>
      <c r="P3876" s="19">
        <v>0</v>
      </c>
      <c r="Q3876" s="19">
        <v>0.20624616410763574</v>
      </c>
      <c r="R3876" s="19">
        <v>0.42278262173024606</v>
      </c>
      <c r="S3876" s="19">
        <v>4.2967267472341503E-2</v>
      </c>
      <c r="T3876" s="20">
        <v>12</v>
      </c>
      <c r="U3876" s="17">
        <v>2</v>
      </c>
      <c r="V3876" s="17">
        <v>36</v>
      </c>
    </row>
    <row r="3877" spans="1:22" x14ac:dyDescent="0.2">
      <c r="A3877" t="s">
        <v>8593</v>
      </c>
      <c r="B3877" t="s">
        <v>7665</v>
      </c>
      <c r="C3877" t="s">
        <v>7666</v>
      </c>
      <c r="D3877" t="s">
        <v>8585</v>
      </c>
      <c r="E3877" s="10" t="s">
        <v>8594</v>
      </c>
      <c r="F3877" s="10"/>
      <c r="G3877" s="10"/>
      <c r="H3877" s="10" t="s">
        <v>8594</v>
      </c>
      <c r="I3877" s="14">
        <v>92490.396936489269</v>
      </c>
      <c r="J3877" s="19">
        <v>0</v>
      </c>
      <c r="K3877" s="19">
        <v>0.85962505162460989</v>
      </c>
      <c r="L3877" s="19">
        <v>0.14037494837539005</v>
      </c>
      <c r="M3877" s="20">
        <v>2</v>
      </c>
      <c r="N3877" s="19">
        <v>0.21412937035790236</v>
      </c>
      <c r="O3877" s="19">
        <v>2.5054233235056095E-2</v>
      </c>
      <c r="P3877" s="19">
        <v>0.62044144803165147</v>
      </c>
      <c r="Q3877" s="19">
        <v>2.1190747030194069E-2</v>
      </c>
      <c r="R3877" s="19">
        <v>0.10266812585955259</v>
      </c>
      <c r="S3877" s="19">
        <v>1.6516075485643385E-2</v>
      </c>
      <c r="T3877" s="20">
        <v>21</v>
      </c>
      <c r="U3877" s="17">
        <v>2</v>
      </c>
      <c r="V3877" s="17">
        <v>36</v>
      </c>
    </row>
    <row r="3878" spans="1:22" x14ac:dyDescent="0.2">
      <c r="A3878" t="s">
        <v>8595</v>
      </c>
      <c r="B3878" t="s">
        <v>7665</v>
      </c>
      <c r="C3878" t="s">
        <v>7666</v>
      </c>
      <c r="D3878" t="s">
        <v>8585</v>
      </c>
      <c r="E3878" s="10" t="s">
        <v>8596</v>
      </c>
      <c r="F3878" s="10"/>
      <c r="G3878" s="10"/>
      <c r="H3878" s="10" t="s">
        <v>8596</v>
      </c>
      <c r="I3878" s="14">
        <v>69980.047663971782</v>
      </c>
      <c r="J3878" s="19">
        <v>0</v>
      </c>
      <c r="K3878" s="19">
        <v>0.82507023826510961</v>
      </c>
      <c r="L3878" s="19">
        <v>0.17492976173489028</v>
      </c>
      <c r="M3878" s="20">
        <v>2</v>
      </c>
      <c r="N3878" s="19">
        <v>2.0636314124528594E-3</v>
      </c>
      <c r="O3878" s="19">
        <v>0</v>
      </c>
      <c r="P3878" s="19">
        <v>0.82300660685265692</v>
      </c>
      <c r="Q3878" s="19">
        <v>4.2660569709564576E-2</v>
      </c>
      <c r="R3878" s="19">
        <v>0.12077207215911631</v>
      </c>
      <c r="S3878" s="19">
        <v>1.1497119866209365E-2</v>
      </c>
      <c r="T3878" s="20">
        <v>21</v>
      </c>
      <c r="U3878" s="17">
        <v>2</v>
      </c>
      <c r="V3878" s="17">
        <v>36</v>
      </c>
    </row>
    <row r="3879" spans="1:22" x14ac:dyDescent="0.2">
      <c r="A3879" t="s">
        <v>8597</v>
      </c>
      <c r="B3879" t="s">
        <v>7665</v>
      </c>
      <c r="C3879" t="s">
        <v>7666</v>
      </c>
      <c r="D3879" t="s">
        <v>8585</v>
      </c>
      <c r="E3879" s="10" t="s">
        <v>8598</v>
      </c>
      <c r="F3879" s="10"/>
      <c r="G3879" s="10"/>
      <c r="H3879" s="10" t="s">
        <v>8598</v>
      </c>
      <c r="I3879" s="14">
        <v>112102.40454959637</v>
      </c>
      <c r="J3879" s="19">
        <v>0.73452444734305966</v>
      </c>
      <c r="K3879" s="19">
        <v>0.22749719470861759</v>
      </c>
      <c r="L3879" s="19">
        <v>3.7978357948322744E-2</v>
      </c>
      <c r="M3879" s="20">
        <v>3</v>
      </c>
      <c r="N3879" s="19">
        <v>4.0478192028486811E-4</v>
      </c>
      <c r="O3879" s="19">
        <v>0</v>
      </c>
      <c r="P3879" s="19">
        <v>0.22709241278833273</v>
      </c>
      <c r="Q3879" s="19">
        <v>0</v>
      </c>
      <c r="R3879" s="19">
        <v>3.5472145622418676E-2</v>
      </c>
      <c r="S3879" s="19">
        <v>2.5062123259040675E-3</v>
      </c>
      <c r="T3879" s="20">
        <v>30</v>
      </c>
      <c r="U3879" s="17">
        <v>2</v>
      </c>
      <c r="V3879" s="17">
        <v>36</v>
      </c>
    </row>
    <row r="3880" spans="1:22" x14ac:dyDescent="0.2">
      <c r="A3880" t="s">
        <v>8599</v>
      </c>
      <c r="B3880" t="s">
        <v>7665</v>
      </c>
      <c r="C3880" t="s">
        <v>7666</v>
      </c>
      <c r="D3880" t="s">
        <v>8585</v>
      </c>
      <c r="E3880" s="10" t="s">
        <v>8600</v>
      </c>
      <c r="F3880" s="10"/>
      <c r="G3880" s="10"/>
      <c r="H3880" s="10" t="s">
        <v>8600</v>
      </c>
      <c r="I3880" s="14">
        <v>82371.722371727228</v>
      </c>
      <c r="J3880" s="19">
        <v>0</v>
      </c>
      <c r="K3880" s="19">
        <v>0.68564031952446691</v>
      </c>
      <c r="L3880" s="19">
        <v>0.31435968047553303</v>
      </c>
      <c r="M3880" s="20">
        <v>2</v>
      </c>
      <c r="N3880" s="19">
        <v>0.10823607959137764</v>
      </c>
      <c r="O3880" s="19">
        <v>0</v>
      </c>
      <c r="P3880" s="19">
        <v>0.57740423993308931</v>
      </c>
      <c r="Q3880" s="19">
        <v>0.13162823917706773</v>
      </c>
      <c r="R3880" s="19">
        <v>0.16673572591927066</v>
      </c>
      <c r="S3880" s="19">
        <v>1.5995715379194673E-2</v>
      </c>
      <c r="T3880" s="20">
        <v>21</v>
      </c>
      <c r="U3880" s="17">
        <v>2</v>
      </c>
      <c r="V3880" s="17">
        <v>36</v>
      </c>
    </row>
    <row r="3881" spans="1:22" x14ac:dyDescent="0.2">
      <c r="A3881" t="s">
        <v>8601</v>
      </c>
      <c r="B3881" t="s">
        <v>7665</v>
      </c>
      <c r="C3881" t="s">
        <v>7666</v>
      </c>
      <c r="D3881" t="s">
        <v>8602</v>
      </c>
      <c r="E3881" s="10" t="s">
        <v>8603</v>
      </c>
      <c r="F3881" s="10"/>
      <c r="G3881" s="10"/>
      <c r="H3881" s="10" t="s">
        <v>8603</v>
      </c>
      <c r="I3881" s="14">
        <v>39224.677670307457</v>
      </c>
      <c r="J3881" s="19">
        <v>0</v>
      </c>
      <c r="K3881" s="19">
        <v>0.47259484348412045</v>
      </c>
      <c r="L3881" s="19">
        <v>0.5274051565158796</v>
      </c>
      <c r="M3881" s="20">
        <v>1</v>
      </c>
      <c r="N3881" s="19">
        <v>0.29108302772666145</v>
      </c>
      <c r="O3881" s="19">
        <v>0</v>
      </c>
      <c r="P3881" s="19">
        <v>0.18151181575745895</v>
      </c>
      <c r="Q3881" s="19">
        <v>7.5899830135733357E-2</v>
      </c>
      <c r="R3881" s="19">
        <v>0.38795210632665678</v>
      </c>
      <c r="S3881" s="19">
        <v>6.3553220053489443E-2</v>
      </c>
      <c r="T3881" s="20">
        <v>12</v>
      </c>
      <c r="U3881" s="17">
        <v>2</v>
      </c>
      <c r="V3881" s="17">
        <v>36</v>
      </c>
    </row>
    <row r="3882" spans="1:22" x14ac:dyDescent="0.2">
      <c r="A3882" t="s">
        <v>8604</v>
      </c>
      <c r="B3882" t="s">
        <v>7665</v>
      </c>
      <c r="C3882" t="s">
        <v>7666</v>
      </c>
      <c r="D3882" t="s">
        <v>8602</v>
      </c>
      <c r="E3882" s="10" t="s">
        <v>8605</v>
      </c>
      <c r="F3882" s="10"/>
      <c r="G3882" s="10"/>
      <c r="H3882" s="10" t="s">
        <v>8605</v>
      </c>
      <c r="I3882" s="14">
        <v>149765.69861461758</v>
      </c>
      <c r="J3882" s="19">
        <v>0</v>
      </c>
      <c r="K3882" s="19">
        <v>0.90638018571467349</v>
      </c>
      <c r="L3882" s="19">
        <v>9.3619814285326536E-2</v>
      </c>
      <c r="M3882" s="20">
        <v>2</v>
      </c>
      <c r="N3882" s="19">
        <v>0.47184560309242607</v>
      </c>
      <c r="O3882" s="19">
        <v>0</v>
      </c>
      <c r="P3882" s="19">
        <v>0.43453458262224742</v>
      </c>
      <c r="Q3882" s="19">
        <v>2.0797475073030532E-2</v>
      </c>
      <c r="R3882" s="19">
        <v>6.7083035880521905E-2</v>
      </c>
      <c r="S3882" s="19">
        <v>5.7393033317740946E-3</v>
      </c>
      <c r="T3882" s="20">
        <v>23</v>
      </c>
      <c r="U3882" s="17">
        <v>2</v>
      </c>
      <c r="V3882" s="17">
        <v>36</v>
      </c>
    </row>
    <row r="3883" spans="1:22" x14ac:dyDescent="0.2">
      <c r="A3883" t="s">
        <v>8606</v>
      </c>
      <c r="B3883" t="s">
        <v>7665</v>
      </c>
      <c r="C3883" t="s">
        <v>7666</v>
      </c>
      <c r="D3883" t="s">
        <v>8602</v>
      </c>
      <c r="E3883" s="10" t="s">
        <v>8607</v>
      </c>
      <c r="F3883" s="10"/>
      <c r="G3883" s="10"/>
      <c r="H3883" s="10" t="s">
        <v>8607</v>
      </c>
      <c r="I3883" s="14">
        <v>200508.61888181278</v>
      </c>
      <c r="J3883" s="19">
        <v>0.44064641817335054</v>
      </c>
      <c r="K3883" s="19">
        <v>0.50723451748724135</v>
      </c>
      <c r="L3883" s="19">
        <v>5.2119064339408168E-2</v>
      </c>
      <c r="M3883" s="20">
        <v>2</v>
      </c>
      <c r="N3883" s="19">
        <v>0.13427957390708609</v>
      </c>
      <c r="O3883" s="19">
        <v>0</v>
      </c>
      <c r="P3883" s="19">
        <v>0.37295494358015524</v>
      </c>
      <c r="Q3883" s="19">
        <v>7.5299898411563459E-3</v>
      </c>
      <c r="R3883" s="19">
        <v>4.3185540178501305E-2</v>
      </c>
      <c r="S3883" s="19">
        <v>1.4035343197505139E-3</v>
      </c>
      <c r="T3883" s="20">
        <v>23</v>
      </c>
      <c r="U3883" s="17">
        <v>2</v>
      </c>
      <c r="V3883" s="17">
        <v>36</v>
      </c>
    </row>
    <row r="3884" spans="1:22" x14ac:dyDescent="0.2">
      <c r="A3884" t="s">
        <v>8608</v>
      </c>
      <c r="B3884" t="s">
        <v>7665</v>
      </c>
      <c r="C3884" t="s">
        <v>7666</v>
      </c>
      <c r="D3884" t="s">
        <v>8602</v>
      </c>
      <c r="E3884" s="10" t="s">
        <v>8609</v>
      </c>
      <c r="F3884" s="10"/>
      <c r="G3884" s="10"/>
      <c r="H3884" s="10" t="s">
        <v>8609</v>
      </c>
      <c r="I3884" s="14">
        <v>24030.926314973276</v>
      </c>
      <c r="J3884" s="19">
        <v>0</v>
      </c>
      <c r="K3884" s="19">
        <v>0</v>
      </c>
      <c r="L3884" s="19">
        <v>1</v>
      </c>
      <c r="M3884" s="20">
        <v>1</v>
      </c>
      <c r="N3884" s="19">
        <v>0</v>
      </c>
      <c r="O3884" s="19">
        <v>0</v>
      </c>
      <c r="P3884" s="19">
        <v>0</v>
      </c>
      <c r="Q3884" s="19">
        <v>0.39580770687433464</v>
      </c>
      <c r="R3884" s="19">
        <v>0.56310501276429947</v>
      </c>
      <c r="S3884" s="19">
        <v>4.1087280361365698E-2</v>
      </c>
      <c r="T3884" s="20">
        <v>12</v>
      </c>
      <c r="U3884" s="17">
        <v>2</v>
      </c>
      <c r="V3884" s="17">
        <v>36</v>
      </c>
    </row>
    <row r="3885" spans="1:22" x14ac:dyDescent="0.2">
      <c r="A3885" t="s">
        <v>8610</v>
      </c>
      <c r="B3885" t="s">
        <v>7665</v>
      </c>
      <c r="C3885" t="s">
        <v>7666</v>
      </c>
      <c r="D3885" t="s">
        <v>8602</v>
      </c>
      <c r="E3885" s="10" t="s">
        <v>8611</v>
      </c>
      <c r="F3885" s="10"/>
      <c r="G3885" s="10"/>
      <c r="H3885" s="10" t="s">
        <v>8611</v>
      </c>
      <c r="I3885" s="14">
        <v>124829.15157904103</v>
      </c>
      <c r="J3885" s="19">
        <v>2.7818701820371563E-3</v>
      </c>
      <c r="K3885" s="19">
        <v>0.92765153278427281</v>
      </c>
      <c r="L3885" s="19">
        <v>6.9566597033690003E-2</v>
      </c>
      <c r="M3885" s="20">
        <v>2</v>
      </c>
      <c r="N3885" s="19">
        <v>0.35295338592210457</v>
      </c>
      <c r="O3885" s="19">
        <v>0</v>
      </c>
      <c r="P3885" s="19">
        <v>0.57469814686216825</v>
      </c>
      <c r="Q3885" s="19">
        <v>0</v>
      </c>
      <c r="R3885" s="19">
        <v>6.5786355525603857E-2</v>
      </c>
      <c r="S3885" s="19">
        <v>3.7802415080861471E-3</v>
      </c>
      <c r="T3885" s="20">
        <v>21</v>
      </c>
      <c r="U3885" s="17">
        <v>2</v>
      </c>
      <c r="V3885" s="17">
        <v>36</v>
      </c>
    </row>
    <row r="3886" spans="1:22" x14ac:dyDescent="0.2">
      <c r="A3886" t="s">
        <v>8612</v>
      </c>
      <c r="B3886" t="s">
        <v>7665</v>
      </c>
      <c r="C3886" t="s">
        <v>7666</v>
      </c>
      <c r="D3886" t="s">
        <v>8602</v>
      </c>
      <c r="E3886" s="10" t="s">
        <v>8613</v>
      </c>
      <c r="F3886" s="10"/>
      <c r="G3886" s="10"/>
      <c r="H3886" s="10" t="s">
        <v>8613</v>
      </c>
      <c r="I3886" s="14">
        <v>90717.890492261387</v>
      </c>
      <c r="J3886" s="19">
        <v>0.8662766169252516</v>
      </c>
      <c r="K3886" s="19">
        <v>0.12108443964052476</v>
      </c>
      <c r="L3886" s="19">
        <v>1.2638943434223681E-2</v>
      </c>
      <c r="M3886" s="20">
        <v>3</v>
      </c>
      <c r="N3886" s="19">
        <v>3.1998614263954867E-2</v>
      </c>
      <c r="O3886" s="19">
        <v>0</v>
      </c>
      <c r="P3886" s="19">
        <v>8.9085825376569894E-2</v>
      </c>
      <c r="Q3886" s="19">
        <v>0</v>
      </c>
      <c r="R3886" s="19">
        <v>1.2081678788541769E-2</v>
      </c>
      <c r="S3886" s="19">
        <v>5.5726464568191334E-4</v>
      </c>
      <c r="T3886" s="20">
        <v>30</v>
      </c>
      <c r="U3886" s="17">
        <v>2</v>
      </c>
      <c r="V3886" s="17">
        <v>36</v>
      </c>
    </row>
    <row r="3887" spans="1:22" x14ac:dyDescent="0.2">
      <c r="A3887" t="s">
        <v>8614</v>
      </c>
      <c r="B3887" t="s">
        <v>7665</v>
      </c>
      <c r="C3887" t="s">
        <v>7666</v>
      </c>
      <c r="D3887" t="s">
        <v>8602</v>
      </c>
      <c r="E3887" s="10" t="s">
        <v>8615</v>
      </c>
      <c r="F3887" s="10"/>
      <c r="G3887" s="10"/>
      <c r="H3887" s="10" t="s">
        <v>8615</v>
      </c>
      <c r="I3887" s="14">
        <v>39009.347319277003</v>
      </c>
      <c r="J3887" s="19">
        <v>0</v>
      </c>
      <c r="K3887" s="19">
        <v>0.47246029479402735</v>
      </c>
      <c r="L3887" s="19">
        <v>0.5275397052059726</v>
      </c>
      <c r="M3887" s="20">
        <v>1</v>
      </c>
      <c r="N3887" s="19">
        <v>0.16189246653898828</v>
      </c>
      <c r="O3887" s="19">
        <v>0</v>
      </c>
      <c r="P3887" s="19">
        <v>0.31056782825503909</v>
      </c>
      <c r="Q3887" s="19">
        <v>8.7000882576610775E-2</v>
      </c>
      <c r="R3887" s="19">
        <v>0.40873891569298865</v>
      </c>
      <c r="S3887" s="19">
        <v>3.1799906936373204E-2</v>
      </c>
      <c r="T3887" s="20">
        <v>12</v>
      </c>
      <c r="U3887" s="17">
        <v>2</v>
      </c>
      <c r="V3887" s="17">
        <v>36</v>
      </c>
    </row>
    <row r="3888" spans="1:22" x14ac:dyDescent="0.2">
      <c r="A3888" t="s">
        <v>8616</v>
      </c>
      <c r="B3888" t="s">
        <v>7665</v>
      </c>
      <c r="C3888" t="s">
        <v>7666</v>
      </c>
      <c r="D3888" t="s">
        <v>8602</v>
      </c>
      <c r="E3888" s="10" t="s">
        <v>8617</v>
      </c>
      <c r="F3888" s="10"/>
      <c r="G3888" s="10"/>
      <c r="H3888" s="10" t="s">
        <v>8617</v>
      </c>
      <c r="I3888" s="14">
        <v>22990.340590656968</v>
      </c>
      <c r="J3888" s="19">
        <v>0</v>
      </c>
      <c r="K3888" s="19">
        <v>0</v>
      </c>
      <c r="L3888" s="19">
        <v>1</v>
      </c>
      <c r="M3888" s="20">
        <v>1</v>
      </c>
      <c r="N3888" s="19">
        <v>0</v>
      </c>
      <c r="O3888" s="19">
        <v>0</v>
      </c>
      <c r="P3888" s="19">
        <v>0</v>
      </c>
      <c r="Q3888" s="19">
        <v>0.27956630314923592</v>
      </c>
      <c r="R3888" s="19">
        <v>0.63362309165299857</v>
      </c>
      <c r="S3888" s="19">
        <v>8.6810605197765525E-2</v>
      </c>
      <c r="T3888" s="20">
        <v>12</v>
      </c>
      <c r="U3888" s="17">
        <v>2</v>
      </c>
      <c r="V3888" s="17">
        <v>36</v>
      </c>
    </row>
    <row r="3889" spans="1:22" x14ac:dyDescent="0.2">
      <c r="A3889" t="s">
        <v>8618</v>
      </c>
      <c r="B3889" t="s">
        <v>7665</v>
      </c>
      <c r="C3889" t="s">
        <v>7666</v>
      </c>
      <c r="D3889" t="s">
        <v>8602</v>
      </c>
      <c r="E3889" s="10" t="s">
        <v>8619</v>
      </c>
      <c r="F3889" s="10"/>
      <c r="G3889" s="10"/>
      <c r="H3889" s="10" t="s">
        <v>8619</v>
      </c>
      <c r="I3889" s="14">
        <v>26119.21408556588</v>
      </c>
      <c r="J3889" s="19">
        <v>0</v>
      </c>
      <c r="K3889" s="19">
        <v>0</v>
      </c>
      <c r="L3889" s="19">
        <v>1</v>
      </c>
      <c r="M3889" s="20">
        <v>1</v>
      </c>
      <c r="N3889" s="19">
        <v>0</v>
      </c>
      <c r="O3889" s="19">
        <v>0</v>
      </c>
      <c r="P3889" s="19">
        <v>0</v>
      </c>
      <c r="Q3889" s="19">
        <v>0.19433133384967471</v>
      </c>
      <c r="R3889" s="19">
        <v>0.71847119835864093</v>
      </c>
      <c r="S3889" s="19">
        <v>8.719746779168433E-2</v>
      </c>
      <c r="T3889" s="20">
        <v>12</v>
      </c>
      <c r="U3889" s="17">
        <v>2</v>
      </c>
      <c r="V3889" s="17">
        <v>36</v>
      </c>
    </row>
    <row r="3890" spans="1:22" x14ac:dyDescent="0.2">
      <c r="A3890" t="s">
        <v>8620</v>
      </c>
      <c r="B3890" t="s">
        <v>7665</v>
      </c>
      <c r="C3890" t="s">
        <v>7666</v>
      </c>
      <c r="D3890" t="s">
        <v>8602</v>
      </c>
      <c r="E3890" s="10" t="s">
        <v>8621</v>
      </c>
      <c r="F3890" s="10"/>
      <c r="G3890" s="10"/>
      <c r="H3890" s="10" t="s">
        <v>8621</v>
      </c>
      <c r="I3890" s="14">
        <v>32267.209961848337</v>
      </c>
      <c r="J3890" s="19">
        <v>0</v>
      </c>
      <c r="K3890" s="19">
        <v>0.77308335617684387</v>
      </c>
      <c r="L3890" s="19">
        <v>0.22691664382315602</v>
      </c>
      <c r="M3890" s="20">
        <v>2</v>
      </c>
      <c r="N3890" s="19">
        <v>0.16690607045516834</v>
      </c>
      <c r="O3890" s="19">
        <v>0</v>
      </c>
      <c r="P3890" s="19">
        <v>0.60617728572167551</v>
      </c>
      <c r="Q3890" s="19">
        <v>3.5702623419541474E-2</v>
      </c>
      <c r="R3890" s="19">
        <v>0.17571243270673403</v>
      </c>
      <c r="S3890" s="19">
        <v>1.5501587696880497E-2</v>
      </c>
      <c r="T3890" s="20">
        <v>21</v>
      </c>
      <c r="U3890" s="17">
        <v>2</v>
      </c>
      <c r="V3890" s="17">
        <v>36</v>
      </c>
    </row>
    <row r="3891" spans="1:22" x14ac:dyDescent="0.2">
      <c r="A3891" t="s">
        <v>8622</v>
      </c>
      <c r="B3891" t="s">
        <v>7665</v>
      </c>
      <c r="C3891" t="s">
        <v>7666</v>
      </c>
      <c r="D3891" t="s">
        <v>8602</v>
      </c>
      <c r="E3891" s="10" t="s">
        <v>8623</v>
      </c>
      <c r="F3891" s="10"/>
      <c r="G3891" s="10"/>
      <c r="H3891" s="10" t="s">
        <v>8623</v>
      </c>
      <c r="I3891" s="14">
        <v>140606.37625303958</v>
      </c>
      <c r="J3891" s="19">
        <v>2.4782275744699329E-2</v>
      </c>
      <c r="K3891" s="19">
        <v>0.854715698347155</v>
      </c>
      <c r="L3891" s="19">
        <v>0.12050202590814575</v>
      </c>
      <c r="M3891" s="20">
        <v>2</v>
      </c>
      <c r="N3891" s="19">
        <v>0.36427582344895787</v>
      </c>
      <c r="O3891" s="19">
        <v>0</v>
      </c>
      <c r="P3891" s="19">
        <v>0.49043987489819707</v>
      </c>
      <c r="Q3891" s="19">
        <v>0</v>
      </c>
      <c r="R3891" s="19">
        <v>0.10973389622667565</v>
      </c>
      <c r="S3891" s="19">
        <v>1.0768129681470093E-2</v>
      </c>
      <c r="T3891" s="20">
        <v>23</v>
      </c>
      <c r="U3891" s="17">
        <v>2</v>
      </c>
      <c r="V3891" s="17">
        <v>36</v>
      </c>
    </row>
    <row r="3892" spans="1:22" x14ac:dyDescent="0.2">
      <c r="A3892" t="s">
        <v>8624</v>
      </c>
      <c r="B3892" t="s">
        <v>7665</v>
      </c>
      <c r="C3892" t="s">
        <v>7666</v>
      </c>
      <c r="D3892" t="s">
        <v>8602</v>
      </c>
      <c r="E3892" s="10" t="s">
        <v>8625</v>
      </c>
      <c r="F3892" s="10"/>
      <c r="G3892" s="10"/>
      <c r="H3892" s="10" t="s">
        <v>8625</v>
      </c>
      <c r="I3892" s="14">
        <v>79066.796784098959</v>
      </c>
      <c r="J3892" s="19">
        <v>0</v>
      </c>
      <c r="K3892" s="19">
        <v>0.84637158638737231</v>
      </c>
      <c r="L3892" s="19">
        <v>0.15362841361262769</v>
      </c>
      <c r="M3892" s="20">
        <v>2</v>
      </c>
      <c r="N3892" s="19">
        <v>0</v>
      </c>
      <c r="O3892" s="19">
        <v>0</v>
      </c>
      <c r="P3892" s="19">
        <v>0.84637158638737231</v>
      </c>
      <c r="Q3892" s="19">
        <v>3.825088509646387E-2</v>
      </c>
      <c r="R3892" s="19">
        <v>0.10529620549339265</v>
      </c>
      <c r="S3892" s="19">
        <v>1.0081323022771168E-2</v>
      </c>
      <c r="T3892" s="20">
        <v>21</v>
      </c>
      <c r="U3892" s="17">
        <v>2</v>
      </c>
      <c r="V3892" s="17">
        <v>36</v>
      </c>
    </row>
    <row r="3893" spans="1:22" x14ac:dyDescent="0.2">
      <c r="A3893" t="s">
        <v>8626</v>
      </c>
      <c r="B3893" t="s">
        <v>7665</v>
      </c>
      <c r="C3893" t="s">
        <v>7666</v>
      </c>
      <c r="D3893" t="s">
        <v>8602</v>
      </c>
      <c r="E3893" s="10" t="s">
        <v>8627</v>
      </c>
      <c r="F3893" s="10"/>
      <c r="G3893" s="10"/>
      <c r="H3893" s="10" t="s">
        <v>8627</v>
      </c>
      <c r="I3893" s="14">
        <v>23172.682915923651</v>
      </c>
      <c r="J3893" s="19">
        <v>0</v>
      </c>
      <c r="K3893" s="19">
        <v>0.39921918014818675</v>
      </c>
      <c r="L3893" s="19">
        <v>0.60078081985181331</v>
      </c>
      <c r="M3893" s="20">
        <v>1</v>
      </c>
      <c r="N3893" s="19">
        <v>0.33725606600922753</v>
      </c>
      <c r="O3893" s="19">
        <v>0</v>
      </c>
      <c r="P3893" s="19">
        <v>6.1963114138959212E-2</v>
      </c>
      <c r="Q3893" s="19">
        <v>0.11066062444825925</v>
      </c>
      <c r="R3893" s="19">
        <v>0.39867524083881928</v>
      </c>
      <c r="S3893" s="19">
        <v>9.1444954564734754E-2</v>
      </c>
      <c r="T3893" s="20">
        <v>12</v>
      </c>
      <c r="U3893" s="17">
        <v>2</v>
      </c>
      <c r="V3893" s="17">
        <v>36</v>
      </c>
    </row>
    <row r="3894" spans="1:22" x14ac:dyDescent="0.2">
      <c r="A3894" t="s">
        <v>8628</v>
      </c>
      <c r="B3894" t="s">
        <v>7665</v>
      </c>
      <c r="C3894" t="s">
        <v>7666</v>
      </c>
      <c r="D3894" t="s">
        <v>8602</v>
      </c>
      <c r="E3894" s="10" t="s">
        <v>8629</v>
      </c>
      <c r="F3894" s="10"/>
      <c r="G3894" s="10"/>
      <c r="H3894" s="10" t="s">
        <v>8629</v>
      </c>
      <c r="I3894" s="14">
        <v>83672.164055463625</v>
      </c>
      <c r="J3894" s="19">
        <v>0</v>
      </c>
      <c r="K3894" s="19">
        <v>0.80505109201915925</v>
      </c>
      <c r="L3894" s="19">
        <v>0.19494890798084077</v>
      </c>
      <c r="M3894" s="20">
        <v>2</v>
      </c>
      <c r="N3894" s="19">
        <v>7.012531455335777E-2</v>
      </c>
      <c r="O3894" s="19">
        <v>0</v>
      </c>
      <c r="P3894" s="19">
        <v>0.73492577746580146</v>
      </c>
      <c r="Q3894" s="19">
        <v>9.6453919820159613E-3</v>
      </c>
      <c r="R3894" s="19">
        <v>0.18117698684459865</v>
      </c>
      <c r="S3894" s="19">
        <v>4.1265291542261634E-3</v>
      </c>
      <c r="T3894" s="20">
        <v>21</v>
      </c>
      <c r="U3894" s="17">
        <v>2</v>
      </c>
      <c r="V3894" s="17">
        <v>36</v>
      </c>
    </row>
    <row r="3895" spans="1:22" x14ac:dyDescent="0.2">
      <c r="A3895" t="s">
        <v>8630</v>
      </c>
      <c r="B3895" t="s">
        <v>7665</v>
      </c>
      <c r="C3895" t="s">
        <v>7666</v>
      </c>
      <c r="D3895" t="s">
        <v>8602</v>
      </c>
      <c r="E3895" s="10" t="s">
        <v>8631</v>
      </c>
      <c r="F3895" s="10"/>
      <c r="G3895" s="10"/>
      <c r="H3895" s="10" t="s">
        <v>8631</v>
      </c>
      <c r="I3895" s="14">
        <v>111080.94621811702</v>
      </c>
      <c r="J3895" s="19">
        <v>0.74797911215710799</v>
      </c>
      <c r="K3895" s="19">
        <v>0.20512409032077497</v>
      </c>
      <c r="L3895" s="19">
        <v>4.6896797522117027E-2</v>
      </c>
      <c r="M3895" s="20">
        <v>3</v>
      </c>
      <c r="N3895" s="19">
        <v>0</v>
      </c>
      <c r="O3895" s="19">
        <v>0</v>
      </c>
      <c r="P3895" s="19">
        <v>0.20512409032077497</v>
      </c>
      <c r="Q3895" s="19">
        <v>0</v>
      </c>
      <c r="R3895" s="19">
        <v>4.6474759602353928E-2</v>
      </c>
      <c r="S3895" s="19">
        <v>4.2203791976309506E-4</v>
      </c>
      <c r="T3895" s="20">
        <v>30</v>
      </c>
      <c r="U3895" s="17">
        <v>2</v>
      </c>
      <c r="V3895" s="17">
        <v>36</v>
      </c>
    </row>
    <row r="3896" spans="1:22" x14ac:dyDescent="0.2">
      <c r="A3896" t="s">
        <v>8632</v>
      </c>
      <c r="B3896" t="s">
        <v>7665</v>
      </c>
      <c r="C3896" t="s">
        <v>7666</v>
      </c>
      <c r="D3896" t="s">
        <v>8602</v>
      </c>
      <c r="E3896" s="10" t="s">
        <v>8633</v>
      </c>
      <c r="F3896" s="10"/>
      <c r="G3896" s="10"/>
      <c r="H3896" s="10" t="s">
        <v>8633</v>
      </c>
      <c r="I3896" s="14">
        <v>16970.704668187071</v>
      </c>
      <c r="J3896" s="19">
        <v>0</v>
      </c>
      <c r="K3896" s="19">
        <v>0</v>
      </c>
      <c r="L3896" s="19">
        <v>1</v>
      </c>
      <c r="M3896" s="20">
        <v>1</v>
      </c>
      <c r="N3896" s="19">
        <v>0</v>
      </c>
      <c r="O3896" s="19">
        <v>0</v>
      </c>
      <c r="P3896" s="19">
        <v>0</v>
      </c>
      <c r="Q3896" s="19">
        <v>0.36288977283428125</v>
      </c>
      <c r="R3896" s="19">
        <v>0.56030581560978632</v>
      </c>
      <c r="S3896" s="19">
        <v>7.6804411555932442E-2</v>
      </c>
      <c r="T3896" s="20">
        <v>12</v>
      </c>
      <c r="U3896" s="17">
        <v>2</v>
      </c>
      <c r="V3896" s="17">
        <v>36</v>
      </c>
    </row>
    <row r="3897" spans="1:22" x14ac:dyDescent="0.2">
      <c r="A3897" t="s">
        <v>8634</v>
      </c>
      <c r="B3897" t="s">
        <v>7665</v>
      </c>
      <c r="C3897" t="s">
        <v>7666</v>
      </c>
      <c r="D3897" t="s">
        <v>8602</v>
      </c>
      <c r="E3897" s="10" t="s">
        <v>8635</v>
      </c>
      <c r="F3897" s="10"/>
      <c r="G3897" s="10"/>
      <c r="H3897" s="10" t="s">
        <v>8635</v>
      </c>
      <c r="I3897" s="14">
        <v>180559.97710147433</v>
      </c>
      <c r="J3897" s="19">
        <v>0</v>
      </c>
      <c r="K3897" s="19">
        <v>0.85395848857003365</v>
      </c>
      <c r="L3897" s="19">
        <v>0.14604151142996616</v>
      </c>
      <c r="M3897" s="20">
        <v>2</v>
      </c>
      <c r="N3897" s="19">
        <v>0.18929744510384108</v>
      </c>
      <c r="O3897" s="19">
        <v>0</v>
      </c>
      <c r="P3897" s="19">
        <v>0.66466104346619259</v>
      </c>
      <c r="Q3897" s="19">
        <v>0</v>
      </c>
      <c r="R3897" s="19">
        <v>0.14261803171609611</v>
      </c>
      <c r="S3897" s="19">
        <v>3.4234797138700647E-3</v>
      </c>
      <c r="T3897" s="20">
        <v>21</v>
      </c>
      <c r="U3897" s="17">
        <v>2</v>
      </c>
      <c r="V3897" s="17">
        <v>36</v>
      </c>
    </row>
    <row r="3898" spans="1:22" x14ac:dyDescent="0.2">
      <c r="A3898" t="s">
        <v>8636</v>
      </c>
      <c r="B3898" t="s">
        <v>7665</v>
      </c>
      <c r="C3898" t="s">
        <v>7666</v>
      </c>
      <c r="D3898" t="s">
        <v>8602</v>
      </c>
      <c r="E3898" s="10" t="s">
        <v>8637</v>
      </c>
      <c r="F3898" s="10"/>
      <c r="G3898" s="10"/>
      <c r="H3898" s="10" t="s">
        <v>8637</v>
      </c>
      <c r="I3898" s="14">
        <v>70515.727529620752</v>
      </c>
      <c r="J3898" s="19">
        <v>0</v>
      </c>
      <c r="K3898" s="19">
        <v>0.48061214784030443</v>
      </c>
      <c r="L3898" s="19">
        <v>0.51938785215969552</v>
      </c>
      <c r="M3898" s="20">
        <v>1</v>
      </c>
      <c r="N3898" s="19">
        <v>0.16536474674986962</v>
      </c>
      <c r="O3898" s="19">
        <v>0</v>
      </c>
      <c r="P3898" s="19">
        <v>0.31524740109043481</v>
      </c>
      <c r="Q3898" s="19">
        <v>0.21492843191302782</v>
      </c>
      <c r="R3898" s="19">
        <v>0.28179675171756213</v>
      </c>
      <c r="S3898" s="19">
        <v>2.2662668529105603E-2</v>
      </c>
      <c r="T3898" s="20">
        <v>12</v>
      </c>
      <c r="U3898" s="17">
        <v>2</v>
      </c>
      <c r="V3898" s="17">
        <v>36</v>
      </c>
    </row>
    <row r="3899" spans="1:22" x14ac:dyDescent="0.2">
      <c r="A3899" t="s">
        <v>8638</v>
      </c>
      <c r="B3899" t="s">
        <v>7665</v>
      </c>
      <c r="C3899" t="s">
        <v>7666</v>
      </c>
      <c r="D3899" t="s">
        <v>8639</v>
      </c>
      <c r="E3899" s="10" t="s">
        <v>8640</v>
      </c>
      <c r="F3899" s="10"/>
      <c r="G3899" s="10"/>
      <c r="H3899" s="10" t="s">
        <v>8640</v>
      </c>
      <c r="I3899" s="14">
        <v>52711.615995308384</v>
      </c>
      <c r="J3899" s="19">
        <v>0</v>
      </c>
      <c r="K3899" s="19">
        <v>0.32347046030528803</v>
      </c>
      <c r="L3899" s="19">
        <v>0.67652953969471197</v>
      </c>
      <c r="M3899" s="20">
        <v>1</v>
      </c>
      <c r="N3899" s="19">
        <v>0.17576214812484442</v>
      </c>
      <c r="O3899" s="19">
        <v>0</v>
      </c>
      <c r="P3899" s="19">
        <v>0.14770831218044359</v>
      </c>
      <c r="Q3899" s="19">
        <v>0.18251057583902014</v>
      </c>
      <c r="R3899" s="19">
        <v>0.45242284328077459</v>
      </c>
      <c r="S3899" s="19">
        <v>4.1596120574917267E-2</v>
      </c>
      <c r="T3899" s="20">
        <v>12</v>
      </c>
      <c r="U3899" s="17">
        <v>2</v>
      </c>
      <c r="V3899" s="17">
        <v>36</v>
      </c>
    </row>
    <row r="3900" spans="1:22" x14ac:dyDescent="0.2">
      <c r="A3900" t="s">
        <v>8641</v>
      </c>
      <c r="B3900" t="s">
        <v>7665</v>
      </c>
      <c r="C3900" t="s">
        <v>7666</v>
      </c>
      <c r="D3900" t="s">
        <v>8639</v>
      </c>
      <c r="E3900" s="10" t="s">
        <v>8642</v>
      </c>
      <c r="F3900" s="10"/>
      <c r="G3900" s="10"/>
      <c r="H3900" s="10" t="s">
        <v>8642</v>
      </c>
      <c r="I3900" s="14">
        <v>177792.09675251506</v>
      </c>
      <c r="J3900" s="19">
        <v>0.3044526028060775</v>
      </c>
      <c r="K3900" s="19">
        <v>0.47240472145134521</v>
      </c>
      <c r="L3900" s="19">
        <v>0.22314267574257726</v>
      </c>
      <c r="M3900" s="20">
        <v>2</v>
      </c>
      <c r="N3900" s="19">
        <v>0.10144123718766908</v>
      </c>
      <c r="O3900" s="19">
        <v>0</v>
      </c>
      <c r="P3900" s="19">
        <v>0.37096348426367615</v>
      </c>
      <c r="Q3900" s="19">
        <v>4.1044618849054013E-2</v>
      </c>
      <c r="R3900" s="19">
        <v>0.17277182974775854</v>
      </c>
      <c r="S3900" s="19">
        <v>9.3262271457647296E-3</v>
      </c>
      <c r="T3900" s="20">
        <v>23</v>
      </c>
      <c r="U3900" s="17">
        <v>2</v>
      </c>
      <c r="V3900" s="17">
        <v>36</v>
      </c>
    </row>
    <row r="3901" spans="1:22" x14ac:dyDescent="0.2">
      <c r="A3901" t="s">
        <v>8643</v>
      </c>
      <c r="B3901" t="s">
        <v>7665</v>
      </c>
      <c r="C3901" t="s">
        <v>7666</v>
      </c>
      <c r="D3901" t="s">
        <v>8639</v>
      </c>
      <c r="E3901" s="10" t="s">
        <v>8644</v>
      </c>
      <c r="F3901" s="10"/>
      <c r="G3901" s="10"/>
      <c r="H3901" s="10" t="s">
        <v>8644</v>
      </c>
      <c r="I3901" s="14">
        <v>143702.61040245206</v>
      </c>
      <c r="J3901" s="19">
        <v>0</v>
      </c>
      <c r="K3901" s="19">
        <v>0.91501090521390949</v>
      </c>
      <c r="L3901" s="19">
        <v>8.4989094786090499E-2</v>
      </c>
      <c r="M3901" s="20">
        <v>2</v>
      </c>
      <c r="N3901" s="19">
        <v>0.34315724837326878</v>
      </c>
      <c r="O3901" s="19">
        <v>0</v>
      </c>
      <c r="P3901" s="19">
        <v>0.57185365684064071</v>
      </c>
      <c r="Q3901" s="19">
        <v>0</v>
      </c>
      <c r="R3901" s="19">
        <v>7.9495261638701506E-2</v>
      </c>
      <c r="S3901" s="19">
        <v>5.4938331473889926E-3</v>
      </c>
      <c r="T3901" s="20">
        <v>21</v>
      </c>
      <c r="U3901" s="17">
        <v>2</v>
      </c>
      <c r="V3901" s="17">
        <v>36</v>
      </c>
    </row>
    <row r="3902" spans="1:22" x14ac:dyDescent="0.2">
      <c r="A3902" t="s">
        <v>8645</v>
      </c>
      <c r="B3902" t="s">
        <v>7665</v>
      </c>
      <c r="C3902" t="s">
        <v>7666</v>
      </c>
      <c r="D3902" t="s">
        <v>8639</v>
      </c>
      <c r="E3902" s="10" t="s">
        <v>8646</v>
      </c>
      <c r="F3902" s="10"/>
      <c r="G3902" s="10"/>
      <c r="H3902" s="10" t="s">
        <v>8646</v>
      </c>
      <c r="I3902" s="14">
        <v>17449.513600744307</v>
      </c>
      <c r="J3902" s="19">
        <v>0</v>
      </c>
      <c r="K3902" s="19">
        <v>0.94963347511653495</v>
      </c>
      <c r="L3902" s="19">
        <v>5.0366524883464991E-2</v>
      </c>
      <c r="M3902" s="20">
        <v>2</v>
      </c>
      <c r="N3902" s="19">
        <v>0.87571450670975259</v>
      </c>
      <c r="O3902" s="19">
        <v>0</v>
      </c>
      <c r="P3902" s="19">
        <v>7.3918968406782387E-2</v>
      </c>
      <c r="Q3902" s="19">
        <v>3.5088367660931416E-2</v>
      </c>
      <c r="R3902" s="19">
        <v>1.4949780552105671E-2</v>
      </c>
      <c r="S3902" s="19">
        <v>3.2837667042790277E-4</v>
      </c>
      <c r="T3902" s="20">
        <v>23</v>
      </c>
      <c r="U3902" s="17">
        <v>2</v>
      </c>
      <c r="V3902" s="17">
        <v>36</v>
      </c>
    </row>
    <row r="3903" spans="1:22" x14ac:dyDescent="0.2">
      <c r="A3903" t="s">
        <v>8647</v>
      </c>
      <c r="B3903" t="s">
        <v>7665</v>
      </c>
      <c r="C3903" t="s">
        <v>7666</v>
      </c>
      <c r="D3903" t="s">
        <v>8639</v>
      </c>
      <c r="E3903" s="10" t="s">
        <v>8648</v>
      </c>
      <c r="F3903" s="10"/>
      <c r="G3903" s="10"/>
      <c r="H3903" s="10" t="s">
        <v>8648</v>
      </c>
      <c r="I3903" s="14">
        <v>128012.29226988647</v>
      </c>
      <c r="J3903" s="19">
        <v>0</v>
      </c>
      <c r="K3903" s="19">
        <v>0.93567049532979429</v>
      </c>
      <c r="L3903" s="19">
        <v>6.432950467020572E-2</v>
      </c>
      <c r="M3903" s="20">
        <v>2</v>
      </c>
      <c r="N3903" s="19">
        <v>0.27852004527396251</v>
      </c>
      <c r="O3903" s="19">
        <v>0</v>
      </c>
      <c r="P3903" s="19">
        <v>0.65715045005583173</v>
      </c>
      <c r="Q3903" s="19">
        <v>4.3588650729921106E-3</v>
      </c>
      <c r="R3903" s="19">
        <v>5.6334540111988567E-2</v>
      </c>
      <c r="S3903" s="19">
        <v>3.6360994852250379E-3</v>
      </c>
      <c r="T3903" s="20">
        <v>21</v>
      </c>
      <c r="U3903" s="17">
        <v>2</v>
      </c>
      <c r="V3903" s="17">
        <v>36</v>
      </c>
    </row>
    <row r="3904" spans="1:22" x14ac:dyDescent="0.2">
      <c r="A3904" t="s">
        <v>8649</v>
      </c>
      <c r="B3904" t="s">
        <v>7665</v>
      </c>
      <c r="C3904" t="s">
        <v>7666</v>
      </c>
      <c r="D3904" t="s">
        <v>8639</v>
      </c>
      <c r="E3904" s="10" t="s">
        <v>8650</v>
      </c>
      <c r="F3904" s="10"/>
      <c r="G3904" s="10"/>
      <c r="H3904" s="10" t="s">
        <v>8650</v>
      </c>
      <c r="I3904" s="14">
        <v>15879.460182890296</v>
      </c>
      <c r="J3904" s="19">
        <v>0</v>
      </c>
      <c r="K3904" s="19">
        <v>0.49478651646292038</v>
      </c>
      <c r="L3904" s="19">
        <v>0.50521348353707962</v>
      </c>
      <c r="M3904" s="20">
        <v>1</v>
      </c>
      <c r="N3904" s="19">
        <v>0</v>
      </c>
      <c r="O3904" s="19">
        <v>0.49447759585929363</v>
      </c>
      <c r="P3904" s="19">
        <v>3.0892060362671807E-4</v>
      </c>
      <c r="Q3904" s="19">
        <v>0.11092480798240048</v>
      </c>
      <c r="R3904" s="19">
        <v>0.35766186360729729</v>
      </c>
      <c r="S3904" s="19">
        <v>3.6626811947381877E-2</v>
      </c>
      <c r="T3904" s="20">
        <v>12</v>
      </c>
      <c r="U3904" s="17">
        <v>2</v>
      </c>
      <c r="V3904" s="17">
        <v>36</v>
      </c>
    </row>
    <row r="3905" spans="1:22" x14ac:dyDescent="0.2">
      <c r="A3905" t="s">
        <v>8651</v>
      </c>
      <c r="B3905" t="s">
        <v>7665</v>
      </c>
      <c r="C3905" t="s">
        <v>7666</v>
      </c>
      <c r="D3905" t="s">
        <v>8639</v>
      </c>
      <c r="E3905" s="10" t="s">
        <v>8652</v>
      </c>
      <c r="F3905" s="10"/>
      <c r="G3905" s="10"/>
      <c r="H3905" s="10" t="s">
        <v>8652</v>
      </c>
      <c r="I3905" s="14">
        <v>92342.80321987858</v>
      </c>
      <c r="J3905" s="19">
        <v>2.5293106928524312E-2</v>
      </c>
      <c r="K3905" s="19">
        <v>0.8824256184677356</v>
      </c>
      <c r="L3905" s="19">
        <v>9.2281274603740096E-2</v>
      </c>
      <c r="M3905" s="20">
        <v>2</v>
      </c>
      <c r="N3905" s="19">
        <v>0.21777570576784197</v>
      </c>
      <c r="O3905" s="19">
        <v>9.1183740238132513E-2</v>
      </c>
      <c r="P3905" s="19">
        <v>0.57346617246176113</v>
      </c>
      <c r="Q3905" s="19">
        <v>0</v>
      </c>
      <c r="R3905" s="19">
        <v>8.8397032245165902E-2</v>
      </c>
      <c r="S3905" s="19">
        <v>3.8842423585741959E-3</v>
      </c>
      <c r="T3905" s="20">
        <v>21</v>
      </c>
      <c r="U3905" s="17">
        <v>2</v>
      </c>
      <c r="V3905" s="17">
        <v>36</v>
      </c>
    </row>
    <row r="3906" spans="1:22" x14ac:dyDescent="0.2">
      <c r="A3906" t="s">
        <v>8653</v>
      </c>
      <c r="B3906" t="s">
        <v>7665</v>
      </c>
      <c r="C3906" t="s">
        <v>7666</v>
      </c>
      <c r="D3906" t="s">
        <v>8639</v>
      </c>
      <c r="E3906" s="10" t="s">
        <v>8639</v>
      </c>
      <c r="F3906" s="10"/>
      <c r="G3906" s="10"/>
      <c r="H3906" s="10" t="s">
        <v>8639</v>
      </c>
      <c r="I3906" s="14">
        <v>319335.22897652118</v>
      </c>
      <c r="J3906" s="19">
        <v>0.61206429174782617</v>
      </c>
      <c r="K3906" s="19">
        <v>0.37813949426264953</v>
      </c>
      <c r="L3906" s="19">
        <v>9.7962139895243112E-3</v>
      </c>
      <c r="M3906" s="20">
        <v>3</v>
      </c>
      <c r="N3906" s="19">
        <v>0.21242538502250963</v>
      </c>
      <c r="O3906" s="19">
        <v>0</v>
      </c>
      <c r="P3906" s="19">
        <v>0.16571410924013988</v>
      </c>
      <c r="Q3906" s="19">
        <v>0</v>
      </c>
      <c r="R3906" s="19">
        <v>9.2125161396248573E-3</v>
      </c>
      <c r="S3906" s="19">
        <v>5.8369784989945441E-4</v>
      </c>
      <c r="T3906" s="20">
        <v>30</v>
      </c>
      <c r="U3906" s="17">
        <v>2</v>
      </c>
      <c r="V3906" s="17">
        <v>36</v>
      </c>
    </row>
    <row r="3907" spans="1:22" x14ac:dyDescent="0.2">
      <c r="A3907" t="s">
        <v>8654</v>
      </c>
      <c r="B3907" t="s">
        <v>7665</v>
      </c>
      <c r="C3907" t="s">
        <v>7666</v>
      </c>
      <c r="D3907" t="s">
        <v>8639</v>
      </c>
      <c r="E3907" s="10" t="s">
        <v>8655</v>
      </c>
      <c r="F3907" s="10"/>
      <c r="G3907" s="10"/>
      <c r="H3907" s="10" t="s">
        <v>8655</v>
      </c>
      <c r="I3907" s="14">
        <v>69989.938434218988</v>
      </c>
      <c r="J3907" s="19">
        <v>0</v>
      </c>
      <c r="K3907" s="19">
        <v>0.41363412347310463</v>
      </c>
      <c r="L3907" s="19">
        <v>0.58636587652689554</v>
      </c>
      <c r="M3907" s="20">
        <v>1</v>
      </c>
      <c r="N3907" s="19">
        <v>0.10459483255125471</v>
      </c>
      <c r="O3907" s="19">
        <v>0.22417519875374484</v>
      </c>
      <c r="P3907" s="19">
        <v>8.486409216810506E-2</v>
      </c>
      <c r="Q3907" s="19">
        <v>0.23570295290450913</v>
      </c>
      <c r="R3907" s="19">
        <v>0.32835282025701956</v>
      </c>
      <c r="S3907" s="19">
        <v>2.2310103365366696E-2</v>
      </c>
      <c r="T3907" s="20">
        <v>12</v>
      </c>
      <c r="U3907" s="17">
        <v>2</v>
      </c>
      <c r="V3907" s="17">
        <v>36</v>
      </c>
    </row>
    <row r="3908" spans="1:22" x14ac:dyDescent="0.2">
      <c r="A3908" t="s">
        <v>8656</v>
      </c>
      <c r="B3908" t="s">
        <v>7665</v>
      </c>
      <c r="C3908" t="s">
        <v>7666</v>
      </c>
      <c r="D3908" t="s">
        <v>8639</v>
      </c>
      <c r="E3908" s="10" t="s">
        <v>8657</v>
      </c>
      <c r="F3908" s="10"/>
      <c r="G3908" s="10"/>
      <c r="H3908" s="10" t="s">
        <v>8657</v>
      </c>
      <c r="I3908" s="14">
        <v>98942.454474022597</v>
      </c>
      <c r="J3908" s="19">
        <v>3.4081574071803677E-3</v>
      </c>
      <c r="K3908" s="19">
        <v>0.84441866387044695</v>
      </c>
      <c r="L3908" s="19">
        <v>0.15217317872237279</v>
      </c>
      <c r="M3908" s="20">
        <v>2</v>
      </c>
      <c r="N3908" s="19">
        <v>9.3142257461908934E-2</v>
      </c>
      <c r="O3908" s="19">
        <v>5.225829508590425E-4</v>
      </c>
      <c r="P3908" s="19">
        <v>0.75075382345767905</v>
      </c>
      <c r="Q3908" s="19">
        <v>0</v>
      </c>
      <c r="R3908" s="19">
        <v>0.14698171047346661</v>
      </c>
      <c r="S3908" s="19">
        <v>5.1914682489061833E-3</v>
      </c>
      <c r="T3908" s="20">
        <v>21</v>
      </c>
      <c r="U3908" s="17">
        <v>2</v>
      </c>
      <c r="V3908" s="17">
        <v>36</v>
      </c>
    </row>
    <row r="3909" spans="1:22" x14ac:dyDescent="0.2">
      <c r="A3909" t="s">
        <v>8658</v>
      </c>
      <c r="B3909" t="s">
        <v>7665</v>
      </c>
      <c r="C3909" t="s">
        <v>7666</v>
      </c>
      <c r="D3909" t="s">
        <v>8639</v>
      </c>
      <c r="E3909" s="10" t="s">
        <v>8659</v>
      </c>
      <c r="F3909" s="10"/>
      <c r="G3909" s="10"/>
      <c r="H3909" s="10" t="s">
        <v>8659</v>
      </c>
      <c r="I3909" s="14">
        <v>18220.68581935484</v>
      </c>
      <c r="J3909" s="19">
        <v>0</v>
      </c>
      <c r="K3909" s="19">
        <v>0</v>
      </c>
      <c r="L3909" s="19">
        <v>1</v>
      </c>
      <c r="M3909" s="20">
        <v>1</v>
      </c>
      <c r="N3909" s="19">
        <v>0</v>
      </c>
      <c r="O3909" s="19">
        <v>0</v>
      </c>
      <c r="P3909" s="19">
        <v>0</v>
      </c>
      <c r="Q3909" s="19">
        <v>0.40118706071115962</v>
      </c>
      <c r="R3909" s="19">
        <v>0.53705775765798958</v>
      </c>
      <c r="S3909" s="19">
        <v>6.1755181630850746E-2</v>
      </c>
      <c r="T3909" s="20">
        <v>12</v>
      </c>
      <c r="U3909" s="17">
        <v>2</v>
      </c>
      <c r="V3909" s="17">
        <v>36</v>
      </c>
    </row>
    <row r="3910" spans="1:22" x14ac:dyDescent="0.2">
      <c r="A3910" t="s">
        <v>8660</v>
      </c>
      <c r="B3910" t="s">
        <v>7665</v>
      </c>
      <c r="C3910" t="s">
        <v>7666</v>
      </c>
      <c r="D3910" t="s">
        <v>8639</v>
      </c>
      <c r="E3910" s="10" t="s">
        <v>8661</v>
      </c>
      <c r="F3910" s="10"/>
      <c r="G3910" s="10"/>
      <c r="H3910" s="10" t="s">
        <v>8661</v>
      </c>
      <c r="I3910" s="14">
        <v>18121.50560709089</v>
      </c>
      <c r="J3910" s="19">
        <v>0</v>
      </c>
      <c r="K3910" s="19">
        <v>0</v>
      </c>
      <c r="L3910" s="19">
        <v>1</v>
      </c>
      <c r="M3910" s="20">
        <v>1</v>
      </c>
      <c r="N3910" s="19">
        <v>0</v>
      </c>
      <c r="O3910" s="19">
        <v>0</v>
      </c>
      <c r="P3910" s="19">
        <v>0</v>
      </c>
      <c r="Q3910" s="19">
        <v>0.2875687546410296</v>
      </c>
      <c r="R3910" s="19">
        <v>0.65384274435683409</v>
      </c>
      <c r="S3910" s="19">
        <v>5.8588501002136271E-2</v>
      </c>
      <c r="T3910" s="20">
        <v>12</v>
      </c>
      <c r="U3910" s="17">
        <v>2</v>
      </c>
      <c r="V3910" s="17">
        <v>36</v>
      </c>
    </row>
    <row r="3911" spans="1:22" x14ac:dyDescent="0.2">
      <c r="A3911" t="s">
        <v>8662</v>
      </c>
      <c r="B3911" t="s">
        <v>7665</v>
      </c>
      <c r="C3911" t="s">
        <v>7666</v>
      </c>
      <c r="D3911" t="s">
        <v>8639</v>
      </c>
      <c r="E3911" s="10" t="s">
        <v>8663</v>
      </c>
      <c r="F3911" s="10"/>
      <c r="G3911" s="10"/>
      <c r="H3911" s="10" t="s">
        <v>8663</v>
      </c>
      <c r="I3911" s="14">
        <v>30302.782670658085</v>
      </c>
      <c r="J3911" s="19">
        <v>0</v>
      </c>
      <c r="K3911" s="19">
        <v>0.6817986266323417</v>
      </c>
      <c r="L3911" s="19">
        <v>0.31820137336765819</v>
      </c>
      <c r="M3911" s="20">
        <v>2</v>
      </c>
      <c r="N3911" s="19">
        <v>0.2230816894770255</v>
      </c>
      <c r="O3911" s="19">
        <v>0</v>
      </c>
      <c r="P3911" s="19">
        <v>0.4587169371553162</v>
      </c>
      <c r="Q3911" s="19">
        <v>9.4536653994509071E-2</v>
      </c>
      <c r="R3911" s="19">
        <v>0.18500168325278304</v>
      </c>
      <c r="S3911" s="19">
        <v>3.8663036120366069E-2</v>
      </c>
      <c r="T3911" s="20">
        <v>23</v>
      </c>
      <c r="U3911" s="17">
        <v>2</v>
      </c>
      <c r="V3911" s="17">
        <v>36</v>
      </c>
    </row>
    <row r="3912" spans="1:22" x14ac:dyDescent="0.2">
      <c r="A3912" t="s">
        <v>8664</v>
      </c>
      <c r="B3912" t="s">
        <v>7665</v>
      </c>
      <c r="C3912" t="s">
        <v>7666</v>
      </c>
      <c r="D3912" t="s">
        <v>8639</v>
      </c>
      <c r="E3912" s="10" t="s">
        <v>8665</v>
      </c>
      <c r="F3912" s="10"/>
      <c r="G3912" s="10"/>
      <c r="H3912" s="10" t="s">
        <v>8665</v>
      </c>
      <c r="I3912" s="14">
        <v>138355.33021155978</v>
      </c>
      <c r="J3912" s="19">
        <v>0.38502856901713883</v>
      </c>
      <c r="K3912" s="19">
        <v>0.58156763858352756</v>
      </c>
      <c r="L3912" s="19">
        <v>3.3403792399333589E-2</v>
      </c>
      <c r="M3912" s="20">
        <v>2</v>
      </c>
      <c r="N3912" s="19">
        <v>0.12198471097563841</v>
      </c>
      <c r="O3912" s="19">
        <v>0</v>
      </c>
      <c r="P3912" s="19">
        <v>0.45958292760788921</v>
      </c>
      <c r="Q3912" s="19">
        <v>0</v>
      </c>
      <c r="R3912" s="19">
        <v>3.1460295663339306E-2</v>
      </c>
      <c r="S3912" s="19">
        <v>1.9434967359942745E-3</v>
      </c>
      <c r="T3912" s="20">
        <v>23</v>
      </c>
      <c r="U3912" s="17">
        <v>2</v>
      </c>
      <c r="V3912" s="17">
        <v>36</v>
      </c>
    </row>
    <row r="3913" spans="1:22" x14ac:dyDescent="0.2">
      <c r="A3913" t="s">
        <v>8666</v>
      </c>
      <c r="B3913" t="s">
        <v>7665</v>
      </c>
      <c r="C3913" t="s">
        <v>7666</v>
      </c>
      <c r="D3913" t="s">
        <v>8594</v>
      </c>
      <c r="E3913" s="10" t="s">
        <v>8667</v>
      </c>
      <c r="F3913" s="10"/>
      <c r="G3913" s="10"/>
      <c r="H3913" s="10" t="s">
        <v>8667</v>
      </c>
      <c r="I3913" s="14">
        <v>19260.077835259959</v>
      </c>
      <c r="J3913" s="19">
        <v>0</v>
      </c>
      <c r="K3913" s="19">
        <v>0</v>
      </c>
      <c r="L3913" s="19">
        <v>1</v>
      </c>
      <c r="M3913" s="20">
        <v>1</v>
      </c>
      <c r="N3913" s="19">
        <v>0</v>
      </c>
      <c r="O3913" s="19">
        <v>0</v>
      </c>
      <c r="P3913" s="19">
        <v>0</v>
      </c>
      <c r="Q3913" s="19">
        <v>0.28227057280648593</v>
      </c>
      <c r="R3913" s="19">
        <v>0.59543708454366573</v>
      </c>
      <c r="S3913" s="19">
        <v>0.12229234264984833</v>
      </c>
      <c r="T3913" s="20">
        <v>12</v>
      </c>
      <c r="U3913" s="17">
        <v>2</v>
      </c>
      <c r="V3913" s="17">
        <v>36</v>
      </c>
    </row>
    <row r="3914" spans="1:22" x14ac:dyDescent="0.2">
      <c r="A3914" t="s">
        <v>8668</v>
      </c>
      <c r="B3914" t="s">
        <v>7665</v>
      </c>
      <c r="C3914" t="s">
        <v>7666</v>
      </c>
      <c r="D3914" t="s">
        <v>8594</v>
      </c>
      <c r="E3914" s="10" t="s">
        <v>8669</v>
      </c>
      <c r="F3914" s="10"/>
      <c r="G3914" s="10"/>
      <c r="H3914" s="10" t="s">
        <v>8669</v>
      </c>
      <c r="I3914" s="14">
        <v>27688.947621281255</v>
      </c>
      <c r="J3914" s="19">
        <v>0</v>
      </c>
      <c r="K3914" s="19">
        <v>0.74932543220180026</v>
      </c>
      <c r="L3914" s="19">
        <v>0.25067456779819985</v>
      </c>
      <c r="M3914" s="20">
        <v>2</v>
      </c>
      <c r="N3914" s="19">
        <v>0.42101165336392432</v>
      </c>
      <c r="O3914" s="19">
        <v>0</v>
      </c>
      <c r="P3914" s="19">
        <v>0.32831377883787599</v>
      </c>
      <c r="Q3914" s="19">
        <v>9.5133493054003093E-2</v>
      </c>
      <c r="R3914" s="19">
        <v>0.1323020331799126</v>
      </c>
      <c r="S3914" s="19">
        <v>2.3239041564284163E-2</v>
      </c>
      <c r="T3914" s="20">
        <v>23</v>
      </c>
      <c r="U3914" s="17">
        <v>2</v>
      </c>
      <c r="V3914" s="17">
        <v>36</v>
      </c>
    </row>
    <row r="3915" spans="1:22" x14ac:dyDescent="0.2">
      <c r="A3915" t="s">
        <v>8670</v>
      </c>
      <c r="B3915" t="s">
        <v>7665</v>
      </c>
      <c r="C3915" t="s">
        <v>7666</v>
      </c>
      <c r="D3915" t="s">
        <v>8594</v>
      </c>
      <c r="E3915" s="10" t="s">
        <v>8671</v>
      </c>
      <c r="F3915" s="10"/>
      <c r="G3915" s="10"/>
      <c r="H3915" s="10" t="s">
        <v>8671</v>
      </c>
      <c r="I3915" s="14">
        <v>191287.52020936972</v>
      </c>
      <c r="J3915" s="19">
        <v>0.76255914957062909</v>
      </c>
      <c r="K3915" s="19">
        <v>0.16651975029804741</v>
      </c>
      <c r="L3915" s="19">
        <v>7.0921100131323439E-2</v>
      </c>
      <c r="M3915" s="20">
        <v>3</v>
      </c>
      <c r="N3915" s="19">
        <v>2.7361844458681964E-2</v>
      </c>
      <c r="O3915" s="19">
        <v>0</v>
      </c>
      <c r="P3915" s="19">
        <v>0.13915790583936546</v>
      </c>
      <c r="Q3915" s="19">
        <v>7.4189667487393534E-3</v>
      </c>
      <c r="R3915" s="19">
        <v>5.3386372376351146E-2</v>
      </c>
      <c r="S3915" s="19">
        <v>1.0115761006232949E-2</v>
      </c>
      <c r="T3915" s="20">
        <v>30</v>
      </c>
      <c r="U3915" s="17">
        <v>2</v>
      </c>
      <c r="V3915" s="17">
        <v>36</v>
      </c>
    </row>
    <row r="3916" spans="1:22" x14ac:dyDescent="0.2">
      <c r="A3916" t="s">
        <v>8672</v>
      </c>
      <c r="B3916" t="s">
        <v>7665</v>
      </c>
      <c r="C3916" t="s">
        <v>7666</v>
      </c>
      <c r="D3916" t="s">
        <v>8594</v>
      </c>
      <c r="E3916" s="10" t="s">
        <v>8673</v>
      </c>
      <c r="F3916" s="10"/>
      <c r="G3916" s="10"/>
      <c r="H3916" s="10" t="s">
        <v>8673</v>
      </c>
      <c r="I3916" s="14">
        <v>4999.0339292688295</v>
      </c>
      <c r="J3916" s="19">
        <v>0</v>
      </c>
      <c r="K3916" s="19">
        <v>0</v>
      </c>
      <c r="L3916" s="19">
        <v>1</v>
      </c>
      <c r="M3916" s="20">
        <v>1</v>
      </c>
      <c r="N3916" s="19">
        <v>0</v>
      </c>
      <c r="O3916" s="19">
        <v>0</v>
      </c>
      <c r="P3916" s="19">
        <v>0</v>
      </c>
      <c r="Q3916" s="19">
        <v>0.56350085393416804</v>
      </c>
      <c r="R3916" s="19">
        <v>0.40078012748585468</v>
      </c>
      <c r="S3916" s="19">
        <v>3.5719018579977183E-2</v>
      </c>
      <c r="T3916" s="20">
        <v>13</v>
      </c>
      <c r="U3916" s="17">
        <v>2</v>
      </c>
      <c r="V3916" s="17">
        <v>36</v>
      </c>
    </row>
    <row r="3917" spans="1:22" x14ac:dyDescent="0.2">
      <c r="A3917" t="s">
        <v>8674</v>
      </c>
      <c r="B3917" t="s">
        <v>7665</v>
      </c>
      <c r="C3917" t="s">
        <v>7666</v>
      </c>
      <c r="D3917" t="s">
        <v>8594</v>
      </c>
      <c r="E3917" s="10" t="s">
        <v>8675</v>
      </c>
      <c r="F3917" s="10"/>
      <c r="G3917" s="10"/>
      <c r="H3917" s="10" t="s">
        <v>8675</v>
      </c>
      <c r="I3917" s="14">
        <v>33897.206316538155</v>
      </c>
      <c r="J3917" s="19">
        <v>0</v>
      </c>
      <c r="K3917" s="19">
        <v>0.7096938650981387</v>
      </c>
      <c r="L3917" s="19">
        <v>0.2903061349018613</v>
      </c>
      <c r="M3917" s="20">
        <v>2</v>
      </c>
      <c r="N3917" s="19">
        <v>0.26696469796623301</v>
      </c>
      <c r="O3917" s="19">
        <v>0</v>
      </c>
      <c r="P3917" s="19">
        <v>0.44272916713190563</v>
      </c>
      <c r="Q3917" s="19">
        <v>4.1883924618348986E-2</v>
      </c>
      <c r="R3917" s="19">
        <v>0.22449561777917196</v>
      </c>
      <c r="S3917" s="19">
        <v>2.392659250434034E-2</v>
      </c>
      <c r="T3917" s="20">
        <v>23</v>
      </c>
      <c r="U3917" s="17">
        <v>2</v>
      </c>
      <c r="V3917" s="17">
        <v>36</v>
      </c>
    </row>
    <row r="3918" spans="1:22" x14ac:dyDescent="0.2">
      <c r="A3918" t="s">
        <v>8676</v>
      </c>
      <c r="B3918" t="s">
        <v>7665</v>
      </c>
      <c r="C3918" t="s">
        <v>7666</v>
      </c>
      <c r="D3918" t="s">
        <v>8594</v>
      </c>
      <c r="E3918" s="10" t="s">
        <v>8677</v>
      </c>
      <c r="F3918" s="10"/>
      <c r="G3918" s="10"/>
      <c r="H3918" s="10" t="s">
        <v>8677</v>
      </c>
      <c r="I3918" s="14">
        <v>159860.99505822151</v>
      </c>
      <c r="J3918" s="19">
        <v>0.32271609068879892</v>
      </c>
      <c r="K3918" s="19">
        <v>0.58776290345427074</v>
      </c>
      <c r="L3918" s="19">
        <v>8.9521005856930264E-2</v>
      </c>
      <c r="M3918" s="20">
        <v>2</v>
      </c>
      <c r="N3918" s="19">
        <v>0.16612066038805692</v>
      </c>
      <c r="O3918" s="19">
        <v>0</v>
      </c>
      <c r="P3918" s="19">
        <v>0.42164224306621384</v>
      </c>
      <c r="Q3918" s="19">
        <v>0</v>
      </c>
      <c r="R3918" s="19">
        <v>8.2378955587314701E-2</v>
      </c>
      <c r="S3918" s="19">
        <v>7.1420502696155803E-3</v>
      </c>
      <c r="T3918" s="20">
        <v>23</v>
      </c>
      <c r="U3918" s="17">
        <v>2</v>
      </c>
      <c r="V3918" s="17">
        <v>36</v>
      </c>
    </row>
    <row r="3919" spans="1:22" x14ac:dyDescent="0.2">
      <c r="A3919" t="s">
        <v>8678</v>
      </c>
      <c r="B3919" t="s">
        <v>7665</v>
      </c>
      <c r="C3919" t="s">
        <v>7666</v>
      </c>
      <c r="D3919" t="s">
        <v>8594</v>
      </c>
      <c r="E3919" s="10" t="s">
        <v>8679</v>
      </c>
      <c r="F3919" s="10"/>
      <c r="G3919" s="10"/>
      <c r="H3919" s="10" t="s">
        <v>8679</v>
      </c>
      <c r="I3919" s="14">
        <v>223373.42837169615</v>
      </c>
      <c r="J3919" s="19">
        <v>0.56902311998240263</v>
      </c>
      <c r="K3919" s="19">
        <v>0.39423343588299059</v>
      </c>
      <c r="L3919" s="19">
        <v>3.674344413460677E-2</v>
      </c>
      <c r="M3919" s="20">
        <v>3</v>
      </c>
      <c r="N3919" s="19">
        <v>0.31016798740559515</v>
      </c>
      <c r="O3919" s="19">
        <v>0</v>
      </c>
      <c r="P3919" s="19">
        <v>8.4065448477395471E-2</v>
      </c>
      <c r="Q3919" s="19">
        <v>1.187277420683587E-2</v>
      </c>
      <c r="R3919" s="19">
        <v>2.163540878555362E-2</v>
      </c>
      <c r="S3919" s="19">
        <v>3.2352611422172823E-3</v>
      </c>
      <c r="T3919" s="20">
        <v>30</v>
      </c>
      <c r="U3919" s="17">
        <v>2</v>
      </c>
      <c r="V3919" s="17">
        <v>36</v>
      </c>
    </row>
    <row r="3920" spans="1:22" x14ac:dyDescent="0.2">
      <c r="A3920" t="s">
        <v>8680</v>
      </c>
      <c r="B3920" t="s">
        <v>7665</v>
      </c>
      <c r="C3920" t="s">
        <v>7666</v>
      </c>
      <c r="D3920" t="s">
        <v>8594</v>
      </c>
      <c r="E3920" s="10" t="s">
        <v>8681</v>
      </c>
      <c r="F3920" s="10"/>
      <c r="G3920" s="10"/>
      <c r="H3920" s="10" t="s">
        <v>8681</v>
      </c>
      <c r="I3920" s="14">
        <v>53366.655970596359</v>
      </c>
      <c r="J3920" s="19">
        <v>0</v>
      </c>
      <c r="K3920" s="19">
        <v>0.75574288210828944</v>
      </c>
      <c r="L3920" s="19">
        <v>0.24425711789171053</v>
      </c>
      <c r="M3920" s="20">
        <v>2</v>
      </c>
      <c r="N3920" s="19">
        <v>0.3483634500830306</v>
      </c>
      <c r="O3920" s="19">
        <v>0</v>
      </c>
      <c r="P3920" s="19">
        <v>0.40737943202525878</v>
      </c>
      <c r="Q3920" s="19">
        <v>8.4973647073124312E-2</v>
      </c>
      <c r="R3920" s="19">
        <v>0.13437818555732034</v>
      </c>
      <c r="S3920" s="19">
        <v>2.4905285261265911E-2</v>
      </c>
      <c r="T3920" s="20">
        <v>23</v>
      </c>
      <c r="U3920" s="17">
        <v>2</v>
      </c>
      <c r="V3920" s="17">
        <v>36</v>
      </c>
    </row>
    <row r="3921" spans="1:22" x14ac:dyDescent="0.2">
      <c r="A3921" t="s">
        <v>8682</v>
      </c>
      <c r="B3921" t="s">
        <v>7665</v>
      </c>
      <c r="C3921" t="s">
        <v>7666</v>
      </c>
      <c r="D3921" t="s">
        <v>8594</v>
      </c>
      <c r="E3921" s="10" t="s">
        <v>8683</v>
      </c>
      <c r="F3921" s="10"/>
      <c r="G3921" s="10"/>
      <c r="H3921" s="10" t="s">
        <v>8683</v>
      </c>
      <c r="I3921" s="14">
        <v>47205.239361064974</v>
      </c>
      <c r="J3921" s="19">
        <v>0</v>
      </c>
      <c r="K3921" s="19">
        <v>0.59791607401553748</v>
      </c>
      <c r="L3921" s="19">
        <v>0.40208392598446258</v>
      </c>
      <c r="M3921" s="20">
        <v>2</v>
      </c>
      <c r="N3921" s="19">
        <v>0.13844331401594201</v>
      </c>
      <c r="O3921" s="19">
        <v>0</v>
      </c>
      <c r="P3921" s="19">
        <v>0.45947275999959541</v>
      </c>
      <c r="Q3921" s="19">
        <v>3.2108830049402848E-2</v>
      </c>
      <c r="R3921" s="19">
        <v>0.32041535267604615</v>
      </c>
      <c r="S3921" s="19">
        <v>4.9559743259013612E-2</v>
      </c>
      <c r="T3921" s="20">
        <v>23</v>
      </c>
      <c r="U3921" s="17">
        <v>2</v>
      </c>
      <c r="V3921" s="17">
        <v>36</v>
      </c>
    </row>
    <row r="3922" spans="1:22" x14ac:dyDescent="0.2">
      <c r="A3922" t="s">
        <v>8684</v>
      </c>
      <c r="B3922" t="s">
        <v>7665</v>
      </c>
      <c r="C3922" t="s">
        <v>7666</v>
      </c>
      <c r="D3922" t="s">
        <v>8594</v>
      </c>
      <c r="E3922" s="10" t="s">
        <v>8685</v>
      </c>
      <c r="F3922" s="10"/>
      <c r="G3922" s="10"/>
      <c r="H3922" s="10" t="s">
        <v>8685</v>
      </c>
      <c r="I3922" s="14">
        <v>88536.896232727217</v>
      </c>
      <c r="J3922" s="19">
        <v>0.55908173866099731</v>
      </c>
      <c r="K3922" s="19">
        <v>0.27537464622607721</v>
      </c>
      <c r="L3922" s="19">
        <v>0.16554361511292548</v>
      </c>
      <c r="M3922" s="20">
        <v>3</v>
      </c>
      <c r="N3922" s="19">
        <v>0</v>
      </c>
      <c r="O3922" s="19">
        <v>0.15016809246905674</v>
      </c>
      <c r="P3922" s="19">
        <v>0.12520655375702044</v>
      </c>
      <c r="Q3922" s="19">
        <v>4.418896886062651E-2</v>
      </c>
      <c r="R3922" s="19">
        <v>0.10832129945168756</v>
      </c>
      <c r="S3922" s="19">
        <v>1.3033346800611398E-2</v>
      </c>
      <c r="T3922" s="20">
        <v>30</v>
      </c>
      <c r="U3922" s="17">
        <v>2</v>
      </c>
      <c r="V3922" s="17">
        <v>36</v>
      </c>
    </row>
    <row r="3923" spans="1:22" x14ac:dyDescent="0.2">
      <c r="A3923" t="s">
        <v>8686</v>
      </c>
      <c r="B3923" t="s">
        <v>7665</v>
      </c>
      <c r="C3923" t="s">
        <v>7666</v>
      </c>
      <c r="D3923" t="s">
        <v>8594</v>
      </c>
      <c r="E3923" s="10" t="s">
        <v>8687</v>
      </c>
      <c r="F3923" s="10"/>
      <c r="G3923" s="10"/>
      <c r="H3923" s="10" t="s">
        <v>8687</v>
      </c>
      <c r="I3923" s="14">
        <v>131982.91864562593</v>
      </c>
      <c r="J3923" s="19">
        <v>0</v>
      </c>
      <c r="K3923" s="19">
        <v>0.93966243581378639</v>
      </c>
      <c r="L3923" s="19">
        <v>6.0337564186213583E-2</v>
      </c>
      <c r="M3923" s="20">
        <v>2</v>
      </c>
      <c r="N3923" s="19">
        <v>0.59624762460132807</v>
      </c>
      <c r="O3923" s="19">
        <v>0</v>
      </c>
      <c r="P3923" s="19">
        <v>0.34341481121245837</v>
      </c>
      <c r="Q3923" s="19">
        <v>9.1547493539372461E-3</v>
      </c>
      <c r="R3923" s="19">
        <v>4.5788737264118438E-2</v>
      </c>
      <c r="S3923" s="19">
        <v>5.3940775681579007E-3</v>
      </c>
      <c r="T3923" s="20">
        <v>23</v>
      </c>
      <c r="U3923" s="17">
        <v>2</v>
      </c>
      <c r="V3923" s="17">
        <v>36</v>
      </c>
    </row>
    <row r="3924" spans="1:22" x14ac:dyDescent="0.2">
      <c r="A3924" t="s">
        <v>8688</v>
      </c>
      <c r="B3924" t="s">
        <v>7665</v>
      </c>
      <c r="C3924" t="s">
        <v>7666</v>
      </c>
      <c r="D3924" t="s">
        <v>8594</v>
      </c>
      <c r="E3924" s="10" t="s">
        <v>8689</v>
      </c>
      <c r="F3924" s="10"/>
      <c r="G3924" s="10"/>
      <c r="H3924" s="10" t="s">
        <v>8689</v>
      </c>
      <c r="I3924" s="14">
        <v>45252.825019717216</v>
      </c>
      <c r="J3924" s="19">
        <v>0</v>
      </c>
      <c r="K3924" s="19">
        <v>0.49792561387686823</v>
      </c>
      <c r="L3924" s="19">
        <v>0.50207438612313182</v>
      </c>
      <c r="M3924" s="20">
        <v>1</v>
      </c>
      <c r="N3924" s="19">
        <v>0.39685258750568841</v>
      </c>
      <c r="O3924" s="19">
        <v>0</v>
      </c>
      <c r="P3924" s="19">
        <v>0.10107302637117982</v>
      </c>
      <c r="Q3924" s="19">
        <v>0.17911851887329278</v>
      </c>
      <c r="R3924" s="19">
        <v>0.28263744081877329</v>
      </c>
      <c r="S3924" s="19">
        <v>4.0318426431065701E-2</v>
      </c>
      <c r="T3924" s="20">
        <v>12</v>
      </c>
      <c r="U3924" s="17">
        <v>2</v>
      </c>
      <c r="V3924" s="17">
        <v>36</v>
      </c>
    </row>
    <row r="3925" spans="1:22" x14ac:dyDescent="0.2">
      <c r="A3925" t="s">
        <v>8690</v>
      </c>
      <c r="B3925" t="s">
        <v>7665</v>
      </c>
      <c r="C3925" t="s">
        <v>7666</v>
      </c>
      <c r="D3925" t="s">
        <v>8594</v>
      </c>
      <c r="E3925" s="10" t="s">
        <v>8691</v>
      </c>
      <c r="F3925" s="10"/>
      <c r="G3925" s="10"/>
      <c r="H3925" s="10" t="s">
        <v>8691</v>
      </c>
      <c r="I3925" s="14">
        <v>109806.18054012512</v>
      </c>
      <c r="J3925" s="19">
        <v>0.63450244840644654</v>
      </c>
      <c r="K3925" s="19">
        <v>0.25753308287579935</v>
      </c>
      <c r="L3925" s="19">
        <v>0.10796446871775416</v>
      </c>
      <c r="M3925" s="20">
        <v>3</v>
      </c>
      <c r="N3925" s="19">
        <v>5.3694699698808648E-2</v>
      </c>
      <c r="O3925" s="19">
        <v>0</v>
      </c>
      <c r="P3925" s="19">
        <v>0.20383838317699066</v>
      </c>
      <c r="Q3925" s="19">
        <v>3.8869708807724647E-2</v>
      </c>
      <c r="R3925" s="19">
        <v>5.9571515267934451E-2</v>
      </c>
      <c r="S3925" s="19">
        <v>9.5232446420950492E-3</v>
      </c>
      <c r="T3925" s="20">
        <v>30</v>
      </c>
      <c r="U3925" s="17">
        <v>2</v>
      </c>
      <c r="V3925" s="17">
        <v>36</v>
      </c>
    </row>
    <row r="3926" spans="1:22" x14ac:dyDescent="0.2">
      <c r="A3926" t="s">
        <v>8692</v>
      </c>
      <c r="B3926" t="s">
        <v>7665</v>
      </c>
      <c r="C3926" t="s">
        <v>7666</v>
      </c>
      <c r="D3926" t="s">
        <v>8594</v>
      </c>
      <c r="E3926" s="10" t="s">
        <v>8693</v>
      </c>
      <c r="F3926" s="10"/>
      <c r="G3926" s="10"/>
      <c r="H3926" s="10" t="s">
        <v>8693</v>
      </c>
      <c r="I3926" s="14">
        <v>39890.769826659234</v>
      </c>
      <c r="J3926" s="19">
        <v>3.6198914187300912E-4</v>
      </c>
      <c r="K3926" s="19">
        <v>0.67870309010264296</v>
      </c>
      <c r="L3926" s="19">
        <v>0.32093492075548402</v>
      </c>
      <c r="M3926" s="20">
        <v>2</v>
      </c>
      <c r="N3926" s="19">
        <v>0.58882195158510642</v>
      </c>
      <c r="O3926" s="19">
        <v>0</v>
      </c>
      <c r="P3926" s="19">
        <v>8.9881138517536582E-2</v>
      </c>
      <c r="Q3926" s="19">
        <v>9.0224498017400165E-2</v>
      </c>
      <c r="R3926" s="19">
        <v>0.20436604357698107</v>
      </c>
      <c r="S3926" s="19">
        <v>2.6344379161102736E-2</v>
      </c>
      <c r="T3926" s="20">
        <v>23</v>
      </c>
      <c r="U3926" s="17">
        <v>2</v>
      </c>
      <c r="V3926" s="17">
        <v>36</v>
      </c>
    </row>
    <row r="3927" spans="1:22" x14ac:dyDescent="0.2">
      <c r="A3927" t="s">
        <v>8694</v>
      </c>
      <c r="B3927" t="s">
        <v>7665</v>
      </c>
      <c r="C3927" t="s">
        <v>7666</v>
      </c>
      <c r="D3927" t="s">
        <v>8695</v>
      </c>
      <c r="E3927" s="10" t="s">
        <v>8696</v>
      </c>
      <c r="F3927" s="10"/>
      <c r="G3927" s="10"/>
      <c r="H3927" s="10" t="s">
        <v>8696</v>
      </c>
      <c r="I3927" s="14">
        <v>82.328825322038028</v>
      </c>
      <c r="J3927" s="19">
        <v>0</v>
      </c>
      <c r="K3927" s="19">
        <v>0</v>
      </c>
      <c r="L3927" s="19">
        <v>1</v>
      </c>
      <c r="M3927" s="20">
        <v>1</v>
      </c>
      <c r="N3927" s="19">
        <v>0</v>
      </c>
      <c r="O3927" s="19">
        <v>0</v>
      </c>
      <c r="P3927" s="19">
        <v>0</v>
      </c>
      <c r="Q3927" s="19">
        <v>0</v>
      </c>
      <c r="R3927" s="19">
        <v>0.83833485037989808</v>
      </c>
      <c r="S3927" s="19">
        <v>0.16166514962010198</v>
      </c>
      <c r="T3927" s="20">
        <v>12</v>
      </c>
      <c r="U3927" s="17">
        <v>2</v>
      </c>
      <c r="V3927" s="17">
        <v>36</v>
      </c>
    </row>
    <row r="3928" spans="1:22" x14ac:dyDescent="0.2">
      <c r="A3928" t="s">
        <v>8697</v>
      </c>
      <c r="B3928" t="s">
        <v>7665</v>
      </c>
      <c r="C3928" t="s">
        <v>7666</v>
      </c>
      <c r="D3928" t="s">
        <v>8695</v>
      </c>
      <c r="E3928" s="10" t="s">
        <v>8698</v>
      </c>
      <c r="F3928" s="10"/>
      <c r="G3928" s="10"/>
      <c r="H3928" s="10" t="s">
        <v>8698</v>
      </c>
      <c r="I3928" s="14">
        <v>46170.927998363972</v>
      </c>
      <c r="J3928" s="19">
        <v>0</v>
      </c>
      <c r="K3928" s="19">
        <v>0.65650307427479015</v>
      </c>
      <c r="L3928" s="19">
        <v>0.34349692572520979</v>
      </c>
      <c r="M3928" s="20">
        <v>2</v>
      </c>
      <c r="N3928" s="19">
        <v>0.17741356622148985</v>
      </c>
      <c r="O3928" s="19">
        <v>0</v>
      </c>
      <c r="P3928" s="19">
        <v>0.47908950805330036</v>
      </c>
      <c r="Q3928" s="19">
        <v>7.9957949501985842E-2</v>
      </c>
      <c r="R3928" s="19">
        <v>0.23576680540913092</v>
      </c>
      <c r="S3928" s="19">
        <v>2.7772170814093028E-2</v>
      </c>
      <c r="T3928" s="20">
        <v>23</v>
      </c>
      <c r="U3928" s="17">
        <v>2</v>
      </c>
      <c r="V3928" s="17">
        <v>36</v>
      </c>
    </row>
    <row r="3929" spans="1:22" x14ac:dyDescent="0.2">
      <c r="A3929" t="s">
        <v>8699</v>
      </c>
      <c r="B3929" t="s">
        <v>7665</v>
      </c>
      <c r="C3929" t="s">
        <v>7666</v>
      </c>
      <c r="D3929" t="s">
        <v>8695</v>
      </c>
      <c r="E3929" s="10" t="s">
        <v>8700</v>
      </c>
      <c r="F3929" s="10"/>
      <c r="G3929" s="10"/>
      <c r="H3929" s="10" t="s">
        <v>8700</v>
      </c>
      <c r="I3929" s="14">
        <v>37176.63244249858</v>
      </c>
      <c r="J3929" s="19">
        <v>0</v>
      </c>
      <c r="K3929" s="19">
        <v>0.14077320034330859</v>
      </c>
      <c r="L3929" s="19">
        <v>0.85922679965669146</v>
      </c>
      <c r="M3929" s="20">
        <v>1</v>
      </c>
      <c r="N3929" s="19">
        <v>0</v>
      </c>
      <c r="O3929" s="19">
        <v>0.14077320034330859</v>
      </c>
      <c r="P3929" s="19">
        <v>0</v>
      </c>
      <c r="Q3929" s="19">
        <v>0.31676914016492558</v>
      </c>
      <c r="R3929" s="19">
        <v>0.4911036608159256</v>
      </c>
      <c r="S3929" s="19">
        <v>5.1353998675840277E-2</v>
      </c>
      <c r="T3929" s="20">
        <v>12</v>
      </c>
      <c r="U3929" s="17">
        <v>2</v>
      </c>
      <c r="V3929" s="17">
        <v>36</v>
      </c>
    </row>
    <row r="3930" spans="1:22" x14ac:dyDescent="0.2">
      <c r="A3930" t="s">
        <v>8701</v>
      </c>
      <c r="B3930" t="s">
        <v>7665</v>
      </c>
      <c r="C3930" t="s">
        <v>7666</v>
      </c>
      <c r="D3930" t="s">
        <v>8695</v>
      </c>
      <c r="E3930" s="10" t="s">
        <v>8702</v>
      </c>
      <c r="F3930" s="10"/>
      <c r="G3930" s="10"/>
      <c r="H3930" s="10" t="s">
        <v>8702</v>
      </c>
      <c r="I3930" s="14">
        <v>84166.512600225396</v>
      </c>
      <c r="J3930" s="19">
        <v>0.83552981882970234</v>
      </c>
      <c r="K3930" s="19">
        <v>0.13103126465646386</v>
      </c>
      <c r="L3930" s="19">
        <v>3.3438916513833808E-2</v>
      </c>
      <c r="M3930" s="20">
        <v>3</v>
      </c>
      <c r="N3930" s="19">
        <v>0</v>
      </c>
      <c r="O3930" s="19">
        <v>0</v>
      </c>
      <c r="P3930" s="19">
        <v>0.13103126465646386</v>
      </c>
      <c r="Q3930" s="19">
        <v>0</v>
      </c>
      <c r="R3930" s="19">
        <v>3.1804736333245806E-2</v>
      </c>
      <c r="S3930" s="19">
        <v>1.6341801805880025E-3</v>
      </c>
      <c r="T3930" s="20">
        <v>30</v>
      </c>
      <c r="U3930" s="17">
        <v>2</v>
      </c>
      <c r="V3930" s="17">
        <v>36</v>
      </c>
    </row>
    <row r="3931" spans="1:22" x14ac:dyDescent="0.2">
      <c r="A3931" t="s">
        <v>8703</v>
      </c>
      <c r="B3931" t="s">
        <v>7665</v>
      </c>
      <c r="C3931" t="s">
        <v>7666</v>
      </c>
      <c r="D3931" t="s">
        <v>8695</v>
      </c>
      <c r="E3931" s="10" t="s">
        <v>8704</v>
      </c>
      <c r="F3931" s="10"/>
      <c r="G3931" s="10"/>
      <c r="H3931" s="10" t="s">
        <v>8704</v>
      </c>
      <c r="I3931" s="14">
        <v>77805.248539254069</v>
      </c>
      <c r="J3931" s="19">
        <v>0</v>
      </c>
      <c r="K3931" s="19">
        <v>0.69442397183685634</v>
      </c>
      <c r="L3931" s="19">
        <v>0.30557602816314366</v>
      </c>
      <c r="M3931" s="20">
        <v>2</v>
      </c>
      <c r="N3931" s="19">
        <v>0.13955310051274242</v>
      </c>
      <c r="O3931" s="19">
        <v>0</v>
      </c>
      <c r="P3931" s="19">
        <v>0.55487087132411395</v>
      </c>
      <c r="Q3931" s="19">
        <v>7.0568774768176037E-2</v>
      </c>
      <c r="R3931" s="19">
        <v>0.21784113682867634</v>
      </c>
      <c r="S3931" s="19">
        <v>1.7166116566291228E-2</v>
      </c>
      <c r="T3931" s="20">
        <v>21</v>
      </c>
      <c r="U3931" s="17">
        <v>2</v>
      </c>
      <c r="V3931" s="17">
        <v>36</v>
      </c>
    </row>
    <row r="3932" spans="1:22" x14ac:dyDescent="0.2">
      <c r="A3932" t="s">
        <v>8705</v>
      </c>
      <c r="B3932" t="s">
        <v>7665</v>
      </c>
      <c r="C3932" t="s">
        <v>7666</v>
      </c>
      <c r="D3932" t="s">
        <v>8695</v>
      </c>
      <c r="E3932" s="10" t="s">
        <v>8706</v>
      </c>
      <c r="F3932" s="10"/>
      <c r="G3932" s="10"/>
      <c r="H3932" s="10" t="s">
        <v>8706</v>
      </c>
      <c r="I3932" s="14">
        <v>85634.0510936184</v>
      </c>
      <c r="J3932" s="19">
        <v>0</v>
      </c>
      <c r="K3932" s="19">
        <v>0.78963840155384846</v>
      </c>
      <c r="L3932" s="19">
        <v>0.21036159844615143</v>
      </c>
      <c r="M3932" s="20">
        <v>2</v>
      </c>
      <c r="N3932" s="19">
        <v>1.4507406174170023E-2</v>
      </c>
      <c r="O3932" s="19">
        <v>0</v>
      </c>
      <c r="P3932" s="19">
        <v>0.77513099537967844</v>
      </c>
      <c r="Q3932" s="19">
        <v>4.8344503770236635E-2</v>
      </c>
      <c r="R3932" s="19">
        <v>0.14867672898943293</v>
      </c>
      <c r="S3932" s="19">
        <v>1.3340365686481852E-2</v>
      </c>
      <c r="T3932" s="20">
        <v>21</v>
      </c>
      <c r="U3932" s="17">
        <v>2</v>
      </c>
      <c r="V3932" s="17">
        <v>36</v>
      </c>
    </row>
    <row r="3933" spans="1:22" x14ac:dyDescent="0.2">
      <c r="A3933" t="s">
        <v>8707</v>
      </c>
      <c r="B3933" t="s">
        <v>7665</v>
      </c>
      <c r="C3933" t="s">
        <v>7666</v>
      </c>
      <c r="D3933" t="s">
        <v>8695</v>
      </c>
      <c r="E3933" s="10" t="s">
        <v>8708</v>
      </c>
      <c r="F3933" s="10"/>
      <c r="G3933" s="10"/>
      <c r="H3933" s="10" t="s">
        <v>8708</v>
      </c>
      <c r="I3933" s="14">
        <v>76348.316806022194</v>
      </c>
      <c r="J3933" s="19">
        <v>0</v>
      </c>
      <c r="K3933" s="19">
        <v>0.6482044956550177</v>
      </c>
      <c r="L3933" s="19">
        <v>0.35179550434498225</v>
      </c>
      <c r="M3933" s="20">
        <v>2</v>
      </c>
      <c r="N3933" s="19">
        <v>0.44410025756661947</v>
      </c>
      <c r="O3933" s="19">
        <v>0</v>
      </c>
      <c r="P3933" s="19">
        <v>0.20410423808839828</v>
      </c>
      <c r="Q3933" s="19">
        <v>2.3555807861919322E-2</v>
      </c>
      <c r="R3933" s="19">
        <v>0.28379182267798753</v>
      </c>
      <c r="S3933" s="19">
        <v>4.4447873805075408E-2</v>
      </c>
      <c r="T3933" s="20">
        <v>23</v>
      </c>
      <c r="U3933" s="17">
        <v>2</v>
      </c>
      <c r="V3933" s="17">
        <v>36</v>
      </c>
    </row>
    <row r="3934" spans="1:22" x14ac:dyDescent="0.2">
      <c r="A3934" t="s">
        <v>8709</v>
      </c>
      <c r="B3934" t="s">
        <v>7665</v>
      </c>
      <c r="C3934" t="s">
        <v>7666</v>
      </c>
      <c r="D3934" t="s">
        <v>8695</v>
      </c>
      <c r="E3934" s="10" t="s">
        <v>8695</v>
      </c>
      <c r="F3934" s="10"/>
      <c r="G3934" s="10"/>
      <c r="H3934" s="10" t="s">
        <v>8695</v>
      </c>
      <c r="I3934" s="14">
        <v>28343.907374829752</v>
      </c>
      <c r="J3934" s="19">
        <v>0</v>
      </c>
      <c r="K3934" s="19">
        <v>0.95870553872756337</v>
      </c>
      <c r="L3934" s="19">
        <v>4.129446127243664E-2</v>
      </c>
      <c r="M3934" s="20">
        <v>2</v>
      </c>
      <c r="N3934" s="19">
        <v>0.82180786952299767</v>
      </c>
      <c r="O3934" s="19">
        <v>0</v>
      </c>
      <c r="P3934" s="19">
        <v>0.13689766920456573</v>
      </c>
      <c r="Q3934" s="19">
        <v>0</v>
      </c>
      <c r="R3934" s="19">
        <v>3.9552210866876242E-2</v>
      </c>
      <c r="S3934" s="19">
        <v>1.742250405560408E-3</v>
      </c>
      <c r="T3934" s="20">
        <v>23</v>
      </c>
      <c r="U3934" s="17">
        <v>2</v>
      </c>
      <c r="V3934" s="17">
        <v>36</v>
      </c>
    </row>
    <row r="3935" spans="1:22" x14ac:dyDescent="0.2">
      <c r="A3935" t="s">
        <v>8710</v>
      </c>
      <c r="B3935" t="s">
        <v>7665</v>
      </c>
      <c r="C3935" t="s">
        <v>7666</v>
      </c>
      <c r="D3935" t="s">
        <v>8695</v>
      </c>
      <c r="E3935" s="10" t="s">
        <v>8711</v>
      </c>
      <c r="F3935" s="10"/>
      <c r="G3935" s="10"/>
      <c r="H3935" s="10" t="s">
        <v>8711</v>
      </c>
      <c r="I3935" s="14">
        <v>95883.71045470098</v>
      </c>
      <c r="J3935" s="19">
        <v>0</v>
      </c>
      <c r="K3935" s="19">
        <v>0.89068836903046822</v>
      </c>
      <c r="L3935" s="19">
        <v>0.10931163096953184</v>
      </c>
      <c r="M3935" s="20">
        <v>2</v>
      </c>
      <c r="N3935" s="19">
        <v>2.846928546651015E-2</v>
      </c>
      <c r="O3935" s="19">
        <v>0</v>
      </c>
      <c r="P3935" s="19">
        <v>0.86221908356395804</v>
      </c>
      <c r="Q3935" s="19">
        <v>0</v>
      </c>
      <c r="R3935" s="19">
        <v>0.10205669550180052</v>
      </c>
      <c r="S3935" s="19">
        <v>7.2549354677313134E-3</v>
      </c>
      <c r="T3935" s="20">
        <v>21</v>
      </c>
      <c r="U3935" s="17">
        <v>2</v>
      </c>
      <c r="V3935" s="17">
        <v>36</v>
      </c>
    </row>
    <row r="3936" spans="1:22" x14ac:dyDescent="0.2">
      <c r="A3936" t="s">
        <v>8712</v>
      </c>
      <c r="B3936" t="s">
        <v>7665</v>
      </c>
      <c r="C3936" t="s">
        <v>7666</v>
      </c>
      <c r="D3936" t="s">
        <v>8695</v>
      </c>
      <c r="E3936" s="10" t="s">
        <v>8713</v>
      </c>
      <c r="F3936" s="10"/>
      <c r="G3936" s="10"/>
      <c r="H3936" s="10" t="s">
        <v>8713</v>
      </c>
      <c r="I3936" s="14">
        <v>84180.665004993789</v>
      </c>
      <c r="J3936" s="19">
        <v>0</v>
      </c>
      <c r="K3936" s="19">
        <v>0.6197488229720608</v>
      </c>
      <c r="L3936" s="19">
        <v>0.38025117702793915</v>
      </c>
      <c r="M3936" s="20">
        <v>2</v>
      </c>
      <c r="N3936" s="19">
        <v>0.20027547005408811</v>
      </c>
      <c r="O3936" s="19">
        <v>0</v>
      </c>
      <c r="P3936" s="19">
        <v>0.41947335291797272</v>
      </c>
      <c r="Q3936" s="19">
        <v>0.11968711916520887</v>
      </c>
      <c r="R3936" s="19">
        <v>0.23603794061690819</v>
      </c>
      <c r="S3936" s="19">
        <v>2.4526117245822106E-2</v>
      </c>
      <c r="T3936" s="20">
        <v>23</v>
      </c>
      <c r="U3936" s="17">
        <v>2</v>
      </c>
      <c r="V3936" s="17">
        <v>36</v>
      </c>
    </row>
    <row r="3937" spans="1:22" x14ac:dyDescent="0.2">
      <c r="A3937" t="s">
        <v>8714</v>
      </c>
      <c r="B3937" t="s">
        <v>7665</v>
      </c>
      <c r="C3937" t="s">
        <v>7666</v>
      </c>
      <c r="D3937" t="s">
        <v>8715</v>
      </c>
      <c r="E3937" s="10" t="s">
        <v>7676</v>
      </c>
      <c r="F3937" s="10"/>
      <c r="G3937" s="10"/>
      <c r="H3937" s="10" t="s">
        <v>7676</v>
      </c>
      <c r="I3937" s="14">
        <v>107137.29344463837</v>
      </c>
      <c r="J3937" s="19">
        <v>0</v>
      </c>
      <c r="K3937" s="19">
        <v>0.88005016615154674</v>
      </c>
      <c r="L3937" s="19">
        <v>0.11994983384845322</v>
      </c>
      <c r="M3937" s="20">
        <v>2</v>
      </c>
      <c r="N3937" s="19">
        <v>0.37497944740848427</v>
      </c>
      <c r="O3937" s="19">
        <v>0</v>
      </c>
      <c r="P3937" s="19">
        <v>0.50507071874306253</v>
      </c>
      <c r="Q3937" s="19">
        <v>0</v>
      </c>
      <c r="R3937" s="19">
        <v>0.10956201742433511</v>
      </c>
      <c r="S3937" s="19">
        <v>1.0387816424118099E-2</v>
      </c>
      <c r="T3937" s="20">
        <v>21</v>
      </c>
      <c r="U3937" s="17">
        <v>2</v>
      </c>
      <c r="V3937" s="17">
        <v>36</v>
      </c>
    </row>
    <row r="3938" spans="1:22" x14ac:dyDescent="0.2">
      <c r="A3938" t="s">
        <v>8716</v>
      </c>
      <c r="B3938" t="s">
        <v>7665</v>
      </c>
      <c r="C3938" t="s">
        <v>7666</v>
      </c>
      <c r="D3938" t="s">
        <v>8715</v>
      </c>
      <c r="E3938" s="10" t="s">
        <v>8717</v>
      </c>
      <c r="F3938" s="10"/>
      <c r="G3938" s="10"/>
      <c r="H3938" s="10" t="s">
        <v>8717</v>
      </c>
      <c r="I3938" s="14">
        <v>67017.126809856854</v>
      </c>
      <c r="J3938" s="19">
        <v>0</v>
      </c>
      <c r="K3938" s="19">
        <v>0.77336069227967308</v>
      </c>
      <c r="L3938" s="19">
        <v>0.226639307720327</v>
      </c>
      <c r="M3938" s="20">
        <v>2</v>
      </c>
      <c r="N3938" s="19">
        <v>0</v>
      </c>
      <c r="O3938" s="19">
        <v>0</v>
      </c>
      <c r="P3938" s="19">
        <v>0.77336069227967286</v>
      </c>
      <c r="Q3938" s="19">
        <v>0</v>
      </c>
      <c r="R3938" s="19">
        <v>0.22440511708068467</v>
      </c>
      <c r="S3938" s="19">
        <v>2.2341906396423253E-3</v>
      </c>
      <c r="T3938" s="20">
        <v>21</v>
      </c>
      <c r="U3938" s="17">
        <v>2</v>
      </c>
      <c r="V3938" s="17">
        <v>36</v>
      </c>
    </row>
    <row r="3939" spans="1:22" x14ac:dyDescent="0.2">
      <c r="A3939" t="s">
        <v>8718</v>
      </c>
      <c r="B3939" t="s">
        <v>7665</v>
      </c>
      <c r="C3939" t="s">
        <v>7666</v>
      </c>
      <c r="D3939" t="s">
        <v>8715</v>
      </c>
      <c r="E3939" s="10" t="s">
        <v>8719</v>
      </c>
      <c r="F3939" s="10"/>
      <c r="G3939" s="10"/>
      <c r="H3939" s="10" t="s">
        <v>8719</v>
      </c>
      <c r="I3939" s="14">
        <v>167660.35393040162</v>
      </c>
      <c r="J3939" s="19">
        <v>0</v>
      </c>
      <c r="K3939" s="19">
        <v>0.88467403317848847</v>
      </c>
      <c r="L3939" s="19">
        <v>0.11532596682151156</v>
      </c>
      <c r="M3939" s="20">
        <v>2</v>
      </c>
      <c r="N3939" s="19">
        <v>0.19443161208512952</v>
      </c>
      <c r="O3939" s="19">
        <v>0</v>
      </c>
      <c r="P3939" s="19">
        <v>0.69024242109335887</v>
      </c>
      <c r="Q3939" s="19">
        <v>0</v>
      </c>
      <c r="R3939" s="19">
        <v>0.11309922834251983</v>
      </c>
      <c r="S3939" s="19">
        <v>2.2267384789917094E-3</v>
      </c>
      <c r="T3939" s="20">
        <v>21</v>
      </c>
      <c r="U3939" s="17">
        <v>2</v>
      </c>
      <c r="V3939" s="17">
        <v>36</v>
      </c>
    </row>
    <row r="3940" spans="1:22" x14ac:dyDescent="0.2">
      <c r="A3940" t="s">
        <v>8720</v>
      </c>
      <c r="B3940" t="s">
        <v>7665</v>
      </c>
      <c r="C3940" t="s">
        <v>7666</v>
      </c>
      <c r="D3940" t="s">
        <v>8715</v>
      </c>
      <c r="E3940" s="10" t="s">
        <v>8721</v>
      </c>
      <c r="F3940" s="10"/>
      <c r="G3940" s="10"/>
      <c r="H3940" s="10" t="s">
        <v>8721</v>
      </c>
      <c r="I3940" s="14">
        <v>110986.56838427624</v>
      </c>
      <c r="J3940" s="19">
        <v>0</v>
      </c>
      <c r="K3940" s="19">
        <v>0.8451014170398703</v>
      </c>
      <c r="L3940" s="19">
        <v>0.15489858296012973</v>
      </c>
      <c r="M3940" s="20">
        <v>2</v>
      </c>
      <c r="N3940" s="19">
        <v>0.24903181147580369</v>
      </c>
      <c r="O3940" s="19">
        <v>0</v>
      </c>
      <c r="P3940" s="19">
        <v>0.59606960556406652</v>
      </c>
      <c r="Q3940" s="19">
        <v>2.0510643010317506E-2</v>
      </c>
      <c r="R3940" s="19">
        <v>0.12711190725257318</v>
      </c>
      <c r="S3940" s="19">
        <v>7.2760326972390373E-3</v>
      </c>
      <c r="T3940" s="20">
        <v>21</v>
      </c>
      <c r="U3940" s="17">
        <v>2</v>
      </c>
      <c r="V3940" s="17">
        <v>36</v>
      </c>
    </row>
    <row r="3941" spans="1:22" x14ac:dyDescent="0.2">
      <c r="A3941" t="s">
        <v>8722</v>
      </c>
      <c r="B3941" t="s">
        <v>7665</v>
      </c>
      <c r="C3941" t="s">
        <v>7666</v>
      </c>
      <c r="D3941" t="s">
        <v>8715</v>
      </c>
      <c r="E3941" s="10" t="s">
        <v>8723</v>
      </c>
      <c r="F3941" s="10"/>
      <c r="G3941" s="10"/>
      <c r="H3941" s="10" t="s">
        <v>8723</v>
      </c>
      <c r="I3941" s="14">
        <v>113878.70225361665</v>
      </c>
      <c r="J3941" s="19">
        <v>0</v>
      </c>
      <c r="K3941" s="19">
        <v>0.75167641368539762</v>
      </c>
      <c r="L3941" s="19">
        <v>0.24832358631460244</v>
      </c>
      <c r="M3941" s="20">
        <v>2</v>
      </c>
      <c r="N3941" s="19">
        <v>9.5782942064301088E-2</v>
      </c>
      <c r="O3941" s="19">
        <v>0</v>
      </c>
      <c r="P3941" s="19">
        <v>0.65589347162109646</v>
      </c>
      <c r="Q3941" s="19">
        <v>4.2644890284624627E-2</v>
      </c>
      <c r="R3941" s="19">
        <v>0.19317947437122679</v>
      </c>
      <c r="S3941" s="19">
        <v>1.2499221658751006E-2</v>
      </c>
      <c r="T3941" s="20">
        <v>21</v>
      </c>
      <c r="U3941" s="17">
        <v>2</v>
      </c>
      <c r="V3941" s="17">
        <v>36</v>
      </c>
    </row>
    <row r="3942" spans="1:22" x14ac:dyDescent="0.2">
      <c r="A3942" t="s">
        <v>8724</v>
      </c>
      <c r="B3942" t="s">
        <v>7665</v>
      </c>
      <c r="C3942" t="s">
        <v>7666</v>
      </c>
      <c r="D3942" t="s">
        <v>8715</v>
      </c>
      <c r="E3942" s="10" t="s">
        <v>8725</v>
      </c>
      <c r="F3942" s="10"/>
      <c r="G3942" s="10"/>
      <c r="H3942" s="10" t="s">
        <v>8725</v>
      </c>
      <c r="I3942" s="14">
        <v>174916.80265813228</v>
      </c>
      <c r="J3942" s="19">
        <v>0.22228663285541159</v>
      </c>
      <c r="K3942" s="19">
        <v>0.59163253589508003</v>
      </c>
      <c r="L3942" s="19">
        <v>0.18608083124950842</v>
      </c>
      <c r="M3942" s="20">
        <v>2</v>
      </c>
      <c r="N3942" s="19">
        <v>0.17659627557338528</v>
      </c>
      <c r="O3942" s="19">
        <v>0</v>
      </c>
      <c r="P3942" s="19">
        <v>0.41503626032169472</v>
      </c>
      <c r="Q3942" s="19">
        <v>1.3941373996942832E-2</v>
      </c>
      <c r="R3942" s="19">
        <v>0.16911298085250515</v>
      </c>
      <c r="S3942" s="19">
        <v>3.0264764000604454E-3</v>
      </c>
      <c r="T3942" s="20">
        <v>23</v>
      </c>
      <c r="U3942" s="17">
        <v>2</v>
      </c>
      <c r="V3942" s="17">
        <v>36</v>
      </c>
    </row>
    <row r="3943" spans="1:22" x14ac:dyDescent="0.2">
      <c r="A3943" t="s">
        <v>8726</v>
      </c>
      <c r="B3943" t="s">
        <v>7665</v>
      </c>
      <c r="C3943" t="s">
        <v>7666</v>
      </c>
      <c r="D3943" t="s">
        <v>8715</v>
      </c>
      <c r="E3943" s="10" t="s">
        <v>8727</v>
      </c>
      <c r="F3943" s="10"/>
      <c r="G3943" s="10"/>
      <c r="H3943" s="10" t="s">
        <v>8727</v>
      </c>
      <c r="I3943" s="14">
        <v>84377.306820767466</v>
      </c>
      <c r="J3943" s="19">
        <v>0</v>
      </c>
      <c r="K3943" s="19">
        <v>0.76177522242678164</v>
      </c>
      <c r="L3943" s="19">
        <v>0.23822477757321836</v>
      </c>
      <c r="M3943" s="20">
        <v>2</v>
      </c>
      <c r="N3943" s="19">
        <v>7.1547810472539247E-2</v>
      </c>
      <c r="O3943" s="19">
        <v>0</v>
      </c>
      <c r="P3943" s="19">
        <v>0.69022741195424242</v>
      </c>
      <c r="Q3943" s="19">
        <v>0</v>
      </c>
      <c r="R3943" s="19">
        <v>0.23442782510868454</v>
      </c>
      <c r="S3943" s="19">
        <v>3.7969524645337961E-3</v>
      </c>
      <c r="T3943" s="20">
        <v>21</v>
      </c>
      <c r="U3943" s="17">
        <v>2</v>
      </c>
      <c r="V3943" s="17">
        <v>36</v>
      </c>
    </row>
    <row r="3944" spans="1:22" x14ac:dyDescent="0.2">
      <c r="A3944" t="s">
        <v>8728</v>
      </c>
      <c r="B3944" t="s">
        <v>7665</v>
      </c>
      <c r="C3944" t="s">
        <v>7666</v>
      </c>
      <c r="D3944" t="s">
        <v>8715</v>
      </c>
      <c r="E3944" s="10" t="s">
        <v>8715</v>
      </c>
      <c r="F3944" s="10"/>
      <c r="G3944" s="10"/>
      <c r="H3944" s="10" t="s">
        <v>8715</v>
      </c>
      <c r="I3944" s="14">
        <v>144835.6110781664</v>
      </c>
      <c r="J3944" s="19">
        <v>0.8726171839297161</v>
      </c>
      <c r="K3944" s="19">
        <v>0.10552965396404937</v>
      </c>
      <c r="L3944" s="19">
        <v>2.1853162106234399E-2</v>
      </c>
      <c r="M3944" s="20">
        <v>3</v>
      </c>
      <c r="N3944" s="19">
        <v>1.8188384960655161E-2</v>
      </c>
      <c r="O3944" s="19">
        <v>0</v>
      </c>
      <c r="P3944" s="19">
        <v>8.7341269003394201E-2</v>
      </c>
      <c r="Q3944" s="19">
        <v>0</v>
      </c>
      <c r="R3944" s="19">
        <v>2.1086408401911616E-2</v>
      </c>
      <c r="S3944" s="19">
        <v>7.6675370432278413E-4</v>
      </c>
      <c r="T3944" s="20">
        <v>30</v>
      </c>
      <c r="U3944" s="17">
        <v>2</v>
      </c>
      <c r="V3944" s="17">
        <v>36</v>
      </c>
    </row>
    <row r="3945" spans="1:22" x14ac:dyDescent="0.2">
      <c r="A3945" t="s">
        <v>8729</v>
      </c>
      <c r="B3945" t="s">
        <v>7665</v>
      </c>
      <c r="C3945" t="s">
        <v>7666</v>
      </c>
      <c r="D3945" t="s">
        <v>8715</v>
      </c>
      <c r="E3945" s="10" t="s">
        <v>8730</v>
      </c>
      <c r="F3945" s="10"/>
      <c r="G3945" s="10"/>
      <c r="H3945" s="10" t="s">
        <v>8730</v>
      </c>
      <c r="I3945" s="14">
        <v>91173.425105717033</v>
      </c>
      <c r="J3945" s="19">
        <v>0</v>
      </c>
      <c r="K3945" s="19">
        <v>0.61445630975527743</v>
      </c>
      <c r="L3945" s="19">
        <v>0.38554369024472251</v>
      </c>
      <c r="M3945" s="20">
        <v>2</v>
      </c>
      <c r="N3945" s="19">
        <v>0.16215465493321918</v>
      </c>
      <c r="O3945" s="19">
        <v>0</v>
      </c>
      <c r="P3945" s="19">
        <v>0.45230165482205831</v>
      </c>
      <c r="Q3945" s="19">
        <v>8.7638930837276668E-2</v>
      </c>
      <c r="R3945" s="19">
        <v>0.29071533905746322</v>
      </c>
      <c r="S3945" s="19">
        <v>7.189420349982655E-3</v>
      </c>
      <c r="T3945" s="20">
        <v>23</v>
      </c>
      <c r="U3945" s="17">
        <v>2</v>
      </c>
      <c r="V3945" s="17">
        <v>36</v>
      </c>
    </row>
    <row r="3946" spans="1:22" x14ac:dyDescent="0.2">
      <c r="A3946" t="s">
        <v>8731</v>
      </c>
      <c r="B3946" t="s">
        <v>7665</v>
      </c>
      <c r="C3946" t="s">
        <v>7666</v>
      </c>
      <c r="D3946" t="s">
        <v>8715</v>
      </c>
      <c r="E3946" s="10" t="s">
        <v>8732</v>
      </c>
      <c r="F3946" s="10"/>
      <c r="G3946" s="10"/>
      <c r="H3946" s="10" t="s">
        <v>8732</v>
      </c>
      <c r="I3946" s="14">
        <v>139194.8907312043</v>
      </c>
      <c r="J3946" s="19">
        <v>3.7641124907907236E-3</v>
      </c>
      <c r="K3946" s="19">
        <v>0.79736750132722312</v>
      </c>
      <c r="L3946" s="19">
        <v>0.1988683861819861</v>
      </c>
      <c r="M3946" s="20">
        <v>2</v>
      </c>
      <c r="N3946" s="19">
        <v>0.2861458798375508</v>
      </c>
      <c r="O3946" s="19">
        <v>0</v>
      </c>
      <c r="P3946" s="19">
        <v>0.51122162148967243</v>
      </c>
      <c r="Q3946" s="19">
        <v>3.309367913669662E-2</v>
      </c>
      <c r="R3946" s="19">
        <v>0.15606522785863208</v>
      </c>
      <c r="S3946" s="19">
        <v>9.7094791866573736E-3</v>
      </c>
      <c r="T3946" s="20">
        <v>21</v>
      </c>
      <c r="U3946" s="17">
        <v>2</v>
      </c>
      <c r="V3946" s="17">
        <v>36</v>
      </c>
    </row>
    <row r="3947" spans="1:22" x14ac:dyDescent="0.2">
      <c r="A3947" t="s">
        <v>8733</v>
      </c>
      <c r="B3947" t="s">
        <v>7665</v>
      </c>
      <c r="C3947" t="s">
        <v>7666</v>
      </c>
      <c r="D3947" t="s">
        <v>8715</v>
      </c>
      <c r="E3947" s="10" t="s">
        <v>8734</v>
      </c>
      <c r="F3947" s="10"/>
      <c r="G3947" s="10"/>
      <c r="H3947" s="10" t="s">
        <v>8734</v>
      </c>
      <c r="I3947" s="14">
        <v>174165.03114959458</v>
      </c>
      <c r="J3947" s="19">
        <v>0</v>
      </c>
      <c r="K3947" s="19">
        <v>0.74518033594251754</v>
      </c>
      <c r="L3947" s="19">
        <v>0.25481966405748241</v>
      </c>
      <c r="M3947" s="20">
        <v>2</v>
      </c>
      <c r="N3947" s="19">
        <v>0.18723977528270949</v>
      </c>
      <c r="O3947" s="19">
        <v>0</v>
      </c>
      <c r="P3947" s="19">
        <v>0.55794056065980813</v>
      </c>
      <c r="Q3947" s="19">
        <v>3.3532801172633936E-2</v>
      </c>
      <c r="R3947" s="19">
        <v>0.21523029467662266</v>
      </c>
      <c r="S3947" s="19">
        <v>6.0565682082258272E-3</v>
      </c>
      <c r="T3947" s="20">
        <v>21</v>
      </c>
      <c r="U3947" s="17">
        <v>2</v>
      </c>
      <c r="V3947" s="17">
        <v>36</v>
      </c>
    </row>
    <row r="3948" spans="1:22" x14ac:dyDescent="0.2">
      <c r="A3948" t="s">
        <v>8735</v>
      </c>
      <c r="B3948" t="s">
        <v>7665</v>
      </c>
      <c r="C3948" t="s">
        <v>7666</v>
      </c>
      <c r="D3948" t="s">
        <v>8736</v>
      </c>
      <c r="E3948" s="10" t="s">
        <v>8737</v>
      </c>
      <c r="F3948" s="10"/>
      <c r="G3948" s="10"/>
      <c r="H3948" s="10" t="s">
        <v>8737</v>
      </c>
      <c r="I3948" s="14">
        <v>59219.999754015356</v>
      </c>
      <c r="J3948" s="19">
        <v>0</v>
      </c>
      <c r="K3948" s="19">
        <v>0.68597637765844943</v>
      </c>
      <c r="L3948" s="19">
        <v>0.31402362234155051</v>
      </c>
      <c r="M3948" s="20">
        <v>2</v>
      </c>
      <c r="N3948" s="19">
        <v>0.62043415258126111</v>
      </c>
      <c r="O3948" s="19">
        <v>0</v>
      </c>
      <c r="P3948" s="19">
        <v>6.5542225077188362E-2</v>
      </c>
      <c r="Q3948" s="19">
        <v>9.8950189102788313E-2</v>
      </c>
      <c r="R3948" s="19">
        <v>0.18825215519462693</v>
      </c>
      <c r="S3948" s="19">
        <v>2.6821278044135272E-2</v>
      </c>
      <c r="T3948" s="20">
        <v>23</v>
      </c>
      <c r="U3948" s="17">
        <v>2</v>
      </c>
      <c r="V3948" s="17">
        <v>36</v>
      </c>
    </row>
    <row r="3949" spans="1:22" x14ac:dyDescent="0.2">
      <c r="A3949" t="s">
        <v>8738</v>
      </c>
      <c r="B3949" t="s">
        <v>7665</v>
      </c>
      <c r="C3949" t="s">
        <v>7666</v>
      </c>
      <c r="D3949" t="s">
        <v>8736</v>
      </c>
      <c r="E3949" s="10" t="s">
        <v>8739</v>
      </c>
      <c r="F3949" s="10"/>
      <c r="G3949" s="10"/>
      <c r="H3949" s="10" t="s">
        <v>8739</v>
      </c>
      <c r="I3949" s="14">
        <v>113874.97683481732</v>
      </c>
      <c r="J3949" s="19">
        <v>0</v>
      </c>
      <c r="K3949" s="19">
        <v>0.6035443023716075</v>
      </c>
      <c r="L3949" s="19">
        <v>0.39645569762839244</v>
      </c>
      <c r="M3949" s="20">
        <v>2</v>
      </c>
      <c r="N3949" s="19">
        <v>0.30731616945767448</v>
      </c>
      <c r="O3949" s="19">
        <v>7.5840749957323695E-4</v>
      </c>
      <c r="P3949" s="19">
        <v>0.29546972541435984</v>
      </c>
      <c r="Q3949" s="19">
        <v>9.0464200464356798E-2</v>
      </c>
      <c r="R3949" s="19">
        <v>0.26101633158121507</v>
      </c>
      <c r="S3949" s="19">
        <v>4.4975165582820616E-2</v>
      </c>
      <c r="T3949" s="20">
        <v>23</v>
      </c>
      <c r="U3949" s="17">
        <v>2</v>
      </c>
      <c r="V3949" s="17">
        <v>36</v>
      </c>
    </row>
    <row r="3950" spans="1:22" x14ac:dyDescent="0.2">
      <c r="A3950" t="s">
        <v>8740</v>
      </c>
      <c r="B3950" t="s">
        <v>7665</v>
      </c>
      <c r="C3950" t="s">
        <v>7666</v>
      </c>
      <c r="D3950" t="s">
        <v>8736</v>
      </c>
      <c r="E3950" s="10" t="s">
        <v>8741</v>
      </c>
      <c r="F3950" s="10"/>
      <c r="G3950" s="10"/>
      <c r="H3950" s="10" t="s">
        <v>8741</v>
      </c>
      <c r="I3950" s="14">
        <v>143760.02618610114</v>
      </c>
      <c r="J3950" s="19">
        <v>0</v>
      </c>
      <c r="K3950" s="19">
        <v>0.73810143923374993</v>
      </c>
      <c r="L3950" s="19">
        <v>0.26189856076625012</v>
      </c>
      <c r="M3950" s="20">
        <v>2</v>
      </c>
      <c r="N3950" s="19">
        <v>0.23611286781439628</v>
      </c>
      <c r="O3950" s="19">
        <v>8.2964105639689572E-3</v>
      </c>
      <c r="P3950" s="19">
        <v>0.49369216085538464</v>
      </c>
      <c r="Q3950" s="19">
        <v>4.5272138894616711E-2</v>
      </c>
      <c r="R3950" s="19">
        <v>0.18956264874849293</v>
      </c>
      <c r="S3950" s="19">
        <v>2.7063773123140462E-2</v>
      </c>
      <c r="T3950" s="20">
        <v>23</v>
      </c>
      <c r="U3950" s="17">
        <v>2</v>
      </c>
      <c r="V3950" s="17">
        <v>36</v>
      </c>
    </row>
    <row r="3951" spans="1:22" x14ac:dyDescent="0.2">
      <c r="A3951" t="s">
        <v>8742</v>
      </c>
      <c r="B3951" t="s">
        <v>7665</v>
      </c>
      <c r="C3951" t="s">
        <v>7666</v>
      </c>
      <c r="D3951" t="s">
        <v>8736</v>
      </c>
      <c r="E3951" s="10" t="s">
        <v>8743</v>
      </c>
      <c r="F3951" s="10"/>
      <c r="G3951" s="10"/>
      <c r="H3951" s="10" t="s">
        <v>8743</v>
      </c>
      <c r="I3951" s="14">
        <v>95107.820457998663</v>
      </c>
      <c r="J3951" s="19">
        <v>0</v>
      </c>
      <c r="K3951" s="19">
        <v>0.40991625845890362</v>
      </c>
      <c r="L3951" s="19">
        <v>0.59008374154109633</v>
      </c>
      <c r="M3951" s="20">
        <v>1</v>
      </c>
      <c r="N3951" s="19">
        <v>0.11710253179338774</v>
      </c>
      <c r="O3951" s="19">
        <v>0.17221253241604312</v>
      </c>
      <c r="P3951" s="19">
        <v>0.12060119424947276</v>
      </c>
      <c r="Q3951" s="19">
        <v>0.34385490625053572</v>
      </c>
      <c r="R3951" s="19">
        <v>0.22269582420705247</v>
      </c>
      <c r="S3951" s="19">
        <v>2.3533011083508193E-2</v>
      </c>
      <c r="T3951" s="20">
        <v>13</v>
      </c>
      <c r="U3951" s="17">
        <v>2</v>
      </c>
      <c r="V3951" s="17">
        <v>36</v>
      </c>
    </row>
    <row r="3952" spans="1:22" x14ac:dyDescent="0.2">
      <c r="A3952" t="s">
        <v>8744</v>
      </c>
      <c r="B3952" t="s">
        <v>7665</v>
      </c>
      <c r="C3952" t="s">
        <v>7666</v>
      </c>
      <c r="D3952" t="s">
        <v>8736</v>
      </c>
      <c r="E3952" s="10" t="s">
        <v>8745</v>
      </c>
      <c r="F3952" s="10"/>
      <c r="G3952" s="10"/>
      <c r="H3952" s="10" t="s">
        <v>8745</v>
      </c>
      <c r="I3952" s="14">
        <v>111645.57167501003</v>
      </c>
      <c r="J3952" s="19">
        <v>0.51918747014228783</v>
      </c>
      <c r="K3952" s="19">
        <v>0.18097944004049116</v>
      </c>
      <c r="L3952" s="19">
        <v>0.29983308981722095</v>
      </c>
      <c r="M3952" s="20">
        <v>3</v>
      </c>
      <c r="N3952" s="19">
        <v>0</v>
      </c>
      <c r="O3952" s="19">
        <v>6.8949969304751779E-2</v>
      </c>
      <c r="P3952" s="19">
        <v>0.11202947073573938</v>
      </c>
      <c r="Q3952" s="19">
        <v>0.13386043152014659</v>
      </c>
      <c r="R3952" s="19">
        <v>0.14211998457195632</v>
      </c>
      <c r="S3952" s="19">
        <v>2.3852673725118023E-2</v>
      </c>
      <c r="T3952" s="20">
        <v>30</v>
      </c>
      <c r="U3952" s="17">
        <v>2</v>
      </c>
      <c r="V3952" s="17">
        <v>36</v>
      </c>
    </row>
    <row r="3953" spans="1:22" x14ac:dyDescent="0.2">
      <c r="A3953" t="s">
        <v>8746</v>
      </c>
      <c r="B3953" t="s">
        <v>7665</v>
      </c>
      <c r="C3953" t="s">
        <v>7666</v>
      </c>
      <c r="D3953" t="s">
        <v>8736</v>
      </c>
      <c r="E3953" s="10" t="s">
        <v>8747</v>
      </c>
      <c r="F3953" s="10"/>
      <c r="G3953" s="10"/>
      <c r="H3953" s="10" t="s">
        <v>8747</v>
      </c>
      <c r="I3953" s="14">
        <v>61001.269468724728</v>
      </c>
      <c r="J3953" s="19">
        <v>0</v>
      </c>
      <c r="K3953" s="19">
        <v>0.55598884839948326</v>
      </c>
      <c r="L3953" s="19">
        <v>0.44401115160051674</v>
      </c>
      <c r="M3953" s="20">
        <v>2</v>
      </c>
      <c r="N3953" s="19">
        <v>0.4870016991469453</v>
      </c>
      <c r="O3953" s="19">
        <v>0</v>
      </c>
      <c r="P3953" s="19">
        <v>6.8987149252537974E-2</v>
      </c>
      <c r="Q3953" s="19">
        <v>0.25734327714904842</v>
      </c>
      <c r="R3953" s="19">
        <v>0.15978391018622576</v>
      </c>
      <c r="S3953" s="19">
        <v>2.6883964265242557E-2</v>
      </c>
      <c r="T3953" s="20">
        <v>23</v>
      </c>
      <c r="U3953" s="17">
        <v>2</v>
      </c>
      <c r="V3953" s="17">
        <v>36</v>
      </c>
    </row>
    <row r="3954" spans="1:22" x14ac:dyDescent="0.2">
      <c r="A3954" t="s">
        <v>8748</v>
      </c>
      <c r="B3954" t="s">
        <v>7665</v>
      </c>
      <c r="C3954" t="s">
        <v>7666</v>
      </c>
      <c r="D3954" t="s">
        <v>8736</v>
      </c>
      <c r="E3954" s="10" t="s">
        <v>8749</v>
      </c>
      <c r="F3954" s="10"/>
      <c r="G3954" s="10"/>
      <c r="H3954" s="10" t="s">
        <v>8749</v>
      </c>
      <c r="I3954" s="14">
        <v>40851.230213591356</v>
      </c>
      <c r="J3954" s="19">
        <v>0</v>
      </c>
      <c r="K3954" s="19">
        <v>0.37991558711709467</v>
      </c>
      <c r="L3954" s="19">
        <v>0.6200844128829055</v>
      </c>
      <c r="M3954" s="20">
        <v>1</v>
      </c>
      <c r="N3954" s="19">
        <v>0.19730264343036183</v>
      </c>
      <c r="O3954" s="19">
        <v>0</v>
      </c>
      <c r="P3954" s="19">
        <v>0.18261294368673281</v>
      </c>
      <c r="Q3954" s="19">
        <v>0.15655879449824409</v>
      </c>
      <c r="R3954" s="19">
        <v>0.39842304307010651</v>
      </c>
      <c r="S3954" s="19">
        <v>6.5102575314554947E-2</v>
      </c>
      <c r="T3954" s="20">
        <v>12</v>
      </c>
      <c r="U3954" s="17">
        <v>2</v>
      </c>
      <c r="V3954" s="17">
        <v>36</v>
      </c>
    </row>
    <row r="3955" spans="1:22" x14ac:dyDescent="0.2">
      <c r="A3955" t="s">
        <v>8750</v>
      </c>
      <c r="B3955" t="s">
        <v>7665</v>
      </c>
      <c r="C3955" t="s">
        <v>7666</v>
      </c>
      <c r="D3955" t="s">
        <v>8736</v>
      </c>
      <c r="E3955" s="10" t="s">
        <v>8736</v>
      </c>
      <c r="F3955" s="10"/>
      <c r="G3955" s="10"/>
      <c r="H3955" s="10" t="s">
        <v>8736</v>
      </c>
      <c r="I3955" s="14">
        <v>95743.986035825685</v>
      </c>
      <c r="J3955" s="19">
        <v>0.69789504122765378</v>
      </c>
      <c r="K3955" s="19">
        <v>0.21729929974454046</v>
      </c>
      <c r="L3955" s="19">
        <v>8.4805659027805722E-2</v>
      </c>
      <c r="M3955" s="20">
        <v>3</v>
      </c>
      <c r="N3955" s="19">
        <v>0</v>
      </c>
      <c r="O3955" s="19">
        <v>0</v>
      </c>
      <c r="P3955" s="19">
        <v>0.21729929974454046</v>
      </c>
      <c r="Q3955" s="19">
        <v>0</v>
      </c>
      <c r="R3955" s="19">
        <v>7.2130989359955655E-2</v>
      </c>
      <c r="S3955" s="19">
        <v>1.2674669667850082E-2</v>
      </c>
      <c r="T3955" s="20">
        <v>30</v>
      </c>
      <c r="U3955" s="17">
        <v>2</v>
      </c>
      <c r="V3955" s="17">
        <v>36</v>
      </c>
    </row>
    <row r="3956" spans="1:22" x14ac:dyDescent="0.2">
      <c r="A3956" t="s">
        <v>8751</v>
      </c>
      <c r="B3956" t="s">
        <v>7665</v>
      </c>
      <c r="C3956" t="s">
        <v>7666</v>
      </c>
      <c r="D3956" t="s">
        <v>8736</v>
      </c>
      <c r="E3956" s="10" t="s">
        <v>8752</v>
      </c>
      <c r="F3956" s="10"/>
      <c r="G3956" s="10"/>
      <c r="H3956" s="10" t="s">
        <v>8752</v>
      </c>
      <c r="I3956" s="14">
        <v>131543.32922264934</v>
      </c>
      <c r="J3956" s="19">
        <v>0</v>
      </c>
      <c r="K3956" s="19">
        <v>0.76265290661214136</v>
      </c>
      <c r="L3956" s="19">
        <v>0.23734709338785864</v>
      </c>
      <c r="M3956" s="20">
        <v>2</v>
      </c>
      <c r="N3956" s="19">
        <v>0.24108073346098205</v>
      </c>
      <c r="O3956" s="19">
        <v>0</v>
      </c>
      <c r="P3956" s="19">
        <v>0.52157217315115934</v>
      </c>
      <c r="Q3956" s="19">
        <v>4.5716595833594408E-2</v>
      </c>
      <c r="R3956" s="19">
        <v>0.16897201742985124</v>
      </c>
      <c r="S3956" s="19">
        <v>2.2658480124413002E-2</v>
      </c>
      <c r="T3956" s="20">
        <v>21</v>
      </c>
      <c r="U3956" s="17">
        <v>2</v>
      </c>
      <c r="V3956" s="17">
        <v>36</v>
      </c>
    </row>
    <row r="3957" spans="1:22" x14ac:dyDescent="0.2">
      <c r="A3957" t="s">
        <v>8753</v>
      </c>
      <c r="B3957" t="s">
        <v>7665</v>
      </c>
      <c r="C3957" t="s">
        <v>7666</v>
      </c>
      <c r="D3957" t="s">
        <v>8736</v>
      </c>
      <c r="E3957" s="10" t="s">
        <v>8754</v>
      </c>
      <c r="F3957" s="10"/>
      <c r="G3957" s="10"/>
      <c r="H3957" s="10" t="s">
        <v>8754</v>
      </c>
      <c r="I3957" s="14">
        <v>153957.25945246965</v>
      </c>
      <c r="J3957" s="19">
        <v>0</v>
      </c>
      <c r="K3957" s="19">
        <v>0.72288430708396956</v>
      </c>
      <c r="L3957" s="19">
        <v>0.2771156929160305</v>
      </c>
      <c r="M3957" s="20">
        <v>2</v>
      </c>
      <c r="N3957" s="19">
        <v>0.39917269806018152</v>
      </c>
      <c r="O3957" s="19">
        <v>4.5442530090663714E-2</v>
      </c>
      <c r="P3957" s="19">
        <v>0.2782690789331243</v>
      </c>
      <c r="Q3957" s="19">
        <v>0.14523051238751247</v>
      </c>
      <c r="R3957" s="19">
        <v>0.11608286869936024</v>
      </c>
      <c r="S3957" s="19">
        <v>1.5802311829157752E-2</v>
      </c>
      <c r="T3957" s="20">
        <v>23</v>
      </c>
      <c r="U3957" s="17">
        <v>2</v>
      </c>
      <c r="V3957" s="17">
        <v>36</v>
      </c>
    </row>
    <row r="3958" spans="1:22" x14ac:dyDescent="0.2">
      <c r="A3958" t="s">
        <v>8755</v>
      </c>
      <c r="B3958" t="s">
        <v>7665</v>
      </c>
      <c r="C3958" t="s">
        <v>7666</v>
      </c>
      <c r="D3958" t="s">
        <v>8736</v>
      </c>
      <c r="E3958" s="10" t="s">
        <v>8756</v>
      </c>
      <c r="F3958" s="10"/>
      <c r="G3958" s="10"/>
      <c r="H3958" s="10" t="s">
        <v>8756</v>
      </c>
      <c r="I3958" s="14">
        <v>44929.732112541329</v>
      </c>
      <c r="J3958" s="19">
        <v>0</v>
      </c>
      <c r="K3958" s="19">
        <v>0</v>
      </c>
      <c r="L3958" s="19">
        <v>1</v>
      </c>
      <c r="M3958" s="20">
        <v>1</v>
      </c>
      <c r="N3958" s="19">
        <v>0</v>
      </c>
      <c r="O3958" s="19">
        <v>0</v>
      </c>
      <c r="P3958" s="19">
        <v>0</v>
      </c>
      <c r="Q3958" s="19">
        <v>0.26153238378190935</v>
      </c>
      <c r="R3958" s="19">
        <v>0.65131240970719262</v>
      </c>
      <c r="S3958" s="19">
        <v>8.7155206510898003E-2</v>
      </c>
      <c r="T3958" s="20">
        <v>12</v>
      </c>
      <c r="U3958" s="17">
        <v>2</v>
      </c>
      <c r="V3958" s="17">
        <v>36</v>
      </c>
    </row>
    <row r="3959" spans="1:22" x14ac:dyDescent="0.2">
      <c r="A3959" t="s">
        <v>8757</v>
      </c>
      <c r="B3959" t="s">
        <v>7665</v>
      </c>
      <c r="C3959" t="s">
        <v>7666</v>
      </c>
      <c r="D3959" t="s">
        <v>8736</v>
      </c>
      <c r="E3959" s="10" t="s">
        <v>8758</v>
      </c>
      <c r="F3959" s="10"/>
      <c r="G3959" s="10"/>
      <c r="H3959" s="10" t="s">
        <v>8758</v>
      </c>
      <c r="I3959" s="14">
        <v>71766.733457244933</v>
      </c>
      <c r="J3959" s="19">
        <v>0</v>
      </c>
      <c r="K3959" s="19">
        <v>0.35990964048339341</v>
      </c>
      <c r="L3959" s="19">
        <v>0.64009035951660653</v>
      </c>
      <c r="M3959" s="20">
        <v>1</v>
      </c>
      <c r="N3959" s="19">
        <v>0.10229994270051611</v>
      </c>
      <c r="O3959" s="19">
        <v>0.17707566046332135</v>
      </c>
      <c r="P3959" s="19">
        <v>8.0534037319555898E-2</v>
      </c>
      <c r="Q3959" s="19">
        <v>0.30974585517873204</v>
      </c>
      <c r="R3959" s="19">
        <v>0.29192864533971563</v>
      </c>
      <c r="S3959" s="19">
        <v>3.8415858998158955E-2</v>
      </c>
      <c r="T3959" s="20">
        <v>13</v>
      </c>
      <c r="U3959" s="17">
        <v>2</v>
      </c>
      <c r="V3959" s="17">
        <v>36</v>
      </c>
    </row>
    <row r="3960" spans="1:22" x14ac:dyDescent="0.2">
      <c r="A3960" t="s">
        <v>8759</v>
      </c>
      <c r="B3960" t="s">
        <v>7665</v>
      </c>
      <c r="C3960" t="s">
        <v>7666</v>
      </c>
      <c r="D3960" t="s">
        <v>8760</v>
      </c>
      <c r="E3960" s="10" t="s">
        <v>8761</v>
      </c>
      <c r="F3960" s="10"/>
      <c r="G3960" s="10"/>
      <c r="H3960" s="10" t="s">
        <v>8761</v>
      </c>
      <c r="I3960" s="14">
        <v>80605.421185418498</v>
      </c>
      <c r="J3960" s="19">
        <v>0</v>
      </c>
      <c r="K3960" s="19">
        <v>0.82264870255026668</v>
      </c>
      <c r="L3960" s="19">
        <v>0.17735129744973327</v>
      </c>
      <c r="M3960" s="20">
        <v>2</v>
      </c>
      <c r="N3960" s="19">
        <v>0.39046282678131589</v>
      </c>
      <c r="O3960" s="19">
        <v>5.9168850738202203E-2</v>
      </c>
      <c r="P3960" s="19">
        <v>0.37301702503074857</v>
      </c>
      <c r="Q3960" s="19">
        <v>1.7844791226513126E-2</v>
      </c>
      <c r="R3960" s="19">
        <v>0.14797385283108655</v>
      </c>
      <c r="S3960" s="19">
        <v>1.1532653392133656E-2</v>
      </c>
      <c r="T3960" s="20">
        <v>23</v>
      </c>
      <c r="U3960" s="17">
        <v>2</v>
      </c>
      <c r="V3960" s="17">
        <v>36</v>
      </c>
    </row>
    <row r="3961" spans="1:22" x14ac:dyDescent="0.2">
      <c r="A3961" t="s">
        <v>8762</v>
      </c>
      <c r="B3961" t="s">
        <v>7665</v>
      </c>
      <c r="C3961" t="s">
        <v>7666</v>
      </c>
      <c r="D3961" t="s">
        <v>8760</v>
      </c>
      <c r="E3961" s="10" t="s">
        <v>7676</v>
      </c>
      <c r="F3961" s="10"/>
      <c r="G3961" s="10"/>
      <c r="H3961" s="10" t="s">
        <v>7676</v>
      </c>
      <c r="I3961" s="14">
        <v>167215.45300105202</v>
      </c>
      <c r="J3961" s="19">
        <v>0.42121624961087029</v>
      </c>
      <c r="K3961" s="19">
        <v>0.30460691435666826</v>
      </c>
      <c r="L3961" s="19">
        <v>0.27417683603246146</v>
      </c>
      <c r="M3961" s="20">
        <v>2</v>
      </c>
      <c r="N3961" s="19">
        <v>4.5608646892501948E-5</v>
      </c>
      <c r="O3961" s="19">
        <v>8.7023255248819639E-2</v>
      </c>
      <c r="P3961" s="19">
        <v>0.21753805046095612</v>
      </c>
      <c r="Q3961" s="19">
        <v>5.995632608492861E-2</v>
      </c>
      <c r="R3961" s="19">
        <v>0.19922149450395857</v>
      </c>
      <c r="S3961" s="19">
        <v>1.4999015443574269E-2</v>
      </c>
      <c r="T3961" s="20">
        <v>22</v>
      </c>
      <c r="U3961" s="17">
        <v>2</v>
      </c>
      <c r="V3961" s="17">
        <v>36</v>
      </c>
    </row>
    <row r="3962" spans="1:22" x14ac:dyDescent="0.2">
      <c r="A3962" t="s">
        <v>8763</v>
      </c>
      <c r="B3962" t="s">
        <v>7665</v>
      </c>
      <c r="C3962" t="s">
        <v>7666</v>
      </c>
      <c r="D3962" t="s">
        <v>8760</v>
      </c>
      <c r="E3962" s="10" t="s">
        <v>8764</v>
      </c>
      <c r="F3962" s="10"/>
      <c r="G3962" s="10"/>
      <c r="H3962" s="10" t="s">
        <v>8764</v>
      </c>
      <c r="I3962" s="14">
        <v>129804.32767293032</v>
      </c>
      <c r="J3962" s="19">
        <v>0.24156956091627743</v>
      </c>
      <c r="K3962" s="19">
        <v>0.53177125533853231</v>
      </c>
      <c r="L3962" s="19">
        <v>0.22665918374519026</v>
      </c>
      <c r="M3962" s="20">
        <v>2</v>
      </c>
      <c r="N3962" s="19">
        <v>0.17094947521440926</v>
      </c>
      <c r="O3962" s="19">
        <v>0</v>
      </c>
      <c r="P3962" s="19">
        <v>0.36082178012412308</v>
      </c>
      <c r="Q3962" s="19">
        <v>3.5545878737707891E-2</v>
      </c>
      <c r="R3962" s="19">
        <v>0.18002075708357607</v>
      </c>
      <c r="S3962" s="19">
        <v>1.1092547923906277E-2</v>
      </c>
      <c r="T3962" s="20">
        <v>23</v>
      </c>
      <c r="U3962" s="17">
        <v>2</v>
      </c>
      <c r="V3962" s="17">
        <v>36</v>
      </c>
    </row>
    <row r="3963" spans="1:22" x14ac:dyDescent="0.2">
      <c r="A3963" t="s">
        <v>8765</v>
      </c>
      <c r="B3963" t="s">
        <v>7665</v>
      </c>
      <c r="C3963" t="s">
        <v>7666</v>
      </c>
      <c r="D3963" t="s">
        <v>8760</v>
      </c>
      <c r="E3963" s="10" t="s">
        <v>8766</v>
      </c>
      <c r="F3963" s="10"/>
      <c r="G3963" s="10"/>
      <c r="H3963" s="10" t="s">
        <v>8766</v>
      </c>
      <c r="I3963" s="14">
        <v>175945.1333805325</v>
      </c>
      <c r="J3963" s="19">
        <v>0</v>
      </c>
      <c r="K3963" s="19">
        <v>0.92014464198226498</v>
      </c>
      <c r="L3963" s="19">
        <v>7.9855358017735051E-2</v>
      </c>
      <c r="M3963" s="20">
        <v>2</v>
      </c>
      <c r="N3963" s="19">
        <v>0.52944429088859124</v>
      </c>
      <c r="O3963" s="19">
        <v>0</v>
      </c>
      <c r="P3963" s="19">
        <v>0.39070035109367374</v>
      </c>
      <c r="Q3963" s="19">
        <v>0</v>
      </c>
      <c r="R3963" s="19">
        <v>7.6067147010762767E-2</v>
      </c>
      <c r="S3963" s="19">
        <v>3.7882110069722801E-3</v>
      </c>
      <c r="T3963" s="20">
        <v>23</v>
      </c>
      <c r="U3963" s="17">
        <v>2</v>
      </c>
      <c r="V3963" s="17">
        <v>36</v>
      </c>
    </row>
    <row r="3964" spans="1:22" x14ac:dyDescent="0.2">
      <c r="A3964" t="s">
        <v>8767</v>
      </c>
      <c r="B3964" t="s">
        <v>7665</v>
      </c>
      <c r="C3964" t="s">
        <v>7666</v>
      </c>
      <c r="D3964" t="s">
        <v>8760</v>
      </c>
      <c r="E3964" s="10" t="s">
        <v>8768</v>
      </c>
      <c r="F3964" s="10"/>
      <c r="G3964" s="10"/>
      <c r="H3964" s="10" t="s">
        <v>8768</v>
      </c>
      <c r="I3964" s="14">
        <v>177691.35113658919</v>
      </c>
      <c r="J3964" s="19">
        <v>0.84009904303377281</v>
      </c>
      <c r="K3964" s="19">
        <v>0.14348130556450053</v>
      </c>
      <c r="L3964" s="19">
        <v>1.6419651401726604E-2</v>
      </c>
      <c r="M3964" s="20">
        <v>3</v>
      </c>
      <c r="N3964" s="19">
        <v>8.2025068552499372E-2</v>
      </c>
      <c r="O3964" s="19">
        <v>0</v>
      </c>
      <c r="P3964" s="19">
        <v>6.1456237012001168E-2</v>
      </c>
      <c r="Q3964" s="19">
        <v>0</v>
      </c>
      <c r="R3964" s="19">
        <v>1.4845550450162063E-2</v>
      </c>
      <c r="S3964" s="19">
        <v>1.5741009515645426E-3</v>
      </c>
      <c r="T3964" s="20">
        <v>30</v>
      </c>
      <c r="U3964" s="17">
        <v>2</v>
      </c>
      <c r="V3964" s="17">
        <v>36</v>
      </c>
    </row>
    <row r="3965" spans="1:22" x14ac:dyDescent="0.2">
      <c r="A3965" t="s">
        <v>8769</v>
      </c>
      <c r="B3965" t="s">
        <v>7665</v>
      </c>
      <c r="C3965" t="s">
        <v>7666</v>
      </c>
      <c r="D3965" t="s">
        <v>8760</v>
      </c>
      <c r="E3965" s="10" t="s">
        <v>8770</v>
      </c>
      <c r="F3965" s="10"/>
      <c r="G3965" s="10"/>
      <c r="H3965" s="10" t="s">
        <v>8770</v>
      </c>
      <c r="I3965" s="14">
        <v>121604.54947205354</v>
      </c>
      <c r="J3965" s="19">
        <v>0</v>
      </c>
      <c r="K3965" s="19">
        <v>0.69194766354815707</v>
      </c>
      <c r="L3965" s="19">
        <v>0.30805233645184293</v>
      </c>
      <c r="M3965" s="20">
        <v>2</v>
      </c>
      <c r="N3965" s="19">
        <v>0.38841721017959302</v>
      </c>
      <c r="O3965" s="19">
        <v>0</v>
      </c>
      <c r="P3965" s="19">
        <v>0.3035304533685641</v>
      </c>
      <c r="Q3965" s="19">
        <v>6.727373685869005E-2</v>
      </c>
      <c r="R3965" s="19">
        <v>0.20949935747998469</v>
      </c>
      <c r="S3965" s="19">
        <v>3.1279242113168175E-2</v>
      </c>
      <c r="T3965" s="20">
        <v>23</v>
      </c>
      <c r="U3965" s="17">
        <v>2</v>
      </c>
      <c r="V3965" s="17">
        <v>36</v>
      </c>
    </row>
    <row r="3966" spans="1:22" x14ac:dyDescent="0.2">
      <c r="A3966" t="s">
        <v>8771</v>
      </c>
      <c r="B3966" t="s">
        <v>7665</v>
      </c>
      <c r="C3966" t="s">
        <v>7666</v>
      </c>
      <c r="D3966" t="s">
        <v>8760</v>
      </c>
      <c r="E3966" s="10" t="s">
        <v>7684</v>
      </c>
      <c r="F3966" s="10"/>
      <c r="G3966" s="10"/>
      <c r="H3966" s="10" t="s">
        <v>7684</v>
      </c>
      <c r="I3966" s="14">
        <v>157612.41104139015</v>
      </c>
      <c r="J3966" s="19">
        <v>0</v>
      </c>
      <c r="K3966" s="19">
        <v>0.68865515581421055</v>
      </c>
      <c r="L3966" s="19">
        <v>0.31134484418578945</v>
      </c>
      <c r="M3966" s="20">
        <v>2</v>
      </c>
      <c r="N3966" s="19">
        <v>0.26184354400751941</v>
      </c>
      <c r="O3966" s="19">
        <v>9.7001252638990842E-2</v>
      </c>
      <c r="P3966" s="19">
        <v>0.32981035916770024</v>
      </c>
      <c r="Q3966" s="19">
        <v>9.5434850344987818E-2</v>
      </c>
      <c r="R3966" s="19">
        <v>0.18859809774910605</v>
      </c>
      <c r="S3966" s="19">
        <v>2.7311896091695535E-2</v>
      </c>
      <c r="T3966" s="20">
        <v>23</v>
      </c>
      <c r="U3966" s="17">
        <v>2</v>
      </c>
      <c r="V3966" s="17">
        <v>36</v>
      </c>
    </row>
    <row r="3967" spans="1:22" x14ac:dyDescent="0.2">
      <c r="A3967" t="s">
        <v>8772</v>
      </c>
      <c r="B3967" t="s">
        <v>7665</v>
      </c>
      <c r="C3967" t="s">
        <v>7666</v>
      </c>
      <c r="D3967" t="s">
        <v>8760</v>
      </c>
      <c r="E3967" s="10" t="s">
        <v>8760</v>
      </c>
      <c r="F3967" s="10"/>
      <c r="G3967" s="10"/>
      <c r="H3967" s="10" t="s">
        <v>8760</v>
      </c>
      <c r="I3967" s="14">
        <v>160995.97369634267</v>
      </c>
      <c r="J3967" s="19">
        <v>0.84593901166500751</v>
      </c>
      <c r="K3967" s="19">
        <v>0.10766768337251895</v>
      </c>
      <c r="L3967" s="19">
        <v>4.6393304962473597E-2</v>
      </c>
      <c r="M3967" s="20">
        <v>3</v>
      </c>
      <c r="N3967" s="19">
        <v>0</v>
      </c>
      <c r="O3967" s="19">
        <v>0</v>
      </c>
      <c r="P3967" s="19">
        <v>0.10766768337251895</v>
      </c>
      <c r="Q3967" s="19">
        <v>0</v>
      </c>
      <c r="R3967" s="19">
        <v>4.3507085513658068E-2</v>
      </c>
      <c r="S3967" s="19">
        <v>2.8862194488155353E-3</v>
      </c>
      <c r="T3967" s="20">
        <v>30</v>
      </c>
      <c r="U3967" s="17">
        <v>2</v>
      </c>
      <c r="V3967" s="17">
        <v>36</v>
      </c>
    </row>
    <row r="3968" spans="1:22" x14ac:dyDescent="0.2">
      <c r="A3968" t="s">
        <v>8773</v>
      </c>
      <c r="B3968" t="s">
        <v>7665</v>
      </c>
      <c r="C3968" t="s">
        <v>7666</v>
      </c>
      <c r="D3968" t="s">
        <v>8760</v>
      </c>
      <c r="E3968" s="10" t="s">
        <v>8774</v>
      </c>
      <c r="F3968" s="10"/>
      <c r="G3968" s="10"/>
      <c r="H3968" s="10" t="s">
        <v>8774</v>
      </c>
      <c r="I3968" s="14">
        <v>195419.48656279489</v>
      </c>
      <c r="J3968" s="19">
        <v>0.57677332412677573</v>
      </c>
      <c r="K3968" s="19">
        <v>0.29261770410965376</v>
      </c>
      <c r="L3968" s="19">
        <v>0.13060897176357047</v>
      </c>
      <c r="M3968" s="20">
        <v>3</v>
      </c>
      <c r="N3968" s="19">
        <v>2.7820880601066991E-2</v>
      </c>
      <c r="O3968" s="19">
        <v>4.1523438087538354E-2</v>
      </c>
      <c r="P3968" s="19">
        <v>0.22327338542104841</v>
      </c>
      <c r="Q3968" s="19">
        <v>8.7813761077235666E-3</v>
      </c>
      <c r="R3968" s="19">
        <v>0.11581936069696541</v>
      </c>
      <c r="S3968" s="19">
        <v>6.0082349588815023E-3</v>
      </c>
      <c r="T3968" s="20">
        <v>30</v>
      </c>
      <c r="U3968" s="17">
        <v>2</v>
      </c>
      <c r="V3968" s="17">
        <v>36</v>
      </c>
    </row>
    <row r="3969" spans="1:22" x14ac:dyDescent="0.2">
      <c r="A3969" t="s">
        <v>8775</v>
      </c>
      <c r="B3969" t="s">
        <v>7665</v>
      </c>
      <c r="C3969" t="s">
        <v>7666</v>
      </c>
      <c r="D3969" t="s">
        <v>8776</v>
      </c>
      <c r="E3969" s="10" t="s">
        <v>8777</v>
      </c>
      <c r="F3969" s="10"/>
      <c r="G3969" s="10"/>
      <c r="H3969" s="10" t="s">
        <v>8777</v>
      </c>
      <c r="I3969" s="14">
        <v>43926.544483339414</v>
      </c>
      <c r="J3969" s="19">
        <v>0</v>
      </c>
      <c r="K3969" s="19">
        <v>0.48074385518479129</v>
      </c>
      <c r="L3969" s="19">
        <v>0.51925614481520865</v>
      </c>
      <c r="M3969" s="20">
        <v>1</v>
      </c>
      <c r="N3969" s="19">
        <v>0.17286053802053741</v>
      </c>
      <c r="O3969" s="19">
        <v>0</v>
      </c>
      <c r="P3969" s="19">
        <v>0.30788331716425393</v>
      </c>
      <c r="Q3969" s="19">
        <v>0.17669704548796678</v>
      </c>
      <c r="R3969" s="19">
        <v>0.31862102622358052</v>
      </c>
      <c r="S3969" s="19">
        <v>2.3938073103661386E-2</v>
      </c>
      <c r="T3969" s="20">
        <v>12</v>
      </c>
      <c r="U3969" s="17">
        <v>2</v>
      </c>
      <c r="V3969" s="17">
        <v>36</v>
      </c>
    </row>
    <row r="3970" spans="1:22" x14ac:dyDescent="0.2">
      <c r="A3970" t="s">
        <v>8778</v>
      </c>
      <c r="B3970" t="s">
        <v>7665</v>
      </c>
      <c r="C3970" t="s">
        <v>7666</v>
      </c>
      <c r="D3970" t="s">
        <v>8776</v>
      </c>
      <c r="E3970" s="10" t="s">
        <v>8779</v>
      </c>
      <c r="F3970" s="10"/>
      <c r="G3970" s="10"/>
      <c r="H3970" s="10" t="s">
        <v>8779</v>
      </c>
      <c r="I3970" s="14">
        <v>330319.20985124027</v>
      </c>
      <c r="J3970" s="19">
        <v>0.96986156332466267</v>
      </c>
      <c r="K3970" s="19">
        <v>2.8352278451696456E-2</v>
      </c>
      <c r="L3970" s="19">
        <v>1.7861582236408905E-3</v>
      </c>
      <c r="M3970" s="20">
        <v>3</v>
      </c>
      <c r="N3970" s="19">
        <v>0</v>
      </c>
      <c r="O3970" s="19">
        <v>0</v>
      </c>
      <c r="P3970" s="19">
        <v>2.8352278451696456E-2</v>
      </c>
      <c r="Q3970" s="19">
        <v>0</v>
      </c>
      <c r="R3970" s="19">
        <v>1.7448192879589034E-3</v>
      </c>
      <c r="S3970" s="19">
        <v>4.1338935681987108E-5</v>
      </c>
      <c r="T3970" s="20">
        <v>30</v>
      </c>
      <c r="U3970" s="17">
        <v>2</v>
      </c>
      <c r="V3970" s="17">
        <v>36</v>
      </c>
    </row>
    <row r="3971" spans="1:22" x14ac:dyDescent="0.2">
      <c r="A3971" t="s">
        <v>8780</v>
      </c>
      <c r="B3971" t="s">
        <v>7665</v>
      </c>
      <c r="C3971" t="s">
        <v>7666</v>
      </c>
      <c r="D3971" t="s">
        <v>8776</v>
      </c>
      <c r="E3971" s="10" t="s">
        <v>8781</v>
      </c>
      <c r="F3971" s="10"/>
      <c r="G3971" s="10"/>
      <c r="H3971" s="10" t="s">
        <v>8781</v>
      </c>
      <c r="I3971" s="14">
        <v>97487.676146712154</v>
      </c>
      <c r="J3971" s="19">
        <v>0.23266683766430971</v>
      </c>
      <c r="K3971" s="19">
        <v>0.65170785181573787</v>
      </c>
      <c r="L3971" s="19">
        <v>0.11562531051995242</v>
      </c>
      <c r="M3971" s="20">
        <v>2</v>
      </c>
      <c r="N3971" s="19">
        <v>0.24899302994530634</v>
      </c>
      <c r="O3971" s="19">
        <v>0</v>
      </c>
      <c r="P3971" s="19">
        <v>0.40271482187043151</v>
      </c>
      <c r="Q3971" s="19">
        <v>1.5049377435111755E-2</v>
      </c>
      <c r="R3971" s="19">
        <v>9.3191992700240811E-2</v>
      </c>
      <c r="S3971" s="19">
        <v>7.3839403845998618E-3</v>
      </c>
      <c r="T3971" s="20">
        <v>23</v>
      </c>
      <c r="U3971" s="17">
        <v>2</v>
      </c>
      <c r="V3971" s="17">
        <v>36</v>
      </c>
    </row>
    <row r="3972" spans="1:22" x14ac:dyDescent="0.2">
      <c r="A3972" t="s">
        <v>8782</v>
      </c>
      <c r="B3972" t="s">
        <v>7665</v>
      </c>
      <c r="C3972" t="s">
        <v>7666</v>
      </c>
      <c r="D3972" t="s">
        <v>8776</v>
      </c>
      <c r="E3972" s="10" t="s">
        <v>8783</v>
      </c>
      <c r="F3972" s="10"/>
      <c r="G3972" s="10"/>
      <c r="H3972" s="10" t="s">
        <v>8783</v>
      </c>
      <c r="I3972" s="14">
        <v>117350.08645710068</v>
      </c>
      <c r="J3972" s="19">
        <v>0.11612004971943797</v>
      </c>
      <c r="K3972" s="19">
        <v>0.72098906151157127</v>
      </c>
      <c r="L3972" s="19">
        <v>0.16289088876899083</v>
      </c>
      <c r="M3972" s="20">
        <v>2</v>
      </c>
      <c r="N3972" s="19">
        <v>0.31085458681359518</v>
      </c>
      <c r="O3972" s="19">
        <v>0</v>
      </c>
      <c r="P3972" s="19">
        <v>0.41013447469797615</v>
      </c>
      <c r="Q3972" s="19">
        <v>4.1658699551295274E-2</v>
      </c>
      <c r="R3972" s="19">
        <v>0.11160677855494305</v>
      </c>
      <c r="S3972" s="19">
        <v>9.625410662752517E-3</v>
      </c>
      <c r="T3972" s="20">
        <v>23</v>
      </c>
      <c r="U3972" s="17">
        <v>2</v>
      </c>
      <c r="V3972" s="17">
        <v>36</v>
      </c>
    </row>
    <row r="3973" spans="1:22" x14ac:dyDescent="0.2">
      <c r="A3973" t="s">
        <v>8784</v>
      </c>
      <c r="B3973" t="s">
        <v>7665</v>
      </c>
      <c r="C3973" t="s">
        <v>7666</v>
      </c>
      <c r="D3973" t="s">
        <v>8776</v>
      </c>
      <c r="E3973" s="10" t="s">
        <v>8785</v>
      </c>
      <c r="F3973" s="10"/>
      <c r="G3973" s="10"/>
      <c r="H3973" s="10" t="s">
        <v>8785</v>
      </c>
      <c r="I3973" s="14">
        <v>26820.07294312492</v>
      </c>
      <c r="J3973" s="19">
        <v>0</v>
      </c>
      <c r="K3973" s="19">
        <v>0.80171261443736619</v>
      </c>
      <c r="L3973" s="19">
        <v>0.19828738556263384</v>
      </c>
      <c r="M3973" s="20">
        <v>2</v>
      </c>
      <c r="N3973" s="19">
        <v>0</v>
      </c>
      <c r="O3973" s="19">
        <v>0.80171261443736619</v>
      </c>
      <c r="P3973" s="19">
        <v>0</v>
      </c>
      <c r="Q3973" s="19">
        <v>0</v>
      </c>
      <c r="R3973" s="19">
        <v>0.18408433166285706</v>
      </c>
      <c r="S3973" s="19">
        <v>1.4203053899776757E-2</v>
      </c>
      <c r="T3973" s="20">
        <v>22</v>
      </c>
      <c r="U3973" s="17">
        <v>2</v>
      </c>
      <c r="V3973" s="17">
        <v>36</v>
      </c>
    </row>
    <row r="3974" spans="1:22" x14ac:dyDescent="0.2">
      <c r="A3974" t="s">
        <v>8786</v>
      </c>
      <c r="B3974" t="s">
        <v>7665</v>
      </c>
      <c r="C3974" t="s">
        <v>7666</v>
      </c>
      <c r="D3974" t="s">
        <v>8776</v>
      </c>
      <c r="E3974" s="10" t="s">
        <v>7884</v>
      </c>
      <c r="F3974" s="10"/>
      <c r="G3974" s="10"/>
      <c r="H3974" s="10" t="s">
        <v>7884</v>
      </c>
      <c r="I3974" s="14">
        <v>90877.998965713894</v>
      </c>
      <c r="J3974" s="19">
        <v>0</v>
      </c>
      <c r="K3974" s="19">
        <v>0.68949821799494271</v>
      </c>
      <c r="L3974" s="19">
        <v>0.31050178200505735</v>
      </c>
      <c r="M3974" s="20">
        <v>2</v>
      </c>
      <c r="N3974" s="19">
        <v>5.316100585290659E-2</v>
      </c>
      <c r="O3974" s="19">
        <v>0</v>
      </c>
      <c r="P3974" s="19">
        <v>0.63633721214203609</v>
      </c>
      <c r="Q3974" s="19">
        <v>4.3070318857003666E-2</v>
      </c>
      <c r="R3974" s="19">
        <v>0.24978862349621825</v>
      </c>
      <c r="S3974" s="19">
        <v>1.7642839651835433E-2</v>
      </c>
      <c r="T3974" s="20">
        <v>21</v>
      </c>
      <c r="U3974" s="17">
        <v>2</v>
      </c>
      <c r="V3974" s="17">
        <v>36</v>
      </c>
    </row>
    <row r="3975" spans="1:22" x14ac:dyDescent="0.2">
      <c r="A3975" t="s">
        <v>8787</v>
      </c>
      <c r="B3975" t="s">
        <v>7665</v>
      </c>
      <c r="C3975" t="s">
        <v>7666</v>
      </c>
      <c r="D3975" t="s">
        <v>8776</v>
      </c>
      <c r="E3975" s="10" t="s">
        <v>8788</v>
      </c>
      <c r="F3975" s="10"/>
      <c r="G3975" s="10"/>
      <c r="H3975" s="10" t="s">
        <v>8788</v>
      </c>
      <c r="I3975" s="14">
        <v>137206.01600199612</v>
      </c>
      <c r="J3975" s="19">
        <v>0</v>
      </c>
      <c r="K3975" s="19">
        <v>0.84765657859468579</v>
      </c>
      <c r="L3975" s="19">
        <v>0.15234342140531423</v>
      </c>
      <c r="M3975" s="20">
        <v>2</v>
      </c>
      <c r="N3975" s="19">
        <v>0.19798142856195544</v>
      </c>
      <c r="O3975" s="19">
        <v>0.20788067711884831</v>
      </c>
      <c r="P3975" s="19">
        <v>0.44179447291388207</v>
      </c>
      <c r="Q3975" s="19">
        <v>4.1115794015067764E-3</v>
      </c>
      <c r="R3975" s="19">
        <v>0.13807061343651439</v>
      </c>
      <c r="S3975" s="19">
        <v>1.0161228567293056E-2</v>
      </c>
      <c r="T3975" s="20">
        <v>22</v>
      </c>
      <c r="U3975" s="17">
        <v>2</v>
      </c>
      <c r="V3975" s="17">
        <v>36</v>
      </c>
    </row>
    <row r="3976" spans="1:22" x14ac:dyDescent="0.2">
      <c r="A3976" t="s">
        <v>8789</v>
      </c>
      <c r="B3976" t="s">
        <v>7665</v>
      </c>
      <c r="C3976" t="s">
        <v>7666</v>
      </c>
      <c r="D3976" t="s">
        <v>8776</v>
      </c>
      <c r="E3976" s="10" t="s">
        <v>8790</v>
      </c>
      <c r="F3976" s="10"/>
      <c r="G3976" s="10"/>
      <c r="H3976" s="10" t="s">
        <v>8790</v>
      </c>
      <c r="I3976" s="14">
        <v>172639.55888742208</v>
      </c>
      <c r="J3976" s="19">
        <v>0.24612787026133862</v>
      </c>
      <c r="K3976" s="19">
        <v>0.70706707379534695</v>
      </c>
      <c r="L3976" s="19">
        <v>4.680505594331439E-2</v>
      </c>
      <c r="M3976" s="20">
        <v>2</v>
      </c>
      <c r="N3976" s="19">
        <v>0.28572812477950582</v>
      </c>
      <c r="O3976" s="19">
        <v>0</v>
      </c>
      <c r="P3976" s="19">
        <v>0.42133894901584118</v>
      </c>
      <c r="Q3976" s="19">
        <v>6.7554671792731669E-3</v>
      </c>
      <c r="R3976" s="19">
        <v>3.8570832635998829E-2</v>
      </c>
      <c r="S3976" s="19">
        <v>1.4787561280424082E-3</v>
      </c>
      <c r="T3976" s="20">
        <v>23</v>
      </c>
      <c r="U3976" s="17">
        <v>2</v>
      </c>
      <c r="V3976" s="17">
        <v>36</v>
      </c>
    </row>
    <row r="3977" spans="1:22" x14ac:dyDescent="0.2">
      <c r="A3977" t="s">
        <v>8791</v>
      </c>
      <c r="B3977" t="s">
        <v>7665</v>
      </c>
      <c r="C3977" t="s">
        <v>7666</v>
      </c>
      <c r="D3977" t="s">
        <v>8776</v>
      </c>
      <c r="E3977" s="10" t="s">
        <v>8792</v>
      </c>
      <c r="F3977" s="10"/>
      <c r="G3977" s="10"/>
      <c r="H3977" s="10" t="s">
        <v>8792</v>
      </c>
      <c r="I3977" s="14">
        <v>84295.518003138714</v>
      </c>
      <c r="J3977" s="19">
        <v>0</v>
      </c>
      <c r="K3977" s="19">
        <v>0.94382274173531688</v>
      </c>
      <c r="L3977" s="19">
        <v>5.6177258264683116E-2</v>
      </c>
      <c r="M3977" s="20">
        <v>2</v>
      </c>
      <c r="N3977" s="19">
        <v>0.20668333532147545</v>
      </c>
      <c r="O3977" s="19">
        <v>0</v>
      </c>
      <c r="P3977" s="19">
        <v>0.73713940641384146</v>
      </c>
      <c r="Q3977" s="19">
        <v>0</v>
      </c>
      <c r="R3977" s="19">
        <v>5.4599400164795565E-2</v>
      </c>
      <c r="S3977" s="19">
        <v>1.5778580998875471E-3</v>
      </c>
      <c r="T3977" s="20">
        <v>21</v>
      </c>
      <c r="U3977" s="17">
        <v>2</v>
      </c>
      <c r="V3977" s="17">
        <v>36</v>
      </c>
    </row>
    <row r="3978" spans="1:22" x14ac:dyDescent="0.2">
      <c r="A3978" t="s">
        <v>8793</v>
      </c>
      <c r="B3978" t="s">
        <v>7665</v>
      </c>
      <c r="C3978" t="s">
        <v>7666</v>
      </c>
      <c r="D3978" t="s">
        <v>8794</v>
      </c>
      <c r="E3978" s="10" t="s">
        <v>8795</v>
      </c>
      <c r="F3978" s="10"/>
      <c r="G3978" s="10"/>
      <c r="H3978" s="10" t="s">
        <v>8795</v>
      </c>
      <c r="I3978" s="14">
        <v>239580.29002569593</v>
      </c>
      <c r="J3978" s="19">
        <v>0.27554483529626639</v>
      </c>
      <c r="K3978" s="19">
        <v>0.70641645453266155</v>
      </c>
      <c r="L3978" s="19">
        <v>1.8038710171072031E-2</v>
      </c>
      <c r="M3978" s="20">
        <v>2</v>
      </c>
      <c r="N3978" s="19">
        <v>0.18040912024022759</v>
      </c>
      <c r="O3978" s="19">
        <v>0</v>
      </c>
      <c r="P3978" s="19">
        <v>0.52600733429243396</v>
      </c>
      <c r="Q3978" s="19">
        <v>0</v>
      </c>
      <c r="R3978" s="19">
        <v>1.7754678950949249E-2</v>
      </c>
      <c r="S3978" s="19">
        <v>2.8403122012278233E-4</v>
      </c>
      <c r="T3978" s="20">
        <v>21</v>
      </c>
      <c r="U3978" s="17">
        <v>2</v>
      </c>
      <c r="V3978" s="17">
        <v>36</v>
      </c>
    </row>
    <row r="3979" spans="1:22" x14ac:dyDescent="0.2">
      <c r="A3979" t="s">
        <v>8796</v>
      </c>
      <c r="B3979" t="s">
        <v>7665</v>
      </c>
      <c r="C3979" t="s">
        <v>7666</v>
      </c>
      <c r="D3979" t="s">
        <v>8794</v>
      </c>
      <c r="E3979" s="10" t="s">
        <v>8797</v>
      </c>
      <c r="F3979" s="10"/>
      <c r="G3979" s="10"/>
      <c r="H3979" s="10" t="s">
        <v>8797</v>
      </c>
      <c r="I3979" s="14">
        <v>261707.92934899402</v>
      </c>
      <c r="J3979" s="19">
        <v>0</v>
      </c>
      <c r="K3979" s="19">
        <v>0.98592009166653316</v>
      </c>
      <c r="L3979" s="19">
        <v>1.4079908333466945E-2</v>
      </c>
      <c r="M3979" s="20">
        <v>2</v>
      </c>
      <c r="N3979" s="19">
        <v>0.46756523250939669</v>
      </c>
      <c r="O3979" s="19">
        <v>0</v>
      </c>
      <c r="P3979" s="19">
        <v>0.51835485915713653</v>
      </c>
      <c r="Q3979" s="19">
        <v>0</v>
      </c>
      <c r="R3979" s="19">
        <v>1.3288726421063508E-2</v>
      </c>
      <c r="S3979" s="19">
        <v>7.9118191240343879E-4</v>
      </c>
      <c r="T3979" s="20">
        <v>21</v>
      </c>
      <c r="U3979" s="17">
        <v>2</v>
      </c>
      <c r="V3979" s="17">
        <v>36</v>
      </c>
    </row>
    <row r="3980" spans="1:22" x14ac:dyDescent="0.2">
      <c r="A3980" t="s">
        <v>8798</v>
      </c>
      <c r="B3980" t="s">
        <v>7665</v>
      </c>
      <c r="C3980" t="s">
        <v>7666</v>
      </c>
      <c r="D3980" t="s">
        <v>8794</v>
      </c>
      <c r="E3980" s="10" t="s">
        <v>8799</v>
      </c>
      <c r="F3980" s="10"/>
      <c r="G3980" s="10"/>
      <c r="H3980" s="10" t="s">
        <v>8799</v>
      </c>
      <c r="I3980" s="14">
        <v>222492.68276729528</v>
      </c>
      <c r="J3980" s="19">
        <v>3.2867200059983833E-4</v>
      </c>
      <c r="K3980" s="19">
        <v>0.9794346045714406</v>
      </c>
      <c r="L3980" s="19">
        <v>2.023672342795961E-2</v>
      </c>
      <c r="M3980" s="20">
        <v>2</v>
      </c>
      <c r="N3980" s="19">
        <v>0.3840449659219905</v>
      </c>
      <c r="O3980" s="19">
        <v>0</v>
      </c>
      <c r="P3980" s="19">
        <v>0.59538963864945005</v>
      </c>
      <c r="Q3980" s="19">
        <v>0</v>
      </c>
      <c r="R3980" s="19">
        <v>1.9143467744574205E-2</v>
      </c>
      <c r="S3980" s="19">
        <v>1.0932556833854075E-3</v>
      </c>
      <c r="T3980" s="20">
        <v>21</v>
      </c>
      <c r="U3980" s="17">
        <v>2</v>
      </c>
      <c r="V3980" s="17">
        <v>36</v>
      </c>
    </row>
    <row r="3981" spans="1:22" x14ac:dyDescent="0.2">
      <c r="A3981" t="s">
        <v>8800</v>
      </c>
      <c r="B3981" t="s">
        <v>7665</v>
      </c>
      <c r="C3981" t="s">
        <v>7666</v>
      </c>
      <c r="D3981" t="s">
        <v>8794</v>
      </c>
      <c r="E3981" s="10" t="s">
        <v>8801</v>
      </c>
      <c r="F3981" s="10"/>
      <c r="G3981" s="10"/>
      <c r="H3981" s="10" t="s">
        <v>8801</v>
      </c>
      <c r="I3981" s="14">
        <v>243038.83900078665</v>
      </c>
      <c r="J3981" s="19">
        <v>0</v>
      </c>
      <c r="K3981" s="19">
        <v>0.97754975479234241</v>
      </c>
      <c r="L3981" s="19">
        <v>2.2450245207657604E-2</v>
      </c>
      <c r="M3981" s="20">
        <v>2</v>
      </c>
      <c r="N3981" s="19">
        <v>0.43069040631378375</v>
      </c>
      <c r="O3981" s="19">
        <v>0</v>
      </c>
      <c r="P3981" s="19">
        <v>0.54685934847855866</v>
      </c>
      <c r="Q3981" s="19">
        <v>0</v>
      </c>
      <c r="R3981" s="19">
        <v>2.1865270563501616E-2</v>
      </c>
      <c r="S3981" s="19">
        <v>5.8497464415598619E-4</v>
      </c>
      <c r="T3981" s="20">
        <v>21</v>
      </c>
      <c r="U3981" s="17">
        <v>2</v>
      </c>
      <c r="V3981" s="17">
        <v>36</v>
      </c>
    </row>
    <row r="3982" spans="1:22" x14ac:dyDescent="0.2">
      <c r="A3982" t="s">
        <v>8802</v>
      </c>
      <c r="B3982" t="s">
        <v>7665</v>
      </c>
      <c r="C3982" t="s">
        <v>7666</v>
      </c>
      <c r="D3982" t="s">
        <v>8794</v>
      </c>
      <c r="E3982" s="10" t="s">
        <v>8794</v>
      </c>
      <c r="F3982" s="10"/>
      <c r="G3982" s="10"/>
      <c r="H3982" s="10" t="s">
        <v>8794</v>
      </c>
      <c r="I3982" s="14">
        <v>197513.21385113429</v>
      </c>
      <c r="J3982" s="19">
        <v>0.87771840756810193</v>
      </c>
      <c r="K3982" s="19">
        <v>0.12058193330030589</v>
      </c>
      <c r="L3982" s="19">
        <v>1.6996591315922049E-3</v>
      </c>
      <c r="M3982" s="20">
        <v>3</v>
      </c>
      <c r="N3982" s="19">
        <v>1.2465898308158347E-2</v>
      </c>
      <c r="O3982" s="19">
        <v>0</v>
      </c>
      <c r="P3982" s="19">
        <v>0.10811603499214754</v>
      </c>
      <c r="Q3982" s="19">
        <v>0</v>
      </c>
      <c r="R3982" s="19">
        <v>1.6996591315922051E-3</v>
      </c>
      <c r="S3982" s="19">
        <v>0</v>
      </c>
      <c r="T3982" s="20">
        <v>30</v>
      </c>
      <c r="U3982" s="17">
        <v>2</v>
      </c>
      <c r="V3982" s="17">
        <v>36</v>
      </c>
    </row>
    <row r="3983" spans="1:22" x14ac:dyDescent="0.2">
      <c r="A3983" t="s">
        <v>8803</v>
      </c>
      <c r="B3983" t="s">
        <v>7665</v>
      </c>
      <c r="C3983" t="s">
        <v>7666</v>
      </c>
      <c r="D3983" t="s">
        <v>8794</v>
      </c>
      <c r="E3983" s="10" t="s">
        <v>8804</v>
      </c>
      <c r="F3983" s="10"/>
      <c r="G3983" s="10"/>
      <c r="H3983" s="10" t="s">
        <v>8804</v>
      </c>
      <c r="I3983" s="14">
        <v>257377.12908520456</v>
      </c>
      <c r="J3983" s="19">
        <v>0</v>
      </c>
      <c r="K3983" s="19">
        <v>0.95018638632579522</v>
      </c>
      <c r="L3983" s="19">
        <v>4.9813613674204768E-2</v>
      </c>
      <c r="M3983" s="20">
        <v>2</v>
      </c>
      <c r="N3983" s="19">
        <v>0.41293052020274096</v>
      </c>
      <c r="O3983" s="19">
        <v>0</v>
      </c>
      <c r="P3983" s="19">
        <v>0.5372558661230542</v>
      </c>
      <c r="Q3983" s="19">
        <v>1.8642753074940049E-2</v>
      </c>
      <c r="R3983" s="19">
        <v>3.003788429649653E-2</v>
      </c>
      <c r="S3983" s="19">
        <v>1.1329763027681918E-3</v>
      </c>
      <c r="T3983" s="20">
        <v>21</v>
      </c>
      <c r="U3983" s="17">
        <v>2</v>
      </c>
      <c r="V3983" s="17">
        <v>36</v>
      </c>
    </row>
    <row r="3984" spans="1:22" x14ac:dyDescent="0.2">
      <c r="A3984" t="s">
        <v>8805</v>
      </c>
      <c r="B3984" t="s">
        <v>7665</v>
      </c>
      <c r="C3984" t="s">
        <v>7666</v>
      </c>
      <c r="D3984" t="s">
        <v>8794</v>
      </c>
      <c r="E3984" s="10" t="s">
        <v>8806</v>
      </c>
      <c r="F3984" s="10"/>
      <c r="G3984" s="10"/>
      <c r="H3984" s="10" t="s">
        <v>8806</v>
      </c>
      <c r="I3984" s="14">
        <v>218019.82087267516</v>
      </c>
      <c r="J3984" s="19">
        <v>0.23925341683340434</v>
      </c>
      <c r="K3984" s="19">
        <v>0.71248191870331745</v>
      </c>
      <c r="L3984" s="19">
        <v>4.8264664463278283E-2</v>
      </c>
      <c r="M3984" s="20">
        <v>2</v>
      </c>
      <c r="N3984" s="19">
        <v>0.24020789608909759</v>
      </c>
      <c r="O3984" s="19">
        <v>0</v>
      </c>
      <c r="P3984" s="19">
        <v>0.4722740226142198</v>
      </c>
      <c r="Q3984" s="19">
        <v>1.0559683415260932E-2</v>
      </c>
      <c r="R3984" s="19">
        <v>3.6192172184083417E-2</v>
      </c>
      <c r="S3984" s="19">
        <v>1.512808863933926E-3</v>
      </c>
      <c r="T3984" s="20">
        <v>23</v>
      </c>
      <c r="U3984" s="17">
        <v>2</v>
      </c>
      <c r="V3984" s="17">
        <v>36</v>
      </c>
    </row>
    <row r="3985" spans="1:22" x14ac:dyDescent="0.2">
      <c r="A3985" t="s">
        <v>8807</v>
      </c>
      <c r="B3985" t="s">
        <v>7665</v>
      </c>
      <c r="C3985" t="s">
        <v>7666</v>
      </c>
      <c r="D3985" t="s">
        <v>8794</v>
      </c>
      <c r="E3985" s="10" t="s">
        <v>8808</v>
      </c>
      <c r="F3985" s="10"/>
      <c r="G3985" s="10"/>
      <c r="H3985" s="10" t="s">
        <v>8808</v>
      </c>
      <c r="I3985" s="14">
        <v>230027.16449431702</v>
      </c>
      <c r="J3985" s="19">
        <v>0.22305435904878856</v>
      </c>
      <c r="K3985" s="19">
        <v>0.76385675299324585</v>
      </c>
      <c r="L3985" s="19">
        <v>1.3088887957965542E-2</v>
      </c>
      <c r="M3985" s="20">
        <v>2</v>
      </c>
      <c r="N3985" s="19">
        <v>0.32555842625839754</v>
      </c>
      <c r="O3985" s="19">
        <v>0</v>
      </c>
      <c r="P3985" s="19">
        <v>0.43829832673484831</v>
      </c>
      <c r="Q3985" s="19">
        <v>0</v>
      </c>
      <c r="R3985" s="19">
        <v>1.2984202176124617E-2</v>
      </c>
      <c r="S3985" s="19">
        <v>1.0468578184092526E-4</v>
      </c>
      <c r="T3985" s="20">
        <v>23</v>
      </c>
      <c r="U3985" s="17">
        <v>2</v>
      </c>
      <c r="V3985" s="17">
        <v>36</v>
      </c>
    </row>
    <row r="3986" spans="1:22" x14ac:dyDescent="0.2">
      <c r="A3986" t="s">
        <v>8809</v>
      </c>
      <c r="B3986" t="s">
        <v>7665</v>
      </c>
      <c r="C3986" t="s">
        <v>7666</v>
      </c>
      <c r="D3986" t="s">
        <v>8810</v>
      </c>
      <c r="E3986" s="10" t="s">
        <v>8811</v>
      </c>
      <c r="F3986" s="10"/>
      <c r="G3986" s="10"/>
      <c r="H3986" s="10" t="s">
        <v>8811</v>
      </c>
      <c r="I3986" s="14">
        <v>160066.40377125144</v>
      </c>
      <c r="J3986" s="19">
        <v>0</v>
      </c>
      <c r="K3986" s="19">
        <v>0.78744646481985725</v>
      </c>
      <c r="L3986" s="19">
        <v>0.21255353518014275</v>
      </c>
      <c r="M3986" s="20">
        <v>2</v>
      </c>
      <c r="N3986" s="19">
        <v>8.1833590428523478E-2</v>
      </c>
      <c r="O3986" s="19">
        <v>0</v>
      </c>
      <c r="P3986" s="19">
        <v>0.7056128743913338</v>
      </c>
      <c r="Q3986" s="19">
        <v>4.7204594082876944E-2</v>
      </c>
      <c r="R3986" s="19">
        <v>0.15749586588771908</v>
      </c>
      <c r="S3986" s="19">
        <v>7.8530752095467143E-3</v>
      </c>
      <c r="T3986" s="20">
        <v>21</v>
      </c>
      <c r="U3986" s="17">
        <v>2</v>
      </c>
      <c r="V3986" s="17">
        <v>36</v>
      </c>
    </row>
    <row r="3987" spans="1:22" x14ac:dyDescent="0.2">
      <c r="A3987" t="s">
        <v>8812</v>
      </c>
      <c r="B3987" t="s">
        <v>7665</v>
      </c>
      <c r="C3987" t="s">
        <v>7666</v>
      </c>
      <c r="D3987" t="s">
        <v>8810</v>
      </c>
      <c r="E3987" s="10" t="s">
        <v>8813</v>
      </c>
      <c r="F3987" s="10"/>
      <c r="G3987" s="10"/>
      <c r="H3987" s="10" t="s">
        <v>8813</v>
      </c>
      <c r="I3987" s="14">
        <v>87153.107218651101</v>
      </c>
      <c r="J3987" s="19">
        <v>0</v>
      </c>
      <c r="K3987" s="19">
        <v>0.51718284813798265</v>
      </c>
      <c r="L3987" s="19">
        <v>0.48281715186201735</v>
      </c>
      <c r="M3987" s="20">
        <v>2</v>
      </c>
      <c r="N3987" s="19">
        <v>9.2579538703987052E-2</v>
      </c>
      <c r="O3987" s="19">
        <v>0</v>
      </c>
      <c r="P3987" s="19">
        <v>0.4246033094339956</v>
      </c>
      <c r="Q3987" s="19">
        <v>8.8274358592111066E-2</v>
      </c>
      <c r="R3987" s="19">
        <v>0.37554276701387451</v>
      </c>
      <c r="S3987" s="19">
        <v>1.9000026256031782E-2</v>
      </c>
      <c r="T3987" s="20">
        <v>23</v>
      </c>
      <c r="U3987" s="17">
        <v>2</v>
      </c>
      <c r="V3987" s="17">
        <v>36</v>
      </c>
    </row>
    <row r="3988" spans="1:22" x14ac:dyDescent="0.2">
      <c r="A3988" t="s">
        <v>8814</v>
      </c>
      <c r="B3988" t="s">
        <v>7665</v>
      </c>
      <c r="C3988" t="s">
        <v>7666</v>
      </c>
      <c r="D3988" t="s">
        <v>8810</v>
      </c>
      <c r="E3988" s="10" t="s">
        <v>8815</v>
      </c>
      <c r="F3988" s="10"/>
      <c r="G3988" s="10"/>
      <c r="H3988" s="10" t="s">
        <v>8815</v>
      </c>
      <c r="I3988" s="14">
        <v>61041.243166116532</v>
      </c>
      <c r="J3988" s="19">
        <v>8.6791488082447785E-2</v>
      </c>
      <c r="K3988" s="19">
        <v>0.51382282928370893</v>
      </c>
      <c r="L3988" s="19">
        <v>0.39938568263384328</v>
      </c>
      <c r="M3988" s="20">
        <v>2</v>
      </c>
      <c r="N3988" s="19">
        <v>0</v>
      </c>
      <c r="O3988" s="19">
        <v>0</v>
      </c>
      <c r="P3988" s="19">
        <v>0.51382282928370893</v>
      </c>
      <c r="Q3988" s="19">
        <v>2.8112594973127021E-2</v>
      </c>
      <c r="R3988" s="19">
        <v>0.34271488457694743</v>
      </c>
      <c r="S3988" s="19">
        <v>2.8558203083768816E-2</v>
      </c>
      <c r="T3988" s="20">
        <v>21</v>
      </c>
      <c r="U3988" s="17">
        <v>2</v>
      </c>
      <c r="V3988" s="17">
        <v>36</v>
      </c>
    </row>
    <row r="3989" spans="1:22" x14ac:dyDescent="0.2">
      <c r="A3989" t="s">
        <v>8816</v>
      </c>
      <c r="B3989" t="s">
        <v>7665</v>
      </c>
      <c r="C3989" t="s">
        <v>7666</v>
      </c>
      <c r="D3989" t="s">
        <v>8810</v>
      </c>
      <c r="E3989" s="10" t="s">
        <v>8817</v>
      </c>
      <c r="F3989" s="10"/>
      <c r="G3989" s="10"/>
      <c r="H3989" s="10" t="s">
        <v>8817</v>
      </c>
      <c r="I3989" s="14">
        <v>138364.87543238839</v>
      </c>
      <c r="J3989" s="19">
        <v>0</v>
      </c>
      <c r="K3989" s="19">
        <v>0.87051022160986724</v>
      </c>
      <c r="L3989" s="19">
        <v>0.12948977839013279</v>
      </c>
      <c r="M3989" s="20">
        <v>2</v>
      </c>
      <c r="N3989" s="19">
        <v>0.31672163087204014</v>
      </c>
      <c r="O3989" s="19">
        <v>0</v>
      </c>
      <c r="P3989" s="19">
        <v>0.55378859073782705</v>
      </c>
      <c r="Q3989" s="19">
        <v>3.2178749565229869E-2</v>
      </c>
      <c r="R3989" s="19">
        <v>9.3029600522728781E-2</v>
      </c>
      <c r="S3989" s="19">
        <v>4.2814283021741402E-3</v>
      </c>
      <c r="T3989" s="20">
        <v>21</v>
      </c>
      <c r="U3989" s="17">
        <v>2</v>
      </c>
      <c r="V3989" s="17">
        <v>36</v>
      </c>
    </row>
    <row r="3990" spans="1:22" x14ac:dyDescent="0.2">
      <c r="A3990" t="s">
        <v>8818</v>
      </c>
      <c r="B3990" t="s">
        <v>7665</v>
      </c>
      <c r="C3990" t="s">
        <v>7666</v>
      </c>
      <c r="D3990" t="s">
        <v>8810</v>
      </c>
      <c r="E3990" s="10" t="s">
        <v>8819</v>
      </c>
      <c r="F3990" s="10"/>
      <c r="G3990" s="10"/>
      <c r="H3990" s="10" t="s">
        <v>8819</v>
      </c>
      <c r="I3990" s="14">
        <v>125932.55440657958</v>
      </c>
      <c r="J3990" s="19">
        <v>0</v>
      </c>
      <c r="K3990" s="19">
        <v>0.8634941109679346</v>
      </c>
      <c r="L3990" s="19">
        <v>0.13650588903206543</v>
      </c>
      <c r="M3990" s="20">
        <v>2</v>
      </c>
      <c r="N3990" s="19">
        <v>0.17559106171063754</v>
      </c>
      <c r="O3990" s="19">
        <v>0</v>
      </c>
      <c r="P3990" s="19">
        <v>0.68790304925729706</v>
      </c>
      <c r="Q3990" s="19">
        <v>1.7828877947993024E-2</v>
      </c>
      <c r="R3990" s="19">
        <v>0.11227063845293106</v>
      </c>
      <c r="S3990" s="19">
        <v>6.406372631141348E-3</v>
      </c>
      <c r="T3990" s="20">
        <v>21</v>
      </c>
      <c r="U3990" s="17">
        <v>2</v>
      </c>
      <c r="V3990" s="17">
        <v>36</v>
      </c>
    </row>
    <row r="3991" spans="1:22" x14ac:dyDescent="0.2">
      <c r="A3991" t="s">
        <v>8820</v>
      </c>
      <c r="B3991" t="s">
        <v>7665</v>
      </c>
      <c r="C3991" t="s">
        <v>7666</v>
      </c>
      <c r="D3991" t="s">
        <v>8810</v>
      </c>
      <c r="E3991" s="10" t="s">
        <v>8821</v>
      </c>
      <c r="F3991" s="10"/>
      <c r="G3991" s="10"/>
      <c r="H3991" s="10" t="s">
        <v>8821</v>
      </c>
      <c r="I3991" s="14">
        <v>92076.253207011614</v>
      </c>
      <c r="J3991" s="19">
        <v>0</v>
      </c>
      <c r="K3991" s="19">
        <v>0.71671678611432088</v>
      </c>
      <c r="L3991" s="19">
        <v>0.28328321388567917</v>
      </c>
      <c r="M3991" s="20">
        <v>2</v>
      </c>
      <c r="N3991" s="19">
        <v>0</v>
      </c>
      <c r="O3991" s="19">
        <v>3.517607258135319E-2</v>
      </c>
      <c r="P3991" s="19">
        <v>0.68154071353296752</v>
      </c>
      <c r="Q3991" s="19">
        <v>1.5935917423797082E-2</v>
      </c>
      <c r="R3991" s="19">
        <v>0.25227906544900464</v>
      </c>
      <c r="S3991" s="19">
        <v>1.5068231012877452E-2</v>
      </c>
      <c r="T3991" s="20">
        <v>21</v>
      </c>
      <c r="U3991" s="17">
        <v>2</v>
      </c>
      <c r="V3991" s="17">
        <v>36</v>
      </c>
    </row>
    <row r="3992" spans="1:22" x14ac:dyDescent="0.2">
      <c r="A3992" t="s">
        <v>8822</v>
      </c>
      <c r="B3992" t="s">
        <v>7665</v>
      </c>
      <c r="C3992" t="s">
        <v>7666</v>
      </c>
      <c r="D3992" t="s">
        <v>8810</v>
      </c>
      <c r="E3992" s="10" t="s">
        <v>8823</v>
      </c>
      <c r="F3992" s="10"/>
      <c r="G3992" s="10"/>
      <c r="H3992" s="10" t="s">
        <v>8823</v>
      </c>
      <c r="I3992" s="14">
        <v>55422.966901741689</v>
      </c>
      <c r="J3992" s="19">
        <v>0</v>
      </c>
      <c r="K3992" s="19">
        <v>0.8250748942671009</v>
      </c>
      <c r="L3992" s="19">
        <v>0.17492510573289904</v>
      </c>
      <c r="M3992" s="20">
        <v>2</v>
      </c>
      <c r="N3992" s="19">
        <v>0.27722205790347976</v>
      </c>
      <c r="O3992" s="19">
        <v>0</v>
      </c>
      <c r="P3992" s="19">
        <v>0.54785283636362125</v>
      </c>
      <c r="Q3992" s="19">
        <v>1.7499725714895432E-2</v>
      </c>
      <c r="R3992" s="19">
        <v>0.15072719292361814</v>
      </c>
      <c r="S3992" s="19">
        <v>6.6981870943854669E-3</v>
      </c>
      <c r="T3992" s="20">
        <v>21</v>
      </c>
      <c r="U3992" s="17">
        <v>2</v>
      </c>
      <c r="V3992" s="17">
        <v>36</v>
      </c>
    </row>
    <row r="3993" spans="1:22" x14ac:dyDescent="0.2">
      <c r="A3993" t="s">
        <v>8824</v>
      </c>
      <c r="B3993" t="s">
        <v>7665</v>
      </c>
      <c r="C3993" t="s">
        <v>7666</v>
      </c>
      <c r="D3993" t="s">
        <v>8810</v>
      </c>
      <c r="E3993" s="10" t="s">
        <v>8810</v>
      </c>
      <c r="F3993" s="10"/>
      <c r="G3993" s="10"/>
      <c r="H3993" s="10" t="s">
        <v>8810</v>
      </c>
      <c r="I3993" s="14">
        <v>338754.35483696428</v>
      </c>
      <c r="J3993" s="19">
        <v>0.7883256465397368</v>
      </c>
      <c r="K3993" s="19">
        <v>0.17541684672581218</v>
      </c>
      <c r="L3993" s="19">
        <v>3.6257506734451037E-2</v>
      </c>
      <c r="M3993" s="20">
        <v>3</v>
      </c>
      <c r="N3993" s="19">
        <v>0</v>
      </c>
      <c r="O3993" s="19">
        <v>0</v>
      </c>
      <c r="P3993" s="19">
        <v>0.17541684672581218</v>
      </c>
      <c r="Q3993" s="19">
        <v>3.8759213536778705E-3</v>
      </c>
      <c r="R3993" s="19">
        <v>3.1822602850860977E-2</v>
      </c>
      <c r="S3993" s="19">
        <v>5.58982529912192E-4</v>
      </c>
      <c r="T3993" s="20">
        <v>30</v>
      </c>
      <c r="U3993" s="17">
        <v>2</v>
      </c>
      <c r="V3993" s="17">
        <v>36</v>
      </c>
    </row>
    <row r="3994" spans="1:22" x14ac:dyDescent="0.2">
      <c r="A3994" t="s">
        <v>8825</v>
      </c>
      <c r="B3994" t="s">
        <v>7665</v>
      </c>
      <c r="C3994" t="s">
        <v>7666</v>
      </c>
      <c r="D3994" t="s">
        <v>8810</v>
      </c>
      <c r="E3994" s="10" t="s">
        <v>8826</v>
      </c>
      <c r="F3994" s="10"/>
      <c r="G3994" s="10"/>
      <c r="H3994" s="10" t="s">
        <v>8826</v>
      </c>
      <c r="I3994" s="14">
        <v>64065.917433774099</v>
      </c>
      <c r="J3994" s="19">
        <v>0</v>
      </c>
      <c r="K3994" s="19">
        <v>0.53162110423193498</v>
      </c>
      <c r="L3994" s="19">
        <v>0.46837889576806513</v>
      </c>
      <c r="M3994" s="20">
        <v>2</v>
      </c>
      <c r="N3994" s="19">
        <v>0.13600552573863414</v>
      </c>
      <c r="O3994" s="19">
        <v>0</v>
      </c>
      <c r="P3994" s="19">
        <v>0.39561557849330081</v>
      </c>
      <c r="Q3994" s="19">
        <v>0.20099880904066536</v>
      </c>
      <c r="R3994" s="19">
        <v>0.24108095499389121</v>
      </c>
      <c r="S3994" s="19">
        <v>2.6299131733508473E-2</v>
      </c>
      <c r="T3994" s="20">
        <v>23</v>
      </c>
      <c r="U3994" s="17">
        <v>2</v>
      </c>
      <c r="V3994" s="17">
        <v>36</v>
      </c>
    </row>
    <row r="3995" spans="1:22" x14ac:dyDescent="0.2">
      <c r="A3995" t="s">
        <v>8827</v>
      </c>
      <c r="B3995" t="s">
        <v>7665</v>
      </c>
      <c r="C3995" t="s">
        <v>7666</v>
      </c>
      <c r="D3995" t="s">
        <v>8828</v>
      </c>
      <c r="E3995" s="10" t="s">
        <v>8829</v>
      </c>
      <c r="F3995" s="10"/>
      <c r="G3995" s="10"/>
      <c r="H3995" s="10" t="s">
        <v>8829</v>
      </c>
      <c r="I3995" s="14">
        <v>54158.753800452454</v>
      </c>
      <c r="J3995" s="19">
        <v>0</v>
      </c>
      <c r="K3995" s="19">
        <v>0.93345173961756511</v>
      </c>
      <c r="L3995" s="19">
        <v>6.6548260382434846E-2</v>
      </c>
      <c r="M3995" s="20">
        <v>2</v>
      </c>
      <c r="N3995" s="19">
        <v>0.56762260273191378</v>
      </c>
      <c r="O3995" s="19">
        <v>0</v>
      </c>
      <c r="P3995" s="19">
        <v>0.36582913688565144</v>
      </c>
      <c r="Q3995" s="19">
        <v>0</v>
      </c>
      <c r="R3995" s="19">
        <v>6.1812406688757648E-2</v>
      </c>
      <c r="S3995" s="19">
        <v>4.735853693677199E-3</v>
      </c>
      <c r="T3995" s="20">
        <v>23</v>
      </c>
      <c r="U3995" s="17">
        <v>2</v>
      </c>
      <c r="V3995" s="17">
        <v>36</v>
      </c>
    </row>
    <row r="3996" spans="1:22" x14ac:dyDescent="0.2">
      <c r="A3996" t="s">
        <v>8830</v>
      </c>
      <c r="B3996" t="s">
        <v>7665</v>
      </c>
      <c r="C3996" t="s">
        <v>7666</v>
      </c>
      <c r="D3996" t="s">
        <v>8828</v>
      </c>
      <c r="E3996" s="10" t="s">
        <v>8831</v>
      </c>
      <c r="F3996" s="10"/>
      <c r="G3996" s="10"/>
      <c r="H3996" s="10" t="s">
        <v>8831</v>
      </c>
      <c r="I3996" s="14">
        <v>97031.396304304712</v>
      </c>
      <c r="J3996" s="19">
        <v>0</v>
      </c>
      <c r="K3996" s="19">
        <v>0.48662800338074635</v>
      </c>
      <c r="L3996" s="19">
        <v>0.5133719966192537</v>
      </c>
      <c r="M3996" s="20">
        <v>1</v>
      </c>
      <c r="N3996" s="19">
        <v>0</v>
      </c>
      <c r="O3996" s="19">
        <v>0.48662800338074635</v>
      </c>
      <c r="P3996" s="19">
        <v>0</v>
      </c>
      <c r="Q3996" s="19">
        <v>0.17552987645259963</v>
      </c>
      <c r="R3996" s="19">
        <v>0.31116253398408422</v>
      </c>
      <c r="S3996" s="19">
        <v>2.6679586182569798E-2</v>
      </c>
      <c r="T3996" s="20">
        <v>12</v>
      </c>
      <c r="U3996" s="17">
        <v>2</v>
      </c>
      <c r="V3996" s="17">
        <v>36</v>
      </c>
    </row>
    <row r="3997" spans="1:22" x14ac:dyDescent="0.2">
      <c r="A3997" t="s">
        <v>8832</v>
      </c>
      <c r="B3997" t="s">
        <v>7665</v>
      </c>
      <c r="C3997" t="s">
        <v>7666</v>
      </c>
      <c r="D3997" t="s">
        <v>8828</v>
      </c>
      <c r="E3997" s="10" t="s">
        <v>8833</v>
      </c>
      <c r="F3997" s="10"/>
      <c r="G3997" s="10"/>
      <c r="H3997" s="10" t="s">
        <v>8833</v>
      </c>
      <c r="I3997" s="14">
        <v>101269.68037954113</v>
      </c>
      <c r="J3997" s="19">
        <v>0</v>
      </c>
      <c r="K3997" s="19">
        <v>0.75413505502517308</v>
      </c>
      <c r="L3997" s="19">
        <v>0.24586494497482694</v>
      </c>
      <c r="M3997" s="20">
        <v>2</v>
      </c>
      <c r="N3997" s="19">
        <v>0.11841044064794663</v>
      </c>
      <c r="O3997" s="19">
        <v>0</v>
      </c>
      <c r="P3997" s="19">
        <v>0.63572461437722638</v>
      </c>
      <c r="Q3997" s="19">
        <v>2.1604332527182128E-2</v>
      </c>
      <c r="R3997" s="19">
        <v>0.21254033532250993</v>
      </c>
      <c r="S3997" s="19">
        <v>1.1720277125134869E-2</v>
      </c>
      <c r="T3997" s="20">
        <v>21</v>
      </c>
      <c r="U3997" s="17">
        <v>2</v>
      </c>
      <c r="V3997" s="17">
        <v>36</v>
      </c>
    </row>
    <row r="3998" spans="1:22" x14ac:dyDescent="0.2">
      <c r="A3998" t="s">
        <v>8834</v>
      </c>
      <c r="B3998" t="s">
        <v>7665</v>
      </c>
      <c r="C3998" t="s">
        <v>7666</v>
      </c>
      <c r="D3998" t="s">
        <v>8828</v>
      </c>
      <c r="E3998" s="10" t="s">
        <v>8835</v>
      </c>
      <c r="F3998" s="10"/>
      <c r="G3998" s="10"/>
      <c r="H3998" s="10" t="s">
        <v>8835</v>
      </c>
      <c r="I3998" s="14">
        <v>65854.992651931476</v>
      </c>
      <c r="J3998" s="19">
        <v>0</v>
      </c>
      <c r="K3998" s="19">
        <v>0.97055947602382064</v>
      </c>
      <c r="L3998" s="19">
        <v>2.9440523976179508E-2</v>
      </c>
      <c r="M3998" s="20">
        <v>2</v>
      </c>
      <c r="N3998" s="19">
        <v>0.19341446344302199</v>
      </c>
      <c r="O3998" s="19">
        <v>0</v>
      </c>
      <c r="P3998" s="19">
        <v>0.77714501258079849</v>
      </c>
      <c r="Q3998" s="19">
        <v>0</v>
      </c>
      <c r="R3998" s="19">
        <v>2.7919334002494915E-2</v>
      </c>
      <c r="S3998" s="19">
        <v>1.5211899736845972E-3</v>
      </c>
      <c r="T3998" s="20">
        <v>21</v>
      </c>
      <c r="U3998" s="17">
        <v>2</v>
      </c>
      <c r="V3998" s="17">
        <v>36</v>
      </c>
    </row>
    <row r="3999" spans="1:22" x14ac:dyDescent="0.2">
      <c r="A3999" t="s">
        <v>8836</v>
      </c>
      <c r="B3999" t="s">
        <v>7665</v>
      </c>
      <c r="C3999" t="s">
        <v>7666</v>
      </c>
      <c r="D3999" t="s">
        <v>8828</v>
      </c>
      <c r="E3999" s="10" t="s">
        <v>8837</v>
      </c>
      <c r="F3999" s="10"/>
      <c r="G3999" s="10"/>
      <c r="H3999" s="10" t="s">
        <v>8837</v>
      </c>
      <c r="I3999" s="14">
        <v>166169.03050614381</v>
      </c>
      <c r="J3999" s="19">
        <v>0.39439450909503859</v>
      </c>
      <c r="K3999" s="19">
        <v>0.58544778107724915</v>
      </c>
      <c r="L3999" s="19">
        <v>2.0157709827712235E-2</v>
      </c>
      <c r="M3999" s="20">
        <v>2</v>
      </c>
      <c r="N3999" s="19">
        <v>0.16133130262214793</v>
      </c>
      <c r="O3999" s="19">
        <v>0</v>
      </c>
      <c r="P3999" s="19">
        <v>0.42411647845510125</v>
      </c>
      <c r="Q3999" s="19">
        <v>0</v>
      </c>
      <c r="R3999" s="19">
        <v>1.9018365383624124E-2</v>
      </c>
      <c r="S3999" s="19">
        <v>1.1393444440881105E-3</v>
      </c>
      <c r="T3999" s="20">
        <v>23</v>
      </c>
      <c r="U3999" s="17">
        <v>2</v>
      </c>
      <c r="V3999" s="17">
        <v>36</v>
      </c>
    </row>
    <row r="4000" spans="1:22" x14ac:dyDescent="0.2">
      <c r="A4000" t="s">
        <v>8838</v>
      </c>
      <c r="B4000" t="s">
        <v>7665</v>
      </c>
      <c r="C4000" t="s">
        <v>7666</v>
      </c>
      <c r="D4000" t="s">
        <v>8828</v>
      </c>
      <c r="E4000" s="10" t="s">
        <v>8839</v>
      </c>
      <c r="F4000" s="10"/>
      <c r="G4000" s="10"/>
      <c r="H4000" s="10" t="s">
        <v>8839</v>
      </c>
      <c r="I4000" s="14">
        <v>108564.9349052927</v>
      </c>
      <c r="J4000" s="19">
        <v>0</v>
      </c>
      <c r="K4000" s="19">
        <v>0.8887081246773868</v>
      </c>
      <c r="L4000" s="19">
        <v>0.1112918753226132</v>
      </c>
      <c r="M4000" s="20">
        <v>2</v>
      </c>
      <c r="N4000" s="19">
        <v>0.13084539601314615</v>
      </c>
      <c r="O4000" s="19">
        <v>0</v>
      </c>
      <c r="P4000" s="19">
        <v>0.75786272866424065</v>
      </c>
      <c r="Q4000" s="19">
        <v>0</v>
      </c>
      <c r="R4000" s="19">
        <v>0.10394016245542155</v>
      </c>
      <c r="S4000" s="19">
        <v>7.3517128671916629E-3</v>
      </c>
      <c r="T4000" s="20">
        <v>21</v>
      </c>
      <c r="U4000" s="17">
        <v>2</v>
      </c>
      <c r="V4000" s="17">
        <v>36</v>
      </c>
    </row>
    <row r="4001" spans="1:22" x14ac:dyDescent="0.2">
      <c r="A4001" t="s">
        <v>8840</v>
      </c>
      <c r="B4001" t="s">
        <v>7665</v>
      </c>
      <c r="C4001" t="s">
        <v>7666</v>
      </c>
      <c r="D4001" t="s">
        <v>8828</v>
      </c>
      <c r="E4001" s="10" t="s">
        <v>8841</v>
      </c>
      <c r="F4001" s="10"/>
      <c r="G4001" s="10"/>
      <c r="H4001" s="10" t="s">
        <v>8841</v>
      </c>
      <c r="I4001" s="14">
        <v>214282.73901397691</v>
      </c>
      <c r="J4001" s="19">
        <v>0.29325123014795168</v>
      </c>
      <c r="K4001" s="19">
        <v>0.68156935126590046</v>
      </c>
      <c r="L4001" s="19">
        <v>2.5179418586147796E-2</v>
      </c>
      <c r="M4001" s="20">
        <v>2</v>
      </c>
      <c r="N4001" s="19">
        <v>0.29922452923775877</v>
      </c>
      <c r="O4001" s="19">
        <v>0</v>
      </c>
      <c r="P4001" s="19">
        <v>0.38234482202814168</v>
      </c>
      <c r="Q4001" s="19">
        <v>0</v>
      </c>
      <c r="R4001" s="19">
        <v>2.3719829307171425E-2</v>
      </c>
      <c r="S4001" s="19">
        <v>1.4595892789763701E-3</v>
      </c>
      <c r="T4001" s="20">
        <v>23</v>
      </c>
      <c r="U4001" s="17">
        <v>2</v>
      </c>
      <c r="V4001" s="17">
        <v>36</v>
      </c>
    </row>
    <row r="4002" spans="1:22" x14ac:dyDescent="0.2">
      <c r="A4002" t="s">
        <v>8842</v>
      </c>
      <c r="B4002" t="s">
        <v>7665</v>
      </c>
      <c r="C4002" t="s">
        <v>7666</v>
      </c>
      <c r="D4002" t="s">
        <v>8828</v>
      </c>
      <c r="E4002" s="10" t="s">
        <v>8843</v>
      </c>
      <c r="F4002" s="10"/>
      <c r="G4002" s="10"/>
      <c r="H4002" s="10" t="s">
        <v>8843</v>
      </c>
      <c r="I4002" s="14">
        <v>45654.880444973707</v>
      </c>
      <c r="J4002" s="19">
        <v>0</v>
      </c>
      <c r="K4002" s="19">
        <v>0.27040056165287019</v>
      </c>
      <c r="L4002" s="19">
        <v>0.72959943834712992</v>
      </c>
      <c r="M4002" s="20">
        <v>1</v>
      </c>
      <c r="N4002" s="19">
        <v>0</v>
      </c>
      <c r="O4002" s="19">
        <v>0.27040056165287019</v>
      </c>
      <c r="P4002" s="19">
        <v>0</v>
      </c>
      <c r="Q4002" s="19">
        <v>0.27994795147478946</v>
      </c>
      <c r="R4002" s="19">
        <v>0.41544547295223733</v>
      </c>
      <c r="S4002" s="19">
        <v>3.4206013920103008E-2</v>
      </c>
      <c r="T4002" s="20">
        <v>12</v>
      </c>
      <c r="U4002" s="17">
        <v>2</v>
      </c>
      <c r="V4002" s="17">
        <v>36</v>
      </c>
    </row>
    <row r="4003" spans="1:22" x14ac:dyDescent="0.2">
      <c r="A4003" t="s">
        <v>8844</v>
      </c>
      <c r="B4003" t="s">
        <v>7665</v>
      </c>
      <c r="C4003" t="s">
        <v>7666</v>
      </c>
      <c r="D4003" t="s">
        <v>8828</v>
      </c>
      <c r="E4003" s="10" t="s">
        <v>8845</v>
      </c>
      <c r="F4003" s="10"/>
      <c r="G4003" s="10"/>
      <c r="H4003" s="10" t="s">
        <v>8845</v>
      </c>
      <c r="I4003" s="14">
        <v>33556.462926774286</v>
      </c>
      <c r="J4003" s="19">
        <v>0</v>
      </c>
      <c r="K4003" s="19">
        <v>0</v>
      </c>
      <c r="L4003" s="19">
        <v>1</v>
      </c>
      <c r="M4003" s="20">
        <v>1</v>
      </c>
      <c r="N4003" s="19">
        <v>0</v>
      </c>
      <c r="O4003" s="19">
        <v>0</v>
      </c>
      <c r="P4003" s="19">
        <v>0</v>
      </c>
      <c r="Q4003" s="19">
        <v>0.34789754969604775</v>
      </c>
      <c r="R4003" s="19">
        <v>0.56933568393608491</v>
      </c>
      <c r="S4003" s="19">
        <v>8.2766766367867381E-2</v>
      </c>
      <c r="T4003" s="20">
        <v>12</v>
      </c>
      <c r="U4003" s="17">
        <v>2</v>
      </c>
      <c r="V4003" s="17">
        <v>36</v>
      </c>
    </row>
    <row r="4004" spans="1:22" x14ac:dyDescent="0.2">
      <c r="A4004" t="s">
        <v>8846</v>
      </c>
      <c r="B4004" t="s">
        <v>7665</v>
      </c>
      <c r="C4004" t="s">
        <v>7666</v>
      </c>
      <c r="D4004" t="s">
        <v>8828</v>
      </c>
      <c r="E4004" s="10" t="s">
        <v>8847</v>
      </c>
      <c r="F4004" s="10"/>
      <c r="G4004" s="10"/>
      <c r="H4004" s="10" t="s">
        <v>8847</v>
      </c>
      <c r="I4004" s="14">
        <v>128113.93175331222</v>
      </c>
      <c r="J4004" s="19">
        <v>0</v>
      </c>
      <c r="K4004" s="19">
        <v>0.7067697769217004</v>
      </c>
      <c r="L4004" s="19">
        <v>0.29323022307829971</v>
      </c>
      <c r="M4004" s="20">
        <v>2</v>
      </c>
      <c r="N4004" s="19">
        <v>0</v>
      </c>
      <c r="O4004" s="19">
        <v>0</v>
      </c>
      <c r="P4004" s="19">
        <v>0.7067697769217004</v>
      </c>
      <c r="Q4004" s="19">
        <v>4.3134033198480672E-2</v>
      </c>
      <c r="R4004" s="19">
        <v>0.2393011777833112</v>
      </c>
      <c r="S4004" s="19">
        <v>1.0795012096507833E-2</v>
      </c>
      <c r="T4004" s="20">
        <v>21</v>
      </c>
      <c r="U4004" s="17">
        <v>2</v>
      </c>
      <c r="V4004" s="17">
        <v>36</v>
      </c>
    </row>
    <row r="4005" spans="1:22" x14ac:dyDescent="0.2">
      <c r="A4005" t="s">
        <v>8848</v>
      </c>
      <c r="B4005" t="s">
        <v>7665</v>
      </c>
      <c r="C4005" t="s">
        <v>7666</v>
      </c>
      <c r="D4005" t="s">
        <v>8828</v>
      </c>
      <c r="E4005" s="10" t="s">
        <v>8849</v>
      </c>
      <c r="F4005" s="10"/>
      <c r="G4005" s="10"/>
      <c r="H4005" s="10" t="s">
        <v>8849</v>
      </c>
      <c r="I4005" s="14">
        <v>136667.7306583738</v>
      </c>
      <c r="J4005" s="19">
        <v>0</v>
      </c>
      <c r="K4005" s="19">
        <v>0.96924190267865296</v>
      </c>
      <c r="L4005" s="19">
        <v>3.0758097321347096E-2</v>
      </c>
      <c r="M4005" s="20">
        <v>2</v>
      </c>
      <c r="N4005" s="19">
        <v>0.29763770852527777</v>
      </c>
      <c r="O4005" s="19">
        <v>0</v>
      </c>
      <c r="P4005" s="19">
        <v>0.67160419415337513</v>
      </c>
      <c r="Q4005" s="19">
        <v>0</v>
      </c>
      <c r="R4005" s="19">
        <v>2.9479820181573337E-2</v>
      </c>
      <c r="S4005" s="19">
        <v>1.2782771397737637E-3</v>
      </c>
      <c r="T4005" s="20">
        <v>21</v>
      </c>
      <c r="U4005" s="17">
        <v>2</v>
      </c>
      <c r="V4005" s="17">
        <v>36</v>
      </c>
    </row>
    <row r="4006" spans="1:22" x14ac:dyDescent="0.2">
      <c r="A4006" t="s">
        <v>8850</v>
      </c>
      <c r="B4006" t="s">
        <v>7665</v>
      </c>
      <c r="C4006" t="s">
        <v>7666</v>
      </c>
      <c r="D4006" t="s">
        <v>8828</v>
      </c>
      <c r="E4006" s="10" t="s">
        <v>8851</v>
      </c>
      <c r="F4006" s="10"/>
      <c r="G4006" s="10"/>
      <c r="H4006" s="10" t="s">
        <v>8851</v>
      </c>
      <c r="I4006" s="14">
        <v>84918.886973636225</v>
      </c>
      <c r="J4006" s="19">
        <v>0</v>
      </c>
      <c r="K4006" s="19">
        <v>0.75038209704126979</v>
      </c>
      <c r="L4006" s="19">
        <v>0.24961790295873026</v>
      </c>
      <c r="M4006" s="20">
        <v>2</v>
      </c>
      <c r="N4006" s="19">
        <v>8.1908464311212612E-2</v>
      </c>
      <c r="O4006" s="19">
        <v>0</v>
      </c>
      <c r="P4006" s="19">
        <v>0.66847363273005711</v>
      </c>
      <c r="Q4006" s="19">
        <v>9.7968775887252127E-2</v>
      </c>
      <c r="R4006" s="19">
        <v>0.13063409040540716</v>
      </c>
      <c r="S4006" s="19">
        <v>2.1015036666070963E-2</v>
      </c>
      <c r="T4006" s="20">
        <v>21</v>
      </c>
      <c r="U4006" s="17">
        <v>2</v>
      </c>
      <c r="V4006" s="17">
        <v>36</v>
      </c>
    </row>
    <row r="4007" spans="1:22" x14ac:dyDescent="0.2">
      <c r="A4007" t="s">
        <v>8852</v>
      </c>
      <c r="B4007" t="s">
        <v>7665</v>
      </c>
      <c r="C4007" t="s">
        <v>7666</v>
      </c>
      <c r="D4007" t="s">
        <v>8828</v>
      </c>
      <c r="E4007" s="10" t="s">
        <v>8853</v>
      </c>
      <c r="F4007" s="10"/>
      <c r="G4007" s="10"/>
      <c r="H4007" s="10" t="s">
        <v>8853</v>
      </c>
      <c r="I4007" s="14">
        <v>64703.040238626301</v>
      </c>
      <c r="J4007" s="19">
        <v>0</v>
      </c>
      <c r="K4007" s="19">
        <v>0.63543546697227438</v>
      </c>
      <c r="L4007" s="19">
        <v>0.36456453302772557</v>
      </c>
      <c r="M4007" s="20">
        <v>2</v>
      </c>
      <c r="N4007" s="19">
        <v>0.12705781820385223</v>
      </c>
      <c r="O4007" s="19">
        <v>0.10864195531336625</v>
      </c>
      <c r="P4007" s="19">
        <v>0.39973569345505588</v>
      </c>
      <c r="Q4007" s="19">
        <v>7.1428473510770848E-2</v>
      </c>
      <c r="R4007" s="19">
        <v>0.25900892430287265</v>
      </c>
      <c r="S4007" s="19">
        <v>3.4127135214082123E-2</v>
      </c>
      <c r="T4007" s="20">
        <v>23</v>
      </c>
      <c r="U4007" s="17">
        <v>2</v>
      </c>
      <c r="V4007" s="17">
        <v>36</v>
      </c>
    </row>
    <row r="4008" spans="1:22" x14ac:dyDescent="0.2">
      <c r="A4008" t="s">
        <v>8854</v>
      </c>
      <c r="B4008" t="s">
        <v>7665</v>
      </c>
      <c r="C4008" t="s">
        <v>7666</v>
      </c>
      <c r="D4008" t="s">
        <v>8828</v>
      </c>
      <c r="E4008" s="10" t="s">
        <v>8855</v>
      </c>
      <c r="F4008" s="10"/>
      <c r="G4008" s="10"/>
      <c r="H4008" s="10" t="s">
        <v>8855</v>
      </c>
      <c r="I4008" s="14">
        <v>184064.94034161163</v>
      </c>
      <c r="J4008" s="19">
        <v>0</v>
      </c>
      <c r="K4008" s="19">
        <v>0.92768936855129547</v>
      </c>
      <c r="L4008" s="19">
        <v>7.2310631448704477E-2</v>
      </c>
      <c r="M4008" s="20">
        <v>2</v>
      </c>
      <c r="N4008" s="19">
        <v>0.28845967492565183</v>
      </c>
      <c r="O4008" s="19">
        <v>0</v>
      </c>
      <c r="P4008" s="19">
        <v>0.63922969362564364</v>
      </c>
      <c r="Q4008" s="19">
        <v>1.7257079676013387E-5</v>
      </c>
      <c r="R4008" s="19">
        <v>6.939983770386067E-2</v>
      </c>
      <c r="S4008" s="19">
        <v>2.8935366651678001E-3</v>
      </c>
      <c r="T4008" s="20">
        <v>21</v>
      </c>
      <c r="U4008" s="17">
        <v>2</v>
      </c>
      <c r="V4008" s="17">
        <v>36</v>
      </c>
    </row>
    <row r="4009" spans="1:22" x14ac:dyDescent="0.2">
      <c r="A4009" t="s">
        <v>8856</v>
      </c>
      <c r="B4009" t="s">
        <v>7665</v>
      </c>
      <c r="C4009" t="s">
        <v>7666</v>
      </c>
      <c r="D4009" t="s">
        <v>8828</v>
      </c>
      <c r="E4009" s="10" t="s">
        <v>8857</v>
      </c>
      <c r="F4009" s="10"/>
      <c r="G4009" s="10"/>
      <c r="H4009" s="10" t="s">
        <v>8857</v>
      </c>
      <c r="I4009" s="14">
        <v>182177.57466712411</v>
      </c>
      <c r="J4009" s="19">
        <v>1.8511336622948963E-2</v>
      </c>
      <c r="K4009" s="19">
        <v>0.95863513339827</v>
      </c>
      <c r="L4009" s="19">
        <v>2.2853529978780925E-2</v>
      </c>
      <c r="M4009" s="20">
        <v>2</v>
      </c>
      <c r="N4009" s="19">
        <v>0.46452853054474069</v>
      </c>
      <c r="O4009" s="19">
        <v>0</v>
      </c>
      <c r="P4009" s="19">
        <v>0.49410660285352925</v>
      </c>
      <c r="Q4009" s="19">
        <v>0</v>
      </c>
      <c r="R4009" s="19">
        <v>2.2653386707403592E-2</v>
      </c>
      <c r="S4009" s="19">
        <v>2.0014327137733695E-4</v>
      </c>
      <c r="T4009" s="20">
        <v>23</v>
      </c>
      <c r="U4009" s="17">
        <v>2</v>
      </c>
      <c r="V4009" s="17">
        <v>36</v>
      </c>
    </row>
    <row r="4010" spans="1:22" x14ac:dyDescent="0.2">
      <c r="A4010" t="s">
        <v>8858</v>
      </c>
      <c r="B4010" t="s">
        <v>7665</v>
      </c>
      <c r="C4010" t="s">
        <v>7666</v>
      </c>
      <c r="D4010" t="s">
        <v>8828</v>
      </c>
      <c r="E4010" s="10" t="s">
        <v>8859</v>
      </c>
      <c r="F4010" s="10"/>
      <c r="G4010" s="10"/>
      <c r="H4010" s="10" t="s">
        <v>8859</v>
      </c>
      <c r="I4010" s="14">
        <v>44263.503892111592</v>
      </c>
      <c r="J4010" s="19">
        <v>0</v>
      </c>
      <c r="K4010" s="19">
        <v>0.18145224244090505</v>
      </c>
      <c r="L4010" s="19">
        <v>0.81854775755909481</v>
      </c>
      <c r="M4010" s="20">
        <v>1</v>
      </c>
      <c r="N4010" s="19">
        <v>0</v>
      </c>
      <c r="O4010" s="19">
        <v>0.18145224244090505</v>
      </c>
      <c r="P4010" s="19">
        <v>0</v>
      </c>
      <c r="Q4010" s="19">
        <v>0.25830374798686928</v>
      </c>
      <c r="R4010" s="19">
        <v>0.50472296857191157</v>
      </c>
      <c r="S4010" s="19">
        <v>5.5521041000314117E-2</v>
      </c>
      <c r="T4010" s="20">
        <v>12</v>
      </c>
      <c r="U4010" s="17">
        <v>2</v>
      </c>
      <c r="V4010" s="17">
        <v>36</v>
      </c>
    </row>
    <row r="4011" spans="1:22" x14ac:dyDescent="0.2">
      <c r="A4011" t="s">
        <v>8860</v>
      </c>
      <c r="B4011" t="s">
        <v>7665</v>
      </c>
      <c r="C4011" t="s">
        <v>7666</v>
      </c>
      <c r="D4011" t="s">
        <v>8828</v>
      </c>
      <c r="E4011" s="10" t="s">
        <v>8861</v>
      </c>
      <c r="F4011" s="10"/>
      <c r="G4011" s="10"/>
      <c r="H4011" s="10" t="s">
        <v>8861</v>
      </c>
      <c r="I4011" s="14">
        <v>35714.136907465756</v>
      </c>
      <c r="J4011" s="19">
        <v>0</v>
      </c>
      <c r="K4011" s="19">
        <v>0</v>
      </c>
      <c r="L4011" s="19">
        <v>1</v>
      </c>
      <c r="M4011" s="20">
        <v>1</v>
      </c>
      <c r="N4011" s="19">
        <v>0</v>
      </c>
      <c r="O4011" s="19">
        <v>0</v>
      </c>
      <c r="P4011" s="19">
        <v>0</v>
      </c>
      <c r="Q4011" s="19">
        <v>0.45554551668367355</v>
      </c>
      <c r="R4011" s="19">
        <v>0.48082760382026252</v>
      </c>
      <c r="S4011" s="19">
        <v>6.3626879496063965E-2</v>
      </c>
      <c r="T4011" s="20">
        <v>12</v>
      </c>
      <c r="U4011" s="17">
        <v>2</v>
      </c>
      <c r="V4011" s="17">
        <v>36</v>
      </c>
    </row>
    <row r="4012" spans="1:22" x14ac:dyDescent="0.2">
      <c r="A4012" t="s">
        <v>8862</v>
      </c>
      <c r="B4012" t="s">
        <v>7665</v>
      </c>
      <c r="C4012" t="s">
        <v>7666</v>
      </c>
      <c r="D4012" t="s">
        <v>8828</v>
      </c>
      <c r="E4012" s="10" t="s">
        <v>8863</v>
      </c>
      <c r="F4012" s="10"/>
      <c r="G4012" s="10"/>
      <c r="H4012" s="10" t="s">
        <v>8863</v>
      </c>
      <c r="I4012" s="14">
        <v>91544.24063686002</v>
      </c>
      <c r="J4012" s="19">
        <v>0.55840076288162244</v>
      </c>
      <c r="K4012" s="19">
        <v>0.43820640077201023</v>
      </c>
      <c r="L4012" s="19">
        <v>3.3928363463673352E-3</v>
      </c>
      <c r="M4012" s="20">
        <v>3</v>
      </c>
      <c r="N4012" s="19">
        <v>0.29923912792603846</v>
      </c>
      <c r="O4012" s="19">
        <v>0</v>
      </c>
      <c r="P4012" s="19">
        <v>0.13896727284597182</v>
      </c>
      <c r="Q4012" s="19">
        <v>0</v>
      </c>
      <c r="R4012" s="19">
        <v>3.3928363463673348E-3</v>
      </c>
      <c r="S4012" s="19">
        <v>0</v>
      </c>
      <c r="T4012" s="20">
        <v>30</v>
      </c>
      <c r="U4012" s="17">
        <v>2</v>
      </c>
      <c r="V4012" s="17">
        <v>36</v>
      </c>
    </row>
    <row r="4013" spans="1:22" x14ac:dyDescent="0.2">
      <c r="A4013" t="s">
        <v>8864</v>
      </c>
      <c r="B4013" t="s">
        <v>7665</v>
      </c>
      <c r="C4013" t="s">
        <v>7666</v>
      </c>
      <c r="D4013" t="s">
        <v>8828</v>
      </c>
      <c r="E4013" s="10" t="s">
        <v>8865</v>
      </c>
      <c r="F4013" s="10"/>
      <c r="G4013" s="10"/>
      <c r="H4013" s="10" t="s">
        <v>8865</v>
      </c>
      <c r="I4013" s="14">
        <v>137293.35240436532</v>
      </c>
      <c r="J4013" s="19">
        <v>0</v>
      </c>
      <c r="K4013" s="19">
        <v>0.75952032714072493</v>
      </c>
      <c r="L4013" s="19">
        <v>0.2404796728592751</v>
      </c>
      <c r="M4013" s="20">
        <v>2</v>
      </c>
      <c r="N4013" s="19">
        <v>0</v>
      </c>
      <c r="O4013" s="19">
        <v>0</v>
      </c>
      <c r="P4013" s="19">
        <v>0.75952032714072493</v>
      </c>
      <c r="Q4013" s="19">
        <v>9.7715506883146071E-3</v>
      </c>
      <c r="R4013" s="19">
        <v>0.2156833970844165</v>
      </c>
      <c r="S4013" s="19">
        <v>1.5024725086544006E-2</v>
      </c>
      <c r="T4013" s="20">
        <v>21</v>
      </c>
      <c r="U4013" s="17">
        <v>2</v>
      </c>
      <c r="V4013" s="17">
        <v>36</v>
      </c>
    </row>
    <row r="4014" spans="1:22" x14ac:dyDescent="0.2">
      <c r="A4014" t="s">
        <v>8866</v>
      </c>
      <c r="B4014" t="s">
        <v>7665</v>
      </c>
      <c r="C4014" t="s">
        <v>7666</v>
      </c>
      <c r="D4014" t="s">
        <v>8828</v>
      </c>
      <c r="E4014" s="10" t="s">
        <v>8867</v>
      </c>
      <c r="F4014" s="10"/>
      <c r="G4014" s="10"/>
      <c r="H4014" s="10" t="s">
        <v>8867</v>
      </c>
      <c r="I4014" s="14">
        <v>210721.60318789585</v>
      </c>
      <c r="J4014" s="19">
        <v>0</v>
      </c>
      <c r="K4014" s="19">
        <v>0.93519755776385183</v>
      </c>
      <c r="L4014" s="19">
        <v>6.4802442236148214E-2</v>
      </c>
      <c r="M4014" s="20">
        <v>2</v>
      </c>
      <c r="N4014" s="19">
        <v>0.41424420926204664</v>
      </c>
      <c r="O4014" s="19">
        <v>0</v>
      </c>
      <c r="P4014" s="19">
        <v>0.52095334850180519</v>
      </c>
      <c r="Q4014" s="19">
        <v>0</v>
      </c>
      <c r="R4014" s="19">
        <v>6.2329231000274314E-2</v>
      </c>
      <c r="S4014" s="19">
        <v>2.4732112358739015E-3</v>
      </c>
      <c r="T4014" s="20">
        <v>21</v>
      </c>
      <c r="U4014" s="17">
        <v>2</v>
      </c>
      <c r="V4014" s="17">
        <v>36</v>
      </c>
    </row>
    <row r="4015" spans="1:22" x14ac:dyDescent="0.2">
      <c r="A4015" t="s">
        <v>8868</v>
      </c>
      <c r="B4015" t="s">
        <v>7665</v>
      </c>
      <c r="C4015" t="s">
        <v>7666</v>
      </c>
      <c r="D4015" t="s">
        <v>8828</v>
      </c>
      <c r="E4015" s="10" t="s">
        <v>8828</v>
      </c>
      <c r="F4015" s="10"/>
      <c r="G4015" s="10"/>
      <c r="H4015" s="10" t="s">
        <v>8828</v>
      </c>
      <c r="I4015" s="14">
        <v>337894.25602898607</v>
      </c>
      <c r="J4015" s="19">
        <v>0.79658591825450686</v>
      </c>
      <c r="K4015" s="19">
        <v>0.19657618682161745</v>
      </c>
      <c r="L4015" s="19">
        <v>6.8378949238757014E-3</v>
      </c>
      <c r="M4015" s="20">
        <v>3</v>
      </c>
      <c r="N4015" s="19">
        <v>7.7900756654096306E-2</v>
      </c>
      <c r="O4015" s="19">
        <v>0</v>
      </c>
      <c r="P4015" s="19">
        <v>0.11867543016752115</v>
      </c>
      <c r="Q4015" s="19">
        <v>0</v>
      </c>
      <c r="R4015" s="19">
        <v>6.7245100258709056E-3</v>
      </c>
      <c r="S4015" s="19">
        <v>1.1338489800479598E-4</v>
      </c>
      <c r="T4015" s="20">
        <v>30</v>
      </c>
      <c r="U4015" s="17">
        <v>2</v>
      </c>
      <c r="V4015" s="17">
        <v>36</v>
      </c>
    </row>
    <row r="4016" spans="1:22" x14ac:dyDescent="0.2">
      <c r="A4016" t="s">
        <v>8869</v>
      </c>
      <c r="B4016" t="s">
        <v>7665</v>
      </c>
      <c r="C4016" t="s">
        <v>7666</v>
      </c>
      <c r="D4016" t="s">
        <v>8828</v>
      </c>
      <c r="E4016" s="10" t="s">
        <v>8870</v>
      </c>
      <c r="F4016" s="10"/>
      <c r="G4016" s="10"/>
      <c r="H4016" s="10" t="s">
        <v>8870</v>
      </c>
      <c r="I4016" s="14">
        <v>159717.40522008482</v>
      </c>
      <c r="J4016" s="19">
        <v>0</v>
      </c>
      <c r="K4016" s="19">
        <v>0.96824645402698883</v>
      </c>
      <c r="L4016" s="19">
        <v>3.1753545973011207E-2</v>
      </c>
      <c r="M4016" s="20">
        <v>2</v>
      </c>
      <c r="N4016" s="19">
        <v>0.33735285108019708</v>
      </c>
      <c r="O4016" s="19">
        <v>0</v>
      </c>
      <c r="P4016" s="19">
        <v>0.63089360294679164</v>
      </c>
      <c r="Q4016" s="19">
        <v>0</v>
      </c>
      <c r="R4016" s="19">
        <v>3.0659683822012743E-2</v>
      </c>
      <c r="S4016" s="19">
        <v>1.0938621509984669E-3</v>
      </c>
      <c r="T4016" s="20">
        <v>21</v>
      </c>
      <c r="U4016" s="17">
        <v>2</v>
      </c>
      <c r="V4016" s="17">
        <v>36</v>
      </c>
    </row>
    <row r="4017" spans="1:22" x14ac:dyDescent="0.2">
      <c r="A4017" t="s">
        <v>8871</v>
      </c>
      <c r="B4017" t="s">
        <v>7665</v>
      </c>
      <c r="C4017" t="s">
        <v>7666</v>
      </c>
      <c r="D4017" t="s">
        <v>8828</v>
      </c>
      <c r="E4017" s="10" t="s">
        <v>8872</v>
      </c>
      <c r="F4017" s="10"/>
      <c r="G4017" s="10"/>
      <c r="H4017" s="10" t="s">
        <v>8872</v>
      </c>
      <c r="I4017" s="14">
        <v>83873.14041868085</v>
      </c>
      <c r="J4017" s="19">
        <v>0</v>
      </c>
      <c r="K4017" s="19">
        <v>0.56903237264309048</v>
      </c>
      <c r="L4017" s="19">
        <v>0.43096762735690952</v>
      </c>
      <c r="M4017" s="20">
        <v>2</v>
      </c>
      <c r="N4017" s="19">
        <v>6.1950131150643566E-2</v>
      </c>
      <c r="O4017" s="19">
        <v>0.25202317663410817</v>
      </c>
      <c r="P4017" s="19">
        <v>0.25505906485833874</v>
      </c>
      <c r="Q4017" s="19">
        <v>0.14458015593377263</v>
      </c>
      <c r="R4017" s="19">
        <v>0.25863621256710256</v>
      </c>
      <c r="S4017" s="19">
        <v>2.7751258856034373E-2</v>
      </c>
      <c r="T4017" s="20">
        <v>22</v>
      </c>
      <c r="U4017" s="17">
        <v>2</v>
      </c>
      <c r="V4017" s="17">
        <v>36</v>
      </c>
    </row>
    <row r="4018" spans="1:22" x14ac:dyDescent="0.2">
      <c r="A4018" t="s">
        <v>8873</v>
      </c>
      <c r="B4018" t="s">
        <v>7665</v>
      </c>
      <c r="C4018" t="s">
        <v>7666</v>
      </c>
      <c r="D4018" t="s">
        <v>8828</v>
      </c>
      <c r="E4018" s="10" t="s">
        <v>8874</v>
      </c>
      <c r="F4018" s="10"/>
      <c r="G4018" s="10"/>
      <c r="H4018" s="10" t="s">
        <v>8874</v>
      </c>
      <c r="I4018" s="14">
        <v>215628.99185881249</v>
      </c>
      <c r="J4018" s="19">
        <v>0</v>
      </c>
      <c r="K4018" s="19">
        <v>0.90147328482647382</v>
      </c>
      <c r="L4018" s="19">
        <v>9.8526715173526458E-2</v>
      </c>
      <c r="M4018" s="20">
        <v>2</v>
      </c>
      <c r="N4018" s="19">
        <v>0.44985052806388576</v>
      </c>
      <c r="O4018" s="19">
        <v>0</v>
      </c>
      <c r="P4018" s="19">
        <v>0.45162275676258795</v>
      </c>
      <c r="Q4018" s="19">
        <v>1.6188257492070993E-2</v>
      </c>
      <c r="R4018" s="19">
        <v>7.55046286532811E-2</v>
      </c>
      <c r="S4018" s="19">
        <v>6.8338290281743375E-3</v>
      </c>
      <c r="T4018" s="20">
        <v>23</v>
      </c>
      <c r="U4018" s="17">
        <v>2</v>
      </c>
      <c r="V4018" s="17">
        <v>36</v>
      </c>
    </row>
    <row r="4019" spans="1:22" x14ac:dyDescent="0.2">
      <c r="A4019" t="s">
        <v>8875</v>
      </c>
      <c r="B4019" t="s">
        <v>7665</v>
      </c>
      <c r="C4019" t="s">
        <v>7666</v>
      </c>
      <c r="D4019" t="s">
        <v>8828</v>
      </c>
      <c r="E4019" s="10" t="s">
        <v>8876</v>
      </c>
      <c r="F4019" s="10"/>
      <c r="G4019" s="10"/>
      <c r="H4019" s="10" t="s">
        <v>8876</v>
      </c>
      <c r="I4019" s="14">
        <v>197202.56518855272</v>
      </c>
      <c r="J4019" s="19">
        <v>0</v>
      </c>
      <c r="K4019" s="19">
        <v>0.94267281638788103</v>
      </c>
      <c r="L4019" s="19">
        <v>5.732718361211895E-2</v>
      </c>
      <c r="M4019" s="20">
        <v>2</v>
      </c>
      <c r="N4019" s="19">
        <v>0.21693960517710714</v>
      </c>
      <c r="O4019" s="19">
        <v>0</v>
      </c>
      <c r="P4019" s="19">
        <v>0.72573321121077394</v>
      </c>
      <c r="Q4019" s="19">
        <v>3.7827666145677807E-3</v>
      </c>
      <c r="R4019" s="19">
        <v>5.135545376689811E-2</v>
      </c>
      <c r="S4019" s="19">
        <v>2.188963230653066E-3</v>
      </c>
      <c r="T4019" s="20">
        <v>21</v>
      </c>
      <c r="U4019" s="17">
        <v>2</v>
      </c>
      <c r="V4019" s="17">
        <v>36</v>
      </c>
    </row>
    <row r="4020" spans="1:22" x14ac:dyDescent="0.2">
      <c r="A4020" t="s">
        <v>8877</v>
      </c>
      <c r="B4020" t="s">
        <v>7665</v>
      </c>
      <c r="C4020" t="s">
        <v>7666</v>
      </c>
      <c r="D4020" t="s">
        <v>8828</v>
      </c>
      <c r="E4020" s="10" t="s">
        <v>8878</v>
      </c>
      <c r="F4020" s="10"/>
      <c r="G4020" s="10"/>
      <c r="H4020" s="10" t="s">
        <v>8878</v>
      </c>
      <c r="I4020" s="14">
        <v>80750.689599054866</v>
      </c>
      <c r="J4020" s="19">
        <v>0</v>
      </c>
      <c r="K4020" s="19">
        <v>0.89815720389788634</v>
      </c>
      <c r="L4020" s="19">
        <v>0.10184279610211362</v>
      </c>
      <c r="M4020" s="20">
        <v>2</v>
      </c>
      <c r="N4020" s="19">
        <v>0.36339721995494068</v>
      </c>
      <c r="O4020" s="19">
        <v>0</v>
      </c>
      <c r="P4020" s="19">
        <v>0.53475998394294566</v>
      </c>
      <c r="Q4020" s="19">
        <v>0</v>
      </c>
      <c r="R4020" s="19">
        <v>9.3299996640784782E-2</v>
      </c>
      <c r="S4020" s="19">
        <v>8.5427994613288503E-3</v>
      </c>
      <c r="T4020" s="20">
        <v>21</v>
      </c>
      <c r="U4020" s="17">
        <v>2</v>
      </c>
      <c r="V4020" s="17">
        <v>36</v>
      </c>
    </row>
    <row r="4021" spans="1:22" x14ac:dyDescent="0.2">
      <c r="A4021" t="s">
        <v>8879</v>
      </c>
      <c r="B4021" t="s">
        <v>7665</v>
      </c>
      <c r="C4021" t="s">
        <v>7666</v>
      </c>
      <c r="D4021" t="s">
        <v>8828</v>
      </c>
      <c r="E4021" s="10" t="s">
        <v>8880</v>
      </c>
      <c r="F4021" s="10"/>
      <c r="G4021" s="10"/>
      <c r="H4021" s="10" t="s">
        <v>8880</v>
      </c>
      <c r="I4021" s="14">
        <v>161954.02924958244</v>
      </c>
      <c r="J4021" s="19">
        <v>0</v>
      </c>
      <c r="K4021" s="19">
        <v>0.9304960409162526</v>
      </c>
      <c r="L4021" s="19">
        <v>6.9503959083747374E-2</v>
      </c>
      <c r="M4021" s="20">
        <v>2</v>
      </c>
      <c r="N4021" s="19">
        <v>0.33980956832562853</v>
      </c>
      <c r="O4021" s="19">
        <v>0</v>
      </c>
      <c r="P4021" s="19">
        <v>0.59068647259062412</v>
      </c>
      <c r="Q4021" s="19">
        <v>3.7150686849224445E-3</v>
      </c>
      <c r="R4021" s="19">
        <v>6.2322080985890593E-2</v>
      </c>
      <c r="S4021" s="19">
        <v>3.4668094129343308E-3</v>
      </c>
      <c r="T4021" s="20">
        <v>21</v>
      </c>
      <c r="U4021" s="17">
        <v>2</v>
      </c>
      <c r="V4021" s="17">
        <v>36</v>
      </c>
    </row>
    <row r="4022" spans="1:22" x14ac:dyDescent="0.2">
      <c r="A4022" t="s">
        <v>8881</v>
      </c>
      <c r="B4022" t="s">
        <v>7665</v>
      </c>
      <c r="C4022" t="s">
        <v>7666</v>
      </c>
      <c r="D4022" t="s">
        <v>8882</v>
      </c>
      <c r="E4022" s="10" t="s">
        <v>8883</v>
      </c>
      <c r="F4022" s="10"/>
      <c r="G4022" s="10"/>
      <c r="H4022" s="10" t="s">
        <v>8883</v>
      </c>
      <c r="I4022" s="14">
        <v>299592.01838273555</v>
      </c>
      <c r="J4022" s="19">
        <v>3.6630860035543993E-2</v>
      </c>
      <c r="K4022" s="19">
        <v>0.89424073549067939</v>
      </c>
      <c r="L4022" s="19">
        <v>6.9128404473776675E-2</v>
      </c>
      <c r="M4022" s="20">
        <v>2</v>
      </c>
      <c r="N4022" s="19">
        <v>0.39341956008370627</v>
      </c>
      <c r="O4022" s="19">
        <v>0</v>
      </c>
      <c r="P4022" s="19">
        <v>0.50082117540697302</v>
      </c>
      <c r="Q4022" s="19">
        <v>0</v>
      </c>
      <c r="R4022" s="19">
        <v>6.7669671808215273E-2</v>
      </c>
      <c r="S4022" s="19">
        <v>1.458732665561398E-3</v>
      </c>
      <c r="T4022" s="20">
        <v>21</v>
      </c>
      <c r="U4022" s="17">
        <v>2</v>
      </c>
      <c r="V4022" s="17">
        <v>36</v>
      </c>
    </row>
    <row r="4023" spans="1:22" x14ac:dyDescent="0.2">
      <c r="A4023" t="s">
        <v>8884</v>
      </c>
      <c r="B4023" t="s">
        <v>7665</v>
      </c>
      <c r="C4023" t="s">
        <v>7666</v>
      </c>
      <c r="D4023" t="s">
        <v>8882</v>
      </c>
      <c r="E4023" s="10" t="s">
        <v>8885</v>
      </c>
      <c r="F4023" s="10"/>
      <c r="G4023" s="10"/>
      <c r="H4023" s="10" t="s">
        <v>8885</v>
      </c>
      <c r="I4023" s="14">
        <v>164988.11762587074</v>
      </c>
      <c r="J4023" s="19">
        <v>1.2454874880343464E-3</v>
      </c>
      <c r="K4023" s="19">
        <v>0.90937074715113497</v>
      </c>
      <c r="L4023" s="19">
        <v>8.9383765360830675E-2</v>
      </c>
      <c r="M4023" s="20">
        <v>2</v>
      </c>
      <c r="N4023" s="19">
        <v>0.1387755704193413</v>
      </c>
      <c r="O4023" s="19">
        <v>0</v>
      </c>
      <c r="P4023" s="19">
        <v>0.77059517673179356</v>
      </c>
      <c r="Q4023" s="19">
        <v>0</v>
      </c>
      <c r="R4023" s="19">
        <v>8.8684238774343491E-2</v>
      </c>
      <c r="S4023" s="19">
        <v>6.9952658648718413E-4</v>
      </c>
      <c r="T4023" s="20">
        <v>21</v>
      </c>
      <c r="U4023" s="17">
        <v>2</v>
      </c>
      <c r="V4023" s="17">
        <v>36</v>
      </c>
    </row>
    <row r="4024" spans="1:22" x14ac:dyDescent="0.2">
      <c r="A4024" t="s">
        <v>8886</v>
      </c>
      <c r="B4024" t="s">
        <v>7665</v>
      </c>
      <c r="C4024" t="s">
        <v>7666</v>
      </c>
      <c r="D4024" t="s">
        <v>8882</v>
      </c>
      <c r="E4024" s="10" t="s">
        <v>8887</v>
      </c>
      <c r="F4024" s="10"/>
      <c r="G4024" s="10"/>
      <c r="H4024" s="10" t="s">
        <v>8887</v>
      </c>
      <c r="I4024" s="14">
        <v>153463.10955194663</v>
      </c>
      <c r="J4024" s="19">
        <v>0.44162956033646994</v>
      </c>
      <c r="K4024" s="19">
        <v>0.52869305879657957</v>
      </c>
      <c r="L4024" s="19">
        <v>2.9677380866950497E-2</v>
      </c>
      <c r="M4024" s="20">
        <v>2</v>
      </c>
      <c r="N4024" s="19">
        <v>2.8632699474853553E-2</v>
      </c>
      <c r="O4024" s="19">
        <v>0</v>
      </c>
      <c r="P4024" s="19">
        <v>0.50006035932172599</v>
      </c>
      <c r="Q4024" s="19">
        <v>0</v>
      </c>
      <c r="R4024" s="19">
        <v>2.9545920352203391E-2</v>
      </c>
      <c r="S4024" s="19">
        <v>1.3146051474710311E-4</v>
      </c>
      <c r="T4024" s="20">
        <v>21</v>
      </c>
      <c r="U4024" s="17">
        <v>2</v>
      </c>
      <c r="V4024" s="17">
        <v>36</v>
      </c>
    </row>
    <row r="4025" spans="1:22" x14ac:dyDescent="0.2">
      <c r="A4025" t="s">
        <v>8888</v>
      </c>
      <c r="B4025" t="s">
        <v>7665</v>
      </c>
      <c r="C4025" t="s">
        <v>7666</v>
      </c>
      <c r="D4025" t="s">
        <v>8882</v>
      </c>
      <c r="E4025" s="10" t="s">
        <v>8889</v>
      </c>
      <c r="F4025" s="10"/>
      <c r="G4025" s="10"/>
      <c r="H4025" s="10" t="s">
        <v>8889</v>
      </c>
      <c r="I4025" s="14">
        <v>178279.22389377491</v>
      </c>
      <c r="J4025" s="19">
        <v>0.21645362201041624</v>
      </c>
      <c r="K4025" s="19">
        <v>0.73892161202576168</v>
      </c>
      <c r="L4025" s="19">
        <v>4.4624765963822088E-2</v>
      </c>
      <c r="M4025" s="20">
        <v>2</v>
      </c>
      <c r="N4025" s="19">
        <v>0</v>
      </c>
      <c r="O4025" s="19">
        <v>0</v>
      </c>
      <c r="P4025" s="19">
        <v>0.73892161202576168</v>
      </c>
      <c r="Q4025" s="19">
        <v>0</v>
      </c>
      <c r="R4025" s="19">
        <v>4.4472863312314787E-2</v>
      </c>
      <c r="S4025" s="19">
        <v>1.5190265150730463E-4</v>
      </c>
      <c r="T4025" s="20">
        <v>21</v>
      </c>
      <c r="U4025" s="17">
        <v>2</v>
      </c>
      <c r="V4025" s="17">
        <v>36</v>
      </c>
    </row>
    <row r="4026" spans="1:22" x14ac:dyDescent="0.2">
      <c r="A4026" t="s">
        <v>8890</v>
      </c>
      <c r="B4026" t="s">
        <v>7665</v>
      </c>
      <c r="C4026" t="s">
        <v>7666</v>
      </c>
      <c r="D4026" t="s">
        <v>8882</v>
      </c>
      <c r="E4026" s="10" t="s">
        <v>7676</v>
      </c>
      <c r="F4026" s="10"/>
      <c r="G4026" s="10"/>
      <c r="H4026" s="10" t="s">
        <v>7676</v>
      </c>
      <c r="I4026" s="14">
        <v>233985.89139388967</v>
      </c>
      <c r="J4026" s="19">
        <v>0.44915244771309948</v>
      </c>
      <c r="K4026" s="19">
        <v>0.51411678656389492</v>
      </c>
      <c r="L4026" s="19">
        <v>3.6730765723005626E-2</v>
      </c>
      <c r="M4026" s="20">
        <v>2</v>
      </c>
      <c r="N4026" s="19">
        <v>0</v>
      </c>
      <c r="O4026" s="19">
        <v>0</v>
      </c>
      <c r="P4026" s="19">
        <v>0.51411678656389492</v>
      </c>
      <c r="Q4026" s="19">
        <v>0</v>
      </c>
      <c r="R4026" s="19">
        <v>3.6647920252185037E-2</v>
      </c>
      <c r="S4026" s="19">
        <v>8.284547082059136E-5</v>
      </c>
      <c r="T4026" s="20">
        <v>21</v>
      </c>
      <c r="U4026" s="17">
        <v>2</v>
      </c>
      <c r="V4026" s="17">
        <v>36</v>
      </c>
    </row>
    <row r="4027" spans="1:22" x14ac:dyDescent="0.2">
      <c r="A4027" t="s">
        <v>8891</v>
      </c>
      <c r="B4027" t="s">
        <v>7665</v>
      </c>
      <c r="C4027" t="s">
        <v>7666</v>
      </c>
      <c r="D4027" t="s">
        <v>8882</v>
      </c>
      <c r="E4027" s="10" t="s">
        <v>8892</v>
      </c>
      <c r="F4027" s="10"/>
      <c r="G4027" s="10"/>
      <c r="H4027" s="10" t="s">
        <v>8892</v>
      </c>
      <c r="I4027" s="14">
        <v>133962.48383339308</v>
      </c>
      <c r="J4027" s="19">
        <v>0.59987872168792955</v>
      </c>
      <c r="K4027" s="19">
        <v>0.38615709576215318</v>
      </c>
      <c r="L4027" s="19">
        <v>1.396418254991722E-2</v>
      </c>
      <c r="M4027" s="20">
        <v>3</v>
      </c>
      <c r="N4027" s="19">
        <v>0</v>
      </c>
      <c r="O4027" s="19">
        <v>0</v>
      </c>
      <c r="P4027" s="19">
        <v>0.38615709576215318</v>
      </c>
      <c r="Q4027" s="19">
        <v>0</v>
      </c>
      <c r="R4027" s="19">
        <v>1.3032520258188747E-2</v>
      </c>
      <c r="S4027" s="19">
        <v>9.3166229172847242E-4</v>
      </c>
      <c r="T4027" s="20">
        <v>30</v>
      </c>
      <c r="U4027" s="17">
        <v>2</v>
      </c>
      <c r="V4027" s="17">
        <v>36</v>
      </c>
    </row>
    <row r="4028" spans="1:22" x14ac:dyDescent="0.2">
      <c r="A4028" t="s">
        <v>8893</v>
      </c>
      <c r="B4028" t="s">
        <v>7665</v>
      </c>
      <c r="C4028" t="s">
        <v>7666</v>
      </c>
      <c r="D4028" t="s">
        <v>8882</v>
      </c>
      <c r="E4028" s="10" t="s">
        <v>8894</v>
      </c>
      <c r="F4028" s="10"/>
      <c r="G4028" s="10"/>
      <c r="H4028" s="10" t="s">
        <v>8894</v>
      </c>
      <c r="I4028" s="14">
        <v>113956.18703114195</v>
      </c>
      <c r="J4028" s="19">
        <v>0</v>
      </c>
      <c r="K4028" s="19">
        <v>0.92310576522531251</v>
      </c>
      <c r="L4028" s="19">
        <v>7.6894234774687473E-2</v>
      </c>
      <c r="M4028" s="20">
        <v>2</v>
      </c>
      <c r="N4028" s="19">
        <v>0.14742259700285315</v>
      </c>
      <c r="O4028" s="19">
        <v>0</v>
      </c>
      <c r="P4028" s="19">
        <v>0.77568316822245942</v>
      </c>
      <c r="Q4028" s="19">
        <v>0</v>
      </c>
      <c r="R4028" s="19">
        <v>7.4981652449746528E-2</v>
      </c>
      <c r="S4028" s="19">
        <v>1.9125823249409443E-3</v>
      </c>
      <c r="T4028" s="20">
        <v>21</v>
      </c>
      <c r="U4028" s="17">
        <v>2</v>
      </c>
      <c r="V4028" s="17">
        <v>36</v>
      </c>
    </row>
    <row r="4029" spans="1:22" x14ac:dyDescent="0.2">
      <c r="A4029" t="s">
        <v>8895</v>
      </c>
      <c r="B4029" t="s">
        <v>7665</v>
      </c>
      <c r="C4029" t="s">
        <v>7666</v>
      </c>
      <c r="D4029" t="s">
        <v>8882</v>
      </c>
      <c r="E4029" s="10" t="s">
        <v>8896</v>
      </c>
      <c r="F4029" s="10"/>
      <c r="G4029" s="10"/>
      <c r="H4029" s="10" t="s">
        <v>8896</v>
      </c>
      <c r="I4029" s="14">
        <v>127285.57199992055</v>
      </c>
      <c r="J4029" s="19">
        <v>2.011622495151274E-4</v>
      </c>
      <c r="K4029" s="19">
        <v>0.94037192074211529</v>
      </c>
      <c r="L4029" s="19">
        <v>5.9426917008369495E-2</v>
      </c>
      <c r="M4029" s="20">
        <v>2</v>
      </c>
      <c r="N4029" s="19">
        <v>0.15119245281355376</v>
      </c>
      <c r="O4029" s="19">
        <v>0</v>
      </c>
      <c r="P4029" s="19">
        <v>0.78917946792856153</v>
      </c>
      <c r="Q4029" s="19">
        <v>0</v>
      </c>
      <c r="R4029" s="19">
        <v>5.8873918555748854E-2</v>
      </c>
      <c r="S4029" s="19">
        <v>5.5299845262064471E-4</v>
      </c>
      <c r="T4029" s="20">
        <v>21</v>
      </c>
      <c r="U4029" s="17">
        <v>2</v>
      </c>
      <c r="V4029" s="17">
        <v>36</v>
      </c>
    </row>
    <row r="4030" spans="1:22" x14ac:dyDescent="0.2">
      <c r="A4030" t="s">
        <v>8897</v>
      </c>
      <c r="B4030" t="s">
        <v>7665</v>
      </c>
      <c r="C4030" t="s">
        <v>7666</v>
      </c>
      <c r="D4030" t="s">
        <v>8882</v>
      </c>
      <c r="E4030" s="10" t="s">
        <v>8898</v>
      </c>
      <c r="F4030" s="10"/>
      <c r="G4030" s="10"/>
      <c r="H4030" s="10" t="s">
        <v>8898</v>
      </c>
      <c r="I4030" s="14">
        <v>238978.70564217307</v>
      </c>
      <c r="J4030" s="19">
        <v>0.93854468238412958</v>
      </c>
      <c r="K4030" s="19">
        <v>6.1454517186944703E-2</v>
      </c>
      <c r="L4030" s="19">
        <v>8.0042892576528674E-7</v>
      </c>
      <c r="M4030" s="20">
        <v>3</v>
      </c>
      <c r="N4030" s="19">
        <v>0</v>
      </c>
      <c r="O4030" s="19">
        <v>0</v>
      </c>
      <c r="P4030" s="19">
        <v>6.1454517186944703E-2</v>
      </c>
      <c r="Q4030" s="19">
        <v>0</v>
      </c>
      <c r="R4030" s="19">
        <v>8.0042892576528674E-7</v>
      </c>
      <c r="S4030" s="19">
        <v>0</v>
      </c>
      <c r="T4030" s="20">
        <v>30</v>
      </c>
      <c r="U4030" s="17">
        <v>2</v>
      </c>
      <c r="V4030" s="17">
        <v>36</v>
      </c>
    </row>
    <row r="4031" spans="1:22" x14ac:dyDescent="0.2">
      <c r="A4031" t="s">
        <v>8899</v>
      </c>
      <c r="B4031" t="s">
        <v>7665</v>
      </c>
      <c r="C4031" t="s">
        <v>7666</v>
      </c>
      <c r="D4031" t="s">
        <v>8882</v>
      </c>
      <c r="E4031" s="10" t="s">
        <v>8900</v>
      </c>
      <c r="F4031" s="10"/>
      <c r="G4031" s="10"/>
      <c r="H4031" s="10" t="s">
        <v>8900</v>
      </c>
      <c r="I4031" s="14">
        <v>42198.033637143672</v>
      </c>
      <c r="J4031" s="19">
        <v>0</v>
      </c>
      <c r="K4031" s="19">
        <v>0.8567418660763978</v>
      </c>
      <c r="L4031" s="19">
        <v>0.14325813392360223</v>
      </c>
      <c r="M4031" s="20">
        <v>2</v>
      </c>
      <c r="N4031" s="19">
        <v>0</v>
      </c>
      <c r="O4031" s="19">
        <v>0</v>
      </c>
      <c r="P4031" s="19">
        <v>0.8567418660763978</v>
      </c>
      <c r="Q4031" s="19">
        <v>0</v>
      </c>
      <c r="R4031" s="19">
        <v>0.14013125179649269</v>
      </c>
      <c r="S4031" s="19">
        <v>3.1268821271095413E-3</v>
      </c>
      <c r="T4031" s="20">
        <v>21</v>
      </c>
      <c r="U4031" s="17">
        <v>2</v>
      </c>
      <c r="V4031" s="17">
        <v>36</v>
      </c>
    </row>
    <row r="4032" spans="1:22" x14ac:dyDescent="0.2">
      <c r="A4032" t="s">
        <v>8901</v>
      </c>
      <c r="B4032" t="s">
        <v>7665</v>
      </c>
      <c r="C4032" t="s">
        <v>7666</v>
      </c>
      <c r="D4032" t="s">
        <v>8882</v>
      </c>
      <c r="E4032" s="10" t="s">
        <v>8902</v>
      </c>
      <c r="F4032" s="10"/>
      <c r="G4032" s="10"/>
      <c r="H4032" s="10" t="s">
        <v>8902</v>
      </c>
      <c r="I4032" s="14">
        <v>59560.718619405758</v>
      </c>
      <c r="J4032" s="19">
        <v>0</v>
      </c>
      <c r="K4032" s="19">
        <v>0.54622990747864331</v>
      </c>
      <c r="L4032" s="19">
        <v>0.45377009252135664</v>
      </c>
      <c r="M4032" s="20">
        <v>2</v>
      </c>
      <c r="N4032" s="19">
        <v>0</v>
      </c>
      <c r="O4032" s="19">
        <v>0</v>
      </c>
      <c r="P4032" s="19">
        <v>0.54622990747864331</v>
      </c>
      <c r="Q4032" s="19">
        <v>2.0687374345549094E-2</v>
      </c>
      <c r="R4032" s="19">
        <v>0.39139506936255247</v>
      </c>
      <c r="S4032" s="19">
        <v>4.1687648813255096E-2</v>
      </c>
      <c r="T4032" s="20">
        <v>21</v>
      </c>
      <c r="U4032" s="17">
        <v>2</v>
      </c>
      <c r="V4032" s="17">
        <v>36</v>
      </c>
    </row>
    <row r="4033" spans="1:22" x14ac:dyDescent="0.2">
      <c r="A4033" t="s">
        <v>8903</v>
      </c>
      <c r="B4033" t="s">
        <v>7665</v>
      </c>
      <c r="C4033" t="s">
        <v>7666</v>
      </c>
      <c r="D4033" t="s">
        <v>8904</v>
      </c>
      <c r="E4033" s="10" t="s">
        <v>8905</v>
      </c>
      <c r="F4033" s="10"/>
      <c r="G4033" s="10"/>
      <c r="H4033" s="10" t="s">
        <v>8905</v>
      </c>
      <c r="I4033" s="14">
        <v>115575.97160668625</v>
      </c>
      <c r="J4033" s="19">
        <v>0</v>
      </c>
      <c r="K4033" s="19">
        <v>0.87866414437124862</v>
      </c>
      <c r="L4033" s="19">
        <v>0.1213358556287514</v>
      </c>
      <c r="M4033" s="20">
        <v>2</v>
      </c>
      <c r="N4033" s="19">
        <v>0.16684885421710799</v>
      </c>
      <c r="O4033" s="19">
        <v>0</v>
      </c>
      <c r="P4033" s="19">
        <v>0.71181529015414058</v>
      </c>
      <c r="Q4033" s="19">
        <v>4.2744972365086689E-3</v>
      </c>
      <c r="R4033" s="19">
        <v>0.11479621782672578</v>
      </c>
      <c r="S4033" s="19">
        <v>2.2651405655169823E-3</v>
      </c>
      <c r="T4033" s="20">
        <v>21</v>
      </c>
      <c r="U4033" s="17">
        <v>2</v>
      </c>
      <c r="V4033" s="17">
        <v>36</v>
      </c>
    </row>
    <row r="4034" spans="1:22" x14ac:dyDescent="0.2">
      <c r="A4034" t="s">
        <v>8906</v>
      </c>
      <c r="B4034" t="s">
        <v>7665</v>
      </c>
      <c r="C4034" t="s">
        <v>7666</v>
      </c>
      <c r="D4034" t="s">
        <v>8904</v>
      </c>
      <c r="E4034" s="10" t="s">
        <v>8907</v>
      </c>
      <c r="F4034" s="10"/>
      <c r="G4034" s="10"/>
      <c r="H4034" s="10" t="s">
        <v>8907</v>
      </c>
      <c r="I4034" s="14">
        <v>136215.29088392155</v>
      </c>
      <c r="J4034" s="19">
        <v>0</v>
      </c>
      <c r="K4034" s="19">
        <v>0.85981319199304607</v>
      </c>
      <c r="L4034" s="19">
        <v>0.14018680800695396</v>
      </c>
      <c r="M4034" s="20">
        <v>2</v>
      </c>
      <c r="N4034" s="19">
        <v>9.3039403786794803E-2</v>
      </c>
      <c r="O4034" s="19">
        <v>0</v>
      </c>
      <c r="P4034" s="19">
        <v>0.76677378820625119</v>
      </c>
      <c r="Q4034" s="19">
        <v>1.3874861953243412E-2</v>
      </c>
      <c r="R4034" s="19">
        <v>0.12163512094918275</v>
      </c>
      <c r="S4034" s="19">
        <v>4.6768251045277882E-3</v>
      </c>
      <c r="T4034" s="20">
        <v>21</v>
      </c>
      <c r="U4034" s="17">
        <v>2</v>
      </c>
      <c r="V4034" s="17">
        <v>36</v>
      </c>
    </row>
    <row r="4035" spans="1:22" x14ac:dyDescent="0.2">
      <c r="A4035" t="s">
        <v>8908</v>
      </c>
      <c r="B4035" t="s">
        <v>7665</v>
      </c>
      <c r="C4035" t="s">
        <v>7666</v>
      </c>
      <c r="D4035" t="s">
        <v>8904</v>
      </c>
      <c r="E4035" s="10" t="s">
        <v>8909</v>
      </c>
      <c r="F4035" s="10"/>
      <c r="G4035" s="10"/>
      <c r="H4035" s="10" t="s">
        <v>8909</v>
      </c>
      <c r="I4035" s="14">
        <v>149826.25388571993</v>
      </c>
      <c r="J4035" s="19">
        <v>0</v>
      </c>
      <c r="K4035" s="19">
        <v>0.85116778484720723</v>
      </c>
      <c r="L4035" s="19">
        <v>0.14883221515279271</v>
      </c>
      <c r="M4035" s="20">
        <v>2</v>
      </c>
      <c r="N4035" s="19">
        <v>0.22074436645276529</v>
      </c>
      <c r="O4035" s="19">
        <v>0</v>
      </c>
      <c r="P4035" s="19">
        <v>0.63042341839444194</v>
      </c>
      <c r="Q4035" s="19">
        <v>0</v>
      </c>
      <c r="R4035" s="19">
        <v>0.1466007455187166</v>
      </c>
      <c r="S4035" s="19">
        <v>2.2314696340761208E-3</v>
      </c>
      <c r="T4035" s="20">
        <v>21</v>
      </c>
      <c r="U4035" s="17">
        <v>2</v>
      </c>
      <c r="V4035" s="17">
        <v>36</v>
      </c>
    </row>
    <row r="4036" spans="1:22" x14ac:dyDescent="0.2">
      <c r="A4036" t="s">
        <v>8910</v>
      </c>
      <c r="B4036" t="s">
        <v>7665</v>
      </c>
      <c r="C4036" t="s">
        <v>7666</v>
      </c>
      <c r="D4036" t="s">
        <v>8904</v>
      </c>
      <c r="E4036" s="10" t="s">
        <v>7676</v>
      </c>
      <c r="F4036" s="10"/>
      <c r="G4036" s="10"/>
      <c r="H4036" s="10" t="s">
        <v>7676</v>
      </c>
      <c r="I4036" s="14">
        <v>142426.21520626452</v>
      </c>
      <c r="J4036" s="19">
        <v>0.1937658826389273</v>
      </c>
      <c r="K4036" s="19">
        <v>0.61347352816997858</v>
      </c>
      <c r="L4036" s="19">
        <v>0.19276058919109421</v>
      </c>
      <c r="M4036" s="20">
        <v>2</v>
      </c>
      <c r="N4036" s="19">
        <v>0.12458922382444919</v>
      </c>
      <c r="O4036" s="19">
        <v>0</v>
      </c>
      <c r="P4036" s="19">
        <v>0.48888430434552932</v>
      </c>
      <c r="Q4036" s="19">
        <v>1.9753583134803708E-2</v>
      </c>
      <c r="R4036" s="19">
        <v>0.17001891899263594</v>
      </c>
      <c r="S4036" s="19">
        <v>2.9880870636545269E-3</v>
      </c>
      <c r="T4036" s="20">
        <v>23</v>
      </c>
      <c r="U4036" s="17">
        <v>2</v>
      </c>
      <c r="V4036" s="17">
        <v>36</v>
      </c>
    </row>
    <row r="4037" spans="1:22" x14ac:dyDescent="0.2">
      <c r="A4037" t="s">
        <v>8911</v>
      </c>
      <c r="B4037" t="s">
        <v>7665</v>
      </c>
      <c r="C4037" t="s">
        <v>7666</v>
      </c>
      <c r="D4037" t="s">
        <v>8904</v>
      </c>
      <c r="E4037" s="10" t="s">
        <v>8912</v>
      </c>
      <c r="F4037" s="10"/>
      <c r="G4037" s="10"/>
      <c r="H4037" s="10" t="s">
        <v>8912</v>
      </c>
      <c r="I4037" s="14">
        <v>59518.283898999907</v>
      </c>
      <c r="J4037" s="19">
        <v>0</v>
      </c>
      <c r="K4037" s="19">
        <v>0.61199690202764534</v>
      </c>
      <c r="L4037" s="19">
        <v>0.38800309797235483</v>
      </c>
      <c r="M4037" s="20">
        <v>2</v>
      </c>
      <c r="N4037" s="19">
        <v>0</v>
      </c>
      <c r="O4037" s="19">
        <v>0</v>
      </c>
      <c r="P4037" s="19">
        <v>0.61199690202764534</v>
      </c>
      <c r="Q4037" s="19">
        <v>7.6039262862381898E-2</v>
      </c>
      <c r="R4037" s="19">
        <v>0.2993077358368213</v>
      </c>
      <c r="S4037" s="19">
        <v>1.2656099273151622E-2</v>
      </c>
      <c r="T4037" s="20">
        <v>21</v>
      </c>
      <c r="U4037" s="17">
        <v>2</v>
      </c>
      <c r="V4037" s="17">
        <v>36</v>
      </c>
    </row>
    <row r="4038" spans="1:22" x14ac:dyDescent="0.2">
      <c r="A4038" t="s">
        <v>8913</v>
      </c>
      <c r="B4038" t="s">
        <v>7665</v>
      </c>
      <c r="C4038" t="s">
        <v>7666</v>
      </c>
      <c r="D4038" t="s">
        <v>8904</v>
      </c>
      <c r="E4038" s="10" t="s">
        <v>8914</v>
      </c>
      <c r="F4038" s="10"/>
      <c r="G4038" s="10"/>
      <c r="H4038" s="10" t="s">
        <v>8914</v>
      </c>
      <c r="I4038" s="14">
        <v>68576.408063520677</v>
      </c>
      <c r="J4038" s="19">
        <v>0</v>
      </c>
      <c r="K4038" s="19">
        <v>0.75791085452421891</v>
      </c>
      <c r="L4038" s="19">
        <v>0.24208914547578114</v>
      </c>
      <c r="M4038" s="20">
        <v>2</v>
      </c>
      <c r="N4038" s="19">
        <v>0.38146237747134609</v>
      </c>
      <c r="O4038" s="19">
        <v>0</v>
      </c>
      <c r="P4038" s="19">
        <v>0.37644847705287277</v>
      </c>
      <c r="Q4038" s="19">
        <v>3.931072362208618E-2</v>
      </c>
      <c r="R4038" s="19">
        <v>0.19998353930146442</v>
      </c>
      <c r="S4038" s="19">
        <v>2.7948825522305489E-3</v>
      </c>
      <c r="T4038" s="20">
        <v>23</v>
      </c>
      <c r="U4038" s="17">
        <v>2</v>
      </c>
      <c r="V4038" s="17">
        <v>36</v>
      </c>
    </row>
    <row r="4039" spans="1:22" x14ac:dyDescent="0.2">
      <c r="A4039" t="s">
        <v>8915</v>
      </c>
      <c r="B4039" t="s">
        <v>7665</v>
      </c>
      <c r="C4039" t="s">
        <v>7666</v>
      </c>
      <c r="D4039" t="s">
        <v>8904</v>
      </c>
      <c r="E4039" s="10" t="s">
        <v>8916</v>
      </c>
      <c r="F4039" s="10"/>
      <c r="G4039" s="10"/>
      <c r="H4039" s="10" t="s">
        <v>8916</v>
      </c>
      <c r="I4039" s="14">
        <v>113532.26410013996</v>
      </c>
      <c r="J4039" s="19">
        <v>0</v>
      </c>
      <c r="K4039" s="19">
        <v>0.81931095333993309</v>
      </c>
      <c r="L4039" s="19">
        <v>0.18068904666006694</v>
      </c>
      <c r="M4039" s="20">
        <v>2</v>
      </c>
      <c r="N4039" s="19">
        <v>0.37249622870674953</v>
      </c>
      <c r="O4039" s="19">
        <v>0</v>
      </c>
      <c r="P4039" s="19">
        <v>0.4468147246331835</v>
      </c>
      <c r="Q4039" s="19">
        <v>8.6291374929690513E-3</v>
      </c>
      <c r="R4039" s="19">
        <v>0.16735814576866553</v>
      </c>
      <c r="S4039" s="19">
        <v>4.7017633984323664E-3</v>
      </c>
      <c r="T4039" s="20">
        <v>23</v>
      </c>
      <c r="U4039" s="17">
        <v>2</v>
      </c>
      <c r="V4039" s="17">
        <v>36</v>
      </c>
    </row>
    <row r="4040" spans="1:22" x14ac:dyDescent="0.2">
      <c r="A4040" t="s">
        <v>8917</v>
      </c>
      <c r="B4040" t="s">
        <v>7665</v>
      </c>
      <c r="C4040" t="s">
        <v>7666</v>
      </c>
      <c r="D4040" t="s">
        <v>8904</v>
      </c>
      <c r="E4040" s="10" t="s">
        <v>8918</v>
      </c>
      <c r="F4040" s="10"/>
      <c r="G4040" s="10"/>
      <c r="H4040" s="10" t="s">
        <v>8918</v>
      </c>
      <c r="I4040" s="14">
        <v>158507.79485847894</v>
      </c>
      <c r="J4040" s="19">
        <v>0</v>
      </c>
      <c r="K4040" s="19">
        <v>0.86620291248604975</v>
      </c>
      <c r="L4040" s="19">
        <v>0.13379708751395022</v>
      </c>
      <c r="M4040" s="20">
        <v>2</v>
      </c>
      <c r="N4040" s="19">
        <v>0.20842316379401563</v>
      </c>
      <c r="O4040" s="19">
        <v>0</v>
      </c>
      <c r="P4040" s="19">
        <v>0.65777974869203415</v>
      </c>
      <c r="Q4040" s="19">
        <v>2.6279460986050378E-2</v>
      </c>
      <c r="R4040" s="19">
        <v>0.10307951018736612</v>
      </c>
      <c r="S4040" s="19">
        <v>4.4381163405337268E-3</v>
      </c>
      <c r="T4040" s="20">
        <v>21</v>
      </c>
      <c r="U4040" s="17">
        <v>2</v>
      </c>
      <c r="V4040" s="17">
        <v>36</v>
      </c>
    </row>
    <row r="4041" spans="1:22" x14ac:dyDescent="0.2">
      <c r="A4041" t="s">
        <v>8919</v>
      </c>
      <c r="B4041" t="s">
        <v>7665</v>
      </c>
      <c r="C4041" t="s">
        <v>7666</v>
      </c>
      <c r="D4041" t="s">
        <v>8904</v>
      </c>
      <c r="E4041" s="10" t="s">
        <v>8904</v>
      </c>
      <c r="F4041" s="10"/>
      <c r="G4041" s="10"/>
      <c r="H4041" s="10" t="s">
        <v>8904</v>
      </c>
      <c r="I4041" s="14">
        <v>102997.66099913465</v>
      </c>
      <c r="J4041" s="19">
        <v>0.87571664217945633</v>
      </c>
      <c r="K4041" s="19">
        <v>9.8495764622373347E-2</v>
      </c>
      <c r="L4041" s="19">
        <v>2.5787593198170318E-2</v>
      </c>
      <c r="M4041" s="20">
        <v>3</v>
      </c>
      <c r="N4041" s="19">
        <v>9.1261203043136313E-3</v>
      </c>
      <c r="O4041" s="19">
        <v>0</v>
      </c>
      <c r="P4041" s="19">
        <v>8.9369644318059716E-2</v>
      </c>
      <c r="Q4041" s="19">
        <v>0</v>
      </c>
      <c r="R4041" s="19">
        <v>2.554085389281718E-2</v>
      </c>
      <c r="S4041" s="19">
        <v>2.4673930535314045E-4</v>
      </c>
      <c r="T4041" s="20">
        <v>30</v>
      </c>
      <c r="U4041" s="17">
        <v>2</v>
      </c>
      <c r="V4041" s="17">
        <v>36</v>
      </c>
    </row>
    <row r="4042" spans="1:22" x14ac:dyDescent="0.2">
      <c r="A4042" t="s">
        <v>8920</v>
      </c>
      <c r="B4042" t="s">
        <v>7665</v>
      </c>
      <c r="C4042" t="s">
        <v>7666</v>
      </c>
      <c r="D4042" t="s">
        <v>8921</v>
      </c>
      <c r="E4042" s="10" t="s">
        <v>8922</v>
      </c>
      <c r="F4042" s="10"/>
      <c r="G4042" s="10"/>
      <c r="H4042" s="10" t="s">
        <v>8922</v>
      </c>
      <c r="I4042" s="14">
        <v>118780.02970824204</v>
      </c>
      <c r="J4042" s="19">
        <v>0</v>
      </c>
      <c r="K4042" s="19">
        <v>0.48405091273475781</v>
      </c>
      <c r="L4042" s="19">
        <v>0.51594908726524213</v>
      </c>
      <c r="M4042" s="20">
        <v>1</v>
      </c>
      <c r="N4042" s="19">
        <v>8.9021780714061929E-2</v>
      </c>
      <c r="O4042" s="19">
        <v>0.2453641444684706</v>
      </c>
      <c r="P4042" s="19">
        <v>0.14966498755222526</v>
      </c>
      <c r="Q4042" s="19">
        <v>0.10383953122359266</v>
      </c>
      <c r="R4042" s="19">
        <v>0.37465871215222363</v>
      </c>
      <c r="S4042" s="19">
        <v>3.7450843889425926E-2</v>
      </c>
      <c r="T4042" s="20">
        <v>12</v>
      </c>
      <c r="U4042" s="17">
        <v>2</v>
      </c>
      <c r="V4042" s="17">
        <v>36</v>
      </c>
    </row>
    <row r="4043" spans="1:22" x14ac:dyDescent="0.2">
      <c r="A4043" t="s">
        <v>8923</v>
      </c>
      <c r="B4043" t="s">
        <v>7665</v>
      </c>
      <c r="C4043" t="s">
        <v>7666</v>
      </c>
      <c r="D4043" t="s">
        <v>8921</v>
      </c>
      <c r="E4043" s="10" t="s">
        <v>8924</v>
      </c>
      <c r="F4043" s="10"/>
      <c r="G4043" s="10"/>
      <c r="H4043" s="10" t="s">
        <v>8924</v>
      </c>
      <c r="I4043" s="14">
        <v>109763.15257124232</v>
      </c>
      <c r="J4043" s="19">
        <v>0</v>
      </c>
      <c r="K4043" s="19">
        <v>0.68096110917882358</v>
      </c>
      <c r="L4043" s="19">
        <v>0.31903889082117626</v>
      </c>
      <c r="M4043" s="20">
        <v>2</v>
      </c>
      <c r="N4043" s="19">
        <v>9.5869941126340869E-2</v>
      </c>
      <c r="O4043" s="19">
        <v>7.9260910392137285E-2</v>
      </c>
      <c r="P4043" s="19">
        <v>0.50583025766034539</v>
      </c>
      <c r="Q4043" s="19">
        <v>2.7612935688042097E-2</v>
      </c>
      <c r="R4043" s="19">
        <v>0.261282295358923</v>
      </c>
      <c r="S4043" s="19">
        <v>3.0143659774211198E-2</v>
      </c>
      <c r="T4043" s="20">
        <v>21</v>
      </c>
      <c r="U4043" s="17">
        <v>2</v>
      </c>
      <c r="V4043" s="17">
        <v>36</v>
      </c>
    </row>
    <row r="4044" spans="1:22" x14ac:dyDescent="0.2">
      <c r="A4044" t="s">
        <v>8925</v>
      </c>
      <c r="B4044" t="s">
        <v>7665</v>
      </c>
      <c r="C4044" t="s">
        <v>7666</v>
      </c>
      <c r="D4044" t="s">
        <v>8921</v>
      </c>
      <c r="E4044" s="10" t="s">
        <v>8926</v>
      </c>
      <c r="F4044" s="10"/>
      <c r="G4044" s="10"/>
      <c r="H4044" s="10" t="s">
        <v>8926</v>
      </c>
      <c r="I4044" s="14">
        <v>41163.149717423134</v>
      </c>
      <c r="J4044" s="19">
        <v>0</v>
      </c>
      <c r="K4044" s="19">
        <v>0.46774691871626645</v>
      </c>
      <c r="L4044" s="19">
        <v>0.53225308128373361</v>
      </c>
      <c r="M4044" s="20">
        <v>1</v>
      </c>
      <c r="N4044" s="19">
        <v>0</v>
      </c>
      <c r="O4044" s="19">
        <v>0.46774691871626645</v>
      </c>
      <c r="P4044" s="19">
        <v>0</v>
      </c>
      <c r="Q4044" s="19">
        <v>0.19074660563686902</v>
      </c>
      <c r="R4044" s="19">
        <v>0.30060191826254468</v>
      </c>
      <c r="S4044" s="19">
        <v>4.0904557384319876E-2</v>
      </c>
      <c r="T4044" s="20">
        <v>12</v>
      </c>
      <c r="U4044" s="17">
        <v>2</v>
      </c>
      <c r="V4044" s="17">
        <v>36</v>
      </c>
    </row>
    <row r="4045" spans="1:22" x14ac:dyDescent="0.2">
      <c r="A4045" t="s">
        <v>8927</v>
      </c>
      <c r="B4045" t="s">
        <v>7665</v>
      </c>
      <c r="C4045" t="s">
        <v>7666</v>
      </c>
      <c r="D4045" t="s">
        <v>8921</v>
      </c>
      <c r="E4045" s="10" t="s">
        <v>8928</v>
      </c>
      <c r="F4045" s="10"/>
      <c r="G4045" s="10"/>
      <c r="H4045" s="10" t="s">
        <v>8928</v>
      </c>
      <c r="I4045" s="14">
        <v>35499.499819671735</v>
      </c>
      <c r="J4045" s="19">
        <v>0</v>
      </c>
      <c r="K4045" s="19">
        <v>0.66476114957285592</v>
      </c>
      <c r="L4045" s="19">
        <v>0.33523885042714413</v>
      </c>
      <c r="M4045" s="20">
        <v>2</v>
      </c>
      <c r="N4045" s="19">
        <v>0.58263042141649568</v>
      </c>
      <c r="O4045" s="19">
        <v>0</v>
      </c>
      <c r="P4045" s="19">
        <v>8.213072815636023E-2</v>
      </c>
      <c r="Q4045" s="19">
        <v>0.1525765126629374</v>
      </c>
      <c r="R4045" s="19">
        <v>0.14384185343557263</v>
      </c>
      <c r="S4045" s="19">
        <v>3.8820484328634115E-2</v>
      </c>
      <c r="T4045" s="20">
        <v>23</v>
      </c>
      <c r="U4045" s="17">
        <v>2</v>
      </c>
      <c r="V4045" s="17">
        <v>36</v>
      </c>
    </row>
    <row r="4046" spans="1:22" x14ac:dyDescent="0.2">
      <c r="A4046" t="s">
        <v>8929</v>
      </c>
      <c r="B4046" t="s">
        <v>7665</v>
      </c>
      <c r="C4046" t="s">
        <v>7666</v>
      </c>
      <c r="D4046" t="s">
        <v>8921</v>
      </c>
      <c r="E4046" s="10" t="s">
        <v>8930</v>
      </c>
      <c r="F4046" s="10"/>
      <c r="G4046" s="10"/>
      <c r="H4046" s="10" t="s">
        <v>8930</v>
      </c>
      <c r="I4046" s="14">
        <v>171770.72792264819</v>
      </c>
      <c r="J4046" s="19">
        <v>0</v>
      </c>
      <c r="K4046" s="19">
        <v>0.74766203313079271</v>
      </c>
      <c r="L4046" s="19">
        <v>0.25233796686920734</v>
      </c>
      <c r="M4046" s="20">
        <v>2</v>
      </c>
      <c r="N4046" s="19">
        <v>5.4427973351637196E-2</v>
      </c>
      <c r="O4046" s="19">
        <v>4.5910165009427115E-2</v>
      </c>
      <c r="P4046" s="19">
        <v>0.64732389476972829</v>
      </c>
      <c r="Q4046" s="19">
        <v>1.4580866356059858E-2</v>
      </c>
      <c r="R4046" s="19">
        <v>0.2197060069529615</v>
      </c>
      <c r="S4046" s="19">
        <v>1.8051093560185975E-2</v>
      </c>
      <c r="T4046" s="20">
        <v>21</v>
      </c>
      <c r="U4046" s="17">
        <v>2</v>
      </c>
      <c r="V4046" s="17">
        <v>36</v>
      </c>
    </row>
    <row r="4047" spans="1:22" x14ac:dyDescent="0.2">
      <c r="A4047" t="s">
        <v>8931</v>
      </c>
      <c r="B4047" t="s">
        <v>7665</v>
      </c>
      <c r="C4047" t="s">
        <v>7666</v>
      </c>
      <c r="D4047" t="s">
        <v>8921</v>
      </c>
      <c r="E4047" s="10" t="s">
        <v>8921</v>
      </c>
      <c r="F4047" s="10"/>
      <c r="G4047" s="10"/>
      <c r="H4047" s="10" t="s">
        <v>8921</v>
      </c>
      <c r="I4047" s="14">
        <v>125525.09568830859</v>
      </c>
      <c r="J4047" s="19">
        <v>0.6937977769011211</v>
      </c>
      <c r="K4047" s="19">
        <v>0.26904167016457026</v>
      </c>
      <c r="L4047" s="19">
        <v>3.7160552934308651E-2</v>
      </c>
      <c r="M4047" s="20">
        <v>3</v>
      </c>
      <c r="N4047" s="19">
        <v>0</v>
      </c>
      <c r="O4047" s="19">
        <v>0</v>
      </c>
      <c r="P4047" s="19">
        <v>0.26904167016457026</v>
      </c>
      <c r="Q4047" s="19">
        <v>0</v>
      </c>
      <c r="R4047" s="19">
        <v>3.5252143367477846E-2</v>
      </c>
      <c r="S4047" s="19">
        <v>1.9084095668308002E-3</v>
      </c>
      <c r="T4047" s="20">
        <v>30</v>
      </c>
      <c r="U4047" s="17">
        <v>2</v>
      </c>
      <c r="V4047" s="17">
        <v>36</v>
      </c>
    </row>
    <row r="4048" spans="1:22" x14ac:dyDescent="0.2">
      <c r="A4048" t="s">
        <v>8932</v>
      </c>
      <c r="B4048" t="s">
        <v>7665</v>
      </c>
      <c r="C4048" t="s">
        <v>7666</v>
      </c>
      <c r="D4048" t="s">
        <v>8921</v>
      </c>
      <c r="E4048" s="10" t="s">
        <v>8933</v>
      </c>
      <c r="F4048" s="10"/>
      <c r="G4048" s="10"/>
      <c r="H4048" s="10" t="s">
        <v>8933</v>
      </c>
      <c r="I4048" s="14">
        <v>121822.74528036454</v>
      </c>
      <c r="J4048" s="19">
        <v>5.6124907309241701E-5</v>
      </c>
      <c r="K4048" s="19">
        <v>0.44161412539175227</v>
      </c>
      <c r="L4048" s="19">
        <v>0.5583297497009384</v>
      </c>
      <c r="M4048" s="20">
        <v>1</v>
      </c>
      <c r="N4048" s="19">
        <v>0</v>
      </c>
      <c r="O4048" s="19">
        <v>0</v>
      </c>
      <c r="P4048" s="19">
        <v>0.44161412539175227</v>
      </c>
      <c r="Q4048" s="19">
        <v>7.3059558349042319E-2</v>
      </c>
      <c r="R4048" s="19">
        <v>0.43572799884935515</v>
      </c>
      <c r="S4048" s="19">
        <v>4.9542192502540924E-2</v>
      </c>
      <c r="T4048" s="20">
        <v>12</v>
      </c>
      <c r="U4048" s="17">
        <v>2</v>
      </c>
      <c r="V4048" s="17">
        <v>36</v>
      </c>
    </row>
    <row r="4049" spans="1:22" x14ac:dyDescent="0.2">
      <c r="A4049" t="s">
        <v>8934</v>
      </c>
      <c r="B4049" t="s">
        <v>7665</v>
      </c>
      <c r="C4049" t="s">
        <v>7666</v>
      </c>
      <c r="D4049" t="s">
        <v>8935</v>
      </c>
      <c r="E4049" s="10" t="s">
        <v>8936</v>
      </c>
      <c r="F4049" s="10"/>
      <c r="G4049" s="10"/>
      <c r="H4049" s="10" t="s">
        <v>8936</v>
      </c>
      <c r="I4049" s="14">
        <v>91519.604941397905</v>
      </c>
      <c r="J4049" s="19">
        <v>0.65100840910957603</v>
      </c>
      <c r="K4049" s="19">
        <v>0.30769372299150338</v>
      </c>
      <c r="L4049" s="19">
        <v>4.1297867898920551E-2</v>
      </c>
      <c r="M4049" s="20">
        <v>3</v>
      </c>
      <c r="N4049" s="19">
        <v>0</v>
      </c>
      <c r="O4049" s="19">
        <v>0</v>
      </c>
      <c r="P4049" s="19">
        <v>0.30769372299150338</v>
      </c>
      <c r="Q4049" s="19">
        <v>0</v>
      </c>
      <c r="R4049" s="19">
        <v>3.9298084107998114E-2</v>
      </c>
      <c r="S4049" s="19">
        <v>1.9997837909224402E-3</v>
      </c>
      <c r="T4049" s="20">
        <v>30</v>
      </c>
      <c r="U4049" s="17">
        <v>2</v>
      </c>
      <c r="V4049" s="17">
        <v>36</v>
      </c>
    </row>
    <row r="4050" spans="1:22" x14ac:dyDescent="0.2">
      <c r="A4050" t="s">
        <v>8937</v>
      </c>
      <c r="B4050" t="s">
        <v>7665</v>
      </c>
      <c r="C4050" t="s">
        <v>7666</v>
      </c>
      <c r="D4050" t="s">
        <v>8935</v>
      </c>
      <c r="E4050" s="10" t="s">
        <v>8938</v>
      </c>
      <c r="F4050" s="10"/>
      <c r="G4050" s="10"/>
      <c r="H4050" s="10" t="s">
        <v>8938</v>
      </c>
      <c r="I4050" s="14">
        <v>94311.458440870047</v>
      </c>
      <c r="J4050" s="19">
        <v>0.10094360997351506</v>
      </c>
      <c r="K4050" s="19">
        <v>0.80002608640017114</v>
      </c>
      <c r="L4050" s="19">
        <v>9.9030303626313806E-2</v>
      </c>
      <c r="M4050" s="20">
        <v>2</v>
      </c>
      <c r="N4050" s="19">
        <v>0.35478139045606044</v>
      </c>
      <c r="O4050" s="19">
        <v>0</v>
      </c>
      <c r="P4050" s="19">
        <v>0.4452446959441107</v>
      </c>
      <c r="Q4050" s="19">
        <v>0</v>
      </c>
      <c r="R4050" s="19">
        <v>9.3792520137636406E-2</v>
      </c>
      <c r="S4050" s="19">
        <v>5.2377834886774034E-3</v>
      </c>
      <c r="T4050" s="20">
        <v>23</v>
      </c>
      <c r="U4050" s="17">
        <v>2</v>
      </c>
      <c r="V4050" s="17">
        <v>36</v>
      </c>
    </row>
    <row r="4051" spans="1:22" x14ac:dyDescent="0.2">
      <c r="A4051" t="s">
        <v>8939</v>
      </c>
      <c r="B4051" t="s">
        <v>7665</v>
      </c>
      <c r="C4051" t="s">
        <v>7666</v>
      </c>
      <c r="D4051" t="s">
        <v>8935</v>
      </c>
      <c r="E4051" s="10" t="s">
        <v>8940</v>
      </c>
      <c r="F4051" s="10"/>
      <c r="G4051" s="10"/>
      <c r="H4051" s="10" t="s">
        <v>8940</v>
      </c>
      <c r="I4051" s="14">
        <v>167216.87561912742</v>
      </c>
      <c r="J4051" s="19">
        <v>0.59903202929856814</v>
      </c>
      <c r="K4051" s="19">
        <v>0.35383401269802367</v>
      </c>
      <c r="L4051" s="19">
        <v>4.713395800340818E-2</v>
      </c>
      <c r="M4051" s="20">
        <v>3</v>
      </c>
      <c r="N4051" s="19">
        <v>0</v>
      </c>
      <c r="O4051" s="19">
        <v>0</v>
      </c>
      <c r="P4051" s="19">
        <v>0.35383401269802367</v>
      </c>
      <c r="Q4051" s="19">
        <v>0</v>
      </c>
      <c r="R4051" s="19">
        <v>4.6209833959536248E-2</v>
      </c>
      <c r="S4051" s="19">
        <v>9.2412404387193171E-4</v>
      </c>
      <c r="T4051" s="20">
        <v>30</v>
      </c>
      <c r="U4051" s="17">
        <v>2</v>
      </c>
      <c r="V4051" s="17">
        <v>36</v>
      </c>
    </row>
    <row r="4052" spans="1:22" x14ac:dyDescent="0.2">
      <c r="A4052" t="s">
        <v>8941</v>
      </c>
      <c r="B4052" t="s">
        <v>7665</v>
      </c>
      <c r="C4052" t="s">
        <v>7666</v>
      </c>
      <c r="D4052" t="s">
        <v>8935</v>
      </c>
      <c r="E4052" s="10" t="s">
        <v>8942</v>
      </c>
      <c r="F4052" s="10"/>
      <c r="G4052" s="10"/>
      <c r="H4052" s="10" t="s">
        <v>8942</v>
      </c>
      <c r="I4052" s="14">
        <v>104292.09778589755</v>
      </c>
      <c r="J4052" s="19">
        <v>0.12339691925376538</v>
      </c>
      <c r="K4052" s="19">
        <v>0.80351440607390712</v>
      </c>
      <c r="L4052" s="19">
        <v>7.3088674672327533E-2</v>
      </c>
      <c r="M4052" s="20">
        <v>2</v>
      </c>
      <c r="N4052" s="19">
        <v>0.14621711162106507</v>
      </c>
      <c r="O4052" s="19">
        <v>0</v>
      </c>
      <c r="P4052" s="19">
        <v>0.65729729445284202</v>
      </c>
      <c r="Q4052" s="19">
        <v>0</v>
      </c>
      <c r="R4052" s="19">
        <v>7.3088674672327547E-2</v>
      </c>
      <c r="S4052" s="19">
        <v>0</v>
      </c>
      <c r="T4052" s="20">
        <v>21</v>
      </c>
      <c r="U4052" s="17">
        <v>2</v>
      </c>
      <c r="V4052" s="17">
        <v>36</v>
      </c>
    </row>
    <row r="4053" spans="1:22" x14ac:dyDescent="0.2">
      <c r="A4053" t="s">
        <v>8943</v>
      </c>
      <c r="B4053" t="s">
        <v>7665</v>
      </c>
      <c r="C4053" t="s">
        <v>7666</v>
      </c>
      <c r="D4053" t="s">
        <v>8935</v>
      </c>
      <c r="E4053" s="10" t="s">
        <v>8944</v>
      </c>
      <c r="F4053" s="10"/>
      <c r="G4053" s="10"/>
      <c r="H4053" s="10" t="s">
        <v>8944</v>
      </c>
      <c r="I4053" s="14">
        <v>157317.57907331083</v>
      </c>
      <c r="J4053" s="19">
        <v>0</v>
      </c>
      <c r="K4053" s="19">
        <v>0.87987340150133664</v>
      </c>
      <c r="L4053" s="19">
        <v>0.12012659849866335</v>
      </c>
      <c r="M4053" s="20">
        <v>2</v>
      </c>
      <c r="N4053" s="19">
        <v>0.20026263040951894</v>
      </c>
      <c r="O4053" s="19">
        <v>0</v>
      </c>
      <c r="P4053" s="19">
        <v>0.67961077109181767</v>
      </c>
      <c r="Q4053" s="19">
        <v>0</v>
      </c>
      <c r="R4053" s="19">
        <v>0.11751523495661249</v>
      </c>
      <c r="S4053" s="19">
        <v>2.6113635420508441E-3</v>
      </c>
      <c r="T4053" s="20">
        <v>21</v>
      </c>
      <c r="U4053" s="17">
        <v>2</v>
      </c>
      <c r="V4053" s="17">
        <v>36</v>
      </c>
    </row>
    <row r="4054" spans="1:22" x14ac:dyDescent="0.2">
      <c r="A4054" t="s">
        <v>8945</v>
      </c>
      <c r="B4054" t="s">
        <v>7665</v>
      </c>
      <c r="C4054" t="s">
        <v>7666</v>
      </c>
      <c r="D4054" t="s">
        <v>8935</v>
      </c>
      <c r="E4054" s="10" t="s">
        <v>8946</v>
      </c>
      <c r="F4054" s="10"/>
      <c r="G4054" s="10"/>
      <c r="H4054" s="10" t="s">
        <v>8946</v>
      </c>
      <c r="I4054" s="14">
        <v>140841.08765026974</v>
      </c>
      <c r="J4054" s="19">
        <v>0</v>
      </c>
      <c r="K4054" s="19">
        <v>0.8809332157789691</v>
      </c>
      <c r="L4054" s="19">
        <v>0.11906678422103094</v>
      </c>
      <c r="M4054" s="20">
        <v>2</v>
      </c>
      <c r="N4054" s="19">
        <v>0.18027195973725624</v>
      </c>
      <c r="O4054" s="19">
        <v>0</v>
      </c>
      <c r="P4054" s="19">
        <v>0.70066125604171281</v>
      </c>
      <c r="Q4054" s="19">
        <v>0</v>
      </c>
      <c r="R4054" s="19">
        <v>0.11644468970612688</v>
      </c>
      <c r="S4054" s="19">
        <v>2.6220945149040488E-3</v>
      </c>
      <c r="T4054" s="20">
        <v>21</v>
      </c>
      <c r="U4054" s="17">
        <v>2</v>
      </c>
      <c r="V4054" s="17">
        <v>36</v>
      </c>
    </row>
    <row r="4055" spans="1:22" x14ac:dyDescent="0.2">
      <c r="A4055" t="s">
        <v>8947</v>
      </c>
      <c r="B4055" t="s">
        <v>7665</v>
      </c>
      <c r="C4055" t="s">
        <v>7666</v>
      </c>
      <c r="D4055" t="s">
        <v>8935</v>
      </c>
      <c r="E4055" s="10" t="s">
        <v>8935</v>
      </c>
      <c r="F4055" s="10"/>
      <c r="G4055" s="10"/>
      <c r="H4055" s="10" t="s">
        <v>8935</v>
      </c>
      <c r="I4055" s="14">
        <v>136982.93659628974</v>
      </c>
      <c r="J4055" s="19">
        <v>0.95731560317693076</v>
      </c>
      <c r="K4055" s="19">
        <v>3.8613793976224838E-2</v>
      </c>
      <c r="L4055" s="19">
        <v>4.0706028468443451E-3</v>
      </c>
      <c r="M4055" s="20">
        <v>3</v>
      </c>
      <c r="N4055" s="19">
        <v>0</v>
      </c>
      <c r="O4055" s="19">
        <v>0</v>
      </c>
      <c r="P4055" s="19">
        <v>3.8613793976224838E-2</v>
      </c>
      <c r="Q4055" s="19">
        <v>0</v>
      </c>
      <c r="R4055" s="19">
        <v>4.0706028468443451E-3</v>
      </c>
      <c r="S4055" s="19">
        <v>0</v>
      </c>
      <c r="T4055" s="20">
        <v>30</v>
      </c>
      <c r="U4055" s="17">
        <v>2</v>
      </c>
      <c r="V4055" s="17">
        <v>36</v>
      </c>
    </row>
    <row r="4056" spans="1:22" x14ac:dyDescent="0.2">
      <c r="A4056" t="s">
        <v>8948</v>
      </c>
      <c r="B4056" t="s">
        <v>7665</v>
      </c>
      <c r="C4056" t="s">
        <v>7666</v>
      </c>
      <c r="D4056" t="s">
        <v>8935</v>
      </c>
      <c r="E4056" s="10" t="s">
        <v>8949</v>
      </c>
      <c r="F4056" s="10"/>
      <c r="G4056" s="10"/>
      <c r="H4056" s="10" t="s">
        <v>8949</v>
      </c>
      <c r="I4056" s="14">
        <v>166762.86714122165</v>
      </c>
      <c r="J4056" s="19">
        <v>0</v>
      </c>
      <c r="K4056" s="19">
        <v>0.91531645777751425</v>
      </c>
      <c r="L4056" s="19">
        <v>8.4683542222485711E-2</v>
      </c>
      <c r="M4056" s="20">
        <v>2</v>
      </c>
      <c r="N4056" s="19">
        <v>0.18372083250305676</v>
      </c>
      <c r="O4056" s="19">
        <v>0</v>
      </c>
      <c r="P4056" s="19">
        <v>0.73159562527445754</v>
      </c>
      <c r="Q4056" s="19">
        <v>0</v>
      </c>
      <c r="R4056" s="19">
        <v>8.2041272210102364E-2</v>
      </c>
      <c r="S4056" s="19">
        <v>2.6422700123833426E-3</v>
      </c>
      <c r="T4056" s="20">
        <v>21</v>
      </c>
      <c r="U4056" s="17">
        <v>2</v>
      </c>
      <c r="V4056" s="17">
        <v>36</v>
      </c>
    </row>
    <row r="4057" spans="1:22" x14ac:dyDescent="0.2">
      <c r="A4057" t="s">
        <v>8950</v>
      </c>
      <c r="B4057" t="s">
        <v>7665</v>
      </c>
      <c r="C4057" t="s">
        <v>7666</v>
      </c>
      <c r="D4057" t="s">
        <v>8951</v>
      </c>
      <c r="E4057" s="10" t="s">
        <v>8952</v>
      </c>
      <c r="F4057" s="10"/>
      <c r="G4057" s="10"/>
      <c r="H4057" s="10" t="s">
        <v>8952</v>
      </c>
      <c r="I4057" s="14">
        <v>110220.74852770637</v>
      </c>
      <c r="J4057" s="19">
        <v>0.21815655207172951</v>
      </c>
      <c r="K4057" s="19">
        <v>0.73102290826884175</v>
      </c>
      <c r="L4057" s="19">
        <v>5.0820539659428766E-2</v>
      </c>
      <c r="M4057" s="20">
        <v>2</v>
      </c>
      <c r="N4057" s="19">
        <v>0.25247882898297036</v>
      </c>
      <c r="O4057" s="19">
        <v>0</v>
      </c>
      <c r="P4057" s="19">
        <v>0.47854407928587128</v>
      </c>
      <c r="Q4057" s="19">
        <v>0</v>
      </c>
      <c r="R4057" s="19">
        <v>4.9065983085599285E-2</v>
      </c>
      <c r="S4057" s="19">
        <v>1.7545565738294885E-3</v>
      </c>
      <c r="T4057" s="20">
        <v>23</v>
      </c>
      <c r="U4057" s="17">
        <v>2</v>
      </c>
      <c r="V4057" s="17">
        <v>36</v>
      </c>
    </row>
    <row r="4058" spans="1:22" x14ac:dyDescent="0.2">
      <c r="A4058" t="s">
        <v>8953</v>
      </c>
      <c r="B4058" t="s">
        <v>7665</v>
      </c>
      <c r="C4058" t="s">
        <v>7666</v>
      </c>
      <c r="D4058" t="s">
        <v>8951</v>
      </c>
      <c r="E4058" s="10" t="s">
        <v>8954</v>
      </c>
      <c r="F4058" s="10"/>
      <c r="G4058" s="10"/>
      <c r="H4058" s="10" t="s">
        <v>8954</v>
      </c>
      <c r="I4058" s="14">
        <v>120679.04719508858</v>
      </c>
      <c r="J4058" s="19">
        <v>0</v>
      </c>
      <c r="K4058" s="19">
        <v>0.93883578963045167</v>
      </c>
      <c r="L4058" s="19">
        <v>6.1164210369548382E-2</v>
      </c>
      <c r="M4058" s="20">
        <v>2</v>
      </c>
      <c r="N4058" s="19">
        <v>0.44937761930391629</v>
      </c>
      <c r="O4058" s="19">
        <v>0</v>
      </c>
      <c r="P4058" s="19">
        <v>0.48945817032653544</v>
      </c>
      <c r="Q4058" s="19">
        <v>0</v>
      </c>
      <c r="R4058" s="19">
        <v>5.7832110686980839E-2</v>
      </c>
      <c r="S4058" s="19">
        <v>3.332099682567534E-3</v>
      </c>
      <c r="T4058" s="20">
        <v>23</v>
      </c>
      <c r="U4058" s="17">
        <v>2</v>
      </c>
      <c r="V4058" s="17">
        <v>36</v>
      </c>
    </row>
    <row r="4059" spans="1:22" x14ac:dyDescent="0.2">
      <c r="A4059" t="s">
        <v>8955</v>
      </c>
      <c r="B4059" t="s">
        <v>7665</v>
      </c>
      <c r="C4059" t="s">
        <v>7666</v>
      </c>
      <c r="D4059" t="s">
        <v>8951</v>
      </c>
      <c r="E4059" s="10" t="s">
        <v>8956</v>
      </c>
      <c r="F4059" s="10"/>
      <c r="G4059" s="10"/>
      <c r="H4059" s="10" t="s">
        <v>8956</v>
      </c>
      <c r="I4059" s="14">
        <v>93918.814319114201</v>
      </c>
      <c r="J4059" s="19">
        <v>0.57077481749987946</v>
      </c>
      <c r="K4059" s="19">
        <v>0.36787105124048569</v>
      </c>
      <c r="L4059" s="19">
        <v>6.1354131259634889E-2</v>
      </c>
      <c r="M4059" s="20">
        <v>3</v>
      </c>
      <c r="N4059" s="19">
        <v>0.12120094299275816</v>
      </c>
      <c r="O4059" s="19">
        <v>0</v>
      </c>
      <c r="P4059" s="19">
        <v>0.2466701082477275</v>
      </c>
      <c r="Q4059" s="19">
        <v>0</v>
      </c>
      <c r="R4059" s="19">
        <v>5.646995948815095E-2</v>
      </c>
      <c r="S4059" s="19">
        <v>4.8841717714839424E-3</v>
      </c>
      <c r="T4059" s="20">
        <v>30</v>
      </c>
      <c r="U4059" s="17">
        <v>2</v>
      </c>
      <c r="V4059" s="17">
        <v>36</v>
      </c>
    </row>
    <row r="4060" spans="1:22" x14ac:dyDescent="0.2">
      <c r="A4060" t="s">
        <v>8957</v>
      </c>
      <c r="B4060" t="s">
        <v>7665</v>
      </c>
      <c r="C4060" t="s">
        <v>7666</v>
      </c>
      <c r="D4060" t="s">
        <v>8951</v>
      </c>
      <c r="E4060" s="10" t="s">
        <v>8958</v>
      </c>
      <c r="F4060" s="10"/>
      <c r="G4060" s="10"/>
      <c r="H4060" s="10" t="s">
        <v>8958</v>
      </c>
      <c r="I4060" s="14">
        <v>90837.207008922007</v>
      </c>
      <c r="J4060" s="19">
        <v>1.5786653080075104E-2</v>
      </c>
      <c r="K4060" s="19">
        <v>0.93485422357494286</v>
      </c>
      <c r="L4060" s="19">
        <v>4.9359123344982055E-2</v>
      </c>
      <c r="M4060" s="20">
        <v>2</v>
      </c>
      <c r="N4060" s="19">
        <v>2.1569478643150584E-2</v>
      </c>
      <c r="O4060" s="19">
        <v>0</v>
      </c>
      <c r="P4060" s="19">
        <v>0.91328474493179224</v>
      </c>
      <c r="Q4060" s="19">
        <v>0</v>
      </c>
      <c r="R4060" s="19">
        <v>4.7924601139934041E-2</v>
      </c>
      <c r="S4060" s="19">
        <v>1.4345222050480041E-3</v>
      </c>
      <c r="T4060" s="20">
        <v>21</v>
      </c>
      <c r="U4060" s="17">
        <v>2</v>
      </c>
      <c r="V4060" s="17">
        <v>36</v>
      </c>
    </row>
    <row r="4061" spans="1:22" x14ac:dyDescent="0.2">
      <c r="A4061" t="s">
        <v>8959</v>
      </c>
      <c r="B4061" t="s">
        <v>7665</v>
      </c>
      <c r="C4061" t="s">
        <v>7666</v>
      </c>
      <c r="D4061" t="s">
        <v>8951</v>
      </c>
      <c r="E4061" s="10" t="s">
        <v>8960</v>
      </c>
      <c r="F4061" s="10"/>
      <c r="G4061" s="10"/>
      <c r="H4061" s="10" t="s">
        <v>8960</v>
      </c>
      <c r="I4061" s="14">
        <v>69607.16031009797</v>
      </c>
      <c r="J4061" s="19">
        <v>0</v>
      </c>
      <c r="K4061" s="19">
        <v>0.91138855655808682</v>
      </c>
      <c r="L4061" s="19">
        <v>8.8611443441913171E-2</v>
      </c>
      <c r="M4061" s="20">
        <v>2</v>
      </c>
      <c r="N4061" s="19">
        <v>0</v>
      </c>
      <c r="O4061" s="19">
        <v>0</v>
      </c>
      <c r="P4061" s="19">
        <v>0.91138855655808682</v>
      </c>
      <c r="Q4061" s="19">
        <v>2.8770665602166113E-2</v>
      </c>
      <c r="R4061" s="19">
        <v>5.5681474596880685E-2</v>
      </c>
      <c r="S4061" s="19">
        <v>4.1593032428663846E-3</v>
      </c>
      <c r="T4061" s="20">
        <v>21</v>
      </c>
      <c r="U4061" s="17">
        <v>2</v>
      </c>
      <c r="V4061" s="17">
        <v>36</v>
      </c>
    </row>
    <row r="4062" spans="1:22" x14ac:dyDescent="0.2">
      <c r="A4062" t="s">
        <v>8961</v>
      </c>
      <c r="B4062" t="s">
        <v>7665</v>
      </c>
      <c r="C4062" t="s">
        <v>7666</v>
      </c>
      <c r="D4062" t="s">
        <v>8951</v>
      </c>
      <c r="E4062" s="10" t="s">
        <v>8962</v>
      </c>
      <c r="F4062" s="10"/>
      <c r="G4062" s="10"/>
      <c r="H4062" s="10" t="s">
        <v>8962</v>
      </c>
      <c r="I4062" s="14">
        <v>96971.032316654688</v>
      </c>
      <c r="J4062" s="19">
        <v>6.7635200572969525E-2</v>
      </c>
      <c r="K4062" s="19">
        <v>0.91612209048022986</v>
      </c>
      <c r="L4062" s="19">
        <v>1.6242708946800643E-2</v>
      </c>
      <c r="M4062" s="20">
        <v>2</v>
      </c>
      <c r="N4062" s="19">
        <v>0.22637202828871025</v>
      </c>
      <c r="O4062" s="19">
        <v>0</v>
      </c>
      <c r="P4062" s="19">
        <v>0.68975006219151958</v>
      </c>
      <c r="Q4062" s="19">
        <v>0</v>
      </c>
      <c r="R4062" s="19">
        <v>1.6040528328225022E-2</v>
      </c>
      <c r="S4062" s="19">
        <v>2.0218061857562228E-4</v>
      </c>
      <c r="T4062" s="20">
        <v>21</v>
      </c>
      <c r="U4062" s="17">
        <v>2</v>
      </c>
      <c r="V4062" s="17">
        <v>36</v>
      </c>
    </row>
    <row r="4063" spans="1:22" x14ac:dyDescent="0.2">
      <c r="A4063" t="s">
        <v>8963</v>
      </c>
      <c r="B4063" t="s">
        <v>7665</v>
      </c>
      <c r="C4063" t="s">
        <v>7666</v>
      </c>
      <c r="D4063" t="s">
        <v>8951</v>
      </c>
      <c r="E4063" s="10" t="s">
        <v>8964</v>
      </c>
      <c r="F4063" s="10"/>
      <c r="G4063" s="10"/>
      <c r="H4063" s="10" t="s">
        <v>8964</v>
      </c>
      <c r="I4063" s="14">
        <v>193290.64327068417</v>
      </c>
      <c r="J4063" s="19">
        <v>0.41996991927323835</v>
      </c>
      <c r="K4063" s="19">
        <v>0.55823038669134162</v>
      </c>
      <c r="L4063" s="19">
        <v>2.1799694035419995E-2</v>
      </c>
      <c r="M4063" s="20">
        <v>2</v>
      </c>
      <c r="N4063" s="19">
        <v>0.26366671355156907</v>
      </c>
      <c r="O4063" s="19">
        <v>0</v>
      </c>
      <c r="P4063" s="19">
        <v>0.29456367313977255</v>
      </c>
      <c r="Q4063" s="19">
        <v>0</v>
      </c>
      <c r="R4063" s="19">
        <v>2.1128852072862591E-2</v>
      </c>
      <c r="S4063" s="19">
        <v>6.70841962557406E-4</v>
      </c>
      <c r="T4063" s="20">
        <v>23</v>
      </c>
      <c r="U4063" s="17">
        <v>2</v>
      </c>
      <c r="V4063" s="17">
        <v>36</v>
      </c>
    </row>
    <row r="4064" spans="1:22" x14ac:dyDescent="0.2">
      <c r="A4064" t="s">
        <v>8965</v>
      </c>
      <c r="B4064" t="s">
        <v>7665</v>
      </c>
      <c r="C4064" t="s">
        <v>7666</v>
      </c>
      <c r="D4064" t="s">
        <v>8951</v>
      </c>
      <c r="E4064" s="10" t="s">
        <v>8966</v>
      </c>
      <c r="F4064" s="10"/>
      <c r="G4064" s="10"/>
      <c r="H4064" s="10" t="s">
        <v>8966</v>
      </c>
      <c r="I4064" s="14">
        <v>96336.162161323009</v>
      </c>
      <c r="J4064" s="19">
        <v>0.86032348681151971</v>
      </c>
      <c r="K4064" s="19">
        <v>0.12313974421709521</v>
      </c>
      <c r="L4064" s="19">
        <v>1.6536768971385053E-2</v>
      </c>
      <c r="M4064" s="20">
        <v>3</v>
      </c>
      <c r="N4064" s="19">
        <v>0</v>
      </c>
      <c r="O4064" s="19">
        <v>0</v>
      </c>
      <c r="P4064" s="19">
        <v>0.12313974421709521</v>
      </c>
      <c r="Q4064" s="19">
        <v>0</v>
      </c>
      <c r="R4064" s="19">
        <v>1.5997953099827145E-2</v>
      </c>
      <c r="S4064" s="19">
        <v>5.3881587155790364E-4</v>
      </c>
      <c r="T4064" s="20">
        <v>30</v>
      </c>
      <c r="U4064" s="17">
        <v>2</v>
      </c>
      <c r="V4064" s="17">
        <v>36</v>
      </c>
    </row>
    <row r="4065" spans="1:22" x14ac:dyDescent="0.2">
      <c r="A4065" t="s">
        <v>8967</v>
      </c>
      <c r="B4065" t="s">
        <v>7665</v>
      </c>
      <c r="C4065" t="s">
        <v>7666</v>
      </c>
      <c r="D4065" t="s">
        <v>8951</v>
      </c>
      <c r="E4065" s="10" t="s">
        <v>8968</v>
      </c>
      <c r="F4065" s="10"/>
      <c r="G4065" s="10"/>
      <c r="H4065" s="10" t="s">
        <v>8968</v>
      </c>
      <c r="I4065" s="14">
        <v>147900.85008508968</v>
      </c>
      <c r="J4065" s="19">
        <v>0.48564296941802437</v>
      </c>
      <c r="K4065" s="19">
        <v>0.49024117269302225</v>
      </c>
      <c r="L4065" s="19">
        <v>2.4115857888953381E-2</v>
      </c>
      <c r="M4065" s="20">
        <v>2</v>
      </c>
      <c r="N4065" s="19">
        <v>0.17157363687747046</v>
      </c>
      <c r="O4065" s="19">
        <v>0</v>
      </c>
      <c r="P4065" s="19">
        <v>0.31866753581555179</v>
      </c>
      <c r="Q4065" s="19">
        <v>0</v>
      </c>
      <c r="R4065" s="19">
        <v>2.3418136720417797E-2</v>
      </c>
      <c r="S4065" s="19">
        <v>6.977211685355836E-4</v>
      </c>
      <c r="T4065" s="20">
        <v>23</v>
      </c>
      <c r="U4065" s="17">
        <v>2</v>
      </c>
      <c r="V4065" s="17">
        <v>36</v>
      </c>
    </row>
    <row r="4066" spans="1:22" x14ac:dyDescent="0.2">
      <c r="A4066" t="s">
        <v>8969</v>
      </c>
      <c r="B4066" t="s">
        <v>7665</v>
      </c>
      <c r="C4066" t="s">
        <v>7666</v>
      </c>
      <c r="D4066" t="s">
        <v>8970</v>
      </c>
      <c r="E4066" s="10" t="s">
        <v>8971</v>
      </c>
      <c r="F4066" s="10"/>
      <c r="G4066" s="10"/>
      <c r="H4066" s="10" t="s">
        <v>8971</v>
      </c>
      <c r="I4066" s="14">
        <v>103470.1684351936</v>
      </c>
      <c r="J4066" s="19">
        <v>0</v>
      </c>
      <c r="K4066" s="19">
        <v>0.54150796566340187</v>
      </c>
      <c r="L4066" s="19">
        <v>0.45849203433659808</v>
      </c>
      <c r="M4066" s="20">
        <v>2</v>
      </c>
      <c r="N4066" s="19">
        <v>0.3799489176733758</v>
      </c>
      <c r="O4066" s="19">
        <v>5.558239595415216E-2</v>
      </c>
      <c r="P4066" s="19">
        <v>0.10597665203587388</v>
      </c>
      <c r="Q4066" s="19">
        <v>0.26544443115019295</v>
      </c>
      <c r="R4066" s="19">
        <v>0.17158584569737731</v>
      </c>
      <c r="S4066" s="19">
        <v>2.1461757489027931E-2</v>
      </c>
      <c r="T4066" s="20">
        <v>23</v>
      </c>
      <c r="U4066" s="17">
        <v>2</v>
      </c>
      <c r="V4066" s="17">
        <v>36</v>
      </c>
    </row>
    <row r="4067" spans="1:22" x14ac:dyDescent="0.2">
      <c r="A4067" t="s">
        <v>8972</v>
      </c>
      <c r="B4067" t="s">
        <v>7665</v>
      </c>
      <c r="C4067" t="s">
        <v>7666</v>
      </c>
      <c r="D4067" t="s">
        <v>8970</v>
      </c>
      <c r="E4067" s="10" t="s">
        <v>8973</v>
      </c>
      <c r="F4067" s="10"/>
      <c r="G4067" s="10"/>
      <c r="H4067" s="10" t="s">
        <v>8973</v>
      </c>
      <c r="I4067" s="14">
        <v>49502.708881318569</v>
      </c>
      <c r="J4067" s="19">
        <v>0</v>
      </c>
      <c r="K4067" s="19">
        <v>0.50495665391772149</v>
      </c>
      <c r="L4067" s="19">
        <v>0.49504334608227857</v>
      </c>
      <c r="M4067" s="20">
        <v>2</v>
      </c>
      <c r="N4067" s="19">
        <v>0.17170494825261584</v>
      </c>
      <c r="O4067" s="19">
        <v>0.19688428636386535</v>
      </c>
      <c r="P4067" s="19">
        <v>0.13636741930124024</v>
      </c>
      <c r="Q4067" s="19">
        <v>0.35211076216590997</v>
      </c>
      <c r="R4067" s="19">
        <v>0.11768319447901369</v>
      </c>
      <c r="S4067" s="19">
        <v>2.524938943735492E-2</v>
      </c>
      <c r="T4067" s="20">
        <v>22</v>
      </c>
      <c r="U4067" s="17">
        <v>2</v>
      </c>
      <c r="V4067" s="17">
        <v>36</v>
      </c>
    </row>
    <row r="4068" spans="1:22" x14ac:dyDescent="0.2">
      <c r="A4068" t="s">
        <v>8974</v>
      </c>
      <c r="B4068" t="s">
        <v>7665</v>
      </c>
      <c r="C4068" t="s">
        <v>7666</v>
      </c>
      <c r="D4068" t="s">
        <v>8970</v>
      </c>
      <c r="E4068" s="10" t="s">
        <v>8975</v>
      </c>
      <c r="F4068" s="10"/>
      <c r="G4068" s="10"/>
      <c r="H4068" s="10" t="s">
        <v>8975</v>
      </c>
      <c r="I4068" s="14">
        <v>28235.991226427257</v>
      </c>
      <c r="J4068" s="19">
        <v>0</v>
      </c>
      <c r="K4068" s="19">
        <v>0.95762425672113782</v>
      </c>
      <c r="L4068" s="19">
        <v>4.2375743278862218E-2</v>
      </c>
      <c r="M4068" s="20">
        <v>2</v>
      </c>
      <c r="N4068" s="19">
        <v>0.70220621991849186</v>
      </c>
      <c r="O4068" s="19">
        <v>0</v>
      </c>
      <c r="P4068" s="19">
        <v>0.25541803680264591</v>
      </c>
      <c r="Q4068" s="19">
        <v>0</v>
      </c>
      <c r="R4068" s="19">
        <v>3.7096110341703833E-2</v>
      </c>
      <c r="S4068" s="19">
        <v>5.2796329371583859E-3</v>
      </c>
      <c r="T4068" s="20">
        <v>23</v>
      </c>
      <c r="U4068" s="17">
        <v>2</v>
      </c>
      <c r="V4068" s="17">
        <v>36</v>
      </c>
    </row>
    <row r="4069" spans="1:22" x14ac:dyDescent="0.2">
      <c r="A4069" t="s">
        <v>8976</v>
      </c>
      <c r="B4069" t="s">
        <v>7665</v>
      </c>
      <c r="C4069" t="s">
        <v>7666</v>
      </c>
      <c r="D4069" t="s">
        <v>8970</v>
      </c>
      <c r="E4069" s="10" t="s">
        <v>8977</v>
      </c>
      <c r="F4069" s="10"/>
      <c r="G4069" s="10"/>
      <c r="H4069" s="10" t="s">
        <v>8977</v>
      </c>
      <c r="I4069" s="14">
        <v>26808.944218561053</v>
      </c>
      <c r="J4069" s="19">
        <v>0</v>
      </c>
      <c r="K4069" s="19">
        <v>0.61795264901528613</v>
      </c>
      <c r="L4069" s="19">
        <v>0.38204735098471387</v>
      </c>
      <c r="M4069" s="20">
        <v>2</v>
      </c>
      <c r="N4069" s="19">
        <v>0.39403967333479628</v>
      </c>
      <c r="O4069" s="19">
        <v>0</v>
      </c>
      <c r="P4069" s="19">
        <v>0.22391297568048985</v>
      </c>
      <c r="Q4069" s="19">
        <v>0.19083984477846264</v>
      </c>
      <c r="R4069" s="19">
        <v>0.16183220527080974</v>
      </c>
      <c r="S4069" s="19">
        <v>2.9375300935441481E-2</v>
      </c>
      <c r="T4069" s="20">
        <v>23</v>
      </c>
      <c r="U4069" s="17">
        <v>2</v>
      </c>
      <c r="V4069" s="17">
        <v>36</v>
      </c>
    </row>
    <row r="4070" spans="1:22" x14ac:dyDescent="0.2">
      <c r="A4070" t="s">
        <v>8978</v>
      </c>
      <c r="B4070" t="s">
        <v>7665</v>
      </c>
      <c r="C4070" t="s">
        <v>7666</v>
      </c>
      <c r="D4070" t="s">
        <v>8970</v>
      </c>
      <c r="E4070" s="10" t="s">
        <v>8979</v>
      </c>
      <c r="F4070" s="10"/>
      <c r="G4070" s="10"/>
      <c r="H4070" s="10" t="s">
        <v>8979</v>
      </c>
      <c r="I4070" s="14">
        <v>59033.799716643989</v>
      </c>
      <c r="J4070" s="19">
        <v>0</v>
      </c>
      <c r="K4070" s="19">
        <v>0.35157847527092662</v>
      </c>
      <c r="L4070" s="19">
        <v>0.64842152472907344</v>
      </c>
      <c r="M4070" s="20">
        <v>1</v>
      </c>
      <c r="N4070" s="19">
        <v>0.10920074959315798</v>
      </c>
      <c r="O4070" s="19">
        <v>5.9083893333677306E-2</v>
      </c>
      <c r="P4070" s="19">
        <v>0.1832938323440913</v>
      </c>
      <c r="Q4070" s="19">
        <v>0.16950783820928722</v>
      </c>
      <c r="R4070" s="19">
        <v>0.42717824013185735</v>
      </c>
      <c r="S4070" s="19">
        <v>5.1735446387928812E-2</v>
      </c>
      <c r="T4070" s="20">
        <v>12</v>
      </c>
      <c r="U4070" s="17">
        <v>2</v>
      </c>
      <c r="V4070" s="17">
        <v>36</v>
      </c>
    </row>
    <row r="4071" spans="1:22" x14ac:dyDescent="0.2">
      <c r="A4071" t="s">
        <v>8980</v>
      </c>
      <c r="B4071" t="s">
        <v>7665</v>
      </c>
      <c r="C4071" t="s">
        <v>7666</v>
      </c>
      <c r="D4071" t="s">
        <v>8970</v>
      </c>
      <c r="E4071" s="10" t="s">
        <v>8981</v>
      </c>
      <c r="F4071" s="10"/>
      <c r="G4071" s="10"/>
      <c r="H4071" s="10" t="s">
        <v>8981</v>
      </c>
      <c r="I4071" s="14">
        <v>144171.08267783187</v>
      </c>
      <c r="J4071" s="19">
        <v>0</v>
      </c>
      <c r="K4071" s="19">
        <v>0.68345997767238165</v>
      </c>
      <c r="L4071" s="19">
        <v>0.31654002232761841</v>
      </c>
      <c r="M4071" s="20">
        <v>2</v>
      </c>
      <c r="N4071" s="19">
        <v>0.16042089862586331</v>
      </c>
      <c r="O4071" s="19">
        <v>0.23597580292086481</v>
      </c>
      <c r="P4071" s="19">
        <v>0.28706327612565347</v>
      </c>
      <c r="Q4071" s="19">
        <v>0.11163759866557209</v>
      </c>
      <c r="R4071" s="19">
        <v>0.18075200574397959</v>
      </c>
      <c r="S4071" s="19">
        <v>2.4150417918066717E-2</v>
      </c>
      <c r="T4071" s="20">
        <v>22</v>
      </c>
      <c r="U4071" s="17">
        <v>2</v>
      </c>
      <c r="V4071" s="17">
        <v>36</v>
      </c>
    </row>
    <row r="4072" spans="1:22" x14ac:dyDescent="0.2">
      <c r="A4072" t="s">
        <v>8982</v>
      </c>
      <c r="B4072" t="s">
        <v>7665</v>
      </c>
      <c r="C4072" t="s">
        <v>7666</v>
      </c>
      <c r="D4072" t="s">
        <v>8970</v>
      </c>
      <c r="E4072" s="10" t="s">
        <v>8983</v>
      </c>
      <c r="F4072" s="10"/>
      <c r="G4072" s="10"/>
      <c r="H4072" s="10" t="s">
        <v>8983</v>
      </c>
      <c r="I4072" s="14">
        <v>116624.07323871553</v>
      </c>
      <c r="J4072" s="19">
        <v>0</v>
      </c>
      <c r="K4072" s="19">
        <v>0.67444369483069955</v>
      </c>
      <c r="L4072" s="19">
        <v>0.32555630516930045</v>
      </c>
      <c r="M4072" s="20">
        <v>2</v>
      </c>
      <c r="N4072" s="19">
        <v>0.29888075137421583</v>
      </c>
      <c r="O4072" s="19">
        <v>0.17081647777035744</v>
      </c>
      <c r="P4072" s="19">
        <v>0.20474646568612628</v>
      </c>
      <c r="Q4072" s="19">
        <v>0.11036639019765836</v>
      </c>
      <c r="R4072" s="19">
        <v>0.18602039630206291</v>
      </c>
      <c r="S4072" s="19">
        <v>2.9169518669579148E-2</v>
      </c>
      <c r="T4072" s="20">
        <v>23</v>
      </c>
      <c r="U4072" s="17">
        <v>2</v>
      </c>
      <c r="V4072" s="17">
        <v>36</v>
      </c>
    </row>
    <row r="4073" spans="1:22" x14ac:dyDescent="0.2">
      <c r="A4073" t="s">
        <v>8984</v>
      </c>
      <c r="B4073" t="s">
        <v>7665</v>
      </c>
      <c r="C4073" t="s">
        <v>7666</v>
      </c>
      <c r="D4073" t="s">
        <v>8970</v>
      </c>
      <c r="E4073" s="10" t="s">
        <v>8970</v>
      </c>
      <c r="F4073" s="10"/>
      <c r="G4073" s="10"/>
      <c r="H4073" s="10" t="s">
        <v>8970</v>
      </c>
      <c r="I4073" s="14">
        <v>111218.54366050102</v>
      </c>
      <c r="J4073" s="19">
        <v>0.74794488222570188</v>
      </c>
      <c r="K4073" s="19">
        <v>0.2136567697271583</v>
      </c>
      <c r="L4073" s="19">
        <v>3.8398348047139784E-2</v>
      </c>
      <c r="M4073" s="20">
        <v>3</v>
      </c>
      <c r="N4073" s="19">
        <v>3.0619651148240922E-4</v>
      </c>
      <c r="O4073" s="19">
        <v>0</v>
      </c>
      <c r="P4073" s="19">
        <v>0.21335057321567588</v>
      </c>
      <c r="Q4073" s="19">
        <v>0</v>
      </c>
      <c r="R4073" s="19">
        <v>3.4879025807260516E-2</v>
      </c>
      <c r="S4073" s="19">
        <v>3.5193222398792658E-3</v>
      </c>
      <c r="T4073" s="20">
        <v>30</v>
      </c>
      <c r="U4073" s="17">
        <v>2</v>
      </c>
      <c r="V4073" s="17">
        <v>36</v>
      </c>
    </row>
    <row r="4074" spans="1:22" x14ac:dyDescent="0.2">
      <c r="A4074" t="s">
        <v>8985</v>
      </c>
      <c r="B4074" t="s">
        <v>7665</v>
      </c>
      <c r="C4074" t="s">
        <v>7666</v>
      </c>
      <c r="D4074" t="s">
        <v>8970</v>
      </c>
      <c r="E4074" s="10" t="s">
        <v>8986</v>
      </c>
      <c r="F4074" s="10"/>
      <c r="G4074" s="10"/>
      <c r="H4074" s="10" t="s">
        <v>8986</v>
      </c>
      <c r="I4074" s="14">
        <v>105371.39733256563</v>
      </c>
      <c r="J4074" s="19">
        <v>0</v>
      </c>
      <c r="K4074" s="19">
        <v>0.73069761928967503</v>
      </c>
      <c r="L4074" s="19">
        <v>0.26930238071032497</v>
      </c>
      <c r="M4074" s="20">
        <v>2</v>
      </c>
      <c r="N4074" s="19">
        <v>0.25496836585355831</v>
      </c>
      <c r="O4074" s="19">
        <v>5.6666395546635065E-2</v>
      </c>
      <c r="P4074" s="19">
        <v>0.41906285788948167</v>
      </c>
      <c r="Q4074" s="19">
        <v>6.3618510932733824E-2</v>
      </c>
      <c r="R4074" s="19">
        <v>0.18688568904746058</v>
      </c>
      <c r="S4074" s="19">
        <v>1.8798180730130551E-2</v>
      </c>
      <c r="T4074" s="20">
        <v>23</v>
      </c>
      <c r="U4074" s="17">
        <v>2</v>
      </c>
      <c r="V4074" s="17">
        <v>36</v>
      </c>
    </row>
    <row r="4075" spans="1:22" x14ac:dyDescent="0.2">
      <c r="A4075" t="s">
        <v>8987</v>
      </c>
      <c r="B4075" t="s">
        <v>7665</v>
      </c>
      <c r="C4075" t="s">
        <v>7666</v>
      </c>
      <c r="D4075" t="s">
        <v>8988</v>
      </c>
      <c r="E4075" s="10"/>
      <c r="F4075" s="10"/>
      <c r="G4075" s="10"/>
      <c r="H4075" s="10" t="s">
        <v>8988</v>
      </c>
      <c r="I4075" s="14">
        <v>7449787.6248771688</v>
      </c>
      <c r="J4075" s="19">
        <v>0.71788524972655277</v>
      </c>
      <c r="K4075" s="19">
        <v>0.26968236187682376</v>
      </c>
      <c r="L4075" s="19">
        <v>1.2432388396623204E-2</v>
      </c>
      <c r="M4075" s="20">
        <v>3</v>
      </c>
      <c r="N4075" s="19">
        <v>0.13440840423702369</v>
      </c>
      <c r="O4075" s="19">
        <v>9.1464138840306297E-4</v>
      </c>
      <c r="P4075" s="19">
        <v>0.13435931625139702</v>
      </c>
      <c r="Q4075" s="19">
        <v>1.2420818754657909E-3</v>
      </c>
      <c r="R4075" s="19">
        <v>1.0527232981926919E-2</v>
      </c>
      <c r="S4075" s="19">
        <v>6.6307353923049286E-4</v>
      </c>
      <c r="T4075" s="20">
        <v>30</v>
      </c>
      <c r="U4075" s="17">
        <v>2</v>
      </c>
      <c r="V4075" s="17">
        <v>36</v>
      </c>
    </row>
    <row r="4076" spans="1:22" x14ac:dyDescent="0.2">
      <c r="A4076" t="s">
        <v>8989</v>
      </c>
      <c r="B4076" t="s">
        <v>7665</v>
      </c>
      <c r="C4076" t="s">
        <v>7666</v>
      </c>
      <c r="D4076" t="s">
        <v>8990</v>
      </c>
      <c r="E4076" s="10"/>
      <c r="F4076" s="10"/>
      <c r="G4076" s="10"/>
      <c r="H4076" s="10" t="s">
        <v>8990</v>
      </c>
      <c r="I4076" s="14">
        <v>10169361.497020366</v>
      </c>
      <c r="J4076" s="19">
        <v>0.96176817435222861</v>
      </c>
      <c r="K4076" s="19">
        <v>3.3114107602425738E-2</v>
      </c>
      <c r="L4076" s="19">
        <v>5.1177180453457986E-3</v>
      </c>
      <c r="M4076" s="20">
        <v>3</v>
      </c>
      <c r="N4076" s="19">
        <v>9.2749805500705277E-3</v>
      </c>
      <c r="O4076" s="19">
        <v>0</v>
      </c>
      <c r="P4076" s="19">
        <v>2.3839127052355209E-2</v>
      </c>
      <c r="Q4076" s="19">
        <v>7.9778208990134171E-4</v>
      </c>
      <c r="R4076" s="19">
        <v>4.0079962559297104E-3</v>
      </c>
      <c r="S4076" s="19">
        <v>3.119396995147454E-4</v>
      </c>
      <c r="T4076" s="20">
        <v>30</v>
      </c>
      <c r="U4076" s="17">
        <v>2</v>
      </c>
      <c r="V4076" s="17">
        <v>36</v>
      </c>
    </row>
  </sheetData>
  <autoFilter ref="A3:DR14" xr:uid="{00000000-0009-0000-0000-000002000000}"/>
  <phoneticPr fontId="1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J26"/>
  <sheetViews>
    <sheetView zoomScaleNormal="100" workbookViewId="0">
      <selection activeCell="I7" sqref="I7"/>
    </sheetView>
  </sheetViews>
  <sheetFormatPr defaultRowHeight="12.75" x14ac:dyDescent="0.2"/>
  <cols>
    <col min="1" max="1" width="12.85546875" bestFit="1" customWidth="1"/>
    <col min="2" max="2" width="27.5703125" bestFit="1" customWidth="1"/>
    <col min="3" max="3" width="54.140625" bestFit="1" customWidth="1"/>
    <col min="4" max="4" width="50" bestFit="1" customWidth="1"/>
    <col min="5" max="5" width="10.28515625" bestFit="1" customWidth="1"/>
    <col min="6" max="6" width="14.5703125" bestFit="1" customWidth="1"/>
    <col min="7" max="10" width="12.140625" bestFit="1" customWidth="1"/>
  </cols>
  <sheetData>
    <row r="1" spans="1:10" x14ac:dyDescent="0.2">
      <c r="A1" s="1" t="s">
        <v>28</v>
      </c>
      <c r="B1" s="1" t="s">
        <v>29</v>
      </c>
      <c r="C1" s="1" t="s">
        <v>30</v>
      </c>
      <c r="D1" s="1" t="s">
        <v>32</v>
      </c>
      <c r="E1" s="1" t="s">
        <v>0</v>
      </c>
      <c r="F1" s="1" t="s">
        <v>1</v>
      </c>
      <c r="G1" s="1" t="s">
        <v>150</v>
      </c>
      <c r="H1" s="1" t="s">
        <v>151</v>
      </c>
      <c r="I1" s="1" t="s">
        <v>152</v>
      </c>
      <c r="J1" s="1" t="s">
        <v>153</v>
      </c>
    </row>
    <row r="2" spans="1:10" x14ac:dyDescent="0.2">
      <c r="A2" t="s">
        <v>797</v>
      </c>
      <c r="B2" s="2" t="s">
        <v>299</v>
      </c>
      <c r="C2" s="2" t="s">
        <v>300</v>
      </c>
      <c r="D2" s="2" t="s">
        <v>33</v>
      </c>
      <c r="E2" t="s">
        <v>14</v>
      </c>
      <c r="F2">
        <f>COUNTA(G2:J2)-COUNTBLANK(G2:J2)</f>
        <v>4</v>
      </c>
      <c r="G2" t="str">
        <f>IF($E2="Beta-PERT","Min",IF($E2="Triangular","Min",IF($E2="Normal","Mean",IF($E2="Uniform","Min","NA"))))</f>
        <v>Mean</v>
      </c>
      <c r="H2" t="str">
        <f>IF($E2="Beta-PERT","Mode",IF($E2="Triangular","Mode",IF($E2="Normal","St. Dev",IF($E2="Uniform","Max","NA"))))</f>
        <v>St. Dev</v>
      </c>
      <c r="I2" t="str">
        <f>IF($E2="Beta-PERT","Max",IF($E2="Triangular","Max",IF($E2="Normal","Lower bound","NA")))</f>
        <v>Lower bound</v>
      </c>
      <c r="J2" t="str">
        <f>IF($E2="Beta-PERT","Shape",IF($E2="Triangular","",IF($E2="Normal","Upper bound","NA")))</f>
        <v>Upper bound</v>
      </c>
    </row>
    <row r="3" spans="1:10" x14ac:dyDescent="0.2">
      <c r="A3" s="2" t="s">
        <v>301</v>
      </c>
      <c r="B3" s="2" t="s">
        <v>302</v>
      </c>
      <c r="C3" s="2" t="s">
        <v>303</v>
      </c>
      <c r="D3" s="2" t="s">
        <v>307</v>
      </c>
      <c r="E3" t="s">
        <v>14</v>
      </c>
      <c r="F3">
        <f t="shared" ref="F3:F8" si="0">COUNTA(G3:J3)-COUNTBLANK(G3:J3)</f>
        <v>4</v>
      </c>
      <c r="G3" t="str">
        <f t="shared" ref="G3:G26" si="1">IF($E3="Beta-PERT","Min",IF($E3="Triangular","Min",IF($E3="Normal","Mean",IF($E3="Uniform","Min","NA"))))</f>
        <v>Mean</v>
      </c>
      <c r="H3" t="str">
        <f t="shared" ref="H3:H26" si="2">IF($E3="Beta-PERT","Mode",IF($E3="Triangular","Mode",IF($E3="Normal","St. Dev",IF($E3="Uniform","Max","NA"))))</f>
        <v>St. Dev</v>
      </c>
      <c r="I3" t="str">
        <f t="shared" ref="I3:I26" si="3">IF($E3="Beta-PERT","Max",IF($E3="Triangular","Max",IF($E3="Normal","Lower bound","NA")))</f>
        <v>Lower bound</v>
      </c>
      <c r="J3" t="str">
        <f t="shared" ref="J3:J26" si="4">IF($E3="Beta-PERT","Shape",IF($E3="Triangular","",IF($E3="Normal","Upper bound","NA")))</f>
        <v>Upper bound</v>
      </c>
    </row>
    <row r="4" spans="1:10" x14ac:dyDescent="0.2">
      <c r="A4" s="2" t="s">
        <v>304</v>
      </c>
      <c r="B4" s="2" t="s">
        <v>312</v>
      </c>
      <c r="C4" s="2" t="s">
        <v>308</v>
      </c>
      <c r="D4" s="2" t="s">
        <v>309</v>
      </c>
      <c r="E4" t="s">
        <v>3</v>
      </c>
      <c r="F4">
        <f t="shared" si="0"/>
        <v>4</v>
      </c>
      <c r="G4" t="str">
        <f t="shared" si="1"/>
        <v>Min</v>
      </c>
      <c r="H4" t="str">
        <f t="shared" si="2"/>
        <v>Mode</v>
      </c>
      <c r="I4" t="str">
        <f t="shared" si="3"/>
        <v>Max</v>
      </c>
      <c r="J4" t="str">
        <f t="shared" si="4"/>
        <v>Shape</v>
      </c>
    </row>
    <row r="5" spans="1:10" x14ac:dyDescent="0.2">
      <c r="A5" s="2" t="s">
        <v>305</v>
      </c>
      <c r="B5" s="2" t="s">
        <v>163</v>
      </c>
      <c r="C5" s="2" t="s">
        <v>310</v>
      </c>
      <c r="D5" s="2" t="s">
        <v>309</v>
      </c>
      <c r="E5" t="s">
        <v>3</v>
      </c>
      <c r="F5">
        <f t="shared" si="0"/>
        <v>4</v>
      </c>
      <c r="G5" t="str">
        <f t="shared" si="1"/>
        <v>Min</v>
      </c>
      <c r="H5" t="str">
        <f t="shared" si="2"/>
        <v>Mode</v>
      </c>
      <c r="I5" t="str">
        <f t="shared" si="3"/>
        <v>Max</v>
      </c>
      <c r="J5" t="str">
        <f t="shared" si="4"/>
        <v>Shape</v>
      </c>
    </row>
    <row r="6" spans="1:10" x14ac:dyDescent="0.2">
      <c r="A6" s="2" t="s">
        <v>306</v>
      </c>
      <c r="B6" s="2" t="s">
        <v>164</v>
      </c>
      <c r="C6" s="2" t="s">
        <v>311</v>
      </c>
      <c r="D6" s="2" t="s">
        <v>309</v>
      </c>
      <c r="E6" t="s">
        <v>3</v>
      </c>
      <c r="F6">
        <f t="shared" si="0"/>
        <v>4</v>
      </c>
      <c r="G6" t="str">
        <f t="shared" si="1"/>
        <v>Min</v>
      </c>
      <c r="H6" t="str">
        <f t="shared" si="2"/>
        <v>Mode</v>
      </c>
      <c r="I6" t="str">
        <f t="shared" si="3"/>
        <v>Max</v>
      </c>
      <c r="J6" t="str">
        <f t="shared" si="4"/>
        <v>Shape</v>
      </c>
    </row>
    <row r="7" spans="1:10" x14ac:dyDescent="0.2">
      <c r="A7" s="2" t="s">
        <v>313</v>
      </c>
      <c r="B7" s="2" t="s">
        <v>317</v>
      </c>
      <c r="C7" s="2" t="s">
        <v>188</v>
      </c>
      <c r="D7" s="2" t="s">
        <v>318</v>
      </c>
      <c r="E7" t="s">
        <v>473</v>
      </c>
      <c r="F7">
        <f t="shared" si="0"/>
        <v>4</v>
      </c>
      <c r="G7" t="str">
        <f t="shared" si="1"/>
        <v>Min</v>
      </c>
      <c r="H7" t="str">
        <f t="shared" si="2"/>
        <v>Max</v>
      </c>
      <c r="I7" t="str">
        <f t="shared" si="3"/>
        <v>NA</v>
      </c>
      <c r="J7" t="str">
        <f t="shared" si="4"/>
        <v>NA</v>
      </c>
    </row>
    <row r="8" spans="1:10" x14ac:dyDescent="0.2">
      <c r="A8" s="9" t="s">
        <v>467</v>
      </c>
      <c r="B8" s="2" t="s">
        <v>314</v>
      </c>
      <c r="C8" s="2" t="s">
        <v>315</v>
      </c>
      <c r="D8" s="2" t="s">
        <v>316</v>
      </c>
      <c r="E8" t="s">
        <v>14</v>
      </c>
      <c r="F8">
        <f t="shared" si="0"/>
        <v>4</v>
      </c>
      <c r="G8" t="str">
        <f t="shared" si="1"/>
        <v>Mean</v>
      </c>
      <c r="H8" t="str">
        <f t="shared" si="2"/>
        <v>St. Dev</v>
      </c>
      <c r="I8" t="str">
        <f t="shared" si="3"/>
        <v>Lower bound</v>
      </c>
      <c r="J8" t="str">
        <f t="shared" si="4"/>
        <v>Upper bound</v>
      </c>
    </row>
    <row r="9" spans="1:10" x14ac:dyDescent="0.2">
      <c r="A9" s="2" t="s">
        <v>459</v>
      </c>
      <c r="B9" s="2" t="s">
        <v>461</v>
      </c>
      <c r="C9" s="2" t="s">
        <v>462</v>
      </c>
      <c r="D9" s="2" t="s">
        <v>361</v>
      </c>
      <c r="E9" t="s">
        <v>3</v>
      </c>
      <c r="F9">
        <f>COUNTA(G9:J9)-COUNTBLANK(G9:J9)</f>
        <v>4</v>
      </c>
      <c r="G9" t="str">
        <f t="shared" si="1"/>
        <v>Min</v>
      </c>
      <c r="H9" t="str">
        <f t="shared" si="2"/>
        <v>Mode</v>
      </c>
      <c r="I9" t="str">
        <f t="shared" si="3"/>
        <v>Max</v>
      </c>
      <c r="J9" t="str">
        <f t="shared" si="4"/>
        <v>Shape</v>
      </c>
    </row>
    <row r="10" spans="1:10" x14ac:dyDescent="0.2">
      <c r="A10" s="2" t="s">
        <v>460</v>
      </c>
      <c r="B10" s="2" t="s">
        <v>463</v>
      </c>
      <c r="C10" s="2" t="s">
        <v>464</v>
      </c>
      <c r="D10" s="2" t="s">
        <v>465</v>
      </c>
      <c r="E10" t="s">
        <v>473</v>
      </c>
      <c r="F10">
        <f>COUNTA(G10:J10)-COUNTBLANK(G10:J10)</f>
        <v>4</v>
      </c>
      <c r="G10" t="str">
        <f t="shared" si="1"/>
        <v>Min</v>
      </c>
      <c r="H10" t="str">
        <f t="shared" si="2"/>
        <v>Max</v>
      </c>
      <c r="I10" t="str">
        <f t="shared" si="3"/>
        <v>NA</v>
      </c>
      <c r="J10" t="str">
        <f t="shared" si="4"/>
        <v>NA</v>
      </c>
    </row>
    <row r="11" spans="1:10" x14ac:dyDescent="0.2">
      <c r="A11" s="9" t="s">
        <v>468</v>
      </c>
      <c r="B11" s="2" t="s">
        <v>470</v>
      </c>
      <c r="C11" s="2" t="s">
        <v>469</v>
      </c>
      <c r="D11" s="2" t="s">
        <v>471</v>
      </c>
      <c r="E11" t="s">
        <v>14</v>
      </c>
      <c r="F11">
        <f t="shared" ref="F11:F26" si="5">COUNTA(G11:J11)-COUNTBLANK(G11:J11)</f>
        <v>4</v>
      </c>
      <c r="G11" t="str">
        <f t="shared" si="1"/>
        <v>Mean</v>
      </c>
      <c r="H11" t="str">
        <f t="shared" si="2"/>
        <v>St. Dev</v>
      </c>
      <c r="I11" t="str">
        <f t="shared" si="3"/>
        <v>Lower bound</v>
      </c>
      <c r="J11" t="str">
        <f t="shared" si="4"/>
        <v>Upper bound</v>
      </c>
    </row>
    <row r="12" spans="1:10" x14ac:dyDescent="0.2">
      <c r="A12" s="9" t="s">
        <v>510</v>
      </c>
      <c r="B12" s="2" t="s">
        <v>511</v>
      </c>
      <c r="C12" s="2" t="s">
        <v>512</v>
      </c>
      <c r="D12" s="2" t="s">
        <v>36</v>
      </c>
      <c r="E12" t="s">
        <v>3</v>
      </c>
      <c r="F12">
        <f t="shared" si="5"/>
        <v>4</v>
      </c>
      <c r="G12" t="str">
        <f t="shared" si="1"/>
        <v>Min</v>
      </c>
      <c r="H12" t="str">
        <f t="shared" si="2"/>
        <v>Mode</v>
      </c>
      <c r="I12" t="str">
        <f t="shared" si="3"/>
        <v>Max</v>
      </c>
      <c r="J12" t="str">
        <f t="shared" si="4"/>
        <v>Shape</v>
      </c>
    </row>
    <row r="13" spans="1:10" x14ac:dyDescent="0.2">
      <c r="A13" s="9" t="s">
        <v>7</v>
      </c>
      <c r="B13" s="2" t="s">
        <v>48</v>
      </c>
      <c r="C13" s="2" t="s">
        <v>37</v>
      </c>
      <c r="D13" s="2" t="s">
        <v>39</v>
      </c>
      <c r="E13" t="s">
        <v>3</v>
      </c>
      <c r="F13">
        <f t="shared" si="5"/>
        <v>4</v>
      </c>
      <c r="G13" t="str">
        <f t="shared" si="1"/>
        <v>Min</v>
      </c>
      <c r="H13" t="str">
        <f t="shared" si="2"/>
        <v>Mode</v>
      </c>
      <c r="I13" t="str">
        <f t="shared" si="3"/>
        <v>Max</v>
      </c>
      <c r="J13" t="str">
        <f t="shared" si="4"/>
        <v>Shape</v>
      </c>
    </row>
    <row r="14" spans="1:10" x14ac:dyDescent="0.2">
      <c r="A14" s="9" t="s">
        <v>8</v>
      </c>
      <c r="B14" s="2" t="s">
        <v>47</v>
      </c>
      <c r="C14" s="2" t="s">
        <v>38</v>
      </c>
      <c r="D14" s="2" t="s">
        <v>51</v>
      </c>
      <c r="E14" t="s">
        <v>3</v>
      </c>
      <c r="F14">
        <f t="shared" si="5"/>
        <v>4</v>
      </c>
      <c r="G14" t="str">
        <f t="shared" si="1"/>
        <v>Min</v>
      </c>
      <c r="H14" t="str">
        <f t="shared" si="2"/>
        <v>Mode</v>
      </c>
      <c r="I14" t="str">
        <f t="shared" si="3"/>
        <v>Max</v>
      </c>
      <c r="J14" t="str">
        <f t="shared" si="4"/>
        <v>Shape</v>
      </c>
    </row>
    <row r="15" spans="1:10" x14ac:dyDescent="0.2">
      <c r="A15" s="9" t="s">
        <v>9</v>
      </c>
      <c r="B15" s="2" t="s">
        <v>40</v>
      </c>
      <c r="C15" s="2" t="s">
        <v>41</v>
      </c>
      <c r="D15" s="2" t="s">
        <v>42</v>
      </c>
      <c r="E15" t="s">
        <v>473</v>
      </c>
      <c r="F15">
        <f t="shared" si="5"/>
        <v>4</v>
      </c>
      <c r="G15" t="str">
        <f t="shared" si="1"/>
        <v>Min</v>
      </c>
      <c r="H15" t="str">
        <f t="shared" si="2"/>
        <v>Max</v>
      </c>
      <c r="I15" t="str">
        <f t="shared" si="3"/>
        <v>NA</v>
      </c>
      <c r="J15" t="str">
        <f t="shared" si="4"/>
        <v>NA</v>
      </c>
    </row>
    <row r="16" spans="1:10" x14ac:dyDescent="0.2">
      <c r="A16" s="9" t="s">
        <v>10</v>
      </c>
      <c r="B16" s="2" t="s">
        <v>43</v>
      </c>
      <c r="C16" s="2" t="s">
        <v>44</v>
      </c>
      <c r="D16" s="2" t="s">
        <v>45</v>
      </c>
      <c r="E16" t="s">
        <v>3</v>
      </c>
      <c r="F16">
        <f t="shared" si="5"/>
        <v>4</v>
      </c>
      <c r="G16" t="str">
        <f t="shared" si="1"/>
        <v>Min</v>
      </c>
      <c r="H16" t="str">
        <f t="shared" si="2"/>
        <v>Mode</v>
      </c>
      <c r="I16" t="str">
        <f t="shared" si="3"/>
        <v>Max</v>
      </c>
      <c r="J16" t="str">
        <f t="shared" si="4"/>
        <v>Shape</v>
      </c>
    </row>
    <row r="17" spans="1:10" x14ac:dyDescent="0.2">
      <c r="A17" s="9" t="s">
        <v>12</v>
      </c>
      <c r="B17" s="2" t="s">
        <v>49</v>
      </c>
      <c r="C17" s="2" t="s">
        <v>50</v>
      </c>
      <c r="D17" s="2" t="s">
        <v>52</v>
      </c>
      <c r="E17" t="s">
        <v>3</v>
      </c>
      <c r="F17">
        <f t="shared" si="5"/>
        <v>4</v>
      </c>
      <c r="G17" t="str">
        <f t="shared" si="1"/>
        <v>Min</v>
      </c>
      <c r="H17" t="str">
        <f t="shared" si="2"/>
        <v>Mode</v>
      </c>
      <c r="I17" t="str">
        <f t="shared" si="3"/>
        <v>Max</v>
      </c>
      <c r="J17" t="str">
        <f t="shared" si="4"/>
        <v>Shape</v>
      </c>
    </row>
    <row r="18" spans="1:10" x14ac:dyDescent="0.2">
      <c r="A18" s="9" t="s">
        <v>13</v>
      </c>
      <c r="B18" s="2" t="s">
        <v>53</v>
      </c>
      <c r="C18" s="2" t="s">
        <v>54</v>
      </c>
      <c r="D18" s="2" t="s">
        <v>56</v>
      </c>
      <c r="E18" t="s">
        <v>3</v>
      </c>
      <c r="F18">
        <f t="shared" si="5"/>
        <v>4</v>
      </c>
      <c r="G18" t="str">
        <f t="shared" si="1"/>
        <v>Min</v>
      </c>
      <c r="H18" t="str">
        <f t="shared" si="2"/>
        <v>Mode</v>
      </c>
      <c r="I18" t="str">
        <f t="shared" si="3"/>
        <v>Max</v>
      </c>
      <c r="J18" t="str">
        <f t="shared" si="4"/>
        <v>Shape</v>
      </c>
    </row>
    <row r="19" spans="1:10" x14ac:dyDescent="0.2">
      <c r="A19" s="9" t="s">
        <v>15</v>
      </c>
      <c r="B19" s="2" t="s">
        <v>55</v>
      </c>
      <c r="C19" s="2" t="s">
        <v>57</v>
      </c>
      <c r="D19" s="2" t="s">
        <v>58</v>
      </c>
      <c r="E19" t="s">
        <v>3</v>
      </c>
      <c r="F19">
        <f t="shared" si="5"/>
        <v>4</v>
      </c>
      <c r="G19" t="str">
        <f t="shared" si="1"/>
        <v>Min</v>
      </c>
      <c r="H19" t="str">
        <f t="shared" si="2"/>
        <v>Mode</v>
      </c>
      <c r="I19" t="str">
        <f t="shared" si="3"/>
        <v>Max</v>
      </c>
      <c r="J19" t="str">
        <f t="shared" si="4"/>
        <v>Shape</v>
      </c>
    </row>
    <row r="20" spans="1:10" x14ac:dyDescent="0.2">
      <c r="A20" s="9" t="s">
        <v>466</v>
      </c>
      <c r="B20" s="2" t="s">
        <v>59</v>
      </c>
      <c r="C20" s="2" t="s">
        <v>61</v>
      </c>
      <c r="D20" s="2" t="s">
        <v>66</v>
      </c>
      <c r="E20" t="s">
        <v>3</v>
      </c>
      <c r="F20">
        <f t="shared" si="5"/>
        <v>4</v>
      </c>
      <c r="G20" t="str">
        <f t="shared" si="1"/>
        <v>Min</v>
      </c>
      <c r="H20" t="str">
        <f t="shared" si="2"/>
        <v>Mode</v>
      </c>
      <c r="I20" t="str">
        <f t="shared" si="3"/>
        <v>Max</v>
      </c>
      <c r="J20" t="str">
        <f t="shared" si="4"/>
        <v>Shape</v>
      </c>
    </row>
    <row r="21" spans="1:10" x14ac:dyDescent="0.2">
      <c r="A21" s="9" t="s">
        <v>472</v>
      </c>
      <c r="B21" s="2" t="s">
        <v>62</v>
      </c>
      <c r="C21" s="2" t="s">
        <v>63</v>
      </c>
      <c r="D21" s="2" t="s">
        <v>67</v>
      </c>
      <c r="E21" t="s">
        <v>3</v>
      </c>
      <c r="F21">
        <f t="shared" si="5"/>
        <v>4</v>
      </c>
      <c r="G21" t="str">
        <f t="shared" si="1"/>
        <v>Min</v>
      </c>
      <c r="H21" t="str">
        <f t="shared" si="2"/>
        <v>Mode</v>
      </c>
      <c r="I21" t="str">
        <f t="shared" si="3"/>
        <v>Max</v>
      </c>
      <c r="J21" t="str">
        <f t="shared" si="4"/>
        <v>Shape</v>
      </c>
    </row>
    <row r="22" spans="1:10" x14ac:dyDescent="0.2">
      <c r="A22" s="2" t="s">
        <v>18</v>
      </c>
      <c r="B22" s="2" t="s">
        <v>64</v>
      </c>
      <c r="C22" s="2" t="s">
        <v>65</v>
      </c>
      <c r="D22" s="2" t="s">
        <v>68</v>
      </c>
      <c r="E22" t="s">
        <v>473</v>
      </c>
      <c r="F22">
        <f t="shared" si="5"/>
        <v>4</v>
      </c>
      <c r="G22" t="str">
        <f t="shared" si="1"/>
        <v>Min</v>
      </c>
      <c r="H22" t="str">
        <f t="shared" si="2"/>
        <v>Max</v>
      </c>
      <c r="I22" t="str">
        <f t="shared" si="3"/>
        <v>NA</v>
      </c>
      <c r="J22" t="str">
        <f t="shared" si="4"/>
        <v>NA</v>
      </c>
    </row>
    <row r="23" spans="1:10" x14ac:dyDescent="0.2">
      <c r="A23" s="9" t="s">
        <v>20</v>
      </c>
      <c r="B23" s="2" t="s">
        <v>69</v>
      </c>
      <c r="C23" s="2" t="s">
        <v>73</v>
      </c>
      <c r="D23" s="2" t="s">
        <v>77</v>
      </c>
      <c r="E23" t="s">
        <v>3</v>
      </c>
      <c r="F23">
        <f t="shared" si="5"/>
        <v>4</v>
      </c>
      <c r="G23" t="str">
        <f t="shared" si="1"/>
        <v>Min</v>
      </c>
      <c r="H23" t="str">
        <f t="shared" si="2"/>
        <v>Mode</v>
      </c>
      <c r="I23" t="str">
        <f t="shared" si="3"/>
        <v>Max</v>
      </c>
      <c r="J23" t="str">
        <f t="shared" si="4"/>
        <v>Shape</v>
      </c>
    </row>
    <row r="24" spans="1:10" x14ac:dyDescent="0.2">
      <c r="A24" s="9" t="s">
        <v>21</v>
      </c>
      <c r="B24" s="2" t="s">
        <v>70</v>
      </c>
      <c r="C24" s="2" t="s">
        <v>74</v>
      </c>
      <c r="D24" s="2" t="s">
        <v>78</v>
      </c>
      <c r="E24" t="s">
        <v>3</v>
      </c>
      <c r="F24">
        <f t="shared" si="5"/>
        <v>4</v>
      </c>
      <c r="G24" t="str">
        <f t="shared" si="1"/>
        <v>Min</v>
      </c>
      <c r="H24" t="str">
        <f t="shared" si="2"/>
        <v>Mode</v>
      </c>
      <c r="I24" t="str">
        <f t="shared" si="3"/>
        <v>Max</v>
      </c>
      <c r="J24" t="str">
        <f t="shared" si="4"/>
        <v>Shape</v>
      </c>
    </row>
    <row r="25" spans="1:10" x14ac:dyDescent="0.2">
      <c r="A25" s="9" t="s">
        <v>22</v>
      </c>
      <c r="B25" s="2" t="s">
        <v>71</v>
      </c>
      <c r="C25" s="2" t="s">
        <v>75</v>
      </c>
      <c r="D25" s="2" t="s">
        <v>79</v>
      </c>
      <c r="E25" t="s">
        <v>3</v>
      </c>
      <c r="F25">
        <f t="shared" si="5"/>
        <v>4</v>
      </c>
      <c r="G25" t="str">
        <f t="shared" si="1"/>
        <v>Min</v>
      </c>
      <c r="H25" t="str">
        <f t="shared" si="2"/>
        <v>Mode</v>
      </c>
      <c r="I25" t="str">
        <f t="shared" si="3"/>
        <v>Max</v>
      </c>
      <c r="J25" t="str">
        <f t="shared" si="4"/>
        <v>Shape</v>
      </c>
    </row>
    <row r="26" spans="1:10" x14ac:dyDescent="0.2">
      <c r="A26" s="9" t="s">
        <v>23</v>
      </c>
      <c r="B26" s="2" t="s">
        <v>72</v>
      </c>
      <c r="C26" s="2" t="s">
        <v>76</v>
      </c>
      <c r="D26" s="2" t="s">
        <v>80</v>
      </c>
      <c r="E26" t="s">
        <v>3</v>
      </c>
      <c r="F26">
        <f t="shared" si="5"/>
        <v>4</v>
      </c>
      <c r="G26" t="str">
        <f t="shared" si="1"/>
        <v>Min</v>
      </c>
      <c r="H26" t="str">
        <f t="shared" si="2"/>
        <v>Mode</v>
      </c>
      <c r="I26" t="str">
        <f t="shared" si="3"/>
        <v>Max</v>
      </c>
      <c r="J26" t="str">
        <f t="shared" si="4"/>
        <v>Shape</v>
      </c>
    </row>
  </sheetData>
  <dataValidations count="1">
    <dataValidation type="list" allowBlank="1" showInputMessage="1" showErrorMessage="1" sqref="E2:E26" xr:uid="{00000000-0002-0000-0100-000000000000}">
      <formula1>"Beta-PERT,Triangular,Normal,Uniform"</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14999847407452621"/>
  </sheetPr>
  <dimension ref="A1:N21"/>
  <sheetViews>
    <sheetView topLeftCell="D1" zoomScale="130" zoomScaleNormal="130" workbookViewId="0">
      <selection activeCell="G47" sqref="G47"/>
    </sheetView>
  </sheetViews>
  <sheetFormatPr defaultRowHeight="12.75" x14ac:dyDescent="0.2"/>
  <cols>
    <col min="1" max="1" width="12.42578125" bestFit="1" customWidth="1"/>
    <col min="2" max="2" width="28.85546875" bestFit="1" customWidth="1"/>
    <col min="3" max="3" width="16.140625" bestFit="1" customWidth="1"/>
    <col min="4" max="4" width="13.28515625" bestFit="1" customWidth="1"/>
    <col min="5" max="5" width="13.42578125" customWidth="1"/>
    <col min="6" max="6" width="15.5703125" customWidth="1"/>
    <col min="7" max="7" width="21.5703125" bestFit="1" customWidth="1"/>
    <col min="8" max="9" width="24" bestFit="1" customWidth="1"/>
    <col min="10" max="10" width="18.85546875" bestFit="1" customWidth="1"/>
    <col min="11" max="11" width="12.85546875" customWidth="1"/>
    <col min="12" max="14" width="12.5703125" bestFit="1" customWidth="1"/>
  </cols>
  <sheetData>
    <row r="1" spans="1:14" x14ac:dyDescent="0.2">
      <c r="A1" s="13" t="s">
        <v>478</v>
      </c>
      <c r="B1" s="13" t="s">
        <v>569</v>
      </c>
      <c r="C1" s="1" t="s">
        <v>351</v>
      </c>
      <c r="D1" s="1" t="s">
        <v>346</v>
      </c>
      <c r="E1" s="1" t="s">
        <v>0</v>
      </c>
      <c r="F1" s="1" t="s">
        <v>1</v>
      </c>
      <c r="G1" s="1" t="s">
        <v>474</v>
      </c>
      <c r="H1" s="1" t="s">
        <v>475</v>
      </c>
      <c r="I1" s="1" t="s">
        <v>476</v>
      </c>
      <c r="J1" s="1" t="s">
        <v>477</v>
      </c>
      <c r="K1" s="1" t="s">
        <v>150</v>
      </c>
      <c r="L1" s="1" t="s">
        <v>151</v>
      </c>
      <c r="M1" s="1" t="s">
        <v>152</v>
      </c>
      <c r="N1" s="1" t="s">
        <v>153</v>
      </c>
    </row>
    <row r="2" spans="1:14" x14ac:dyDescent="0.2">
      <c r="A2" s="9" t="s">
        <v>479</v>
      </c>
      <c r="B2" t="s">
        <v>571</v>
      </c>
      <c r="C2">
        <v>4</v>
      </c>
      <c r="D2" t="s">
        <v>347</v>
      </c>
      <c r="E2" t="s">
        <v>3</v>
      </c>
      <c r="F2">
        <f>COUNTA(G2:J2)-COUNTBLANK(G2:J2)</f>
        <v>4</v>
      </c>
      <c r="G2" t="str">
        <f>IF($E2="Beta-PERT","Min",IF($E2="Triangular","Min",IF($E2="Normal","Mean",IF($E2="Uniform","Min","NA"))))</f>
        <v>Min</v>
      </c>
      <c r="H2" t="str">
        <f>IF($E2="Beta-PERT","Mode",IF($E2="Triangular","Mode",IF($E2="Normal","St. Dev",IF($E2="Uniform","Max","NA"))))</f>
        <v>Mode</v>
      </c>
      <c r="I2" t="str">
        <f>IF($E2="Beta-PERT","Max",IF($E2="Triangular","Max",IF($E2="Normal","NA","NA")))</f>
        <v>Max</v>
      </c>
      <c r="J2" t="str">
        <f>IF($E2="Beta-PERT","Shape",IF($E2="Triangular","",IF($E2="Normal","NA","NA")))</f>
        <v>Shape</v>
      </c>
      <c r="K2">
        <v>90</v>
      </c>
      <c r="L2">
        <v>99</v>
      </c>
      <c r="M2">
        <v>100</v>
      </c>
      <c r="N2">
        <v>4</v>
      </c>
    </row>
    <row r="3" spans="1:14" x14ac:dyDescent="0.2">
      <c r="A3" s="9" t="s">
        <v>480</v>
      </c>
      <c r="B3" t="s">
        <v>570</v>
      </c>
      <c r="C3">
        <v>4</v>
      </c>
      <c r="D3" t="s">
        <v>347</v>
      </c>
      <c r="E3" t="s">
        <v>3</v>
      </c>
      <c r="F3">
        <f>COUNTA(G3:J3)-COUNTBLANK(G3:J3)</f>
        <v>4</v>
      </c>
      <c r="G3" t="str">
        <f t="shared" ref="G3:G21" si="0">IF($E3="Beta-PERT","Min",IF($E3="Triangular","Min",IF($E3="Normal","Mean",IF($E3="Uniform","Min","NA"))))</f>
        <v>Min</v>
      </c>
      <c r="H3" t="str">
        <f t="shared" ref="H3:H21" si="1">IF($E3="Beta-PERT","Mode",IF($E3="Triangular","Mode",IF($E3="Normal","St. Dev",IF($E3="Uniform","Max","NA"))))</f>
        <v>Mode</v>
      </c>
      <c r="I3" t="str">
        <f t="shared" ref="I3:I21" si="2">IF($E3="Beta-PERT","Max",IF($E3="Triangular","Max",IF($E3="Normal","NA","NA")))</f>
        <v>Max</v>
      </c>
      <c r="J3" t="str">
        <f t="shared" ref="J3:J21" si="3">IF($E3="Beta-PERT","Shape",IF($E3="Triangular","",IF($E3="Normal","NA","NA")))</f>
        <v>Shape</v>
      </c>
      <c r="K3">
        <v>80</v>
      </c>
      <c r="L3">
        <v>97.5</v>
      </c>
      <c r="M3">
        <v>99</v>
      </c>
      <c r="N3">
        <v>4</v>
      </c>
    </row>
    <row r="4" spans="1:14" x14ac:dyDescent="0.2">
      <c r="A4" s="9" t="s">
        <v>481</v>
      </c>
      <c r="B4" t="s">
        <v>572</v>
      </c>
      <c r="C4">
        <v>4</v>
      </c>
      <c r="D4" t="s">
        <v>347</v>
      </c>
      <c r="E4" t="s">
        <v>3</v>
      </c>
      <c r="F4">
        <f t="shared" ref="F4:F21" si="4">COUNTA(G4:J4)-COUNTBLANK(G4:J4)</f>
        <v>4</v>
      </c>
      <c r="G4" t="str">
        <f t="shared" si="0"/>
        <v>Min</v>
      </c>
      <c r="H4" t="str">
        <f t="shared" si="1"/>
        <v>Mode</v>
      </c>
      <c r="I4" t="str">
        <f t="shared" si="2"/>
        <v>Max</v>
      </c>
      <c r="J4" t="str">
        <f t="shared" si="3"/>
        <v>Shape</v>
      </c>
      <c r="K4">
        <v>70</v>
      </c>
      <c r="L4">
        <v>95</v>
      </c>
      <c r="M4">
        <v>97.5</v>
      </c>
      <c r="N4">
        <v>4</v>
      </c>
    </row>
    <row r="5" spans="1:14" x14ac:dyDescent="0.2">
      <c r="A5" s="9" t="s">
        <v>482</v>
      </c>
      <c r="B5" t="s">
        <v>573</v>
      </c>
      <c r="C5">
        <v>4</v>
      </c>
      <c r="D5" t="s">
        <v>347</v>
      </c>
      <c r="E5" t="s">
        <v>3</v>
      </c>
      <c r="F5">
        <f t="shared" si="4"/>
        <v>4</v>
      </c>
      <c r="G5" t="str">
        <f t="shared" si="0"/>
        <v>Min</v>
      </c>
      <c r="H5" t="str">
        <f t="shared" si="1"/>
        <v>Mode</v>
      </c>
      <c r="I5" t="str">
        <f t="shared" si="2"/>
        <v>Max</v>
      </c>
      <c r="J5" t="str">
        <f t="shared" si="3"/>
        <v>Shape</v>
      </c>
      <c r="K5">
        <v>60</v>
      </c>
      <c r="L5">
        <v>92.5</v>
      </c>
      <c r="M5">
        <v>95</v>
      </c>
      <c r="N5">
        <v>4</v>
      </c>
    </row>
    <row r="6" spans="1:14" x14ac:dyDescent="0.2">
      <c r="A6" s="9" t="s">
        <v>483</v>
      </c>
      <c r="B6" t="s">
        <v>574</v>
      </c>
      <c r="C6">
        <v>4</v>
      </c>
      <c r="D6" t="s">
        <v>347</v>
      </c>
      <c r="E6" t="s">
        <v>3</v>
      </c>
      <c r="F6">
        <f t="shared" si="4"/>
        <v>4</v>
      </c>
      <c r="G6" t="str">
        <f t="shared" si="0"/>
        <v>Min</v>
      </c>
      <c r="H6" t="str">
        <f t="shared" si="1"/>
        <v>Mode</v>
      </c>
      <c r="I6" t="str">
        <f t="shared" si="2"/>
        <v>Max</v>
      </c>
      <c r="J6" t="str">
        <f t="shared" si="3"/>
        <v>Shape</v>
      </c>
      <c r="K6">
        <v>50</v>
      </c>
      <c r="L6">
        <v>90</v>
      </c>
      <c r="M6">
        <v>92.5</v>
      </c>
      <c r="N6">
        <v>4</v>
      </c>
    </row>
    <row r="7" spans="1:14" x14ac:dyDescent="0.2">
      <c r="A7" s="9" t="s">
        <v>484</v>
      </c>
      <c r="B7" t="s">
        <v>571</v>
      </c>
      <c r="C7">
        <v>3</v>
      </c>
      <c r="D7" t="s">
        <v>350</v>
      </c>
      <c r="E7" t="s">
        <v>3</v>
      </c>
      <c r="F7">
        <f t="shared" si="4"/>
        <v>4</v>
      </c>
      <c r="G7" t="str">
        <f t="shared" si="0"/>
        <v>Min</v>
      </c>
      <c r="H7" t="str">
        <f t="shared" si="1"/>
        <v>Mode</v>
      </c>
      <c r="I7" t="str">
        <f t="shared" si="2"/>
        <v>Max</v>
      </c>
      <c r="J7" t="str">
        <f t="shared" si="3"/>
        <v>Shape</v>
      </c>
      <c r="K7">
        <v>80</v>
      </c>
      <c r="L7">
        <v>95</v>
      </c>
      <c r="M7">
        <v>100</v>
      </c>
      <c r="N7">
        <v>4</v>
      </c>
    </row>
    <row r="8" spans="1:14" x14ac:dyDescent="0.2">
      <c r="A8" s="9" t="s">
        <v>485</v>
      </c>
      <c r="B8" t="s">
        <v>570</v>
      </c>
      <c r="C8">
        <v>3</v>
      </c>
      <c r="D8" t="s">
        <v>350</v>
      </c>
      <c r="E8" t="s">
        <v>3</v>
      </c>
      <c r="F8">
        <f t="shared" si="4"/>
        <v>4</v>
      </c>
      <c r="G8" t="str">
        <f t="shared" si="0"/>
        <v>Min</v>
      </c>
      <c r="H8" t="str">
        <f t="shared" si="1"/>
        <v>Mode</v>
      </c>
      <c r="I8" t="str">
        <f t="shared" si="2"/>
        <v>Max</v>
      </c>
      <c r="J8" t="str">
        <f t="shared" si="3"/>
        <v>Shape</v>
      </c>
      <c r="K8">
        <v>50</v>
      </c>
      <c r="L8">
        <v>80</v>
      </c>
      <c r="M8">
        <v>85</v>
      </c>
      <c r="N8">
        <v>4</v>
      </c>
    </row>
    <row r="9" spans="1:14" x14ac:dyDescent="0.2">
      <c r="A9" s="9" t="s">
        <v>486</v>
      </c>
      <c r="B9" t="s">
        <v>572</v>
      </c>
      <c r="C9">
        <v>3</v>
      </c>
      <c r="D9" t="s">
        <v>350</v>
      </c>
      <c r="E9" t="s">
        <v>3</v>
      </c>
      <c r="F9">
        <f t="shared" si="4"/>
        <v>4</v>
      </c>
      <c r="G9" t="str">
        <f t="shared" si="0"/>
        <v>Min</v>
      </c>
      <c r="H9" t="str">
        <f t="shared" si="1"/>
        <v>Mode</v>
      </c>
      <c r="I9" t="str">
        <f t="shared" si="2"/>
        <v>Max</v>
      </c>
      <c r="J9" t="str">
        <f t="shared" si="3"/>
        <v>Shape</v>
      </c>
      <c r="K9">
        <v>20</v>
      </c>
      <c r="L9">
        <v>70</v>
      </c>
      <c r="M9">
        <v>75</v>
      </c>
      <c r="N9">
        <v>4</v>
      </c>
    </row>
    <row r="10" spans="1:14" x14ac:dyDescent="0.2">
      <c r="A10" s="9" t="s">
        <v>487</v>
      </c>
      <c r="B10" t="s">
        <v>573</v>
      </c>
      <c r="C10">
        <v>3</v>
      </c>
      <c r="D10" t="s">
        <v>350</v>
      </c>
      <c r="E10" t="s">
        <v>3</v>
      </c>
      <c r="F10">
        <f t="shared" si="4"/>
        <v>4</v>
      </c>
      <c r="G10" t="str">
        <f t="shared" si="0"/>
        <v>Min</v>
      </c>
      <c r="H10" t="str">
        <f t="shared" si="1"/>
        <v>Mode</v>
      </c>
      <c r="I10" t="str">
        <f t="shared" si="2"/>
        <v>Max</v>
      </c>
      <c r="J10" t="str">
        <f t="shared" si="3"/>
        <v>Shape</v>
      </c>
      <c r="K10">
        <v>0</v>
      </c>
      <c r="L10">
        <v>50</v>
      </c>
      <c r="M10">
        <v>55</v>
      </c>
      <c r="N10">
        <v>4</v>
      </c>
    </row>
    <row r="11" spans="1:14" x14ac:dyDescent="0.2">
      <c r="A11" s="9" t="s">
        <v>488</v>
      </c>
      <c r="B11" t="s">
        <v>574</v>
      </c>
      <c r="C11">
        <v>3</v>
      </c>
      <c r="D11" t="s">
        <v>350</v>
      </c>
      <c r="E11" t="s">
        <v>3</v>
      </c>
      <c r="F11">
        <f t="shared" si="4"/>
        <v>4</v>
      </c>
      <c r="G11" t="str">
        <f t="shared" si="0"/>
        <v>Min</v>
      </c>
      <c r="H11" t="str">
        <f t="shared" si="1"/>
        <v>Mode</v>
      </c>
      <c r="I11" t="str">
        <f t="shared" si="2"/>
        <v>Max</v>
      </c>
      <c r="J11" t="str">
        <f t="shared" si="3"/>
        <v>Shape</v>
      </c>
      <c r="K11">
        <v>0</v>
      </c>
      <c r="L11">
        <v>20</v>
      </c>
      <c r="M11">
        <v>25</v>
      </c>
      <c r="N11">
        <v>4</v>
      </c>
    </row>
    <row r="12" spans="1:14" x14ac:dyDescent="0.2">
      <c r="A12" s="9" t="s">
        <v>489</v>
      </c>
      <c r="B12" t="s">
        <v>571</v>
      </c>
      <c r="C12">
        <v>2</v>
      </c>
      <c r="D12" t="s">
        <v>348</v>
      </c>
      <c r="E12" t="s">
        <v>3</v>
      </c>
      <c r="F12">
        <f t="shared" si="4"/>
        <v>4</v>
      </c>
      <c r="G12" t="str">
        <f t="shared" si="0"/>
        <v>Min</v>
      </c>
      <c r="H12" t="str">
        <f t="shared" si="1"/>
        <v>Mode</v>
      </c>
      <c r="I12" t="str">
        <f t="shared" si="2"/>
        <v>Max</v>
      </c>
      <c r="J12" t="str">
        <f t="shared" si="3"/>
        <v>Shape</v>
      </c>
      <c r="K12">
        <v>50</v>
      </c>
      <c r="L12">
        <v>80</v>
      </c>
      <c r="M12">
        <v>90</v>
      </c>
      <c r="N12">
        <v>4</v>
      </c>
    </row>
    <row r="13" spans="1:14" x14ac:dyDescent="0.2">
      <c r="A13" s="9" t="s">
        <v>490</v>
      </c>
      <c r="B13" t="s">
        <v>570</v>
      </c>
      <c r="C13">
        <v>2</v>
      </c>
      <c r="D13" t="s">
        <v>348</v>
      </c>
      <c r="E13" t="s">
        <v>3</v>
      </c>
      <c r="F13">
        <f t="shared" si="4"/>
        <v>4</v>
      </c>
      <c r="G13" t="str">
        <f t="shared" si="0"/>
        <v>Min</v>
      </c>
      <c r="H13" t="str">
        <f t="shared" si="1"/>
        <v>Mode</v>
      </c>
      <c r="I13" t="str">
        <f t="shared" si="2"/>
        <v>Max</v>
      </c>
      <c r="J13" t="str">
        <f t="shared" si="3"/>
        <v>Shape</v>
      </c>
      <c r="K13">
        <v>20</v>
      </c>
      <c r="L13">
        <v>60</v>
      </c>
      <c r="M13">
        <v>70</v>
      </c>
      <c r="N13">
        <v>4</v>
      </c>
    </row>
    <row r="14" spans="1:14" x14ac:dyDescent="0.2">
      <c r="A14" s="9" t="s">
        <v>491</v>
      </c>
      <c r="B14" t="s">
        <v>572</v>
      </c>
      <c r="C14">
        <v>2</v>
      </c>
      <c r="D14" t="s">
        <v>348</v>
      </c>
      <c r="E14" t="s">
        <v>3</v>
      </c>
      <c r="F14">
        <f t="shared" si="4"/>
        <v>4</v>
      </c>
      <c r="G14" t="str">
        <f t="shared" si="0"/>
        <v>Min</v>
      </c>
      <c r="H14" t="str">
        <f t="shared" si="1"/>
        <v>Mode</v>
      </c>
      <c r="I14" t="str">
        <f t="shared" si="2"/>
        <v>Max</v>
      </c>
      <c r="J14" t="str">
        <f t="shared" si="3"/>
        <v>Shape</v>
      </c>
      <c r="K14">
        <v>0</v>
      </c>
      <c r="L14">
        <v>20</v>
      </c>
      <c r="M14">
        <v>30</v>
      </c>
      <c r="N14">
        <v>4</v>
      </c>
    </row>
    <row r="15" spans="1:14" x14ac:dyDescent="0.2">
      <c r="A15" s="9" t="s">
        <v>492</v>
      </c>
      <c r="B15" t="s">
        <v>573</v>
      </c>
      <c r="C15">
        <v>2</v>
      </c>
      <c r="D15" t="s">
        <v>348</v>
      </c>
      <c r="E15" t="s">
        <v>3</v>
      </c>
      <c r="F15">
        <f t="shared" si="4"/>
        <v>4</v>
      </c>
      <c r="G15" t="str">
        <f t="shared" si="0"/>
        <v>Min</v>
      </c>
      <c r="H15" t="str">
        <f t="shared" si="1"/>
        <v>Mode</v>
      </c>
      <c r="I15" t="str">
        <f t="shared" si="2"/>
        <v>Max</v>
      </c>
      <c r="J15" t="str">
        <f t="shared" si="3"/>
        <v>Shape</v>
      </c>
      <c r="K15">
        <v>0</v>
      </c>
      <c r="L15">
        <v>10</v>
      </c>
      <c r="M15">
        <v>20</v>
      </c>
      <c r="N15">
        <v>4</v>
      </c>
    </row>
    <row r="16" spans="1:14" x14ac:dyDescent="0.2">
      <c r="A16" s="9" t="s">
        <v>493</v>
      </c>
      <c r="B16" t="s">
        <v>574</v>
      </c>
      <c r="C16">
        <v>2</v>
      </c>
      <c r="D16" t="s">
        <v>348</v>
      </c>
      <c r="E16" t="s">
        <v>3</v>
      </c>
      <c r="F16">
        <f t="shared" si="4"/>
        <v>4</v>
      </c>
      <c r="G16" t="str">
        <f t="shared" si="0"/>
        <v>Min</v>
      </c>
      <c r="H16" t="str">
        <f t="shared" si="1"/>
        <v>Mode</v>
      </c>
      <c r="I16" t="str">
        <f t="shared" si="2"/>
        <v>Max</v>
      </c>
      <c r="J16" t="str">
        <f t="shared" si="3"/>
        <v>Shape</v>
      </c>
      <c r="K16">
        <v>0</v>
      </c>
      <c r="L16">
        <v>5</v>
      </c>
      <c r="M16">
        <v>15</v>
      </c>
      <c r="N16">
        <v>4</v>
      </c>
    </row>
    <row r="17" spans="1:14" x14ac:dyDescent="0.2">
      <c r="A17" s="9" t="s">
        <v>494</v>
      </c>
      <c r="B17" t="s">
        <v>571</v>
      </c>
      <c r="C17">
        <v>1</v>
      </c>
      <c r="D17" t="s">
        <v>349</v>
      </c>
      <c r="E17" t="s">
        <v>3</v>
      </c>
      <c r="F17">
        <f t="shared" si="4"/>
        <v>4</v>
      </c>
      <c r="G17" t="str">
        <f t="shared" si="0"/>
        <v>Min</v>
      </c>
      <c r="H17" t="str">
        <f t="shared" si="1"/>
        <v>Mode</v>
      </c>
      <c r="I17" t="str">
        <f t="shared" si="2"/>
        <v>Max</v>
      </c>
      <c r="J17" t="str">
        <f t="shared" si="3"/>
        <v>Shape</v>
      </c>
      <c r="K17">
        <v>0</v>
      </c>
      <c r="L17">
        <v>20</v>
      </c>
      <c r="M17">
        <v>30</v>
      </c>
      <c r="N17">
        <v>4</v>
      </c>
    </row>
    <row r="18" spans="1:14" x14ac:dyDescent="0.2">
      <c r="A18" s="9" t="s">
        <v>495</v>
      </c>
      <c r="B18" t="s">
        <v>570</v>
      </c>
      <c r="C18">
        <v>1</v>
      </c>
      <c r="D18" t="s">
        <v>349</v>
      </c>
      <c r="E18" t="s">
        <v>3</v>
      </c>
      <c r="F18">
        <f t="shared" si="4"/>
        <v>4</v>
      </c>
      <c r="G18" t="str">
        <f t="shared" si="0"/>
        <v>Min</v>
      </c>
      <c r="H18" t="str">
        <f t="shared" si="1"/>
        <v>Mode</v>
      </c>
      <c r="I18" t="str">
        <f t="shared" si="2"/>
        <v>Max</v>
      </c>
      <c r="J18" t="str">
        <f t="shared" si="3"/>
        <v>Shape</v>
      </c>
      <c r="K18">
        <v>0</v>
      </c>
      <c r="L18">
        <v>0</v>
      </c>
      <c r="M18">
        <v>5</v>
      </c>
      <c r="N18">
        <v>4</v>
      </c>
    </row>
    <row r="19" spans="1:14" x14ac:dyDescent="0.2">
      <c r="A19" s="9" t="s">
        <v>496</v>
      </c>
      <c r="B19" t="s">
        <v>572</v>
      </c>
      <c r="C19">
        <v>1</v>
      </c>
      <c r="D19" t="s">
        <v>349</v>
      </c>
      <c r="E19" t="s">
        <v>3</v>
      </c>
      <c r="F19">
        <f t="shared" si="4"/>
        <v>4</v>
      </c>
      <c r="G19" t="str">
        <f t="shared" si="0"/>
        <v>Min</v>
      </c>
      <c r="H19" t="str">
        <f t="shared" si="1"/>
        <v>Mode</v>
      </c>
      <c r="I19" t="str">
        <f t="shared" si="2"/>
        <v>Max</v>
      </c>
      <c r="J19" t="str">
        <f t="shared" si="3"/>
        <v>Shape</v>
      </c>
      <c r="K19">
        <v>0</v>
      </c>
      <c r="L19">
        <v>0</v>
      </c>
      <c r="M19">
        <v>5</v>
      </c>
      <c r="N19">
        <v>4</v>
      </c>
    </row>
    <row r="20" spans="1:14" x14ac:dyDescent="0.2">
      <c r="A20" s="9" t="s">
        <v>497</v>
      </c>
      <c r="B20" t="s">
        <v>573</v>
      </c>
      <c r="C20">
        <v>1</v>
      </c>
      <c r="D20" t="s">
        <v>349</v>
      </c>
      <c r="E20" t="s">
        <v>3</v>
      </c>
      <c r="F20">
        <f t="shared" si="4"/>
        <v>4</v>
      </c>
      <c r="G20" t="str">
        <f t="shared" si="0"/>
        <v>Min</v>
      </c>
      <c r="H20" t="str">
        <f t="shared" si="1"/>
        <v>Mode</v>
      </c>
      <c r="I20" t="str">
        <f t="shared" si="2"/>
        <v>Max</v>
      </c>
      <c r="J20" t="str">
        <f t="shared" si="3"/>
        <v>Shape</v>
      </c>
      <c r="K20">
        <v>0</v>
      </c>
      <c r="L20">
        <v>0</v>
      </c>
      <c r="M20">
        <v>5</v>
      </c>
      <c r="N20">
        <v>4</v>
      </c>
    </row>
    <row r="21" spans="1:14" x14ac:dyDescent="0.2">
      <c r="A21" s="9" t="s">
        <v>498</v>
      </c>
      <c r="B21" t="s">
        <v>574</v>
      </c>
      <c r="C21">
        <v>1</v>
      </c>
      <c r="D21" t="s">
        <v>349</v>
      </c>
      <c r="E21" t="s">
        <v>3</v>
      </c>
      <c r="F21">
        <f t="shared" si="4"/>
        <v>4</v>
      </c>
      <c r="G21" t="str">
        <f t="shared" si="0"/>
        <v>Min</v>
      </c>
      <c r="H21" t="str">
        <f t="shared" si="1"/>
        <v>Mode</v>
      </c>
      <c r="I21" t="str">
        <f t="shared" si="2"/>
        <v>Max</v>
      </c>
      <c r="J21" t="str">
        <f t="shared" si="3"/>
        <v>Shape</v>
      </c>
      <c r="K21">
        <v>0</v>
      </c>
      <c r="L21">
        <v>0</v>
      </c>
      <c r="M21">
        <v>5</v>
      </c>
      <c r="N21">
        <v>4</v>
      </c>
    </row>
  </sheetData>
  <dataValidations count="1">
    <dataValidation type="list" allowBlank="1" showInputMessage="1" showErrorMessage="1" sqref="E2:E21" xr:uid="{00000000-0002-0000-0500-000000000000}">
      <formula1>"Beta-PERT,Triangular,Normal,Uniform"</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D86"/>
  <sheetViews>
    <sheetView topLeftCell="A44" workbookViewId="0">
      <selection activeCell="D20" sqref="D20"/>
    </sheetView>
  </sheetViews>
  <sheetFormatPr defaultRowHeight="12.75" x14ac:dyDescent="0.2"/>
  <cols>
    <col min="1" max="1" width="26.7109375" bestFit="1" customWidth="1"/>
    <col min="2" max="2" width="39.28515625" bestFit="1" customWidth="1"/>
    <col min="3" max="3" width="133.7109375" bestFit="1" customWidth="1"/>
    <col min="4" max="4" width="76.140625" bestFit="1" customWidth="1"/>
  </cols>
  <sheetData>
    <row r="1" spans="1:4" x14ac:dyDescent="0.2">
      <c r="A1" s="1" t="s">
        <v>451</v>
      </c>
      <c r="B1" s="1" t="s">
        <v>452</v>
      </c>
      <c r="C1" s="1" t="s">
        <v>453</v>
      </c>
      <c r="D1" s="1" t="s">
        <v>32</v>
      </c>
    </row>
    <row r="2" spans="1:4" ht="14.25" x14ac:dyDescent="0.2">
      <c r="A2" s="2" t="s">
        <v>2</v>
      </c>
      <c r="B2" t="s">
        <v>156</v>
      </c>
      <c r="C2" t="s">
        <v>159</v>
      </c>
      <c r="D2" s="29" t="s">
        <v>757</v>
      </c>
    </row>
    <row r="3" spans="1:4" ht="14.25" x14ac:dyDescent="0.2">
      <c r="A3" s="2" t="s">
        <v>81</v>
      </c>
      <c r="B3" t="s">
        <v>157</v>
      </c>
      <c r="C3" t="s">
        <v>158</v>
      </c>
      <c r="D3" s="29" t="s">
        <v>757</v>
      </c>
    </row>
    <row r="4" spans="1:4" ht="14.25" x14ac:dyDescent="0.2">
      <c r="A4" s="2" t="s">
        <v>82</v>
      </c>
      <c r="B4" t="s">
        <v>195</v>
      </c>
      <c r="C4" t="s">
        <v>160</v>
      </c>
      <c r="D4" s="29" t="s">
        <v>757</v>
      </c>
    </row>
    <row r="5" spans="1:4" ht="14.25" x14ac:dyDescent="0.2">
      <c r="A5" s="2" t="s">
        <v>149</v>
      </c>
      <c r="B5" t="s">
        <v>161</v>
      </c>
      <c r="C5" t="s">
        <v>162</v>
      </c>
      <c r="D5" s="29" t="s">
        <v>757</v>
      </c>
    </row>
    <row r="6" spans="1:4" ht="14.25" x14ac:dyDescent="0.2">
      <c r="A6" s="2" t="s">
        <v>319</v>
      </c>
      <c r="B6" t="s">
        <v>163</v>
      </c>
      <c r="C6" t="s">
        <v>321</v>
      </c>
      <c r="D6" s="29" t="s">
        <v>757</v>
      </c>
    </row>
    <row r="7" spans="1:4" ht="14.25" x14ac:dyDescent="0.2">
      <c r="A7" s="2" t="s">
        <v>320</v>
      </c>
      <c r="B7" t="s">
        <v>164</v>
      </c>
      <c r="C7" t="s">
        <v>322</v>
      </c>
      <c r="D7" s="29" t="s">
        <v>757</v>
      </c>
    </row>
    <row r="8" spans="1:4" ht="14.25" x14ac:dyDescent="0.2">
      <c r="A8" s="2" t="s">
        <v>83</v>
      </c>
      <c r="B8" t="s">
        <v>165</v>
      </c>
      <c r="C8" t="s">
        <v>166</v>
      </c>
      <c r="D8" s="29" t="s">
        <v>757</v>
      </c>
    </row>
    <row r="9" spans="1:4" ht="14.25" x14ac:dyDescent="0.2">
      <c r="A9" s="2" t="s">
        <v>84</v>
      </c>
      <c r="B9" t="s">
        <v>167</v>
      </c>
      <c r="C9" t="s">
        <v>170</v>
      </c>
      <c r="D9" s="29" t="s">
        <v>757</v>
      </c>
    </row>
    <row r="10" spans="1:4" ht="14.25" x14ac:dyDescent="0.2">
      <c r="A10" s="11" t="s">
        <v>85</v>
      </c>
      <c r="B10" t="s">
        <v>168</v>
      </c>
      <c r="C10" t="s">
        <v>171</v>
      </c>
      <c r="D10" s="29" t="s">
        <v>757</v>
      </c>
    </row>
    <row r="11" spans="1:4" ht="14.25" x14ac:dyDescent="0.2">
      <c r="A11" s="11" t="s">
        <v>86</v>
      </c>
      <c r="B11" t="s">
        <v>169</v>
      </c>
      <c r="C11" t="s">
        <v>172</v>
      </c>
      <c r="D11" s="29" t="s">
        <v>757</v>
      </c>
    </row>
    <row r="12" spans="1:4" ht="14.25" x14ac:dyDescent="0.2">
      <c r="A12" s="2" t="s">
        <v>87</v>
      </c>
      <c r="B12" t="s">
        <v>154</v>
      </c>
      <c r="C12" t="s">
        <v>173</v>
      </c>
      <c r="D12" s="29" t="s">
        <v>757</v>
      </c>
    </row>
    <row r="13" spans="1:4" ht="14.25" x14ac:dyDescent="0.2">
      <c r="A13" s="2" t="s">
        <v>88</v>
      </c>
      <c r="B13" t="s">
        <v>60</v>
      </c>
      <c r="C13" t="s">
        <v>34</v>
      </c>
      <c r="D13" s="29" t="s">
        <v>757</v>
      </c>
    </row>
    <row r="14" spans="1:4" ht="14.25" x14ac:dyDescent="0.2">
      <c r="A14" s="2" t="s">
        <v>89</v>
      </c>
      <c r="B14" t="s">
        <v>174</v>
      </c>
      <c r="C14" t="s">
        <v>175</v>
      </c>
      <c r="D14" s="29" t="s">
        <v>757</v>
      </c>
    </row>
    <row r="15" spans="1:4" ht="14.25" x14ac:dyDescent="0.2">
      <c r="A15" s="2" t="s">
        <v>90</v>
      </c>
      <c r="B15" t="s">
        <v>177</v>
      </c>
      <c r="C15" t="s">
        <v>176</v>
      </c>
      <c r="D15" s="29" t="s">
        <v>757</v>
      </c>
    </row>
    <row r="16" spans="1:4" ht="14.25" x14ac:dyDescent="0.2">
      <c r="A16" s="2" t="s">
        <v>91</v>
      </c>
      <c r="B16" t="s">
        <v>155</v>
      </c>
      <c r="C16" t="s">
        <v>178</v>
      </c>
      <c r="D16" s="29" t="s">
        <v>757</v>
      </c>
    </row>
    <row r="17" spans="1:4" ht="14.25" x14ac:dyDescent="0.2">
      <c r="A17" s="2" t="s">
        <v>92</v>
      </c>
      <c r="B17" t="s">
        <v>46</v>
      </c>
      <c r="C17" t="s">
        <v>179</v>
      </c>
      <c r="D17" s="29" t="s">
        <v>757</v>
      </c>
    </row>
    <row r="18" spans="1:4" ht="14.25" x14ac:dyDescent="0.2">
      <c r="A18" s="2" t="s">
        <v>93</v>
      </c>
      <c r="B18" t="s">
        <v>180</v>
      </c>
      <c r="C18" t="s">
        <v>181</v>
      </c>
      <c r="D18" s="29" t="s">
        <v>757</v>
      </c>
    </row>
    <row r="19" spans="1:4" ht="14.25" x14ac:dyDescent="0.2">
      <c r="A19" s="2" t="s">
        <v>94</v>
      </c>
      <c r="B19" t="s">
        <v>194</v>
      </c>
      <c r="C19" t="s">
        <v>182</v>
      </c>
      <c r="D19" s="29" t="s">
        <v>757</v>
      </c>
    </row>
    <row r="20" spans="1:4" ht="14.25" x14ac:dyDescent="0.2">
      <c r="A20" s="2" t="s">
        <v>95</v>
      </c>
      <c r="B20" t="s">
        <v>183</v>
      </c>
      <c r="C20" t="s">
        <v>184</v>
      </c>
      <c r="D20" s="29" t="s">
        <v>757</v>
      </c>
    </row>
    <row r="21" spans="1:4" ht="14.25" x14ac:dyDescent="0.2">
      <c r="A21" s="2" t="s">
        <v>96</v>
      </c>
      <c r="B21" t="s">
        <v>185</v>
      </c>
      <c r="C21" t="s">
        <v>186</v>
      </c>
      <c r="D21" s="29" t="s">
        <v>757</v>
      </c>
    </row>
    <row r="22" spans="1:4" ht="14.25" x14ac:dyDescent="0.2">
      <c r="A22" s="2" t="s">
        <v>97</v>
      </c>
      <c r="B22" t="s">
        <v>187</v>
      </c>
      <c r="C22" t="s">
        <v>188</v>
      </c>
      <c r="D22" s="29" t="s">
        <v>757</v>
      </c>
    </row>
    <row r="23" spans="1:4" ht="14.25" x14ac:dyDescent="0.2">
      <c r="A23" s="2" t="s">
        <v>323</v>
      </c>
      <c r="B23" t="s">
        <v>189</v>
      </c>
      <c r="C23" t="s">
        <v>324</v>
      </c>
      <c r="D23" s="29" t="s">
        <v>757</v>
      </c>
    </row>
    <row r="24" spans="1:4" ht="14.25" x14ac:dyDescent="0.2">
      <c r="A24" s="2" t="s">
        <v>325</v>
      </c>
      <c r="B24" t="s">
        <v>326</v>
      </c>
      <c r="C24" t="s">
        <v>327</v>
      </c>
      <c r="D24" s="29" t="s">
        <v>757</v>
      </c>
    </row>
    <row r="25" spans="1:4" ht="14.25" x14ac:dyDescent="0.2">
      <c r="A25" s="2" t="s">
        <v>98</v>
      </c>
      <c r="B25" t="s">
        <v>190</v>
      </c>
      <c r="C25" t="s">
        <v>191</v>
      </c>
      <c r="D25" s="29" t="s">
        <v>757</v>
      </c>
    </row>
    <row r="26" spans="1:4" ht="14.25" x14ac:dyDescent="0.2">
      <c r="A26" s="2" t="s">
        <v>4</v>
      </c>
      <c r="B26" t="s">
        <v>31</v>
      </c>
      <c r="C26" t="s">
        <v>192</v>
      </c>
      <c r="D26" s="29" t="s">
        <v>757</v>
      </c>
    </row>
    <row r="27" spans="1:4" ht="14.25" x14ac:dyDescent="0.2">
      <c r="A27" s="2" t="s">
        <v>99</v>
      </c>
      <c r="B27" t="s">
        <v>161</v>
      </c>
      <c r="C27" t="s">
        <v>193</v>
      </c>
      <c r="D27" s="29" t="s">
        <v>757</v>
      </c>
    </row>
    <row r="28" spans="1:4" ht="14.25" x14ac:dyDescent="0.2">
      <c r="A28" s="2" t="s">
        <v>100</v>
      </c>
      <c r="B28" t="s">
        <v>196</v>
      </c>
      <c r="C28" t="s">
        <v>197</v>
      </c>
      <c r="D28" s="29" t="s">
        <v>757</v>
      </c>
    </row>
    <row r="29" spans="1:4" ht="14.25" x14ac:dyDescent="0.2">
      <c r="A29" s="2" t="s">
        <v>101</v>
      </c>
      <c r="B29" t="s">
        <v>199</v>
      </c>
      <c r="C29" t="s">
        <v>198</v>
      </c>
      <c r="D29" s="29" t="s">
        <v>757</v>
      </c>
    </row>
    <row r="30" spans="1:4" ht="14.25" x14ac:dyDescent="0.2">
      <c r="A30" s="2" t="s">
        <v>102</v>
      </c>
      <c r="B30" t="s">
        <v>200</v>
      </c>
      <c r="C30" t="s">
        <v>201</v>
      </c>
      <c r="D30" s="29" t="s">
        <v>757</v>
      </c>
    </row>
    <row r="31" spans="1:4" ht="14.25" x14ac:dyDescent="0.2">
      <c r="A31" s="2" t="s">
        <v>103</v>
      </c>
      <c r="B31" t="s">
        <v>47</v>
      </c>
      <c r="C31" t="s">
        <v>202</v>
      </c>
      <c r="D31" s="29" t="s">
        <v>757</v>
      </c>
    </row>
    <row r="32" spans="1:4" ht="14.25" x14ac:dyDescent="0.2">
      <c r="A32" s="2" t="s">
        <v>104</v>
      </c>
      <c r="B32" t="s">
        <v>203</v>
      </c>
      <c r="C32" t="s">
        <v>204</v>
      </c>
      <c r="D32" s="29" t="s">
        <v>757</v>
      </c>
    </row>
    <row r="33" spans="1:4" ht="14.25" x14ac:dyDescent="0.2">
      <c r="A33" s="2" t="s">
        <v>105</v>
      </c>
      <c r="B33" t="s">
        <v>205</v>
      </c>
      <c r="C33" t="s">
        <v>206</v>
      </c>
      <c r="D33" s="29" t="s">
        <v>757</v>
      </c>
    </row>
    <row r="34" spans="1:4" ht="14.25" x14ac:dyDescent="0.2">
      <c r="A34" s="2" t="s">
        <v>106</v>
      </c>
      <c r="B34" t="s">
        <v>207</v>
      </c>
      <c r="C34" t="s">
        <v>208</v>
      </c>
      <c r="D34" s="29" t="s">
        <v>757</v>
      </c>
    </row>
    <row r="35" spans="1:4" ht="14.25" x14ac:dyDescent="0.2">
      <c r="A35" s="2" t="s">
        <v>107</v>
      </c>
      <c r="B35" t="s">
        <v>209</v>
      </c>
      <c r="C35" t="s">
        <v>210</v>
      </c>
      <c r="D35" s="29" t="s">
        <v>757</v>
      </c>
    </row>
    <row r="36" spans="1:4" ht="14.25" x14ac:dyDescent="0.2">
      <c r="A36" s="2" t="s">
        <v>108</v>
      </c>
      <c r="B36" t="s">
        <v>217</v>
      </c>
      <c r="C36" t="s">
        <v>211</v>
      </c>
      <c r="D36" s="29" t="s">
        <v>757</v>
      </c>
    </row>
    <row r="37" spans="1:4" ht="14.25" x14ac:dyDescent="0.2">
      <c r="A37" s="2" t="s">
        <v>109</v>
      </c>
      <c r="B37" t="s">
        <v>216</v>
      </c>
      <c r="C37" t="s">
        <v>212</v>
      </c>
      <c r="D37" s="29" t="s">
        <v>757</v>
      </c>
    </row>
    <row r="38" spans="1:4" ht="14.25" x14ac:dyDescent="0.2">
      <c r="A38" s="2" t="s">
        <v>110</v>
      </c>
      <c r="B38" t="s">
        <v>213</v>
      </c>
      <c r="C38" t="s">
        <v>214</v>
      </c>
      <c r="D38" s="29" t="s">
        <v>757</v>
      </c>
    </row>
    <row r="39" spans="1:4" ht="14.25" x14ac:dyDescent="0.2">
      <c r="A39" s="2" t="s">
        <v>111</v>
      </c>
      <c r="B39" t="s">
        <v>215</v>
      </c>
      <c r="C39" t="s">
        <v>219</v>
      </c>
      <c r="D39" s="29" t="s">
        <v>757</v>
      </c>
    </row>
    <row r="40" spans="1:4" ht="14.25" x14ac:dyDescent="0.2">
      <c r="A40" s="2" t="s">
        <v>112</v>
      </c>
      <c r="B40" t="s">
        <v>218</v>
      </c>
      <c r="C40" t="s">
        <v>220</v>
      </c>
      <c r="D40" s="29" t="s">
        <v>757</v>
      </c>
    </row>
    <row r="41" spans="1:4" ht="14.25" x14ac:dyDescent="0.2">
      <c r="A41" s="2" t="s">
        <v>113</v>
      </c>
      <c r="B41" t="s">
        <v>221</v>
      </c>
      <c r="C41" t="s">
        <v>222</v>
      </c>
      <c r="D41" s="29" t="s">
        <v>757</v>
      </c>
    </row>
    <row r="42" spans="1:4" ht="14.25" x14ac:dyDescent="0.2">
      <c r="A42" s="2" t="s">
        <v>114</v>
      </c>
      <c r="B42" t="s">
        <v>228</v>
      </c>
      <c r="C42" t="s">
        <v>223</v>
      </c>
      <c r="D42" s="29" t="s">
        <v>757</v>
      </c>
    </row>
    <row r="43" spans="1:4" ht="14.25" x14ac:dyDescent="0.2">
      <c r="A43" s="2" t="s">
        <v>115</v>
      </c>
      <c r="B43" t="s">
        <v>229</v>
      </c>
      <c r="C43" t="s">
        <v>224</v>
      </c>
      <c r="D43" s="29" t="s">
        <v>757</v>
      </c>
    </row>
    <row r="44" spans="1:4" ht="14.25" x14ac:dyDescent="0.2">
      <c r="A44" s="2" t="s">
        <v>116</v>
      </c>
      <c r="B44" t="s">
        <v>230</v>
      </c>
      <c r="C44" t="s">
        <v>225</v>
      </c>
      <c r="D44" s="29" t="s">
        <v>757</v>
      </c>
    </row>
    <row r="45" spans="1:4" ht="14.25" x14ac:dyDescent="0.2">
      <c r="A45" s="2" t="s">
        <v>117</v>
      </c>
      <c r="B45" t="s">
        <v>231</v>
      </c>
      <c r="C45" t="s">
        <v>226</v>
      </c>
      <c r="D45" s="29" t="s">
        <v>757</v>
      </c>
    </row>
    <row r="46" spans="1:4" ht="14.25" x14ac:dyDescent="0.2">
      <c r="A46" s="2" t="s">
        <v>118</v>
      </c>
      <c r="B46" t="s">
        <v>232</v>
      </c>
      <c r="C46" t="s">
        <v>227</v>
      </c>
      <c r="D46" s="29" t="s">
        <v>757</v>
      </c>
    </row>
    <row r="47" spans="1:4" ht="14.25" x14ac:dyDescent="0.2">
      <c r="A47" s="2" t="s">
        <v>328</v>
      </c>
      <c r="B47" t="s">
        <v>331</v>
      </c>
      <c r="C47" t="s">
        <v>334</v>
      </c>
      <c r="D47" s="29" t="s">
        <v>757</v>
      </c>
    </row>
    <row r="48" spans="1:4" ht="14.25" x14ac:dyDescent="0.2">
      <c r="A48" s="2" t="s">
        <v>329</v>
      </c>
      <c r="B48" t="s">
        <v>332</v>
      </c>
      <c r="C48" t="s">
        <v>335</v>
      </c>
      <c r="D48" s="29" t="s">
        <v>757</v>
      </c>
    </row>
    <row r="49" spans="1:4" ht="14.25" x14ac:dyDescent="0.2">
      <c r="A49" s="2" t="s">
        <v>330</v>
      </c>
      <c r="B49" t="s">
        <v>333</v>
      </c>
      <c r="C49" t="s">
        <v>336</v>
      </c>
      <c r="D49" s="29" t="s">
        <v>757</v>
      </c>
    </row>
    <row r="50" spans="1:4" ht="14.25" x14ac:dyDescent="0.2">
      <c r="A50" s="2" t="s">
        <v>119</v>
      </c>
      <c r="B50" t="s">
        <v>233</v>
      </c>
      <c r="C50" t="s">
        <v>234</v>
      </c>
      <c r="D50" s="29" t="s">
        <v>757</v>
      </c>
    </row>
    <row r="51" spans="1:4" ht="14.25" x14ac:dyDescent="0.2">
      <c r="A51" s="2" t="s">
        <v>120</v>
      </c>
      <c r="B51" t="s">
        <v>235</v>
      </c>
      <c r="C51" t="s">
        <v>237</v>
      </c>
      <c r="D51" s="29" t="s">
        <v>757</v>
      </c>
    </row>
    <row r="52" spans="1:4" ht="14.25" x14ac:dyDescent="0.2">
      <c r="A52" s="2" t="s">
        <v>121</v>
      </c>
      <c r="B52" t="s">
        <v>236</v>
      </c>
      <c r="C52" t="s">
        <v>238</v>
      </c>
      <c r="D52" s="29" t="s">
        <v>757</v>
      </c>
    </row>
    <row r="53" spans="1:4" ht="14.25" x14ac:dyDescent="0.2">
      <c r="A53" s="2" t="s">
        <v>122</v>
      </c>
      <c r="B53" t="s">
        <v>239</v>
      </c>
      <c r="C53" t="s">
        <v>242</v>
      </c>
      <c r="D53" s="29" t="s">
        <v>757</v>
      </c>
    </row>
    <row r="54" spans="1:4" ht="14.25" x14ac:dyDescent="0.2">
      <c r="A54" s="2" t="s">
        <v>123</v>
      </c>
      <c r="B54" t="s">
        <v>240</v>
      </c>
      <c r="C54" t="s">
        <v>243</v>
      </c>
      <c r="D54" s="29" t="s">
        <v>757</v>
      </c>
    </row>
    <row r="55" spans="1:4" ht="14.25" x14ac:dyDescent="0.2">
      <c r="A55" s="2" t="s">
        <v>124</v>
      </c>
      <c r="B55" t="s">
        <v>241</v>
      </c>
      <c r="C55" t="s">
        <v>244</v>
      </c>
      <c r="D55" s="29" t="s">
        <v>757</v>
      </c>
    </row>
    <row r="56" spans="1:4" ht="14.25" x14ac:dyDescent="0.2">
      <c r="A56" s="2" t="s">
        <v>337</v>
      </c>
      <c r="B56" t="s">
        <v>340</v>
      </c>
      <c r="C56" t="s">
        <v>341</v>
      </c>
      <c r="D56" s="29" t="s">
        <v>757</v>
      </c>
    </row>
    <row r="57" spans="1:4" ht="14.25" x14ac:dyDescent="0.2">
      <c r="A57" s="2" t="s">
        <v>338</v>
      </c>
      <c r="B57" t="s">
        <v>342</v>
      </c>
      <c r="C57" t="s">
        <v>344</v>
      </c>
      <c r="D57" s="29" t="s">
        <v>757</v>
      </c>
    </row>
    <row r="58" spans="1:4" ht="14.25" x14ac:dyDescent="0.2">
      <c r="A58" s="2" t="s">
        <v>339</v>
      </c>
      <c r="B58" t="s">
        <v>343</v>
      </c>
      <c r="C58" t="s">
        <v>345</v>
      </c>
      <c r="D58" s="29" t="s">
        <v>757</v>
      </c>
    </row>
    <row r="59" spans="1:4" ht="14.25" x14ac:dyDescent="0.2">
      <c r="A59" s="2" t="s">
        <v>125</v>
      </c>
      <c r="B59" t="s">
        <v>245</v>
      </c>
      <c r="C59" t="s">
        <v>247</v>
      </c>
      <c r="D59" s="29" t="s">
        <v>757</v>
      </c>
    </row>
    <row r="60" spans="1:4" ht="14.25" x14ac:dyDescent="0.2">
      <c r="A60" s="2" t="s">
        <v>126</v>
      </c>
      <c r="B60" t="s">
        <v>246</v>
      </c>
      <c r="C60" t="s">
        <v>248</v>
      </c>
      <c r="D60" s="29" t="s">
        <v>757</v>
      </c>
    </row>
    <row r="61" spans="1:4" ht="14.25" x14ac:dyDescent="0.2">
      <c r="A61" s="2" t="s">
        <v>127</v>
      </c>
      <c r="B61" t="s">
        <v>249</v>
      </c>
      <c r="C61" t="s">
        <v>251</v>
      </c>
      <c r="D61" s="29" t="s">
        <v>757</v>
      </c>
    </row>
    <row r="62" spans="1:4" ht="14.25" x14ac:dyDescent="0.2">
      <c r="A62" s="2" t="s">
        <v>128</v>
      </c>
      <c r="B62" t="s">
        <v>250</v>
      </c>
      <c r="C62" t="s">
        <v>252</v>
      </c>
      <c r="D62" s="29" t="s">
        <v>757</v>
      </c>
    </row>
    <row r="63" spans="1:4" ht="14.25" x14ac:dyDescent="0.2">
      <c r="A63" s="2" t="s">
        <v>129</v>
      </c>
      <c r="B63" t="s">
        <v>253</v>
      </c>
      <c r="C63" t="s">
        <v>257</v>
      </c>
      <c r="D63" s="29" t="s">
        <v>757</v>
      </c>
    </row>
    <row r="64" spans="1:4" ht="14.25" x14ac:dyDescent="0.2">
      <c r="A64" s="2" t="s">
        <v>130</v>
      </c>
      <c r="B64" t="s">
        <v>254</v>
      </c>
      <c r="C64" t="s">
        <v>258</v>
      </c>
      <c r="D64" s="29" t="s">
        <v>757</v>
      </c>
    </row>
    <row r="65" spans="1:4" ht="14.25" x14ac:dyDescent="0.2">
      <c r="A65" s="2" t="s">
        <v>131</v>
      </c>
      <c r="B65" t="s">
        <v>255</v>
      </c>
      <c r="C65" t="s">
        <v>259</v>
      </c>
      <c r="D65" s="29" t="s">
        <v>757</v>
      </c>
    </row>
    <row r="66" spans="1:4" ht="14.25" x14ac:dyDescent="0.2">
      <c r="A66" s="2" t="s">
        <v>132</v>
      </c>
      <c r="B66" t="s">
        <v>256</v>
      </c>
      <c r="C66" t="s">
        <v>260</v>
      </c>
      <c r="D66" s="29" t="s">
        <v>757</v>
      </c>
    </row>
    <row r="67" spans="1:4" ht="14.25" x14ac:dyDescent="0.2">
      <c r="A67" s="2" t="s">
        <v>133</v>
      </c>
      <c r="B67" t="s">
        <v>261</v>
      </c>
      <c r="C67" t="s">
        <v>265</v>
      </c>
      <c r="D67" s="29" t="s">
        <v>757</v>
      </c>
    </row>
    <row r="68" spans="1:4" ht="14.25" x14ac:dyDescent="0.2">
      <c r="A68" s="2" t="s">
        <v>134</v>
      </c>
      <c r="B68" t="s">
        <v>262</v>
      </c>
      <c r="C68" t="s">
        <v>266</v>
      </c>
      <c r="D68" s="29" t="s">
        <v>757</v>
      </c>
    </row>
    <row r="69" spans="1:4" ht="14.25" x14ac:dyDescent="0.2">
      <c r="A69" s="2" t="s">
        <v>135</v>
      </c>
      <c r="B69" t="s">
        <v>263</v>
      </c>
      <c r="C69" t="s">
        <v>267</v>
      </c>
      <c r="D69" s="29" t="s">
        <v>757</v>
      </c>
    </row>
    <row r="70" spans="1:4" ht="14.25" x14ac:dyDescent="0.2">
      <c r="A70" s="2" t="s">
        <v>136</v>
      </c>
      <c r="B70" t="s">
        <v>264</v>
      </c>
      <c r="C70" t="s">
        <v>268</v>
      </c>
      <c r="D70" s="29" t="s">
        <v>757</v>
      </c>
    </row>
    <row r="71" spans="1:4" ht="14.25" x14ac:dyDescent="0.2">
      <c r="A71" s="2" t="s">
        <v>137</v>
      </c>
      <c r="B71" t="s">
        <v>269</v>
      </c>
      <c r="C71" t="s">
        <v>273</v>
      </c>
      <c r="D71" s="29" t="s">
        <v>757</v>
      </c>
    </row>
    <row r="72" spans="1:4" ht="14.25" x14ac:dyDescent="0.2">
      <c r="A72" s="2" t="s">
        <v>138</v>
      </c>
      <c r="B72" t="s">
        <v>270</v>
      </c>
      <c r="C72" t="s">
        <v>274</v>
      </c>
      <c r="D72" s="29" t="s">
        <v>757</v>
      </c>
    </row>
    <row r="73" spans="1:4" ht="14.25" x14ac:dyDescent="0.2">
      <c r="A73" s="2" t="s">
        <v>139</v>
      </c>
      <c r="B73" t="s">
        <v>271</v>
      </c>
      <c r="C73" t="s">
        <v>275</v>
      </c>
      <c r="D73" s="29" t="s">
        <v>757</v>
      </c>
    </row>
    <row r="74" spans="1:4" ht="14.25" x14ac:dyDescent="0.2">
      <c r="A74" s="2" t="s">
        <v>140</v>
      </c>
      <c r="B74" t="s">
        <v>272</v>
      </c>
      <c r="C74" t="s">
        <v>276</v>
      </c>
      <c r="D74" s="29" t="s">
        <v>757</v>
      </c>
    </row>
    <row r="75" spans="1:4" ht="14.25" x14ac:dyDescent="0.2">
      <c r="A75" s="2" t="s">
        <v>141</v>
      </c>
      <c r="B75" t="s">
        <v>277</v>
      </c>
      <c r="C75" t="s">
        <v>285</v>
      </c>
      <c r="D75" s="29" t="s">
        <v>757</v>
      </c>
    </row>
    <row r="76" spans="1:4" ht="14.25" x14ac:dyDescent="0.2">
      <c r="A76" s="2" t="s">
        <v>142</v>
      </c>
      <c r="B76" t="s">
        <v>278</v>
      </c>
      <c r="C76" t="s">
        <v>286</v>
      </c>
      <c r="D76" s="29" t="s">
        <v>757</v>
      </c>
    </row>
    <row r="77" spans="1:4" ht="14.25" x14ac:dyDescent="0.2">
      <c r="A77" s="2" t="s">
        <v>143</v>
      </c>
      <c r="B77" t="s">
        <v>279</v>
      </c>
      <c r="C77" t="s">
        <v>287</v>
      </c>
      <c r="D77" s="29" t="s">
        <v>757</v>
      </c>
    </row>
    <row r="78" spans="1:4" ht="14.25" x14ac:dyDescent="0.2">
      <c r="A78" s="2" t="s">
        <v>144</v>
      </c>
      <c r="B78" t="s">
        <v>280</v>
      </c>
      <c r="C78" t="s">
        <v>288</v>
      </c>
      <c r="D78" s="29" t="s">
        <v>757</v>
      </c>
    </row>
    <row r="79" spans="1:4" ht="14.25" x14ac:dyDescent="0.2">
      <c r="A79" s="2" t="s">
        <v>145</v>
      </c>
      <c r="B79" t="s">
        <v>281</v>
      </c>
      <c r="C79" t="s">
        <v>289</v>
      </c>
      <c r="D79" s="29" t="s">
        <v>757</v>
      </c>
    </row>
    <row r="80" spans="1:4" ht="14.25" x14ac:dyDescent="0.2">
      <c r="A80" s="2" t="s">
        <v>146</v>
      </c>
      <c r="B80" t="s">
        <v>282</v>
      </c>
      <c r="C80" t="s">
        <v>290</v>
      </c>
      <c r="D80" s="29" t="s">
        <v>757</v>
      </c>
    </row>
    <row r="81" spans="1:4" ht="14.25" x14ac:dyDescent="0.2">
      <c r="A81" s="2" t="s">
        <v>147</v>
      </c>
      <c r="B81" t="s">
        <v>283</v>
      </c>
      <c r="C81" t="s">
        <v>291</v>
      </c>
      <c r="D81" s="29" t="s">
        <v>757</v>
      </c>
    </row>
    <row r="82" spans="1:4" ht="14.25" x14ac:dyDescent="0.2">
      <c r="A82" s="2" t="s">
        <v>148</v>
      </c>
      <c r="B82" t="s">
        <v>284</v>
      </c>
      <c r="C82" t="s">
        <v>292</v>
      </c>
      <c r="D82" s="29" t="s">
        <v>757</v>
      </c>
    </row>
    <row r="83" spans="1:4" x14ac:dyDescent="0.2">
      <c r="A83" s="2"/>
    </row>
    <row r="84" spans="1:4" x14ac:dyDescent="0.2">
      <c r="A84" s="2"/>
    </row>
    <row r="85" spans="1:4" x14ac:dyDescent="0.2">
      <c r="A85" s="2"/>
    </row>
    <row r="86" spans="1:4" x14ac:dyDescent="0.2">
      <c r="A86" s="2"/>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14999847407452621"/>
  </sheetPr>
  <dimension ref="A1:C44"/>
  <sheetViews>
    <sheetView workbookViewId="0">
      <selection activeCell="C41" sqref="C41"/>
    </sheetView>
  </sheetViews>
  <sheetFormatPr defaultRowHeight="12.75" x14ac:dyDescent="0.2"/>
  <cols>
    <col min="1" max="1" width="9.85546875" bestFit="1" customWidth="1"/>
    <col min="2" max="2" width="31.140625" bestFit="1" customWidth="1"/>
    <col min="3" max="3" width="138.42578125" bestFit="1" customWidth="1"/>
  </cols>
  <sheetData>
    <row r="1" spans="1:3" x14ac:dyDescent="0.2">
      <c r="A1" s="1" t="s">
        <v>454</v>
      </c>
      <c r="B1" s="1" t="s">
        <v>455</v>
      </c>
      <c r="C1" s="1" t="s">
        <v>456</v>
      </c>
    </row>
    <row r="2" spans="1:3" x14ac:dyDescent="0.2">
      <c r="A2" t="s">
        <v>467</v>
      </c>
      <c r="B2" t="s">
        <v>314</v>
      </c>
      <c r="C2" t="s">
        <v>584</v>
      </c>
    </row>
    <row r="3" spans="1:3" x14ac:dyDescent="0.2">
      <c r="A3" t="s">
        <v>468</v>
      </c>
      <c r="B3" t="s">
        <v>586</v>
      </c>
      <c r="C3" t="s">
        <v>585</v>
      </c>
    </row>
    <row r="4" spans="1:3" x14ac:dyDescent="0.2">
      <c r="A4" s="2" t="s">
        <v>5</v>
      </c>
      <c r="B4" t="s">
        <v>374</v>
      </c>
      <c r="C4" t="s">
        <v>373</v>
      </c>
    </row>
    <row r="5" spans="1:3" x14ac:dyDescent="0.2">
      <c r="A5" s="2" t="s">
        <v>362</v>
      </c>
      <c r="B5" t="s">
        <v>376</v>
      </c>
      <c r="C5" t="s">
        <v>375</v>
      </c>
    </row>
    <row r="6" spans="1:3" x14ac:dyDescent="0.2">
      <c r="A6" s="2" t="s">
        <v>6</v>
      </c>
      <c r="B6" t="s">
        <v>380</v>
      </c>
      <c r="C6" t="s">
        <v>377</v>
      </c>
    </row>
    <row r="7" spans="1:3" x14ac:dyDescent="0.2">
      <c r="A7" s="2" t="s">
        <v>363</v>
      </c>
      <c r="B7" t="s">
        <v>379</v>
      </c>
      <c r="C7" t="s">
        <v>378</v>
      </c>
    </row>
    <row r="8" spans="1:3" x14ac:dyDescent="0.2">
      <c r="A8" s="2" t="s">
        <v>364</v>
      </c>
      <c r="B8" t="s">
        <v>382</v>
      </c>
      <c r="C8" t="s">
        <v>381</v>
      </c>
    </row>
    <row r="9" spans="1:3" x14ac:dyDescent="0.2">
      <c r="A9" s="2" t="s">
        <v>365</v>
      </c>
      <c r="B9" t="s">
        <v>383</v>
      </c>
      <c r="C9" t="s">
        <v>384</v>
      </c>
    </row>
    <row r="10" spans="1:3" x14ac:dyDescent="0.2">
      <c r="A10" s="2" t="s">
        <v>444</v>
      </c>
      <c r="B10" t="s">
        <v>385</v>
      </c>
      <c r="C10" t="s">
        <v>386</v>
      </c>
    </row>
    <row r="11" spans="1:3" x14ac:dyDescent="0.2">
      <c r="A11" s="2" t="s">
        <v>366</v>
      </c>
      <c r="B11" t="s">
        <v>387</v>
      </c>
      <c r="C11" t="s">
        <v>388</v>
      </c>
    </row>
    <row r="12" spans="1:3" x14ac:dyDescent="0.2">
      <c r="A12" s="2" t="s">
        <v>367</v>
      </c>
      <c r="B12" t="s">
        <v>390</v>
      </c>
      <c r="C12" t="s">
        <v>389</v>
      </c>
    </row>
    <row r="13" spans="1:3" x14ac:dyDescent="0.2">
      <c r="A13" s="2" t="s">
        <v>7</v>
      </c>
      <c r="B13" t="s">
        <v>392</v>
      </c>
      <c r="C13" t="s">
        <v>391</v>
      </c>
    </row>
    <row r="14" spans="1:3" x14ac:dyDescent="0.2">
      <c r="A14" s="2" t="s">
        <v>8</v>
      </c>
      <c r="B14" t="s">
        <v>394</v>
      </c>
      <c r="C14" t="s">
        <v>393</v>
      </c>
    </row>
    <row r="15" spans="1:3" x14ac:dyDescent="0.2">
      <c r="A15" s="2" t="s">
        <v>9</v>
      </c>
      <c r="B15" t="s">
        <v>396</v>
      </c>
      <c r="C15" t="s">
        <v>395</v>
      </c>
    </row>
    <row r="16" spans="1:3" x14ac:dyDescent="0.2">
      <c r="A16" s="2" t="s">
        <v>10</v>
      </c>
      <c r="B16" t="s">
        <v>398</v>
      </c>
      <c r="C16" t="s">
        <v>397</v>
      </c>
    </row>
    <row r="17" spans="1:3" x14ac:dyDescent="0.2">
      <c r="A17" s="2" t="s">
        <v>11</v>
      </c>
      <c r="B17" t="s">
        <v>558</v>
      </c>
      <c r="C17" t="s">
        <v>559</v>
      </c>
    </row>
    <row r="18" spans="1:3" x14ac:dyDescent="0.2">
      <c r="A18" s="2" t="s">
        <v>368</v>
      </c>
      <c r="B18" t="s">
        <v>400</v>
      </c>
      <c r="C18" t="s">
        <v>399</v>
      </c>
    </row>
    <row r="19" spans="1:3" x14ac:dyDescent="0.2">
      <c r="A19" s="2" t="s">
        <v>12</v>
      </c>
      <c r="B19" t="s">
        <v>402</v>
      </c>
      <c r="C19" t="s">
        <v>401</v>
      </c>
    </row>
    <row r="20" spans="1:3" x14ac:dyDescent="0.2">
      <c r="A20" s="2" t="s">
        <v>13</v>
      </c>
      <c r="B20" t="s">
        <v>404</v>
      </c>
      <c r="C20" t="s">
        <v>403</v>
      </c>
    </row>
    <row r="21" spans="1:3" x14ac:dyDescent="0.2">
      <c r="A21" s="2" t="s">
        <v>15</v>
      </c>
      <c r="B21" t="s">
        <v>406</v>
      </c>
      <c r="C21" t="s">
        <v>405</v>
      </c>
    </row>
    <row r="22" spans="1:3" x14ac:dyDescent="0.2">
      <c r="A22" s="2" t="s">
        <v>566</v>
      </c>
      <c r="B22" t="s">
        <v>564</v>
      </c>
      <c r="C22" t="s">
        <v>565</v>
      </c>
    </row>
    <row r="23" spans="1:3" x14ac:dyDescent="0.2">
      <c r="A23" s="2" t="s">
        <v>583</v>
      </c>
      <c r="B23" t="s">
        <v>410</v>
      </c>
      <c r="C23" t="s">
        <v>587</v>
      </c>
    </row>
    <row r="24" spans="1:3" x14ac:dyDescent="0.2">
      <c r="A24" s="2" t="s">
        <v>466</v>
      </c>
      <c r="B24" t="s">
        <v>408</v>
      </c>
      <c r="C24" t="s">
        <v>407</v>
      </c>
    </row>
    <row r="25" spans="1:3" x14ac:dyDescent="0.2">
      <c r="A25" s="2" t="s">
        <v>560</v>
      </c>
      <c r="B25" t="s">
        <v>561</v>
      </c>
      <c r="C25" t="s">
        <v>562</v>
      </c>
    </row>
    <row r="26" spans="1:3" x14ac:dyDescent="0.2">
      <c r="A26" s="2" t="s">
        <v>563</v>
      </c>
      <c r="B26" t="s">
        <v>413</v>
      </c>
      <c r="C26" t="s">
        <v>412</v>
      </c>
    </row>
    <row r="27" spans="1:3" x14ac:dyDescent="0.2">
      <c r="A27" s="2" t="s">
        <v>472</v>
      </c>
      <c r="B27" t="s">
        <v>415</v>
      </c>
      <c r="C27" t="s">
        <v>414</v>
      </c>
    </row>
    <row r="28" spans="1:3" x14ac:dyDescent="0.2">
      <c r="A28" s="2" t="s">
        <v>16</v>
      </c>
      <c r="B28" t="s">
        <v>567</v>
      </c>
      <c r="C28" t="s">
        <v>568</v>
      </c>
    </row>
    <row r="29" spans="1:3" x14ac:dyDescent="0.2">
      <c r="A29" s="2" t="s">
        <v>17</v>
      </c>
      <c r="B29" t="s">
        <v>411</v>
      </c>
      <c r="C29" t="s">
        <v>409</v>
      </c>
    </row>
    <row r="30" spans="1:3" x14ac:dyDescent="0.2">
      <c r="A30" s="2" t="s">
        <v>18</v>
      </c>
      <c r="B30" t="s">
        <v>417</v>
      </c>
      <c r="C30" t="s">
        <v>416</v>
      </c>
    </row>
    <row r="31" spans="1:3" x14ac:dyDescent="0.2">
      <c r="A31" s="2" t="s">
        <v>19</v>
      </c>
      <c r="B31" t="s">
        <v>418</v>
      </c>
      <c r="C31" t="s">
        <v>419</v>
      </c>
    </row>
    <row r="32" spans="1:3" x14ac:dyDescent="0.2">
      <c r="A32" s="2" t="s">
        <v>20</v>
      </c>
      <c r="B32" t="s">
        <v>421</v>
      </c>
      <c r="C32" t="s">
        <v>420</v>
      </c>
    </row>
    <row r="33" spans="1:3" x14ac:dyDescent="0.2">
      <c r="A33" s="2" t="s">
        <v>21</v>
      </c>
      <c r="B33" t="s">
        <v>423</v>
      </c>
      <c r="C33" t="s">
        <v>422</v>
      </c>
    </row>
    <row r="34" spans="1:3" x14ac:dyDescent="0.2">
      <c r="A34" s="2" t="s">
        <v>22</v>
      </c>
      <c r="B34" t="s">
        <v>425</v>
      </c>
      <c r="C34" t="s">
        <v>424</v>
      </c>
    </row>
    <row r="35" spans="1:3" x14ac:dyDescent="0.2">
      <c r="A35" s="2" t="s">
        <v>23</v>
      </c>
      <c r="B35" t="s">
        <v>426</v>
      </c>
      <c r="C35" t="s">
        <v>427</v>
      </c>
    </row>
    <row r="36" spans="1:3" x14ac:dyDescent="0.2">
      <c r="A36" s="2" t="s">
        <v>369</v>
      </c>
      <c r="B36" t="s">
        <v>429</v>
      </c>
      <c r="C36" t="s">
        <v>428</v>
      </c>
    </row>
    <row r="37" spans="1:3" x14ac:dyDescent="0.2">
      <c r="A37" s="2" t="s">
        <v>370</v>
      </c>
      <c r="B37" t="s">
        <v>431</v>
      </c>
      <c r="C37" t="s">
        <v>430</v>
      </c>
    </row>
    <row r="38" spans="1:3" x14ac:dyDescent="0.2">
      <c r="A38" s="2" t="s">
        <v>371</v>
      </c>
      <c r="B38" t="s">
        <v>434</v>
      </c>
      <c r="C38" t="s">
        <v>432</v>
      </c>
    </row>
    <row r="39" spans="1:3" x14ac:dyDescent="0.2">
      <c r="A39" s="2" t="s">
        <v>372</v>
      </c>
      <c r="B39" t="s">
        <v>435</v>
      </c>
      <c r="C39" t="s">
        <v>433</v>
      </c>
    </row>
    <row r="40" spans="1:3" x14ac:dyDescent="0.2">
      <c r="A40" s="2" t="s">
        <v>24</v>
      </c>
      <c r="B40" t="s">
        <v>437</v>
      </c>
      <c r="C40" t="s">
        <v>436</v>
      </c>
    </row>
    <row r="41" spans="1:3" x14ac:dyDescent="0.2">
      <c r="A41" s="2" t="s">
        <v>25</v>
      </c>
      <c r="B41" t="s">
        <v>438</v>
      </c>
      <c r="C41" t="s">
        <v>441</v>
      </c>
    </row>
    <row r="42" spans="1:3" x14ac:dyDescent="0.2">
      <c r="A42" s="2" t="s">
        <v>26</v>
      </c>
      <c r="B42" t="s">
        <v>439</v>
      </c>
      <c r="C42" t="s">
        <v>442</v>
      </c>
    </row>
    <row r="43" spans="1:3" x14ac:dyDescent="0.2">
      <c r="A43" s="2" t="s">
        <v>27</v>
      </c>
      <c r="B43" t="s">
        <v>440</v>
      </c>
      <c r="C43" t="s">
        <v>443</v>
      </c>
    </row>
    <row r="44" spans="1:3" x14ac:dyDescent="0.2">
      <c r="A4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14999847407452621"/>
  </sheetPr>
  <dimension ref="A1:D104"/>
  <sheetViews>
    <sheetView zoomScaleNormal="100" workbookViewId="0">
      <selection activeCell="C18" sqref="C18"/>
    </sheetView>
  </sheetViews>
  <sheetFormatPr defaultRowHeight="12.75" x14ac:dyDescent="0.2"/>
  <cols>
    <col min="1" max="1" width="31" bestFit="1" customWidth="1"/>
    <col min="2" max="2" width="51" bestFit="1" customWidth="1"/>
    <col min="3" max="3" width="133.7109375" bestFit="1" customWidth="1"/>
    <col min="4" max="4" width="37.28515625" bestFit="1" customWidth="1"/>
  </cols>
  <sheetData>
    <row r="1" spans="1:4" x14ac:dyDescent="0.2">
      <c r="A1" s="23" t="s">
        <v>354</v>
      </c>
      <c r="B1" s="23" t="s">
        <v>355</v>
      </c>
      <c r="C1" s="23" t="s">
        <v>356</v>
      </c>
      <c r="D1" s="23" t="s">
        <v>32</v>
      </c>
    </row>
    <row r="2" spans="1:4" ht="14.25" x14ac:dyDescent="0.2">
      <c r="A2" s="26" t="s">
        <v>604</v>
      </c>
      <c r="B2" s="26" t="s">
        <v>605</v>
      </c>
      <c r="C2" s="26" t="s">
        <v>606</v>
      </c>
      <c r="D2" s="29" t="s">
        <v>757</v>
      </c>
    </row>
    <row r="3" spans="1:4" ht="14.25" x14ac:dyDescent="0.2">
      <c r="A3" s="2" t="s">
        <v>639</v>
      </c>
      <c r="B3" t="s">
        <v>647</v>
      </c>
      <c r="C3" t="s">
        <v>352</v>
      </c>
      <c r="D3" s="29" t="s">
        <v>758</v>
      </c>
    </row>
    <row r="4" spans="1:4" ht="14.25" x14ac:dyDescent="0.2">
      <c r="A4" s="2" t="s">
        <v>597</v>
      </c>
      <c r="B4" t="s">
        <v>598</v>
      </c>
      <c r="C4" t="s">
        <v>599</v>
      </c>
      <c r="D4" s="29" t="s">
        <v>757</v>
      </c>
    </row>
    <row r="5" spans="1:4" ht="14.25" x14ac:dyDescent="0.2">
      <c r="A5" s="2" t="s">
        <v>810</v>
      </c>
      <c r="B5" t="s">
        <v>811</v>
      </c>
      <c r="C5" t="s">
        <v>812</v>
      </c>
      <c r="D5" s="29" t="s">
        <v>757</v>
      </c>
    </row>
    <row r="6" spans="1:4" ht="14.25" x14ac:dyDescent="0.2">
      <c r="A6" s="2" t="s">
        <v>813</v>
      </c>
      <c r="B6" t="s">
        <v>814</v>
      </c>
      <c r="C6" t="s">
        <v>815</v>
      </c>
      <c r="D6" s="29" t="s">
        <v>757</v>
      </c>
    </row>
    <row r="7" spans="1:4" ht="14.25" x14ac:dyDescent="0.2">
      <c r="A7" s="2" t="s">
        <v>827</v>
      </c>
      <c r="B7" t="s">
        <v>828</v>
      </c>
      <c r="C7" t="s">
        <v>829</v>
      </c>
      <c r="D7" s="29" t="s">
        <v>758</v>
      </c>
    </row>
    <row r="8" spans="1:4" x14ac:dyDescent="0.2">
      <c r="A8" s="24" t="s">
        <v>622</v>
      </c>
      <c r="B8" s="25" t="s">
        <v>625</v>
      </c>
      <c r="C8" s="25" t="s">
        <v>624</v>
      </c>
      <c r="D8" s="30" t="s">
        <v>600</v>
      </c>
    </row>
    <row r="9" spans="1:4" x14ac:dyDescent="0.2">
      <c r="A9" s="21" t="s">
        <v>609</v>
      </c>
      <c r="B9" s="22" t="s">
        <v>621</v>
      </c>
      <c r="C9" s="22" t="s">
        <v>623</v>
      </c>
      <c r="D9" s="31" t="s">
        <v>353</v>
      </c>
    </row>
    <row r="10" spans="1:4" x14ac:dyDescent="0.2">
      <c r="A10" s="2" t="s">
        <v>710</v>
      </c>
      <c r="B10" t="s">
        <v>708</v>
      </c>
      <c r="C10" t="s">
        <v>709</v>
      </c>
      <c r="D10" s="29" t="s">
        <v>353</v>
      </c>
    </row>
    <row r="11" spans="1:4" x14ac:dyDescent="0.2">
      <c r="A11" s="2" t="s">
        <v>711</v>
      </c>
      <c r="B11" t="s">
        <v>713</v>
      </c>
      <c r="C11" t="s">
        <v>715</v>
      </c>
      <c r="D11" s="29" t="s">
        <v>353</v>
      </c>
    </row>
    <row r="12" spans="1:4" x14ac:dyDescent="0.2">
      <c r="A12" s="2" t="s">
        <v>712</v>
      </c>
      <c r="B12" t="s">
        <v>714</v>
      </c>
      <c r="C12" t="s">
        <v>716</v>
      </c>
      <c r="D12" s="29" t="s">
        <v>353</v>
      </c>
    </row>
    <row r="13" spans="1:4" x14ac:dyDescent="0.2">
      <c r="A13" s="2" t="s">
        <v>610</v>
      </c>
      <c r="B13" t="s">
        <v>626</v>
      </c>
      <c r="C13" t="s">
        <v>457</v>
      </c>
      <c r="D13" s="29" t="s">
        <v>353</v>
      </c>
    </row>
    <row r="14" spans="1:4" x14ac:dyDescent="0.2">
      <c r="A14" s="2" t="s">
        <v>611</v>
      </c>
      <c r="B14" t="s">
        <v>627</v>
      </c>
      <c r="C14" t="s">
        <v>607</v>
      </c>
      <c r="D14" s="29" t="s">
        <v>353</v>
      </c>
    </row>
    <row r="15" spans="1:4" x14ac:dyDescent="0.2">
      <c r="A15" s="2" t="s">
        <v>612</v>
      </c>
      <c r="B15" t="s">
        <v>628</v>
      </c>
      <c r="C15" t="s">
        <v>721</v>
      </c>
      <c r="D15" s="29" t="s">
        <v>353</v>
      </c>
    </row>
    <row r="16" spans="1:4" x14ac:dyDescent="0.2">
      <c r="A16" s="2" t="s">
        <v>613</v>
      </c>
      <c r="B16" t="s">
        <v>629</v>
      </c>
      <c r="C16" t="s">
        <v>722</v>
      </c>
      <c r="D16" s="29" t="s">
        <v>353</v>
      </c>
    </row>
    <row r="17" spans="1:4" x14ac:dyDescent="0.2">
      <c r="A17" s="21" t="s">
        <v>614</v>
      </c>
      <c r="B17" s="22" t="s">
        <v>630</v>
      </c>
      <c r="C17" s="22" t="s">
        <v>723</v>
      </c>
      <c r="D17" s="31" t="s">
        <v>353</v>
      </c>
    </row>
    <row r="18" spans="1:4" ht="13.5" customHeight="1" x14ac:dyDescent="0.2">
      <c r="A18" s="2" t="s">
        <v>717</v>
      </c>
      <c r="B18" t="s">
        <v>719</v>
      </c>
      <c r="C18" t="s">
        <v>724</v>
      </c>
      <c r="D18" s="29" t="s">
        <v>726</v>
      </c>
    </row>
    <row r="19" spans="1:4" x14ac:dyDescent="0.2">
      <c r="A19" s="21" t="s">
        <v>718</v>
      </c>
      <c r="B19" s="22" t="s">
        <v>720</v>
      </c>
      <c r="C19" s="22" t="s">
        <v>725</v>
      </c>
      <c r="D19" s="31" t="s">
        <v>726</v>
      </c>
    </row>
    <row r="20" spans="1:4" x14ac:dyDescent="0.2">
      <c r="A20" s="24" t="s">
        <v>608</v>
      </c>
      <c r="B20" s="25" t="s">
        <v>631</v>
      </c>
      <c r="C20" s="25" t="s">
        <v>458</v>
      </c>
      <c r="D20" s="29" t="s">
        <v>759</v>
      </c>
    </row>
    <row r="21" spans="1:4" x14ac:dyDescent="0.2">
      <c r="A21" s="21" t="s">
        <v>727</v>
      </c>
      <c r="B21" s="22" t="s">
        <v>728</v>
      </c>
      <c r="C21" s="22" t="s">
        <v>729</v>
      </c>
      <c r="D21" s="31" t="s">
        <v>759</v>
      </c>
    </row>
    <row r="22" spans="1:4" x14ac:dyDescent="0.2">
      <c r="A22" s="21" t="s">
        <v>615</v>
      </c>
      <c r="B22" s="22" t="s">
        <v>632</v>
      </c>
      <c r="C22" s="22" t="s">
        <v>633</v>
      </c>
      <c r="D22" s="31" t="s">
        <v>353</v>
      </c>
    </row>
    <row r="23" spans="1:4" ht="14.25" x14ac:dyDescent="0.2">
      <c r="A23" s="2" t="s">
        <v>445</v>
      </c>
      <c r="B23" t="s">
        <v>641</v>
      </c>
      <c r="C23" t="s">
        <v>643</v>
      </c>
      <c r="D23" s="29" t="s">
        <v>757</v>
      </c>
    </row>
    <row r="24" spans="1:4" x14ac:dyDescent="0.2">
      <c r="A24" s="21" t="s">
        <v>616</v>
      </c>
      <c r="B24" s="22" t="s">
        <v>642</v>
      </c>
      <c r="C24" s="22" t="s">
        <v>644</v>
      </c>
      <c r="D24" s="31" t="s">
        <v>35</v>
      </c>
    </row>
    <row r="25" spans="1:4" ht="14.25" x14ac:dyDescent="0.2">
      <c r="A25" s="24" t="s">
        <v>447</v>
      </c>
      <c r="B25" s="25" t="s">
        <v>357</v>
      </c>
      <c r="C25" s="25" t="s">
        <v>635</v>
      </c>
      <c r="D25" s="29" t="s">
        <v>757</v>
      </c>
    </row>
    <row r="26" spans="1:4" ht="14.25" x14ac:dyDescent="0.2">
      <c r="A26" s="2" t="s">
        <v>617</v>
      </c>
      <c r="B26" t="s">
        <v>640</v>
      </c>
      <c r="C26" t="s">
        <v>645</v>
      </c>
      <c r="D26" s="29" t="s">
        <v>757</v>
      </c>
    </row>
    <row r="27" spans="1:4" ht="14.25" x14ac:dyDescent="0.2">
      <c r="A27" s="21" t="s">
        <v>446</v>
      </c>
      <c r="B27" s="22" t="s">
        <v>358</v>
      </c>
      <c r="C27" s="22" t="s">
        <v>651</v>
      </c>
      <c r="D27" s="29" t="s">
        <v>757</v>
      </c>
    </row>
    <row r="28" spans="1:4" x14ac:dyDescent="0.2">
      <c r="A28" s="2" t="s">
        <v>618</v>
      </c>
      <c r="B28" t="s">
        <v>620</v>
      </c>
      <c r="C28" t="s">
        <v>636</v>
      </c>
      <c r="D28" s="30" t="s">
        <v>761</v>
      </c>
    </row>
    <row r="29" spans="1:4" x14ac:dyDescent="0.2">
      <c r="A29" s="21" t="s">
        <v>619</v>
      </c>
      <c r="B29" s="22" t="s">
        <v>634</v>
      </c>
      <c r="C29" s="22" t="s">
        <v>637</v>
      </c>
      <c r="D29" s="29" t="s">
        <v>761</v>
      </c>
    </row>
    <row r="30" spans="1:4" ht="14.25" x14ac:dyDescent="0.2">
      <c r="A30" s="24" t="s">
        <v>638</v>
      </c>
      <c r="B30" s="25" t="s">
        <v>646</v>
      </c>
      <c r="C30" s="25" t="s">
        <v>649</v>
      </c>
      <c r="D30" s="30" t="s">
        <v>760</v>
      </c>
    </row>
    <row r="31" spans="1:4" ht="14.25" x14ac:dyDescent="0.2">
      <c r="A31" s="2" t="s">
        <v>730</v>
      </c>
      <c r="B31" t="s">
        <v>743</v>
      </c>
      <c r="C31" t="s">
        <v>744</v>
      </c>
      <c r="D31" s="29" t="s">
        <v>760</v>
      </c>
    </row>
    <row r="32" spans="1:4" ht="14.25" x14ac:dyDescent="0.2">
      <c r="A32" s="21" t="s">
        <v>707</v>
      </c>
      <c r="B32" s="22" t="s">
        <v>648</v>
      </c>
      <c r="C32" s="22" t="s">
        <v>650</v>
      </c>
      <c r="D32" s="31" t="s">
        <v>760</v>
      </c>
    </row>
    <row r="33" spans="1:4" x14ac:dyDescent="0.2">
      <c r="A33" s="2" t="s">
        <v>816</v>
      </c>
      <c r="B33" t="s">
        <v>817</v>
      </c>
      <c r="C33" t="s">
        <v>818</v>
      </c>
      <c r="D33" s="29" t="s">
        <v>819</v>
      </c>
    </row>
    <row r="34" spans="1:4" x14ac:dyDescent="0.2">
      <c r="A34" s="2" t="s">
        <v>820</v>
      </c>
      <c r="B34" t="s">
        <v>821</v>
      </c>
      <c r="C34" t="s">
        <v>822</v>
      </c>
      <c r="D34" s="29" t="s">
        <v>823</v>
      </c>
    </row>
    <row r="35" spans="1:4" x14ac:dyDescent="0.2">
      <c r="A35" s="2" t="s">
        <v>824</v>
      </c>
      <c r="B35" t="s">
        <v>817</v>
      </c>
      <c r="C35" t="s">
        <v>825</v>
      </c>
      <c r="D35" s="29" t="s">
        <v>826</v>
      </c>
    </row>
    <row r="36" spans="1:4" ht="14.25" x14ac:dyDescent="0.2">
      <c r="A36" s="24" t="s">
        <v>731</v>
      </c>
      <c r="B36" s="25" t="s">
        <v>739</v>
      </c>
      <c r="C36" s="25" t="s">
        <v>749</v>
      </c>
      <c r="D36" s="30" t="s">
        <v>757</v>
      </c>
    </row>
    <row r="37" spans="1:4" ht="14.25" x14ac:dyDescent="0.2">
      <c r="A37" s="2" t="s">
        <v>732</v>
      </c>
      <c r="B37" t="s">
        <v>740</v>
      </c>
      <c r="C37" t="s">
        <v>751</v>
      </c>
      <c r="D37" s="29" t="s">
        <v>757</v>
      </c>
    </row>
    <row r="38" spans="1:4" ht="14.25" x14ac:dyDescent="0.2">
      <c r="A38" s="2" t="s">
        <v>733</v>
      </c>
      <c r="B38" t="s">
        <v>741</v>
      </c>
      <c r="C38" t="s">
        <v>750</v>
      </c>
      <c r="D38" s="29" t="s">
        <v>757</v>
      </c>
    </row>
    <row r="39" spans="1:4" ht="14.25" x14ac:dyDescent="0.2">
      <c r="A39" s="21" t="s">
        <v>734</v>
      </c>
      <c r="B39" s="22" t="s">
        <v>742</v>
      </c>
      <c r="C39" s="22" t="s">
        <v>752</v>
      </c>
      <c r="D39" s="29" t="s">
        <v>757</v>
      </c>
    </row>
    <row r="40" spans="1:4" x14ac:dyDescent="0.2">
      <c r="A40" s="2" t="s">
        <v>735</v>
      </c>
      <c r="B40" t="s">
        <v>745</v>
      </c>
      <c r="C40" t="s">
        <v>753</v>
      </c>
      <c r="D40" s="30" t="s">
        <v>761</v>
      </c>
    </row>
    <row r="41" spans="1:4" x14ac:dyDescent="0.2">
      <c r="A41" s="2" t="s">
        <v>736</v>
      </c>
      <c r="B41" t="s">
        <v>746</v>
      </c>
      <c r="C41" t="s">
        <v>754</v>
      </c>
      <c r="D41" s="29" t="s">
        <v>761</v>
      </c>
    </row>
    <row r="42" spans="1:4" x14ac:dyDescent="0.2">
      <c r="A42" t="s">
        <v>737</v>
      </c>
      <c r="B42" t="s">
        <v>747</v>
      </c>
      <c r="C42" t="s">
        <v>755</v>
      </c>
      <c r="D42" s="29" t="s">
        <v>761</v>
      </c>
    </row>
    <row r="43" spans="1:4" x14ac:dyDescent="0.2">
      <c r="A43" s="22" t="s">
        <v>738</v>
      </c>
      <c r="B43" s="22" t="s">
        <v>748</v>
      </c>
      <c r="C43" s="22" t="s">
        <v>756</v>
      </c>
      <c r="D43" s="29" t="s">
        <v>761</v>
      </c>
    </row>
    <row r="44" spans="1:4" ht="14.25" x14ac:dyDescent="0.2">
      <c r="A44" s="2" t="s">
        <v>448</v>
      </c>
      <c r="B44" t="s">
        <v>601</v>
      </c>
      <c r="C44" t="s">
        <v>660</v>
      </c>
      <c r="D44" s="30" t="s">
        <v>757</v>
      </c>
    </row>
    <row r="45" spans="1:4" ht="14.25" x14ac:dyDescent="0.2">
      <c r="A45" s="2" t="s">
        <v>652</v>
      </c>
      <c r="B45" t="s">
        <v>658</v>
      </c>
      <c r="C45" t="s">
        <v>659</v>
      </c>
      <c r="D45" s="29" t="s">
        <v>757</v>
      </c>
    </row>
    <row r="46" spans="1:4" ht="14.25" x14ac:dyDescent="0.2">
      <c r="A46" s="2" t="s">
        <v>449</v>
      </c>
      <c r="B46" t="s">
        <v>655</v>
      </c>
      <c r="C46" t="s">
        <v>602</v>
      </c>
      <c r="D46" s="29" t="s">
        <v>757</v>
      </c>
    </row>
    <row r="47" spans="1:4" ht="14.25" x14ac:dyDescent="0.2">
      <c r="A47" s="2" t="s">
        <v>653</v>
      </c>
      <c r="B47" t="s">
        <v>656</v>
      </c>
      <c r="C47" t="s">
        <v>603</v>
      </c>
      <c r="D47" s="29" t="s">
        <v>757</v>
      </c>
    </row>
    <row r="48" spans="1:4" ht="14.25" x14ac:dyDescent="0.2">
      <c r="A48" s="21" t="s">
        <v>654</v>
      </c>
      <c r="B48" s="22" t="s">
        <v>657</v>
      </c>
      <c r="C48" s="22" t="s">
        <v>661</v>
      </c>
      <c r="D48" s="29" t="s">
        <v>757</v>
      </c>
    </row>
    <row r="49" spans="1:4" x14ac:dyDescent="0.2">
      <c r="A49" s="9" t="s">
        <v>662</v>
      </c>
      <c r="B49" s="26" t="s">
        <v>663</v>
      </c>
      <c r="C49" s="26" t="s">
        <v>672</v>
      </c>
      <c r="D49" s="30" t="s">
        <v>761</v>
      </c>
    </row>
    <row r="50" spans="1:4" x14ac:dyDescent="0.2">
      <c r="A50" s="9" t="s">
        <v>664</v>
      </c>
      <c r="B50" s="26" t="s">
        <v>668</v>
      </c>
      <c r="C50" s="26" t="s">
        <v>673</v>
      </c>
      <c r="D50" s="29" t="s">
        <v>761</v>
      </c>
    </row>
    <row r="51" spans="1:4" x14ac:dyDescent="0.2">
      <c r="A51" s="9" t="s">
        <v>665</v>
      </c>
      <c r="B51" s="26" t="s">
        <v>669</v>
      </c>
      <c r="C51" s="26" t="s">
        <v>674</v>
      </c>
      <c r="D51" s="29" t="s">
        <v>761</v>
      </c>
    </row>
    <row r="52" spans="1:4" x14ac:dyDescent="0.2">
      <c r="A52" s="9" t="s">
        <v>666</v>
      </c>
      <c r="B52" s="26" t="s">
        <v>670</v>
      </c>
      <c r="C52" s="26" t="s">
        <v>675</v>
      </c>
      <c r="D52" s="29" t="s">
        <v>761</v>
      </c>
    </row>
    <row r="53" spans="1:4" x14ac:dyDescent="0.2">
      <c r="A53" s="27" t="s">
        <v>667</v>
      </c>
      <c r="B53" s="28" t="s">
        <v>671</v>
      </c>
      <c r="C53" s="28" t="s">
        <v>676</v>
      </c>
      <c r="D53" s="29" t="s">
        <v>761</v>
      </c>
    </row>
    <row r="54" spans="1:4" x14ac:dyDescent="0.2">
      <c r="A54" s="9" t="s">
        <v>701</v>
      </c>
      <c r="B54" s="26" t="s">
        <v>702</v>
      </c>
      <c r="C54" s="26" t="s">
        <v>703</v>
      </c>
      <c r="D54" s="30" t="s">
        <v>761</v>
      </c>
    </row>
    <row r="55" spans="1:4" x14ac:dyDescent="0.2">
      <c r="A55" s="9" t="s">
        <v>677</v>
      </c>
      <c r="B55" s="26" t="s">
        <v>685</v>
      </c>
      <c r="C55" s="26" t="s">
        <v>694</v>
      </c>
      <c r="D55" s="29" t="s">
        <v>761</v>
      </c>
    </row>
    <row r="56" spans="1:4" x14ac:dyDescent="0.2">
      <c r="A56" s="9" t="s">
        <v>678</v>
      </c>
      <c r="B56" s="26" t="s">
        <v>686</v>
      </c>
      <c r="C56" s="26" t="s">
        <v>693</v>
      </c>
      <c r="D56" s="29" t="s">
        <v>761</v>
      </c>
    </row>
    <row r="57" spans="1:4" x14ac:dyDescent="0.2">
      <c r="A57" s="9" t="s">
        <v>704</v>
      </c>
      <c r="B57" s="26" t="s">
        <v>705</v>
      </c>
      <c r="C57" s="26" t="s">
        <v>706</v>
      </c>
      <c r="D57" s="29" t="s">
        <v>761</v>
      </c>
    </row>
    <row r="58" spans="1:4" x14ac:dyDescent="0.2">
      <c r="A58" s="9" t="s">
        <v>679</v>
      </c>
      <c r="B58" s="26" t="s">
        <v>687</v>
      </c>
      <c r="C58" s="26" t="s">
        <v>695</v>
      </c>
      <c r="D58" s="29" t="s">
        <v>761</v>
      </c>
    </row>
    <row r="59" spans="1:4" x14ac:dyDescent="0.2">
      <c r="A59" s="2" t="s">
        <v>680</v>
      </c>
      <c r="B59" t="s">
        <v>688</v>
      </c>
      <c r="C59" t="s">
        <v>696</v>
      </c>
      <c r="D59" s="29" t="s">
        <v>761</v>
      </c>
    </row>
    <row r="60" spans="1:4" x14ac:dyDescent="0.2">
      <c r="A60" s="2" t="s">
        <v>681</v>
      </c>
      <c r="B60" t="s">
        <v>689</v>
      </c>
      <c r="C60" t="s">
        <v>697</v>
      </c>
      <c r="D60" s="29" t="s">
        <v>761</v>
      </c>
    </row>
    <row r="61" spans="1:4" x14ac:dyDescent="0.2">
      <c r="A61" s="2" t="s">
        <v>682</v>
      </c>
      <c r="B61" t="s">
        <v>690</v>
      </c>
      <c r="C61" t="s">
        <v>698</v>
      </c>
      <c r="D61" s="29" t="s">
        <v>761</v>
      </c>
    </row>
    <row r="62" spans="1:4" x14ac:dyDescent="0.2">
      <c r="A62" s="2" t="s">
        <v>683</v>
      </c>
      <c r="B62" t="s">
        <v>691</v>
      </c>
      <c r="C62" t="s">
        <v>700</v>
      </c>
      <c r="D62" s="29" t="s">
        <v>761</v>
      </c>
    </row>
    <row r="63" spans="1:4" x14ac:dyDescent="0.2">
      <c r="A63" s="21" t="s">
        <v>684</v>
      </c>
      <c r="B63" s="22" t="s">
        <v>692</v>
      </c>
      <c r="C63" s="22" t="s">
        <v>699</v>
      </c>
      <c r="D63" s="29" t="s">
        <v>761</v>
      </c>
    </row>
    <row r="64" spans="1:4" x14ac:dyDescent="0.2">
      <c r="A64" s="2" t="s">
        <v>450</v>
      </c>
      <c r="B64" t="s">
        <v>359</v>
      </c>
      <c r="C64" t="s">
        <v>360</v>
      </c>
      <c r="D64" s="30" t="s">
        <v>361</v>
      </c>
    </row>
    <row r="101" spans="1:1" x14ac:dyDescent="0.2">
      <c r="A101" s="2"/>
    </row>
    <row r="102" spans="1:1" x14ac:dyDescent="0.2">
      <c r="A102" s="2"/>
    </row>
    <row r="103" spans="1:1" x14ac:dyDescent="0.2">
      <c r="A103" s="2"/>
    </row>
    <row r="104" spans="1:1" x14ac:dyDescent="0.2">
      <c r="A104" s="2"/>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6DC5A-A60B-4DD4-A781-9D94F67981D5}">
  <dimension ref="A1:B1"/>
  <sheetViews>
    <sheetView workbookViewId="0">
      <selection activeCell="C8" sqref="C8"/>
    </sheetView>
  </sheetViews>
  <sheetFormatPr defaultRowHeight="12.75" x14ac:dyDescent="0.2"/>
  <cols>
    <col min="1" max="1" width="20" bestFit="1" customWidth="1"/>
    <col min="2" max="2" width="18.5703125" bestFit="1" customWidth="1"/>
  </cols>
  <sheetData>
    <row r="1" spans="1:2" x14ac:dyDescent="0.2">
      <c r="A1" s="1" t="s">
        <v>293</v>
      </c>
      <c r="B1" s="1" t="s">
        <v>807</v>
      </c>
    </row>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B2920C180C4E4B84F7FAA099C665FE" ma:contentTypeVersion="18" ma:contentTypeDescription="Create a new document." ma:contentTypeScope="" ma:versionID="e84343eb240811122932975a4c5ba2d0">
  <xsd:schema xmlns:xsd="http://www.w3.org/2001/XMLSchema" xmlns:xs="http://www.w3.org/2001/XMLSchema" xmlns:p="http://schemas.microsoft.com/office/2006/metadata/properties" xmlns:ns2="3d01d3a7-2414-4042-8e23-f77622fb5a72" xmlns:ns3="94cbbe72-fe1e-4100-8646-eab0e6714c8d" targetNamespace="http://schemas.microsoft.com/office/2006/metadata/properties" ma:root="true" ma:fieldsID="b813a9eaf0c978d67e3095d849acef5e" ns2:_="" ns3:_="">
    <xsd:import namespace="3d01d3a7-2414-4042-8e23-f77622fb5a72"/>
    <xsd:import namespace="94cbbe72-fe1e-4100-8646-eab0e6714c8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1d3a7-2414-4042-8e23-f77622fb5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3a19cb6-1b10-4512-a12b-f76e45842a2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cbbe72-fe1e-4100-8646-eab0e6714c8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b0d1da-152a-4297-95e4-150ed2cfdcde}" ma:internalName="TaxCatchAll" ma:showField="CatchAllData" ma:web="94cbbe72-fe1e-4100-8646-eab0e6714c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C4C554-3310-4530-8E2E-840617B2EDCB}">
  <ds:schemaRefs>
    <ds:schemaRef ds:uri="http://schemas.microsoft.com/sharepoint/v3/contenttype/forms"/>
  </ds:schemaRefs>
</ds:datastoreItem>
</file>

<file path=customXml/itemProps2.xml><?xml version="1.0" encoding="utf-8"?>
<ds:datastoreItem xmlns:ds="http://schemas.openxmlformats.org/officeDocument/2006/customXml" ds:itemID="{A0CF5697-C737-40C6-8C6B-81EAFA69CD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1d3a7-2414-4042-8e23-f77622fb5a72"/>
    <ds:schemaRef ds:uri="94cbbe72-fe1e-4100-8646-eab0e6714c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MFA_inputs</vt:lpstr>
      <vt:lpstr>PDFs</vt:lpstr>
      <vt:lpstr>Street_sweep</vt:lpstr>
      <vt:lpstr>Processes</vt:lpstr>
      <vt:lpstr>Coefficients</vt:lpstr>
      <vt:lpstr>Outputs</vt:lpstr>
      <vt:lpstr>Retain_full_munic</vt:lpstr>
    </vt:vector>
  </TitlesOfParts>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Cottom</dc:creator>
  <cp:lastModifiedBy>Cottom, Joshua W</cp:lastModifiedBy>
  <dcterms:created xsi:type="dcterms:W3CDTF">2022-03-20T15:27:41Z</dcterms:created>
  <dcterms:modified xsi:type="dcterms:W3CDTF">2026-02-02T12:13:01Z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0x01010004B2920C180C4E4B84F7FAA099C665FE</vt:lpwstr>
  </property>
</Properties>
</file>