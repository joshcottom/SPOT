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jcottom_ic_ac_uk/Documents/02-Projects/0034_SPOT/02_Model/SPOT V3/07_MFA/MFA_V1.3.2-C-0126/inputs/"/>
    </mc:Choice>
  </mc:AlternateContent>
  <xr:revisionPtr revIDLastSave="135" documentId="8_{81921B73-78C9-4860-9B6F-7A616DA2BCA4}" xr6:coauthVersionLast="47" xr6:coauthVersionMax="47" xr10:uidLastSave="{9546BE99-1723-4AF4-9819-60E35330DF36}"/>
  <bookViews>
    <workbookView xWindow="-105" yWindow="0" windowWidth="26010" windowHeight="20985" tabRatio="767" xr2:uid="{00000000-000D-0000-FFFF-FFFF00000000}"/>
  </bookViews>
  <sheets>
    <sheet name="Summary" sheetId="17" r:id="rId1"/>
    <sheet name="MFA_inputs" sheetId="5" r:id="rId2"/>
    <sheet name="PDFs" sheetId="2" r:id="rId3"/>
    <sheet name="Street_sweep" sheetId="15" r:id="rId4"/>
    <sheet name="Processes" sheetId="3" r:id="rId5"/>
    <sheet name="Coefficients" sheetId="13" r:id="rId6"/>
    <sheet name="Outputs" sheetId="12" r:id="rId7"/>
    <sheet name="Retain_full_munic" sheetId="18" r:id="rId8"/>
  </sheets>
  <definedNames>
    <definedName name="_xlnm._FilterDatabase" localSheetId="1" hidden="1">MFA_inputs!$A$3:$DR$14</definedName>
    <definedName name="_Key1" localSheetId="6" hidden="1">#REF!</definedName>
    <definedName name="_Key1" localSheetId="7" hidden="1">#REF!</definedName>
    <definedName name="_Key1" localSheetId="3" hidden="1">#REF!</definedName>
    <definedName name="_Key1" hidden="1">#REF!</definedName>
    <definedName name="_Order1" hidden="1">255</definedName>
    <definedName name="_Sort" localSheetId="6" hidden="1">#REF!</definedName>
    <definedName name="_Sort" localSheetId="7" hidden="1">#REF!</definedName>
    <definedName name="_Sort" localSheetId="3" hidden="1">#REF!</definedName>
    <definedName name="_Sort" hidden="1">#REF!</definedName>
    <definedName name="Product_A_Name">Summary!#REF!</definedName>
    <definedName name="Product_B_Name">Summary!#REF!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3" i="2"/>
  <c r="H3" i="2"/>
  <c r="I3" i="2"/>
  <c r="J3" i="2"/>
  <c r="G4" i="2"/>
  <c r="H4" i="2"/>
  <c r="I4" i="2"/>
  <c r="J4" i="2"/>
  <c r="G5" i="2"/>
  <c r="H5" i="2"/>
  <c r="I5" i="2"/>
  <c r="J5" i="2"/>
  <c r="G6" i="2"/>
  <c r="H6" i="2"/>
  <c r="I6" i="2"/>
  <c r="J6" i="2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F10" i="2" s="1"/>
  <c r="J10" i="2"/>
  <c r="G11" i="2"/>
  <c r="H11" i="2"/>
  <c r="I11" i="2"/>
  <c r="J11" i="2"/>
  <c r="G12" i="2"/>
  <c r="H12" i="2"/>
  <c r="F12" i="2" s="1"/>
  <c r="I12" i="2"/>
  <c r="J12" i="2"/>
  <c r="G13" i="2"/>
  <c r="H13" i="2"/>
  <c r="I13" i="2"/>
  <c r="J13" i="2"/>
  <c r="G14" i="2"/>
  <c r="H14" i="2"/>
  <c r="I14" i="2"/>
  <c r="J14" i="2"/>
  <c r="G15" i="2"/>
  <c r="H15" i="2"/>
  <c r="I15" i="2"/>
  <c r="F15" i="2" s="1"/>
  <c r="J15" i="2"/>
  <c r="G16" i="2"/>
  <c r="H16" i="2"/>
  <c r="I16" i="2"/>
  <c r="J16" i="2"/>
  <c r="G17" i="2"/>
  <c r="H17" i="2"/>
  <c r="F17" i="2" s="1"/>
  <c r="I17" i="2"/>
  <c r="J17" i="2"/>
  <c r="G18" i="2"/>
  <c r="H18" i="2"/>
  <c r="I18" i="2"/>
  <c r="J18" i="2"/>
  <c r="G19" i="2"/>
  <c r="H19" i="2"/>
  <c r="I19" i="2"/>
  <c r="J19" i="2"/>
  <c r="G20" i="2"/>
  <c r="H20" i="2"/>
  <c r="I20" i="2"/>
  <c r="F20" i="2" s="1"/>
  <c r="J20" i="2"/>
  <c r="G21" i="2"/>
  <c r="H21" i="2"/>
  <c r="I21" i="2"/>
  <c r="J21" i="2"/>
  <c r="G22" i="2"/>
  <c r="H22" i="2"/>
  <c r="F22" i="2" s="1"/>
  <c r="I22" i="2"/>
  <c r="J22" i="2"/>
  <c r="G23" i="2"/>
  <c r="H23" i="2"/>
  <c r="I23" i="2"/>
  <c r="J23" i="2"/>
  <c r="G24" i="2"/>
  <c r="H24" i="2"/>
  <c r="I24" i="2"/>
  <c r="J24" i="2"/>
  <c r="G25" i="2"/>
  <c r="H25" i="2"/>
  <c r="I25" i="2"/>
  <c r="F25" i="2" s="1"/>
  <c r="J25" i="2"/>
  <c r="G26" i="2"/>
  <c r="H26" i="2"/>
  <c r="I26" i="2"/>
  <c r="J26" i="2"/>
  <c r="J2" i="2"/>
  <c r="I2" i="2"/>
  <c r="H2" i="2"/>
  <c r="G2" i="2"/>
  <c r="F11" i="2"/>
  <c r="F8" i="2"/>
  <c r="F6" i="2"/>
  <c r="F4" i="2"/>
  <c r="F3" i="2"/>
  <c r="BX4" i="5"/>
  <c r="BX5" i="5"/>
  <c r="BX6" i="5"/>
  <c r="BX7" i="5"/>
  <c r="BX8" i="5"/>
  <c r="BX9" i="5"/>
  <c r="BX10" i="5"/>
  <c r="BX11" i="5"/>
  <c r="BX12" i="5"/>
  <c r="BX13" i="5"/>
  <c r="BX14" i="5"/>
  <c r="BW4" i="5"/>
  <c r="BW5" i="5"/>
  <c r="BW6" i="5"/>
  <c r="BW7" i="5"/>
  <c r="BW8" i="5"/>
  <c r="BW9" i="5"/>
  <c r="BW10" i="5"/>
  <c r="BW11" i="5"/>
  <c r="BW12" i="5"/>
  <c r="BW13" i="5"/>
  <c r="BW14" i="5"/>
  <c r="BG4" i="5"/>
  <c r="BG5" i="5"/>
  <c r="BG6" i="5"/>
  <c r="BG7" i="5"/>
  <c r="BG8" i="5"/>
  <c r="BG9" i="5"/>
  <c r="BG10" i="5"/>
  <c r="BG11" i="5"/>
  <c r="BG12" i="5"/>
  <c r="BG13" i="5"/>
  <c r="BG14" i="5"/>
  <c r="BH4" i="5"/>
  <c r="BH5" i="5"/>
  <c r="BH6" i="5"/>
  <c r="BH7" i="5"/>
  <c r="BH8" i="5"/>
  <c r="BH9" i="5"/>
  <c r="BH10" i="5"/>
  <c r="BH11" i="5"/>
  <c r="BH12" i="5"/>
  <c r="BH13" i="5"/>
  <c r="BH14" i="5"/>
  <c r="BK4" i="5"/>
  <c r="BL4" i="5"/>
  <c r="BM4" i="5"/>
  <c r="BK5" i="5"/>
  <c r="BL5" i="5"/>
  <c r="BM5" i="5"/>
  <c r="BK6" i="5"/>
  <c r="BL6" i="5"/>
  <c r="BM6" i="5"/>
  <c r="BK7" i="5"/>
  <c r="BL7" i="5"/>
  <c r="BM7" i="5"/>
  <c r="BK8" i="5"/>
  <c r="BL8" i="5"/>
  <c r="BM8" i="5"/>
  <c r="BK9" i="5"/>
  <c r="BL9" i="5"/>
  <c r="BM9" i="5"/>
  <c r="BK10" i="5"/>
  <c r="BL10" i="5"/>
  <c r="BM10" i="5"/>
  <c r="BK11" i="5"/>
  <c r="BL11" i="5"/>
  <c r="BM11" i="5"/>
  <c r="BK12" i="5"/>
  <c r="BL12" i="5"/>
  <c r="BM12" i="5"/>
  <c r="BK13" i="5"/>
  <c r="BL13" i="5"/>
  <c r="BM13" i="5"/>
  <c r="BK14" i="5"/>
  <c r="BL14" i="5"/>
  <c r="BM14" i="5"/>
  <c r="CI4" i="5"/>
  <c r="CJ4" i="5"/>
  <c r="CK4" i="5"/>
  <c r="CI5" i="5"/>
  <c r="CJ5" i="5"/>
  <c r="CK5" i="5"/>
  <c r="CI6" i="5"/>
  <c r="CJ6" i="5"/>
  <c r="CK6" i="5"/>
  <c r="CI7" i="5"/>
  <c r="CJ7" i="5"/>
  <c r="CK7" i="5"/>
  <c r="CI8" i="5"/>
  <c r="CJ8" i="5"/>
  <c r="CK8" i="5"/>
  <c r="CI9" i="5"/>
  <c r="CJ9" i="5"/>
  <c r="CK9" i="5"/>
  <c r="CI10" i="5"/>
  <c r="CJ10" i="5"/>
  <c r="CK10" i="5"/>
  <c r="CI11" i="5"/>
  <c r="CJ11" i="5"/>
  <c r="CK11" i="5"/>
  <c r="CI12" i="5"/>
  <c r="CJ12" i="5"/>
  <c r="CK12" i="5"/>
  <c r="CI13" i="5"/>
  <c r="CJ13" i="5"/>
  <c r="CK13" i="5"/>
  <c r="CI14" i="5"/>
  <c r="CJ14" i="5"/>
  <c r="CK14" i="5"/>
  <c r="AY4" i="5"/>
  <c r="AZ4" i="5"/>
  <c r="BA4" i="5"/>
  <c r="AY5" i="5"/>
  <c r="AZ5" i="5"/>
  <c r="BA5" i="5"/>
  <c r="AY6" i="5"/>
  <c r="AZ6" i="5"/>
  <c r="BA6" i="5"/>
  <c r="AY7" i="5"/>
  <c r="AZ7" i="5"/>
  <c r="BA7" i="5"/>
  <c r="AY8" i="5"/>
  <c r="AZ8" i="5"/>
  <c r="BA8" i="5"/>
  <c r="AY9" i="5"/>
  <c r="AZ9" i="5"/>
  <c r="BA9" i="5"/>
  <c r="AY10" i="5"/>
  <c r="AZ10" i="5"/>
  <c r="BA10" i="5"/>
  <c r="AY11" i="5"/>
  <c r="AZ11" i="5"/>
  <c r="BA11" i="5"/>
  <c r="AY12" i="5"/>
  <c r="AZ12" i="5"/>
  <c r="BA12" i="5"/>
  <c r="AY13" i="5"/>
  <c r="AZ13" i="5"/>
  <c r="BA13" i="5"/>
  <c r="AY14" i="5"/>
  <c r="AZ14" i="5"/>
  <c r="BA14" i="5"/>
  <c r="J21" i="15"/>
  <c r="I21" i="15"/>
  <c r="H21" i="15"/>
  <c r="G21" i="15"/>
  <c r="J20" i="15"/>
  <c r="I20" i="15"/>
  <c r="H20" i="15"/>
  <c r="G20" i="15"/>
  <c r="F20" i="15"/>
  <c r="J19" i="15"/>
  <c r="I19" i="15"/>
  <c r="H19" i="15"/>
  <c r="G19" i="15"/>
  <c r="J18" i="15"/>
  <c r="I18" i="15"/>
  <c r="H18" i="15"/>
  <c r="G18" i="15"/>
  <c r="F18" i="15"/>
  <c r="J17" i="15"/>
  <c r="I17" i="15"/>
  <c r="H17" i="15"/>
  <c r="G17" i="15"/>
  <c r="J16" i="15"/>
  <c r="I16" i="15"/>
  <c r="H16" i="15"/>
  <c r="G16" i="15"/>
  <c r="J15" i="15"/>
  <c r="I15" i="15"/>
  <c r="H15" i="15"/>
  <c r="G15" i="15"/>
  <c r="F15" i="15"/>
  <c r="J14" i="15"/>
  <c r="I14" i="15"/>
  <c r="H14" i="15"/>
  <c r="G14" i="15"/>
  <c r="J13" i="15"/>
  <c r="I13" i="15"/>
  <c r="H13" i="15"/>
  <c r="G13" i="15"/>
  <c r="J12" i="15"/>
  <c r="I12" i="15"/>
  <c r="H12" i="15"/>
  <c r="G12" i="15"/>
  <c r="F12" i="15"/>
  <c r="J11" i="15"/>
  <c r="I11" i="15"/>
  <c r="H11" i="15"/>
  <c r="G11" i="15"/>
  <c r="F11" i="15"/>
  <c r="J10" i="15"/>
  <c r="I10" i="15"/>
  <c r="H10" i="15"/>
  <c r="G10" i="15"/>
  <c r="J9" i="15"/>
  <c r="I9" i="15"/>
  <c r="H9" i="15"/>
  <c r="G9" i="15"/>
  <c r="F9" i="15"/>
  <c r="J8" i="15"/>
  <c r="I8" i="15"/>
  <c r="H8" i="15"/>
  <c r="G8" i="15"/>
  <c r="F8" i="15"/>
  <c r="J7" i="15"/>
  <c r="I7" i="15"/>
  <c r="H7" i="15"/>
  <c r="G7" i="15"/>
  <c r="J6" i="15"/>
  <c r="I6" i="15"/>
  <c r="H6" i="15"/>
  <c r="G6" i="15"/>
  <c r="J5" i="15"/>
  <c r="I5" i="15"/>
  <c r="H5" i="15"/>
  <c r="G5" i="15"/>
  <c r="J4" i="15"/>
  <c r="I4" i="15"/>
  <c r="H4" i="15"/>
  <c r="G4" i="15"/>
  <c r="J3" i="15"/>
  <c r="I3" i="15"/>
  <c r="H3" i="15"/>
  <c r="G3" i="15"/>
  <c r="J2" i="15"/>
  <c r="I2" i="15"/>
  <c r="H2" i="15"/>
  <c r="G2" i="15"/>
  <c r="F2" i="15"/>
  <c r="F4" i="15"/>
  <c r="F19" i="15"/>
  <c r="F21" i="15"/>
  <c r="F5" i="15"/>
  <c r="F14" i="15"/>
  <c r="F7" i="15"/>
  <c r="F13" i="15"/>
  <c r="F16" i="15"/>
  <c r="F10" i="15"/>
  <c r="F3" i="15"/>
  <c r="F6" i="15"/>
  <c r="F17" i="15"/>
  <c r="F9" i="2"/>
  <c r="F16" i="2"/>
  <c r="F26" i="2"/>
  <c r="F24" i="2"/>
  <c r="F23" i="2"/>
  <c r="F21" i="2"/>
  <c r="F19" i="2"/>
  <c r="F18" i="2"/>
  <c r="F14" i="2"/>
  <c r="F13" i="2"/>
  <c r="F7" i="2" l="1"/>
  <c r="F5" i="2"/>
</calcChain>
</file>

<file path=xl/sharedStrings.xml><?xml version="1.0" encoding="utf-8"?>
<sst xmlns="http://schemas.openxmlformats.org/spreadsheetml/2006/main" count="1168" uniqueCount="869">
  <si>
    <t>PDF</t>
  </si>
  <si>
    <t>No_Parameters</t>
  </si>
  <si>
    <t>tP1</t>
  </si>
  <si>
    <t>Beta-PERT</t>
  </si>
  <si>
    <t>P14</t>
  </si>
  <si>
    <t>C1</t>
  </si>
  <si>
    <t>C3</t>
  </si>
  <si>
    <t>C8</t>
  </si>
  <si>
    <t>C9</t>
  </si>
  <si>
    <t>C10</t>
  </si>
  <si>
    <t>C11</t>
  </si>
  <si>
    <t>C12</t>
  </si>
  <si>
    <t>C14</t>
  </si>
  <si>
    <t>C15</t>
  </si>
  <si>
    <t>Normal</t>
  </si>
  <si>
    <t>C16</t>
  </si>
  <si>
    <t>C17a</t>
  </si>
  <si>
    <t>C18a</t>
  </si>
  <si>
    <t>C21a</t>
  </si>
  <si>
    <t>C22a</t>
  </si>
  <si>
    <t>C23aa</t>
  </si>
  <si>
    <t>C23ab</t>
  </si>
  <si>
    <t>C24aa</t>
  </si>
  <si>
    <t>C24ab</t>
  </si>
  <si>
    <t>C27aa</t>
  </si>
  <si>
    <t>C27ab</t>
  </si>
  <si>
    <t>C28aa</t>
  </si>
  <si>
    <t>C28ab</t>
  </si>
  <si>
    <t>Input_ID</t>
  </si>
  <si>
    <t>Input_short_name</t>
  </si>
  <si>
    <t>Input_long_name</t>
  </si>
  <si>
    <t>Dry_recy_inf</t>
  </si>
  <si>
    <t>Unit</t>
  </si>
  <si>
    <t>kg/cap/day</t>
  </si>
  <si>
    <t>Uncollected litter</t>
  </si>
  <si>
    <t>% of MSW generation</t>
  </si>
  <si>
    <t>% of collected MSW</t>
  </si>
  <si>
    <t>Open burning of uncontrolled disposal of MSW</t>
  </si>
  <si>
    <t>Debris emissions from uncontrolled disposal of MSW</t>
  </si>
  <si>
    <t>% of uncontrolled MSW disposed</t>
  </si>
  <si>
    <t>Open_burn_uncol</t>
  </si>
  <si>
    <t>Uncollected MSW open burnt</t>
  </si>
  <si>
    <t>% of uncollected MSW</t>
  </si>
  <si>
    <t>Plastic_litter</t>
  </si>
  <si>
    <t>Plastic in uncollected litter</t>
  </si>
  <si>
    <t>% of uncollected litter</t>
  </si>
  <si>
    <t>Col_emissions</t>
  </si>
  <si>
    <t>Disp_emissions</t>
  </si>
  <si>
    <t>Open_burn_disp</t>
  </si>
  <si>
    <t>Plastic_disp_emissions</t>
  </si>
  <si>
    <t>Plastic in debris emissions from uncontrolled disposal of MSW</t>
  </si>
  <si>
    <t>% of uncontrolled and unburnt MSW disposed</t>
  </si>
  <si>
    <t>% of debris emissions from uncontrolled disposal of MSW</t>
  </si>
  <si>
    <t>Plastic_dry_recy_inf</t>
  </si>
  <si>
    <t>Plastic collected by informal sector</t>
  </si>
  <si>
    <t>Plastic_dry_recy_form</t>
  </si>
  <si>
    <t>% of dry recyclables collected by informal sector</t>
  </si>
  <si>
    <t>Plastic collected by formal sector</t>
  </si>
  <si>
    <t>% of dry recyclables collected by formal sector</t>
  </si>
  <si>
    <t>Rigid_plastic_litter</t>
  </si>
  <si>
    <t>Litter</t>
  </si>
  <si>
    <t>Rigid plastic in uncollected litter</t>
  </si>
  <si>
    <t>Rigid_plastic_disp_emissions</t>
  </si>
  <si>
    <t>Rigid plastic in uncontrolled disposal plastic emissions</t>
  </si>
  <si>
    <t>Rigid_plastic_recy_inf</t>
  </si>
  <si>
    <t>Rigid plastic in plastic collected by informal sector</t>
  </si>
  <si>
    <t>% of uncollected plastic litter</t>
  </si>
  <si>
    <t>% of uncontrlled disposal plastic emissions</t>
  </si>
  <si>
    <t>% of plastic collected by informal sector</t>
  </si>
  <si>
    <t>Sort_loss_rigid_inf</t>
  </si>
  <si>
    <t>Sort_loss_flex_inf</t>
  </si>
  <si>
    <t>Sort_loss_rigid_form</t>
  </si>
  <si>
    <t>Sort_loss_flex_form</t>
  </si>
  <si>
    <t>Rigid plastic sorting losses by informal sector</t>
  </si>
  <si>
    <t>Flexible plastic sorting losses by informal sector</t>
  </si>
  <si>
    <t>Rigid plastic sorting losses by formal sector</t>
  </si>
  <si>
    <t>Flexible plastic sorting losses by formal sector</t>
  </si>
  <si>
    <t>% of rigid plastic collected by informal sector</t>
  </si>
  <si>
    <t>% of flexible plastic collected by informal sector</t>
  </si>
  <si>
    <t>% of rigid plastic collected by formal sector</t>
  </si>
  <si>
    <t>% of flexible plastic collected by formal sector</t>
  </si>
  <si>
    <t>tP2</t>
  </si>
  <si>
    <t>tP3</t>
  </si>
  <si>
    <t>tP4</t>
  </si>
  <si>
    <t>tP5</t>
  </si>
  <si>
    <t>tP8</t>
  </si>
  <si>
    <t>tP9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</si>
  <si>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</si>
  <si>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</si>
  <si>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</si>
  <si>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</si>
  <si>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</si>
  <si>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</si>
  <si>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</si>
  <si>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</si>
  <si>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</si>
  <si>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</si>
  <si>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</si>
  <si>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P13</t>
  </si>
  <si>
    <t>P15</t>
  </si>
  <si>
    <t>P16</t>
  </si>
  <si>
    <t>P17</t>
  </si>
  <si>
    <t>P18</t>
  </si>
  <si>
    <t>P19</t>
  </si>
  <si>
    <t>P20</t>
  </si>
  <si>
    <t>P21</t>
  </si>
  <si>
    <t>P100</t>
  </si>
  <si>
    <t>P2a</t>
  </si>
  <si>
    <t>P2aa</t>
  </si>
  <si>
    <t>P2ab</t>
  </si>
  <si>
    <t>P6a</t>
  </si>
  <si>
    <t>P6aa</t>
  </si>
  <si>
    <t>P6ab</t>
  </si>
  <si>
    <t>P14a</t>
  </si>
  <si>
    <t>P14aa</t>
  </si>
  <si>
    <t>P14ab</t>
  </si>
  <si>
    <t>P15a</t>
  </si>
  <si>
    <t>P15aa</t>
  </si>
  <si>
    <t>P15ab</t>
  </si>
  <si>
    <t>P19a</t>
  </si>
  <si>
    <t>P19aa</t>
  </si>
  <si>
    <t>P19ab</t>
  </si>
  <si>
    <t>P20a</t>
  </si>
  <si>
    <t>P20aa</t>
  </si>
  <si>
    <t>P20ab</t>
  </si>
  <si>
    <t>P22aa</t>
  </si>
  <si>
    <t>P22ab</t>
  </si>
  <si>
    <t>P23aa</t>
  </si>
  <si>
    <t>P23ab</t>
  </si>
  <si>
    <t>P24aa</t>
  </si>
  <si>
    <t>P24ab</t>
  </si>
  <si>
    <t>P25aa</t>
  </si>
  <si>
    <t>P25ab</t>
  </si>
  <si>
    <t>P26aa</t>
  </si>
  <si>
    <t>P26ab</t>
  </si>
  <si>
    <t>P27aa</t>
  </si>
  <si>
    <t>P27ab</t>
  </si>
  <si>
    <t>P28aa</t>
  </si>
  <si>
    <t>P28ab</t>
  </si>
  <si>
    <t>P29aa</t>
  </si>
  <si>
    <t>P29ab</t>
  </si>
  <si>
    <t>P30aa</t>
  </si>
  <si>
    <t>P30ab</t>
  </si>
  <si>
    <t>P31aa</t>
  </si>
  <si>
    <t>P31ab</t>
  </si>
  <si>
    <t>P32aa</t>
  </si>
  <si>
    <t>P32ab</t>
  </si>
  <si>
    <t>P33aa</t>
  </si>
  <si>
    <t>P33ab</t>
  </si>
  <si>
    <t>tP4i</t>
  </si>
  <si>
    <t>Parameter_1</t>
  </si>
  <si>
    <t>Parameter_2</t>
  </si>
  <si>
    <t>Parameter_3</t>
  </si>
  <si>
    <t>Parameter_4</t>
  </si>
  <si>
    <t>Generated_MSW</t>
  </si>
  <si>
    <t>Collected_MSW</t>
  </si>
  <si>
    <t>Generated_MSW_trib</t>
  </si>
  <si>
    <t>Collected_MSW_trib</t>
  </si>
  <si>
    <t>MSW collected (tributary model)</t>
  </si>
  <si>
    <t>MSW generated (tributary model)</t>
  </si>
  <si>
    <t>MSW collected for diposal (tributary model)</t>
  </si>
  <si>
    <t>Dry_recy_form_trib</t>
  </si>
  <si>
    <t>Dry recyclables collected by formal sector (tributary model)</t>
  </si>
  <si>
    <t>Other_recv_trib</t>
  </si>
  <si>
    <t>Incin_trib</t>
  </si>
  <si>
    <t>Treat_recover_trib</t>
  </si>
  <si>
    <t>MSW collected for treatment or recovery (tributary model)</t>
  </si>
  <si>
    <t>Controlled_disp_trib</t>
  </si>
  <si>
    <t>Uncollected_trib</t>
  </si>
  <si>
    <t>Uncontrolled_disp_trib</t>
  </si>
  <si>
    <t>Controlled disposal of MSW (tributary model)</t>
  </si>
  <si>
    <t>Uncollected MSW (tributary model)</t>
  </si>
  <si>
    <t>Uncontrolled disposal of MSW (tributary model)</t>
  </si>
  <si>
    <t>MSW generated</t>
  </si>
  <si>
    <t>Generated_MSW_exc_litter</t>
  </si>
  <si>
    <t>Generated MSW excluding uncollected litter</t>
  </si>
  <si>
    <t>Uncollected MSW</t>
  </si>
  <si>
    <t>Uncollected_MSW</t>
  </si>
  <si>
    <t>Collected MSW</t>
  </si>
  <si>
    <t>Collection system debris emissions</t>
  </si>
  <si>
    <t>Col_deliver</t>
  </si>
  <si>
    <t>Collected and delivered MSW</t>
  </si>
  <si>
    <t>Collected MSW for disposal</t>
  </si>
  <si>
    <t>Treat_recover_MSW</t>
  </si>
  <si>
    <t>Collected MSW for treatment or recovery</t>
  </si>
  <si>
    <t>Uncontrolled_disp</t>
  </si>
  <si>
    <t>Uncontrolled disposal of MSW</t>
  </si>
  <si>
    <t>Controlled_disp</t>
  </si>
  <si>
    <t>Controlled disposal of MSW</t>
  </si>
  <si>
    <t>Other_treat_MSW</t>
  </si>
  <si>
    <t>Dry_recy</t>
  </si>
  <si>
    <t>Collected for dry recycling</t>
  </si>
  <si>
    <t>Informal sector collection for dry recycling</t>
  </si>
  <si>
    <t>Formal sector collection for dry recycling</t>
  </si>
  <si>
    <t>Disp_MSW</t>
  </si>
  <si>
    <t>Disp_MSW_trib</t>
  </si>
  <si>
    <t>Disp_uncontrolled_unburnt</t>
  </si>
  <si>
    <t>Uncontrolled disposal of MSW unburnt</t>
  </si>
  <si>
    <t>Uncontrolled disposal of MSW openly burnt</t>
  </si>
  <si>
    <t>Disp_uncontrolled_burnt</t>
  </si>
  <si>
    <t>Disp_uncontrolled_unburnt_retained</t>
  </si>
  <si>
    <t>Uncontrolled disposal of MSW unburnt and retained</t>
  </si>
  <si>
    <t>Disposal system MSW debris emissions</t>
  </si>
  <si>
    <t>Uncol_unburnt</t>
  </si>
  <si>
    <t>Uncollected MSW unburnt</t>
  </si>
  <si>
    <t>Uncol_burnt</t>
  </si>
  <si>
    <t>Uncollected MSW openly burnt</t>
  </si>
  <si>
    <t>Misman</t>
  </si>
  <si>
    <t>Mismanaged MSW</t>
  </si>
  <si>
    <t>Litter_plastic</t>
  </si>
  <si>
    <t>Uncollected plastic litter</t>
  </si>
  <si>
    <t>Uncollected rigid plastic litter</t>
  </si>
  <si>
    <t>Uncollected flexible plastic litter</t>
  </si>
  <si>
    <t>Col_emissions_plastic</t>
  </si>
  <si>
    <t>Collection system plastic debris emissions</t>
  </si>
  <si>
    <t>Col_emissions_rigid</t>
  </si>
  <si>
    <t>Litter_flex</t>
  </si>
  <si>
    <t>Litter_rigid</t>
  </si>
  <si>
    <t>Col_emissions_flex</t>
  </si>
  <si>
    <t>Collection system rigid plastic debris emissions</t>
  </si>
  <si>
    <t>Collection system flexible plastic debris emissions</t>
  </si>
  <si>
    <t>Dry_recy_inf_plastic</t>
  </si>
  <si>
    <t>Informal sector collection of plastic for dry recycling</t>
  </si>
  <si>
    <t>Informal sector collection of rigid plastic for dry recycling</t>
  </si>
  <si>
    <t>Informal sector collection of flexible plastic for dry recycling</t>
  </si>
  <si>
    <t>Formal sector collection of plastic for dry recycling</t>
  </si>
  <si>
    <t>Formal sector collection of rigid plastic for dry recycling</t>
  </si>
  <si>
    <t>Formal sector collection of flexible plastic for dry recycling</t>
  </si>
  <si>
    <t>Dry_recy_inf_rigid</t>
  </si>
  <si>
    <t>Dry_recy_inf_flex</t>
  </si>
  <si>
    <t>Dry_recy_form_plastic</t>
  </si>
  <si>
    <t>Dry_recy_form_rigid</t>
  </si>
  <si>
    <t>Dry_recy_form_flex</t>
  </si>
  <si>
    <t>Disp_emissions_plastic</t>
  </si>
  <si>
    <t>Disposal system plastic debris emissions</t>
  </si>
  <si>
    <t>Disp_emissions_rigid</t>
  </si>
  <si>
    <t>Disp_emissions_flex</t>
  </si>
  <si>
    <t>Disposal system plastic rigid debris emissions</t>
  </si>
  <si>
    <t>Disposal system plastic flexible debris emissions</t>
  </si>
  <si>
    <t>Uncol_unburnt_plastic</t>
  </si>
  <si>
    <t>Uncol_unburnt_rigid</t>
  </si>
  <si>
    <t>Uncol_unburnt_flex</t>
  </si>
  <si>
    <t xml:space="preserve">Uncollected unburnt plastic </t>
  </si>
  <si>
    <t xml:space="preserve">Uncollected unburnt rigid plastic </t>
  </si>
  <si>
    <t xml:space="preserve">Uncollected unburnt flexible plastic </t>
  </si>
  <si>
    <t>Dry_recy_inf_loss_rigid</t>
  </si>
  <si>
    <t>Dry_recy_inf_loss_flex</t>
  </si>
  <si>
    <t>Sorting losses of rigid plastic from informal collection for dry recycling</t>
  </si>
  <si>
    <t>Sorting losses of flexible plastic from informal collection for dry recycling</t>
  </si>
  <si>
    <t>Dry_recy_inf_sorted_rigid</t>
  </si>
  <si>
    <t>Dry_recy_inf_sorted_flex</t>
  </si>
  <si>
    <t>Sorted rigid plastic from informal collection for dry recycling</t>
  </si>
  <si>
    <t>Sorted flexible plastic from informal collection for dry recycling</t>
  </si>
  <si>
    <t>Dry_recy_form_loss_rigid</t>
  </si>
  <si>
    <t>Dry_recy_form_loss_flex</t>
  </si>
  <si>
    <t>Dry_recy_form_sorted_rigid</t>
  </si>
  <si>
    <t>Dry_recy_form_sorted_flex</t>
  </si>
  <si>
    <t>Sorting losses of rigid plastic from formal collection for dry recycling</t>
  </si>
  <si>
    <t>Sorting losses of flexible plastic from formal collection for dry recycling</t>
  </si>
  <si>
    <t>Sorted rigid plastic from formal collection for dry recycling</t>
  </si>
  <si>
    <t>Sorted flexible plastic from formal collection for dry recycling</t>
  </si>
  <si>
    <t>Dry_recy_inf_loss_mis_rigid</t>
  </si>
  <si>
    <t>Dry_recy_inf_loss_mis_flex</t>
  </si>
  <si>
    <t>Dry_recy_inf_loss_man_rigid</t>
  </si>
  <si>
    <t>Dry_recy_inf_loss_man_flex</t>
  </si>
  <si>
    <t>Mismanaged sorting losses of rigid plastic from informal collection for dry recycling</t>
  </si>
  <si>
    <t>Mismanaged sorting losses of flexible plastic from informal collection for dry recycling</t>
  </si>
  <si>
    <t>Managed sorting losses of rigid plastic from informal collection for dry recycling</t>
  </si>
  <si>
    <t>Managed sorting losses of flexible plastic from informal collection for dry recycling</t>
  </si>
  <si>
    <t>Dry_recy_form_loss_mis_rigid</t>
  </si>
  <si>
    <t>Dry_recy_form_loss_mis_flex</t>
  </si>
  <si>
    <t>Dry_recy_form_loss_man_rigid</t>
  </si>
  <si>
    <t>Dry_recy_form_loss_man_flex</t>
  </si>
  <si>
    <t>Mismanaged sorting losses of rigid plastic from formal collection for dry recycling</t>
  </si>
  <si>
    <t>Mismanaged sorting losses of flexible plastic from formal collection for dry recycling</t>
  </si>
  <si>
    <t>Managed sorting losses of rigid plastic from formal collection for dry recycling</t>
  </si>
  <si>
    <t>Managed sorting losses of flexible plastic from formal collection for dry recycling</t>
  </si>
  <si>
    <t>Dry_recy_inf_loss_mis_burnt_rigid</t>
  </si>
  <si>
    <t>Dry_recy_inf_loss_mis_burnt_flex</t>
  </si>
  <si>
    <t>Dry_recy_inf_loss_mis_unburnt_rigid</t>
  </si>
  <si>
    <t>Dry_recy_inf_loss_mis_unburnt_flex</t>
  </si>
  <si>
    <t>Dry_recy_form_loss_mis_burnt_rigid</t>
  </si>
  <si>
    <t>Dry_recy_form_loss_mis_burnt_flex</t>
  </si>
  <si>
    <t>Dry_recy_form_loss_mis_unburnt_rigid</t>
  </si>
  <si>
    <t>Dry_recy_form_loss_mis_unburnt_flex</t>
  </si>
  <si>
    <t>Informal sector mismanaged sorting losses of rigid plastic open burnt</t>
  </si>
  <si>
    <t>Informal sector mismanaged sorting losses of flexible plastic open burnt</t>
  </si>
  <si>
    <t>Informal sector mismanaged sorting losses of rigid plastic unburnt</t>
  </si>
  <si>
    <t>Informal sector mismanaged sorting losses of flexible plastic unburnt</t>
  </si>
  <si>
    <t>Formal sector mismanaged sorting losses of rigid plastic open burnt</t>
  </si>
  <si>
    <t>Formal sector mismanaged sorting losses of flexible plastic open burnt</t>
  </si>
  <si>
    <t>Formal sector mismanaged sorting losses of rigid plastic unburnt</t>
  </si>
  <si>
    <t>Formal sector mismanaged sorting losses of flexible plastic unburnt</t>
  </si>
  <si>
    <t>Unique_ID</t>
  </si>
  <si>
    <t>NA</t>
  </si>
  <si>
    <t>ISO3</t>
  </si>
  <si>
    <t>Country</t>
  </si>
  <si>
    <t>Name_1</t>
  </si>
  <si>
    <t>Name_2</t>
  </si>
  <si>
    <t>Waste_gen_rate_trib</t>
  </si>
  <si>
    <t>Waste generation rate (tributary model)</t>
  </si>
  <si>
    <t>tC1</t>
  </si>
  <si>
    <t>Col_cov_trib</t>
  </si>
  <si>
    <t>Collection coverage (tributary model)</t>
  </si>
  <si>
    <t>tC2i</t>
  </si>
  <si>
    <t>tC2ii</t>
  </si>
  <si>
    <t>tC2iii</t>
  </si>
  <si>
    <t>% of MSW generated</t>
  </si>
  <si>
    <t>Formal sector collection of MSW for dry recycling (tributary model)</t>
  </si>
  <si>
    <t>% of MSW collected</t>
  </si>
  <si>
    <t>Collected MSW for recovery</t>
  </si>
  <si>
    <t>Collected MSW for incineration</t>
  </si>
  <si>
    <t>Form_dry_recy_trib</t>
  </si>
  <si>
    <t>tC3</t>
  </si>
  <si>
    <t>Plastic_MSW</t>
  </si>
  <si>
    <t>Plastic in MSW</t>
  </si>
  <si>
    <t>% of waste generated</t>
  </si>
  <si>
    <t>Cont_disp_trib</t>
  </si>
  <si>
    <t>% of disposed MSW</t>
  </si>
  <si>
    <t>tP4ii</t>
  </si>
  <si>
    <t>tP4iii</t>
  </si>
  <si>
    <t>Other recovery of MSW (tributary model)</t>
  </si>
  <si>
    <t>Incineration (tributary model)</t>
  </si>
  <si>
    <t>P12i</t>
  </si>
  <si>
    <t>Other treatement of MSW (composting, AD)</t>
  </si>
  <si>
    <t>P12ii</t>
  </si>
  <si>
    <t>Incin</t>
  </si>
  <si>
    <t>Incineration</t>
  </si>
  <si>
    <t>P17a</t>
  </si>
  <si>
    <t>P17aa</t>
  </si>
  <si>
    <t>P17ab</t>
  </si>
  <si>
    <t>Disp_uncontrolled_burnt_plastic</t>
  </si>
  <si>
    <t>Disp_uncontrolled_burnt_rigid</t>
  </si>
  <si>
    <t>Disp_uncontrolled_burnt_flex</t>
  </si>
  <si>
    <t>Uncontrolled disposal of plastic openly burnt</t>
  </si>
  <si>
    <t>Uncontrolled disposal of rigid plastic openly burnt</t>
  </si>
  <si>
    <t>Uncontrolled disposal of flexible plastic openly burnt</t>
  </si>
  <si>
    <t>P21a</t>
  </si>
  <si>
    <t>P21aa</t>
  </si>
  <si>
    <t>P21ab</t>
  </si>
  <si>
    <t>Uncol_burnt_plastic</t>
  </si>
  <si>
    <t>Uncollected plastic openly burnt</t>
  </si>
  <si>
    <t>Uncol_burnt_rigid</t>
  </si>
  <si>
    <t>Uncol_burnt_flex</t>
  </si>
  <si>
    <t>Uncollected rigid plastic openly burnt</t>
  </si>
  <si>
    <t>Uncollected flexible plastic openly burnt</t>
  </si>
  <si>
    <t>Income_level</t>
  </si>
  <si>
    <t>HIC</t>
  </si>
  <si>
    <t>LMC</t>
  </si>
  <si>
    <t>LIC</t>
  </si>
  <si>
    <t>UMC</t>
  </si>
  <si>
    <t>Income_level_ID</t>
  </si>
  <si>
    <t>MSW generation rate</t>
  </si>
  <si>
    <t>% MSW generation</t>
  </si>
  <si>
    <t>Output_ID</t>
  </si>
  <si>
    <t>Output_short_name</t>
  </si>
  <si>
    <t>Output_long_name</t>
  </si>
  <si>
    <t>Plastic_debris_emissions</t>
  </si>
  <si>
    <t>Plastic_emissions</t>
  </si>
  <si>
    <t>People_without_collection</t>
  </si>
  <si>
    <t>People without MSW collection</t>
  </si>
  <si>
    <t>People</t>
  </si>
  <si>
    <t>C2</t>
  </si>
  <si>
    <t>C4</t>
  </si>
  <si>
    <t>C5</t>
  </si>
  <si>
    <t>C6i</t>
  </si>
  <si>
    <t>C6iii</t>
  </si>
  <si>
    <t>C7</t>
  </si>
  <si>
    <t>C13</t>
  </si>
  <si>
    <t>C25aa</t>
  </si>
  <si>
    <t>C25ab</t>
  </si>
  <si>
    <t>C26aa</t>
  </si>
  <si>
    <t>C26ab</t>
  </si>
  <si>
    <t>Uncollected litter as % of generated MSW</t>
  </si>
  <si>
    <t>Uncol_litter_pct</t>
  </si>
  <si>
    <t xml:space="preserve">Collected MSW as % of generated MSW exc. uncollected litter </t>
  </si>
  <si>
    <t>MSW_col_pct</t>
  </si>
  <si>
    <t xml:space="preserve">Debris emissions from collection system as % of collected MSW </t>
  </si>
  <si>
    <t>Collected MSW for recovery as % of collected &amp; delivered MSW</t>
  </si>
  <si>
    <t>MSW_recv_pct</t>
  </si>
  <si>
    <t>Col_sys_deb_em_pct</t>
  </si>
  <si>
    <t xml:space="preserve">Controlled disposal of MSW as % of collected MSW for disposal </t>
  </si>
  <si>
    <t>Cont_disp_pct</t>
  </si>
  <si>
    <t>MSW_recy_pct</t>
  </si>
  <si>
    <t>Collected MSW for dry recycling as % of collected MSW for recovery</t>
  </si>
  <si>
    <t>Comp_pct</t>
  </si>
  <si>
    <t>Composting and AD as % of collected MSW for recovery</t>
  </si>
  <si>
    <t>Incin_pct</t>
  </si>
  <si>
    <t>Incineration as % of collected MSW for recovery</t>
  </si>
  <si>
    <t xml:space="preserve">Collected MSW for dry recycling by formal sector as % of collected MSW for dry recycling </t>
  </si>
  <si>
    <t>Form_dry_recy_pct</t>
  </si>
  <si>
    <t xml:space="preserve">Open burning of uncontrolled disposal of MSW as % of uncontrolled disposal of MSW </t>
  </si>
  <si>
    <t>Disp_open_burn_pct</t>
  </si>
  <si>
    <t xml:space="preserve">Debris emissions from uncontrolled disposal as a % of uncontrolled disposal of MSW unburnt </t>
  </si>
  <si>
    <t>Disp_debris_em_pct</t>
  </si>
  <si>
    <t xml:space="preserve">Uncollected MSW open burnt as % of uncollected MSW </t>
  </si>
  <si>
    <t>Uncol_burnt_pct</t>
  </si>
  <si>
    <t>Plastic in litter as % of uncollected litter</t>
  </si>
  <si>
    <t>Uncol_litter_plas_pct</t>
  </si>
  <si>
    <t xml:space="preserve">Plastic in collection system debris emissions as % of collection system MSW debris emissions </t>
  </si>
  <si>
    <t>Col_sys_deb_em_plas_pct</t>
  </si>
  <si>
    <t xml:space="preserve">Disposal system plastic debris emissions as % of disposal system MSW debris emissions of MSW </t>
  </si>
  <si>
    <t>Disp_debris_em_plas_pct</t>
  </si>
  <si>
    <t xml:space="preserve">Plastic collected by informal sector as % of informal sector collection of MSW for dry recycling </t>
  </si>
  <si>
    <t>Inf_plas_col_pct</t>
  </si>
  <si>
    <t xml:space="preserve">Plastic collected by formal sector as % of formal sector collection of MSW for dry recycling </t>
  </si>
  <si>
    <t>Form_plas_col_pct</t>
  </si>
  <si>
    <t xml:space="preserve">Rigid plastic in uncollected litter as % of uncollected plastic litter </t>
  </si>
  <si>
    <t>Uncol_litter_plas_rig_pct</t>
  </si>
  <si>
    <t xml:space="preserve">Uncollected rigid plastic unburnt as % uncollected plastics unburnt </t>
  </si>
  <si>
    <t>Uncol_unburnt_plas_pct</t>
  </si>
  <si>
    <t>Uncol_unburnt_plas_rig_pct</t>
  </si>
  <si>
    <t xml:space="preserve">Rigid plastic collection system debris emissions as % of collection system plastic debris emissions </t>
  </si>
  <si>
    <t>Col_sys_deb_em_plas_rig_pct</t>
  </si>
  <si>
    <t xml:space="preserve">Disposal system rigid plastic debris emissions as % disposal system plastic debris emissions </t>
  </si>
  <si>
    <t>Disp_debris_em_plas_rig_pct</t>
  </si>
  <si>
    <t xml:space="preserve">Rigid plastic in informal collection for recycling as % of informal sector collection of plastic for dry recycling </t>
  </si>
  <si>
    <t>Inf_plas_rig_col_pct</t>
  </si>
  <si>
    <t>Form_plas_rig_col_pct</t>
  </si>
  <si>
    <t xml:space="preserve">Rigid plastic in formal collection for recycling as % of formal sector collection of plastic for dry recycling </t>
  </si>
  <si>
    <t xml:space="preserve">Informal sector sorting losses of rigid plastic as % of informal collection of rigid plastic for dry recycling </t>
  </si>
  <si>
    <t>Inf_rig_sort_loss_pct</t>
  </si>
  <si>
    <t xml:space="preserve">Informal sector sorting losses of flexible plastic as % of informal collection of flexible plastic for dry recycling </t>
  </si>
  <si>
    <t>Inf_flex_sort_loss_pct</t>
  </si>
  <si>
    <t xml:space="preserve">Formal sector sorting losses of rigid plastic as % of formal collection of rigid plastic for dry recycling </t>
  </si>
  <si>
    <t>Form_rig_sort_loss_pct</t>
  </si>
  <si>
    <t>Form_flex_sort_loss_pct</t>
  </si>
  <si>
    <t>Formal sector sorting losses of flexible plastic as % of formal collection of flexible plastic for dry recycling</t>
  </si>
  <si>
    <t xml:space="preserve">Informal mismanaged sorting losses of rigid plastic as % of sorting losses of rigid plastic from informal collection for dry recycling </t>
  </si>
  <si>
    <t>Inf_rig_mis_sort_loss_pct</t>
  </si>
  <si>
    <t xml:space="preserve">Informal mismanaged sorting losses of flexible plastic as % of sorting losses of flexible plastic from informal collection for dry recycling </t>
  </si>
  <si>
    <t>Inf_flex_mis_sort_loss_pct</t>
  </si>
  <si>
    <t xml:space="preserve">Formal mismanaged sorting losses of rigid plastic as % of sorting losses of rigid plastic from formal collection for dry recycling </t>
  </si>
  <si>
    <t>Formal mismanaged sorting losses of flexible plastic as % of sorting losses of flexible plastic from formal collection for dry recycling</t>
  </si>
  <si>
    <t>Form_rig_mis_sort_loss_pct</t>
  </si>
  <si>
    <t>Form_flex_mis_sort_loss_pct</t>
  </si>
  <si>
    <t xml:space="preserve">Informal mismanaged sorting losses of rigid plastic openly burnt as % of mismanaged sorting losses of rigid plastic from informal collection for dry recycling </t>
  </si>
  <si>
    <t>Inf_rig_mis_sort_loss_burnt_pct</t>
  </si>
  <si>
    <t>Inf_flex_mis_sort_loss_burnt_pct</t>
  </si>
  <si>
    <t>Form_rig_mis_sort_loss_burnt_pct</t>
  </si>
  <si>
    <t>Form_flex_mis_sort_loss_burnt_pct</t>
  </si>
  <si>
    <t xml:space="preserve">Informal mismanaged sorting losses of flexible plastic openly burnt as % of mismanaged sorting losses of flexible plastic from informal collection for dry recycling </t>
  </si>
  <si>
    <t xml:space="preserve">Formal mismanaged sorting losses of rigid plastic openly burnt as % of mismanaged sorting losses of rigid plastic from formal collection for dry recycling </t>
  </si>
  <si>
    <t xml:space="preserve">Formal mismanaged sorting losses of flexible plastic openly burnt as % of mismanaged sorting losses of flexible plastic from formal collection for dry recycling </t>
  </si>
  <si>
    <t>C6ii</t>
  </si>
  <si>
    <t>open_burn_MSW</t>
  </si>
  <si>
    <t>plas_em</t>
  </si>
  <si>
    <t>plas_debris_em</t>
  </si>
  <si>
    <t>plas_litter_em</t>
  </si>
  <si>
    <t>plas_collection_em</t>
  </si>
  <si>
    <t>people_no_col</t>
  </si>
  <si>
    <t>Process_ID</t>
  </si>
  <si>
    <t>Process_short_name</t>
  </si>
  <si>
    <t>Process_long_name</t>
  </si>
  <si>
    <t>Coeff_ID</t>
  </si>
  <si>
    <t>Coeff_short_name</t>
  </si>
  <si>
    <t>Coeff_long_name</t>
  </si>
  <si>
    <t>Controlled disposal of MSW as percentage of MSW generation</t>
  </si>
  <si>
    <t>Controlled disposal of MSW as percentage of MSW disposed</t>
  </si>
  <si>
    <t>WP</t>
  </si>
  <si>
    <t>WPp</t>
  </si>
  <si>
    <t>Num_WP</t>
  </si>
  <si>
    <t>Number of waste pickers</t>
  </si>
  <si>
    <t>WP_prod</t>
  </si>
  <si>
    <t>Waste pickers productivity</t>
  </si>
  <si>
    <t>tonnnes/cap/year</t>
  </si>
  <si>
    <t>C11a</t>
  </si>
  <si>
    <t>C0</t>
  </si>
  <si>
    <t>C0a</t>
  </si>
  <si>
    <t>Rigid plastic in MSW</t>
  </si>
  <si>
    <t>Rigid_plastic_MSW</t>
  </si>
  <si>
    <t>% of plastic generation</t>
  </si>
  <si>
    <t>C14a</t>
  </si>
  <si>
    <t>Uniform</t>
  </si>
  <si>
    <t>Parameter_1_name</t>
  </si>
  <si>
    <t>Parameter_2_name</t>
  </si>
  <si>
    <t>Parameter_3_name</t>
  </si>
  <si>
    <t>Parameter_4_name</t>
  </si>
  <si>
    <t>ID</t>
  </si>
  <si>
    <t>SS_UC_HIC</t>
  </si>
  <si>
    <t>SS_DU_HIC</t>
  </si>
  <si>
    <t>SS_SDU_HIC</t>
  </si>
  <si>
    <t>SS_SU_HIC</t>
  </si>
  <si>
    <t>SS_RU_HIC</t>
  </si>
  <si>
    <t>SS_UC_UMC</t>
  </si>
  <si>
    <t>SS_DU_UMC</t>
  </si>
  <si>
    <t>SS_SDU_UMC</t>
  </si>
  <si>
    <t>SS_SU_UMC</t>
  </si>
  <si>
    <t>SS_RU_UMC</t>
  </si>
  <si>
    <t>SS_UC_LMC</t>
  </si>
  <si>
    <t>SS_DU_LMC</t>
  </si>
  <si>
    <t>SS_SDU_LMC</t>
  </si>
  <si>
    <t>SS_SU_LMC</t>
  </si>
  <si>
    <t>SS_RU_LMC</t>
  </si>
  <si>
    <t>SS_UC_LIC</t>
  </si>
  <si>
    <t>SS_DU_LIC</t>
  </si>
  <si>
    <t>SS_SDU_LIC</t>
  </si>
  <si>
    <t>SS_SU_LIC</t>
  </si>
  <si>
    <t>SS_RU_LIC</t>
  </si>
  <si>
    <t>WP_1</t>
  </si>
  <si>
    <t>WP_2</t>
  </si>
  <si>
    <t>WP_3</t>
  </si>
  <si>
    <t>WPp_1</t>
  </si>
  <si>
    <t>WPp_2</t>
  </si>
  <si>
    <t>C0a_1</t>
  </si>
  <si>
    <t>C0a_2</t>
  </si>
  <si>
    <t>C3i_1</t>
  </si>
  <si>
    <t>C3i_2</t>
  </si>
  <si>
    <t>C3i_3</t>
  </si>
  <si>
    <t>C3i_4</t>
  </si>
  <si>
    <t>C3i</t>
  </si>
  <si>
    <t>Col_emissions_before_sweep</t>
  </si>
  <si>
    <t>Debris emissions from collection system prior to street sweeping</t>
  </si>
  <si>
    <t>C10_1</t>
  </si>
  <si>
    <t>C10_2</t>
  </si>
  <si>
    <t>C11_1</t>
  </si>
  <si>
    <t>C11_2</t>
  </si>
  <si>
    <t>C11_3</t>
  </si>
  <si>
    <t>C11_4</t>
  </si>
  <si>
    <t>C14_1</t>
  </si>
  <si>
    <t>C14_2</t>
  </si>
  <si>
    <t>C14_3</t>
  </si>
  <si>
    <t>C14_4</t>
  </si>
  <si>
    <t>C15_1</t>
  </si>
  <si>
    <t>C15_2</t>
  </si>
  <si>
    <t>C15_3</t>
  </si>
  <si>
    <t>C15_4</t>
  </si>
  <si>
    <t>C16_1</t>
  </si>
  <si>
    <t>C16_2</t>
  </si>
  <si>
    <t>C16_3</t>
  </si>
  <si>
    <t>C16_4</t>
  </si>
  <si>
    <t>C11a_1</t>
  </si>
  <si>
    <t>C11a_2</t>
  </si>
  <si>
    <t>C11a_3</t>
  </si>
  <si>
    <t>C11a_4</t>
  </si>
  <si>
    <t>C14a_1</t>
  </si>
  <si>
    <t>C14a_2</t>
  </si>
  <si>
    <t>C14a_3</t>
  </si>
  <si>
    <t>C14a_4</t>
  </si>
  <si>
    <t>C21a_1</t>
  </si>
  <si>
    <t>C21a_2</t>
  </si>
  <si>
    <t>C23aa_1</t>
  </si>
  <si>
    <t>C23aa_2</t>
  </si>
  <si>
    <t>C23aa_3</t>
  </si>
  <si>
    <t>C23aa_4</t>
  </si>
  <si>
    <t>C23ab_1</t>
  </si>
  <si>
    <t>C23ab_2</t>
  </si>
  <si>
    <t>C23ab_3</t>
  </si>
  <si>
    <t>C23ab_4</t>
  </si>
  <si>
    <t>C24aa_1</t>
  </si>
  <si>
    <t>C24aa_2</t>
  </si>
  <si>
    <t>C24aa_3</t>
  </si>
  <si>
    <t>C24aa_4</t>
  </si>
  <si>
    <t>C24ab_1</t>
  </si>
  <si>
    <t>C24ab_2</t>
  </si>
  <si>
    <t>C24ab_3</t>
  </si>
  <si>
    <t>C24ab_4</t>
  </si>
  <si>
    <t>WP_4</t>
  </si>
  <si>
    <t>Uncol_burnt_plas_pct</t>
  </si>
  <si>
    <t xml:space="preserve">Uncollected plastic burnt as % of uncollected MSW burnt </t>
  </si>
  <si>
    <t>C12a</t>
  </si>
  <si>
    <t>Uncol_burnt_plas_rig_pct</t>
  </si>
  <si>
    <t xml:space="preserve">Uncollected rigid plastic burnt as % uncollected plastics burnt </t>
  </si>
  <si>
    <t>C13a</t>
  </si>
  <si>
    <t>Uncon_disp_burnt_plas_pct</t>
  </si>
  <si>
    <t>Plastic in uncontrolled disposal of MSW burnt as % of uncontrolled diposal of MSW burnt</t>
  </si>
  <si>
    <t>C17</t>
  </si>
  <si>
    <t>Uncon_disp_burnt_plas_rig_pct</t>
  </si>
  <si>
    <t>Rigid plastic in uncontrolled disposal of MSW burnt as % of uncontrolled diposal of plastic burnt</t>
  </si>
  <si>
    <t>Rurality</t>
  </si>
  <si>
    <t>Dense urban</t>
  </si>
  <si>
    <t>Urban centre</t>
  </si>
  <si>
    <t>Semidense urban</t>
  </si>
  <si>
    <t>Suburban</t>
  </si>
  <si>
    <t>Rural</t>
  </si>
  <si>
    <t>C8_1</t>
  </si>
  <si>
    <t>C8_2</t>
  </si>
  <si>
    <t>C8_3</t>
  </si>
  <si>
    <t>C8_4</t>
  </si>
  <si>
    <t>C9_1</t>
  </si>
  <si>
    <t>C9_2</t>
  </si>
  <si>
    <t>C9_3</t>
  </si>
  <si>
    <t>C9_4</t>
  </si>
  <si>
    <t>C18</t>
  </si>
  <si>
    <t>Plastic in MSW as % of MSW generation</t>
  </si>
  <si>
    <t>Rigid plastic in MSW as % of plastic generation</t>
  </si>
  <si>
    <t>Rigid_plastic</t>
  </si>
  <si>
    <t>Plastic in uncollected MSW unburnt as % of uncollected MSW unburnt</t>
  </si>
  <si>
    <t>Unit:</t>
  </si>
  <si>
    <t>Rural_share</t>
  </si>
  <si>
    <t>DEGURBA_L1</t>
  </si>
  <si>
    <t>DEGURBA_L2</t>
  </si>
  <si>
    <t>Corruption_perception_index</t>
  </si>
  <si>
    <t>Year</t>
  </si>
  <si>
    <t>% of munic. population</t>
  </si>
  <si>
    <t>L1 DEGURBA class</t>
  </si>
  <si>
    <t>L2 DEGURBA class</t>
  </si>
  <si>
    <t>pwg</t>
  </si>
  <si>
    <t>Plastic_waste_gen</t>
  </si>
  <si>
    <t>Plastic waste generation</t>
  </si>
  <si>
    <t>% MSW generation exc. uncollected litter</t>
  </si>
  <si>
    <t>Plastic_litter_em</t>
  </si>
  <si>
    <t>Plastic collection system emissions</t>
  </si>
  <si>
    <t>Plastic disposal system emissions</t>
  </si>
  <si>
    <t>wg</t>
  </si>
  <si>
    <t>Waste_gen</t>
  </si>
  <si>
    <t>MSW generation</t>
  </si>
  <si>
    <t>Uncontrolled disposal of MSW as percentage of MSW generation</t>
  </si>
  <si>
    <t>cont_disp_pct_disp</t>
  </si>
  <si>
    <t>col_del_pct_gen</t>
  </si>
  <si>
    <t>cont_disp_pct_gen</t>
  </si>
  <si>
    <t>uncont_disp_pct_gen</t>
  </si>
  <si>
    <t>compost_pct_gen</t>
  </si>
  <si>
    <t>incin_pct_gen</t>
  </si>
  <si>
    <t>recy_pct_gen</t>
  </si>
  <si>
    <t>man_cont_pct_gen</t>
  </si>
  <si>
    <t>open_burn_MSW_pct_gen</t>
  </si>
  <si>
    <t>plas_burn_em</t>
  </si>
  <si>
    <t>plas_debris_em_pct_em</t>
  </si>
  <si>
    <t>plas_burn_em_pct_em</t>
  </si>
  <si>
    <t>Plastic_debris_emissions_pct_emissions</t>
  </si>
  <si>
    <t>Collection_delivered_pct_gen</t>
  </si>
  <si>
    <t>col_cov_pct_gen_exc_lit</t>
  </si>
  <si>
    <t>MSW collected and delivered as percent of total waste generation</t>
  </si>
  <si>
    <t>MSW collection coverage (service coverage) as percent of generation excluding uncollected litter</t>
  </si>
  <si>
    <t>Collection_coverage_pct_gen_exc_litter</t>
  </si>
  <si>
    <t>Controlled_disp_pct_gen</t>
  </si>
  <si>
    <t>Uncontrolled_disp_pct_gen</t>
  </si>
  <si>
    <t>Composting_pct_gen</t>
  </si>
  <si>
    <t>Incineration_pct_gen</t>
  </si>
  <si>
    <t>Recycling_pct_gen</t>
  </si>
  <si>
    <t>Controlled_disp_pct_disp</t>
  </si>
  <si>
    <t>Managed_controlled_facilities_pct_gen</t>
  </si>
  <si>
    <t>MSW managed in controlled facilities (SDG11.6.1)</t>
  </si>
  <si>
    <t>Openly_burnt_plastic_pct_emissions</t>
  </si>
  <si>
    <t>Plastic debris emissions</t>
  </si>
  <si>
    <t>Plastic debris emissions as percentage of plastic emissions</t>
  </si>
  <si>
    <t>Openly burnt plastic emissions as percentage of plastic emissions</t>
  </si>
  <si>
    <t>plas_debris_em_per_cap</t>
  </si>
  <si>
    <t>wg_per_cap</t>
  </si>
  <si>
    <t>Plastic_openly_burned</t>
  </si>
  <si>
    <t>Openly_burned_MSW</t>
  </si>
  <si>
    <t>Openly_burned_MSW_pct_gen</t>
  </si>
  <si>
    <t>MSW openly burned (includes burning of plastic sorting rejects)</t>
  </si>
  <si>
    <t>MSW openly burned as pct of gen (includes burning of plastic sorting rejects)</t>
  </si>
  <si>
    <t>Openly burned plastic emissions</t>
  </si>
  <si>
    <t>Plastic_debris_emissions_per_cap</t>
  </si>
  <si>
    <t>Waste_gen_per_cap</t>
  </si>
  <si>
    <t>Plastic_emissions_per_cap</t>
  </si>
  <si>
    <t>Per capita plastic debris emissions</t>
  </si>
  <si>
    <t>Per capita plastic emissions (debris + openly burned)</t>
  </si>
  <si>
    <t>Plastic emissions (debris + openly burned)</t>
  </si>
  <si>
    <t>plas_uncol_em</t>
  </si>
  <si>
    <t>plas_disp_em</t>
  </si>
  <si>
    <t>plas_recy_em</t>
  </si>
  <si>
    <t>Plastic_collection_system_em</t>
  </si>
  <si>
    <t>Plastic_disposal_system_em</t>
  </si>
  <si>
    <t>Plastic_recycling_system_em</t>
  </si>
  <si>
    <t>Plastic_uncol_waste_em</t>
  </si>
  <si>
    <t>Plastic emissions from uncollected waste</t>
  </si>
  <si>
    <t>Plastic emissions from litter</t>
  </si>
  <si>
    <t>Plastic recycling system emissions</t>
  </si>
  <si>
    <t>plas_litter_em_pct_em</t>
  </si>
  <si>
    <t>Plastic_litter_em_pct_em</t>
  </si>
  <si>
    <t>plas_uncol_em_pct_em</t>
  </si>
  <si>
    <t>plas_collection_em_pct_em</t>
  </si>
  <si>
    <t>plas_disp_em_pct_em</t>
  </si>
  <si>
    <t>plas_recy_em_pct_em</t>
  </si>
  <si>
    <t>Plastic_uncol_waste_em_pct_em</t>
  </si>
  <si>
    <t>Plastic_collection_system_em_pct_em</t>
  </si>
  <si>
    <t>Plastic_disposal_system_em_pct_em</t>
  </si>
  <si>
    <t>Plastic_recycling_system_em_pct_em</t>
  </si>
  <si>
    <t>Plastic emissions from litter as a percentage of plastic emissions</t>
  </si>
  <si>
    <t>Plastic emissions from uncollected waste as a percentage of plastic emissions</t>
  </si>
  <si>
    <t>Plastic collection system emissions as a percentage of plastic emissions</t>
  </si>
  <si>
    <t>Plastic disposal system emissions as a percentage of plastic emissions</t>
  </si>
  <si>
    <t>Plastic recycling system emissions as a percentage of plastic emissions</t>
  </si>
  <si>
    <t>plas_uncol_deb_em_pct_em</t>
  </si>
  <si>
    <t>plas_uncol_ob_em_pct_em</t>
  </si>
  <si>
    <t>plas_disp_deb_em_pct_em</t>
  </si>
  <si>
    <t>plas_disp_ob_em_pct_em</t>
  </si>
  <si>
    <t>plas_inf_deb_em_pct_em</t>
  </si>
  <si>
    <t>plas_inf_ob_em_pct_em</t>
  </si>
  <si>
    <t>plas_form_deb_em_pct_em</t>
  </si>
  <si>
    <t>plas_form_ob_em_pct_em</t>
  </si>
  <si>
    <t>Plastic_uncol_waste_debris_em_pct_em</t>
  </si>
  <si>
    <t>Plastic_uncol_waste_burn_em_pct_em</t>
  </si>
  <si>
    <t>Plastic_disposal_system_debris_em_pct_em</t>
  </si>
  <si>
    <t>Plastic_disposal_system_burn_em_pct_em</t>
  </si>
  <si>
    <t>Plastic_informal_recycling_system_debris_em_pct_em</t>
  </si>
  <si>
    <t>Plastic_informal_recycling_system_burn_em_pct_em</t>
  </si>
  <si>
    <t>Plastic_formal_recycling_system_debris_em_pct_em</t>
  </si>
  <si>
    <t>Plastic_formal_recycling_system_burn_em_pct_em</t>
  </si>
  <si>
    <t>Openly burned plastic emissions from uncollected waste as a percentage of plastic emissions</t>
  </si>
  <si>
    <t>Debris plastic emissions from uncollected waste as a percentage of plastic emissions</t>
  </si>
  <si>
    <t>Debris plastic emissions from disposal system as a percentage of plastic emissions</t>
  </si>
  <si>
    <t>Openly burned plastic emissions from disposal system as a percentage of plastic emissions</t>
  </si>
  <si>
    <t>Debris plastic emissions from informal recycling system emissions as a percentage of plastic emissions</t>
  </si>
  <si>
    <t>Openly burned plastic emissions from informal recycling system emissions as a percentage of plastic emissions</t>
  </si>
  <si>
    <t>Openly burned plastic emissions from formal recycling system emissions as a percentage of plastic emissions</t>
  </si>
  <si>
    <t>Debris plastic emissions from formal recycling system emissions as a percentage of plastic emissions</t>
  </si>
  <si>
    <t>plas_litter_deb_em_pct_em</t>
  </si>
  <si>
    <t>Plastic_litter_debris_em_pct_em</t>
  </si>
  <si>
    <t>Debris plastic emissions from litter as a percentage of plastic emissions</t>
  </si>
  <si>
    <t>plas_collection_deb_em_pct_em</t>
  </si>
  <si>
    <t>Plastic_collection_system_debris_em_pct_em</t>
  </si>
  <si>
    <t>Debris plastic collection system emissions as a percentage of plastic emissions</t>
  </si>
  <si>
    <t>plas_em_per_cap</t>
  </si>
  <si>
    <t>Litter_pct_gen</t>
  </si>
  <si>
    <t>Litter as percentage of MSW generation</t>
  </si>
  <si>
    <t>litter_em_pct_gen</t>
  </si>
  <si>
    <t>uncol_em_pct_gen</t>
  </si>
  <si>
    <t>collection_em_pct_gen</t>
  </si>
  <si>
    <t>Uncollected_waste_pct_gen</t>
  </si>
  <si>
    <t>Collection_emissions_pct_gen</t>
  </si>
  <si>
    <t>Uncollected waste as a percentage of MSW generation</t>
  </si>
  <si>
    <t>Collection system emissions as a percentage of MSW generation</t>
  </si>
  <si>
    <t>recy_form_pct_recy</t>
  </si>
  <si>
    <t>recy_inform_pct_recy</t>
  </si>
  <si>
    <t>Recycling_formal_pct_recy</t>
  </si>
  <si>
    <t>Recycling_informal_pct_recy</t>
  </si>
  <si>
    <t>MSW collection for composting or AD as percentage of MSW generation</t>
  </si>
  <si>
    <t>MSW collection for incineration as percentage of MSW generation</t>
  </si>
  <si>
    <t>MSW collection for dry recycling as percentage of MSW generation</t>
  </si>
  <si>
    <t>MSW formal collection for dry recycling as percentage of collection for recycling</t>
  </si>
  <si>
    <t>MSW informal collection for dry recycling as percentage of collection for recycling</t>
  </si>
  <si>
    <t>% collected for recycling</t>
  </si>
  <si>
    <t>uncont_disp_pct_disp</t>
  </si>
  <si>
    <t>Uncontrolled_disp_pct_disp</t>
  </si>
  <si>
    <t>Uncontrolled disposal of MSW as percentage of MSW disposed</t>
  </si>
  <si>
    <t>plas_burn_em_per_cap</t>
  </si>
  <si>
    <t>rigid_plas_deb_em</t>
  </si>
  <si>
    <t>flex_plas_deb_em</t>
  </si>
  <si>
    <t>rigid_plas_ob_em</t>
  </si>
  <si>
    <t>flex_plas_ob_em</t>
  </si>
  <si>
    <t>rigid_plas_deb_em_pct_em</t>
  </si>
  <si>
    <t>flex_plas_deb_em_pct_em</t>
  </si>
  <si>
    <t>rigid_plas_ob_em_pct_em</t>
  </si>
  <si>
    <t>flex_plas_ob_em_pct_em</t>
  </si>
  <si>
    <t>Rigid_plastic_debris_emissions</t>
  </si>
  <si>
    <t>Flex_plastic_debris_emissions</t>
  </si>
  <si>
    <t>Rigid_plastic_openly_burned_emissions</t>
  </si>
  <si>
    <t>Flex_plastic_openly_burned_emissions</t>
  </si>
  <si>
    <t>Plastic_openly_burned_emissions_per_cap</t>
  </si>
  <si>
    <t>Per capita openly burned plastic</t>
  </si>
  <si>
    <t>Rigid_plastic_debris_emissions_pct_em</t>
  </si>
  <si>
    <t>Flex_plastic_debris_emissions_pct_em</t>
  </si>
  <si>
    <t>Rigid_plastic_openly_burned_emissions_pct_em</t>
  </si>
  <si>
    <t>Flex_plastic_openly_burned_emissions_pct_em</t>
  </si>
  <si>
    <t>Rigid plastic debris emissions</t>
  </si>
  <si>
    <t>Rigid plastic openly burned emissions</t>
  </si>
  <si>
    <t>Flexible plastic debris emissions</t>
  </si>
  <si>
    <t>Flexible plastic openly burned emissions</t>
  </si>
  <si>
    <t>Rigid plastic debris emissions as percentage of plastic emissions</t>
  </si>
  <si>
    <t>Flexible plastic debris emissions as percentage of plastic emissions</t>
  </si>
  <si>
    <t>Rigid plastic openly burned emissions as percentage of plastic emissions</t>
  </si>
  <si>
    <t>Flexible plastic openly burned emissions as percentage of plastic emissions</t>
  </si>
  <si>
    <r>
      <t>t</t>
    </r>
    <r>
      <rPr>
        <sz val="10"/>
        <color theme="1"/>
        <rFont val="Calibri"/>
        <family val="2"/>
      </rPr>
      <t>·</t>
    </r>
    <r>
      <rPr>
        <sz val="10"/>
        <color theme="1"/>
        <rFont val="Arial"/>
        <family val="2"/>
      </rPr>
      <t>y</t>
    </r>
    <r>
      <rPr>
        <vertAlign val="superscript"/>
        <sz val="10"/>
        <color theme="1"/>
        <rFont val="Arial"/>
        <family val="2"/>
      </rPr>
      <t>-1</t>
    </r>
  </si>
  <si>
    <r>
      <t>kg·cap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>·d</t>
    </r>
    <r>
      <rPr>
        <vertAlign val="superscript"/>
        <sz val="10"/>
        <color theme="1"/>
        <rFont val="Arial"/>
        <family val="2"/>
      </rPr>
      <t>-1</t>
    </r>
  </si>
  <si>
    <t>% MSW disposed</t>
  </si>
  <si>
    <r>
      <t>kg·cap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>·y</t>
    </r>
    <r>
      <rPr>
        <vertAlign val="superscript"/>
        <sz val="10"/>
        <color theme="1"/>
        <rFont val="Arial"/>
        <family val="2"/>
      </rPr>
      <t>-1</t>
    </r>
  </si>
  <si>
    <t>% plastic emissions</t>
  </si>
  <si>
    <t>Population</t>
  </si>
  <si>
    <t>UCentre_share</t>
  </si>
  <si>
    <t>UCluster_share</t>
  </si>
  <si>
    <t>DUC_share</t>
  </si>
  <si>
    <t>SDUC_share</t>
  </si>
  <si>
    <t>SUrb_share</t>
  </si>
  <si>
    <t>RC_share</t>
  </si>
  <si>
    <t>LDR_share</t>
  </si>
  <si>
    <t>VLDR_share</t>
  </si>
  <si>
    <t>tP1pc_1</t>
  </si>
  <si>
    <t>tP1pc_2</t>
  </si>
  <si>
    <t>tP1pc_3</t>
  </si>
  <si>
    <t>tP1pc_4</t>
  </si>
  <si>
    <t>tC1_1</t>
  </si>
  <si>
    <t>tC1_2</t>
  </si>
  <si>
    <t>tC1_3</t>
  </si>
  <si>
    <t>tC1_4</t>
  </si>
  <si>
    <t>tC2i_1</t>
  </si>
  <si>
    <t>tC2i_2</t>
  </si>
  <si>
    <t>tC2i_3</t>
  </si>
  <si>
    <t>tC2i_4</t>
  </si>
  <si>
    <t>tC2ii_1</t>
  </si>
  <si>
    <t>tC2ii_2</t>
  </si>
  <si>
    <t>tC2ii_3</t>
  </si>
  <si>
    <t>tC2ii_4</t>
  </si>
  <si>
    <t>tC2iii_1</t>
  </si>
  <si>
    <t>tC2iii_2</t>
  </si>
  <si>
    <t>tC2iii_3</t>
  </si>
  <si>
    <t>tC2iii_4</t>
  </si>
  <si>
    <t>tC3_1</t>
  </si>
  <si>
    <t>tC3_2</t>
  </si>
  <si>
    <t>C0_1</t>
  </si>
  <si>
    <t>C0_2</t>
  </si>
  <si>
    <t>C0_3</t>
  </si>
  <si>
    <t>C0_4</t>
  </si>
  <si>
    <t>tP1pc</t>
  </si>
  <si>
    <t>About:</t>
  </si>
  <si>
    <t>How to use this toolkit:</t>
  </si>
  <si>
    <t>Go to:</t>
  </si>
  <si>
    <t>1. MFA Inputs</t>
  </si>
  <si>
    <t>2. PDFs</t>
  </si>
  <si>
    <t>3. Street_sweep</t>
  </si>
  <si>
    <t>4. Processes</t>
  </si>
  <si>
    <t>5. Coefficients</t>
  </si>
  <si>
    <t>6. Outputs</t>
  </si>
  <si>
    <t>Municipality</t>
  </si>
  <si>
    <t>C0a_3</t>
  </si>
  <si>
    <t>C0a_4</t>
  </si>
  <si>
    <t>rigid_pwg</t>
  </si>
  <si>
    <t>Rigid_plastic_waste_gen</t>
  </si>
  <si>
    <t>Rigid plastic waste generation</t>
  </si>
  <si>
    <t>flex_pwg</t>
  </si>
  <si>
    <t>Flex_plastic_waste_gen</t>
  </si>
  <si>
    <t>Flexible plastic waste generation</t>
  </si>
  <si>
    <t>plas_em_pct_pwg</t>
  </si>
  <si>
    <t>Plastic_emissions_pct_plas_waste_gen</t>
  </si>
  <si>
    <t>Plastic emissions as percentage of plastic waste generation</t>
  </si>
  <si>
    <t>% plastic waste generation</t>
  </si>
  <si>
    <t>rigid_plas_em_pct_rigid_pwg</t>
  </si>
  <si>
    <t>Rigid_plastic_emissions_pct_rigid_plas_waste_gen</t>
  </si>
  <si>
    <t>Rigid plastic emissions as percentage of rigid plastic waste generation</t>
  </si>
  <si>
    <t>% rigid plastic waste generation</t>
  </si>
  <si>
    <t>flex_plas_em_pct_flex_pwg</t>
  </si>
  <si>
    <t>Flexible plastic emissions as percentage of flexible plastic waste generation</t>
  </si>
  <si>
    <t>% flexible plastic waste generation</t>
  </si>
  <si>
    <t>pwg_per_cap</t>
  </si>
  <si>
    <t>Plastic_waste_gen_per_cap</t>
  </si>
  <si>
    <t>Plastic waste generation per capita</t>
  </si>
  <si>
    <t>Name_3</t>
  </si>
  <si>
    <t>Name_4</t>
  </si>
  <si>
    <t>tC3_3</t>
  </si>
  <si>
    <t>tC3_4</t>
  </si>
  <si>
    <t>WPp_3</t>
  </si>
  <si>
    <t>WPp_4</t>
  </si>
  <si>
    <t>C10_3</t>
  </si>
  <si>
    <t>C10_4</t>
  </si>
  <si>
    <t>C21a_3</t>
  </si>
  <si>
    <t>C21a_4</t>
  </si>
  <si>
    <t>Province 1</t>
  </si>
  <si>
    <t>Country Name</t>
  </si>
  <si>
    <t>Province 2</t>
  </si>
  <si>
    <t>Province 3</t>
  </si>
  <si>
    <t>Muncipallity 1</t>
  </si>
  <si>
    <t>Muncipallity 2</t>
  </si>
  <si>
    <t>Muncipallity 3</t>
  </si>
  <si>
    <t>Muncipallity 4</t>
  </si>
  <si>
    <t>Muncipallity 5</t>
  </si>
  <si>
    <t>Muncipallity 6</t>
  </si>
  <si>
    <t>Muncipallity 7</t>
  </si>
  <si>
    <t>Muncipallity 8</t>
  </si>
  <si>
    <t>Muncipallity 9</t>
  </si>
  <si>
    <t>Muncipallity 10</t>
  </si>
  <si>
    <t>Muncipallity 11</t>
  </si>
  <si>
    <t>XYZ</t>
  </si>
  <si>
    <t>XYZ.1.2_1</t>
  </si>
  <si>
    <t>XYZ.1.1_1</t>
  </si>
  <si>
    <t>XYZ.1.3_1</t>
  </si>
  <si>
    <t>XYZ.1.4_1</t>
  </si>
  <si>
    <t>XYZ.1.5_1</t>
  </si>
  <si>
    <t>XYZ.2.1_1</t>
  </si>
  <si>
    <t>XYZ.2.2_1</t>
  </si>
  <si>
    <t>XYZ.2.3_1</t>
  </si>
  <si>
    <t>XYZ.3.1_1</t>
  </si>
  <si>
    <t>XYZ.3.2_1</t>
  </si>
  <si>
    <t>Example Dataset for SPOT</t>
  </si>
  <si>
    <r>
      <t>This workbook accompanies the 'Spatio-temporal quantification of plastic pollution origins and transport' (SPOT) model. SPOT was released as a global model in Nature (Cottom et al., 2024 - https://doi.org/10.1038/s41586-024-07758-6)</t>
    </r>
    <r>
      <rPr>
        <sz val="11"/>
        <color rgb="FFFF0000"/>
        <rFont val="Arial"/>
        <family val="2"/>
      </rPr>
      <t>.</t>
    </r>
    <r>
      <rPr>
        <sz val="11"/>
        <color theme="1"/>
        <rFont val="Arial"/>
        <family val="2"/>
      </rPr>
      <t xml:space="preserve"> Please direct any questions to the corresponding author (c.velis@imperial.ac.uk)</t>
    </r>
  </si>
  <si>
    <t>This is an example workbook that is provided to allow users to check they can run the SPOT model using pre-filled data. Users need to create a parent folder with three sub-folders inside ('inputs', 'script' and 'ouputs'. Save the SPOT model Version 1.3.2-C-0126 to the script folder and add this file to the 'inputs' folder. Edit the working directory in the 0-MasterScript.R to point to the parent folder. and edit the workbook name accordingly.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</si>
</sst>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2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i/>
      <sz val="10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vertAlign val="superscript"/>
      <sz val="10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22"/>
      <color rgb="FF175BA8"/>
      <name val="Arial"/>
      <family val="2"/>
    </font>
    <font>
      <sz val="11"/>
      <color theme="1"/>
      <name val="Arial"/>
      <family val="2"/>
    </font>
    <font>
      <b/>
      <sz val="14"/>
      <color rgb="FF175BA8"/>
      <name val="Arial"/>
      <family val="2"/>
    </font>
    <font>
      <u/>
      <sz val="10"/>
      <color rgb="FF175BA8"/>
      <name val="Arial"/>
      <family val="2"/>
    </font>
    <font>
      <sz val="11"/>
      <color rgb="FFC0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3" fillId="0" borderId="0"/>
    <xf numFmtId="0" fontId="4" fillId="0" borderId="0"/>
    <xf numFmtId="0" fontId="5" fillId="0" borderId="0"/>
    <xf numFmtId="0" fontId="3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13" fillId="0" borderId="0" applyNumberFormat="0" applyFill="0" applyBorder="0" applyAlignment="0" applyProtection="0"/>
    <xf numFmtId="0" fontId="1" fillId="0" borderId="0"/>
  </cellStyleXfs>
  <cellXfs count="49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1" xfId="0" applyFill="1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4" borderId="0" xfId="0" applyFill="1" applyAlignment="1">
      <alignment horizontal="left" vertical="top"/>
    </xf>
    <xf numFmtId="0" fontId="2" fillId="0" borderId="0" xfId="0" applyFont="1" applyAlignment="1">
      <alignment horizontal="left" vertical="center"/>
    </xf>
    <xf numFmtId="3" fontId="0" fillId="0" borderId="0" xfId="0" applyNumberFormat="1"/>
    <xf numFmtId="0" fontId="8" fillId="4" borderId="0" xfId="0" applyFont="1" applyFill="1" applyAlignment="1">
      <alignment horizontal="left" vertical="top"/>
    </xf>
    <xf numFmtId="0" fontId="9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9" fillId="5" borderId="0" xfId="0" applyFont="1" applyFill="1" applyAlignment="1">
      <alignment horizontal="left" vertical="top" wrapText="1"/>
    </xf>
    <xf numFmtId="9" fontId="0" fillId="0" borderId="0" xfId="5" applyFont="1" applyBorder="1" applyAlignment="1">
      <alignment horizontal="left" vertical="top"/>
    </xf>
    <xf numFmtId="1" fontId="0" fillId="0" borderId="0" xfId="5" applyNumberFormat="1" applyFont="1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2" fillId="0" borderId="2" xfId="0" applyFont="1" applyBorder="1"/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/>
    <xf numFmtId="0" fontId="6" fillId="0" borderId="0" xfId="7"/>
    <xf numFmtId="0" fontId="6" fillId="0" borderId="3" xfId="7" applyBorder="1"/>
    <xf numFmtId="0" fontId="6" fillId="0" borderId="2" xfId="7" applyBorder="1"/>
    <xf numFmtId="0" fontId="4" fillId="6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14" fillId="0" borderId="0" xfId="10" applyFont="1" applyAlignment="1">
      <alignment vertical="center"/>
    </xf>
    <xf numFmtId="0" fontId="15" fillId="0" borderId="0" xfId="10" applyFont="1" applyAlignment="1">
      <alignment vertical="center"/>
    </xf>
    <xf numFmtId="0" fontId="16" fillId="0" borderId="0" xfId="10" applyFont="1" applyAlignment="1">
      <alignment vertical="center"/>
    </xf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left" vertical="top"/>
    </xf>
    <xf numFmtId="0" fontId="15" fillId="0" borderId="0" xfId="10" applyFont="1" applyAlignment="1">
      <alignment vertical="top" wrapText="1"/>
    </xf>
    <xf numFmtId="0" fontId="17" fillId="0" borderId="0" xfId="10" applyFont="1" applyAlignment="1">
      <alignment vertical="center"/>
    </xf>
    <xf numFmtId="0" fontId="18" fillId="0" borderId="0" xfId="10" applyFont="1" applyAlignment="1">
      <alignment vertical="center"/>
    </xf>
    <xf numFmtId="0" fontId="13" fillId="0" borderId="0" xfId="9" applyAlignment="1">
      <alignment vertical="center"/>
    </xf>
    <xf numFmtId="0" fontId="20" fillId="0" borderId="0" xfId="10" applyFont="1" applyAlignment="1">
      <alignment vertical="top" wrapText="1"/>
    </xf>
    <xf numFmtId="2" fontId="4" fillId="0" borderId="0" xfId="5" applyNumberFormat="1" applyFont="1" applyBorder="1" applyAlignment="1">
      <alignment horizontal="right"/>
    </xf>
    <xf numFmtId="2" fontId="0" fillId="0" borderId="0" xfId="5" applyNumberFormat="1" applyFont="1" applyBorder="1" applyAlignment="1">
      <alignment horizontal="right"/>
    </xf>
    <xf numFmtId="165" fontId="4" fillId="0" borderId="0" xfId="5" applyNumberFormat="1" applyFont="1" applyBorder="1" applyAlignment="1">
      <alignment horizontal="right"/>
    </xf>
    <xf numFmtId="165" fontId="0" fillId="0" borderId="0" xfId="5" applyNumberFormat="1" applyFont="1" applyBorder="1" applyAlignment="1">
      <alignment horizontal="right"/>
    </xf>
    <xf numFmtId="1" fontId="0" fillId="0" borderId="0" xfId="5" applyNumberFormat="1" applyFont="1" applyBorder="1" applyAlignment="1">
      <alignment horizontal="right"/>
    </xf>
  </cellXfs>
  <cellStyles count="11">
    <cellStyle name="Hyperlink" xfId="9" builtinId="8"/>
    <cellStyle name="Normal" xfId="0" builtinId="0"/>
    <cellStyle name="Normal 2" xfId="1" xr:uid="{00000000-0005-0000-0000-000002000000}"/>
    <cellStyle name="Normal 2 2" xfId="7" xr:uid="{00000000-0005-0000-0000-000003000000}"/>
    <cellStyle name="Normal 3" xfId="2" xr:uid="{00000000-0005-0000-0000-000004000000}"/>
    <cellStyle name="Normal 4" xfId="3" xr:uid="{00000000-0005-0000-0000-000005000000}"/>
    <cellStyle name="Normal 5" xfId="4" xr:uid="{00000000-0005-0000-0000-000006000000}"/>
    <cellStyle name="Normal 6" xfId="8" xr:uid="{00000000-0005-0000-0000-000007000000}"/>
    <cellStyle name="Normal 7" xfId="10" xr:uid="{4D62E628-601D-44FD-A93A-ADCA040CB1A5}"/>
    <cellStyle name="Normal 8" xfId="6" xr:uid="{00000000-0005-0000-0000-000008000000}"/>
    <cellStyle name="Per 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2" name="AutoShape 5" descr="World Bank Logo">
          <a:extLst>
            <a:ext uri="{FF2B5EF4-FFF2-40B4-BE49-F238E27FC236}">
              <a16:creationId xmlns:a16="http://schemas.microsoft.com/office/drawing/2014/main" id="{B868A5BB-647F-4B94-A5A5-8AF83844EAC4}"/>
            </a:ext>
          </a:extLst>
        </xdr:cNvPr>
        <xdr:cNvSpPr>
          <a:spLocks noChangeAspect="1" noChangeArrowheads="1"/>
        </xdr:cNvSpPr>
      </xdr:nvSpPr>
      <xdr:spPr bwMode="auto">
        <a:xfrm>
          <a:off x="111347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AF6F-86B9-4ADE-8CAB-F4640D282152}">
  <sheetPr>
    <tabColor rgb="FF175BA8"/>
  </sheetPr>
  <dimension ref="A1:A18"/>
  <sheetViews>
    <sheetView showGridLines="0" tabSelected="1" zoomScaleNormal="100" workbookViewId="0"/>
  </sheetViews>
  <sheetFormatPr defaultColWidth="11.42578125" defaultRowHeight="30" customHeight="1" x14ac:dyDescent="0.2"/>
  <cols>
    <col min="1" max="1" width="121.28515625" style="35" customWidth="1"/>
    <col min="2" max="16384" width="11.42578125" style="35"/>
  </cols>
  <sheetData>
    <row r="1" spans="1:1" ht="30" customHeight="1" x14ac:dyDescent="0.2">
      <c r="A1" s="34" t="s">
        <v>866</v>
      </c>
    </row>
    <row r="2" spans="1:1" ht="18" x14ac:dyDescent="0.2">
      <c r="A2" s="36" t="s">
        <v>798</v>
      </c>
    </row>
    <row r="3" spans="1:1" ht="42.75" x14ac:dyDescent="0.2">
      <c r="A3" s="37" t="s">
        <v>867</v>
      </c>
    </row>
    <row r="4" spans="1:1" ht="9.9499999999999993" customHeight="1" x14ac:dyDescent="0.2">
      <c r="A4" s="38"/>
    </row>
    <row r="5" spans="1:1" ht="18" x14ac:dyDescent="0.2">
      <c r="A5" s="36" t="s">
        <v>799</v>
      </c>
    </row>
    <row r="6" spans="1:1" ht="57" x14ac:dyDescent="0.2">
      <c r="A6" s="39" t="s">
        <v>868</v>
      </c>
    </row>
    <row r="7" spans="1:1" ht="9.9499999999999993" customHeight="1" x14ac:dyDescent="0.2"/>
    <row r="8" spans="1:1" ht="18" x14ac:dyDescent="0.2">
      <c r="A8" s="36" t="s">
        <v>800</v>
      </c>
    </row>
    <row r="9" spans="1:1" ht="18" customHeight="1" x14ac:dyDescent="0.2">
      <c r="A9" s="42" t="s">
        <v>801</v>
      </c>
    </row>
    <row r="10" spans="1:1" ht="18" customHeight="1" x14ac:dyDescent="0.2">
      <c r="A10" s="42" t="s">
        <v>802</v>
      </c>
    </row>
    <row r="11" spans="1:1" ht="18" customHeight="1" x14ac:dyDescent="0.2">
      <c r="A11" s="42" t="s">
        <v>803</v>
      </c>
    </row>
    <row r="12" spans="1:1" ht="18" customHeight="1" x14ac:dyDescent="0.2">
      <c r="A12" s="42" t="s">
        <v>804</v>
      </c>
    </row>
    <row r="13" spans="1:1" ht="18" customHeight="1" x14ac:dyDescent="0.2">
      <c r="A13" s="42" t="s">
        <v>805</v>
      </c>
    </row>
    <row r="14" spans="1:1" ht="18" customHeight="1" x14ac:dyDescent="0.2">
      <c r="A14" s="42" t="s">
        <v>806</v>
      </c>
    </row>
    <row r="15" spans="1:1" ht="18" customHeight="1" x14ac:dyDescent="0.2">
      <c r="A15" s="40"/>
    </row>
    <row r="16" spans="1:1" ht="15" x14ac:dyDescent="0.2">
      <c r="A16" s="43"/>
    </row>
    <row r="17" spans="1:1" ht="18" customHeight="1" x14ac:dyDescent="0.2">
      <c r="A17" s="39"/>
    </row>
    <row r="18" spans="1:1" ht="14.25" x14ac:dyDescent="0.2">
      <c r="A18" s="41"/>
    </row>
  </sheetData>
  <hyperlinks>
    <hyperlink ref="A9" location="MFA_inputs!A1" display="1. MFA Inputs" xr:uid="{3EDA6704-771E-4857-9E12-6F781A8ED6C7}"/>
    <hyperlink ref="A10:A14" location="MFA_inputs!A1" display="1. MFA Inputs" xr:uid="{9C1AFE31-CBC7-4FD1-AEBF-58586FD9DD96}"/>
    <hyperlink ref="A10" location="PDFs!A1" display="2. PDFs" xr:uid="{B5DED6FA-395B-4B14-9756-A221B04D5BE3}"/>
    <hyperlink ref="A11" location="PDFs!A1" display="3. Street_sweep" xr:uid="{E20C9957-7A8F-43DE-8115-1CC978A2B375}"/>
    <hyperlink ref="A12" location="Processes!A1" display="4. Processes" xr:uid="{04C81132-3D89-48E8-86CB-F4679E9D99A8}"/>
    <hyperlink ref="A13" location="Coefficients!A1" display="5. Coefficients" xr:uid="{410A64F0-BDDD-4CE2-B197-9B43C02BEF30}"/>
    <hyperlink ref="A14" location="Outputs!A1" display="6. Outputs" xr:uid="{C0EBFA97-24F0-4C7B-8B89-D0BE44DDCF92}"/>
  </hyperlinks>
  <printOptions horizontalCentere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DR14"/>
  <sheetViews>
    <sheetView zoomScaleNormal="100" workbookViewId="0"/>
  </sheetViews>
  <sheetFormatPr defaultRowHeight="12.75" x14ac:dyDescent="0.2"/>
  <cols>
    <col min="1" max="1" width="13" customWidth="1"/>
    <col min="2" max="2" width="6.42578125" bestFit="1" customWidth="1"/>
    <col min="3" max="3" width="14.85546875" customWidth="1"/>
    <col min="4" max="8" width="15.7109375" customWidth="1"/>
    <col min="9" max="9" width="20.7109375" style="14" customWidth="1"/>
    <col min="10" max="22" width="20.7109375" customWidth="1"/>
    <col min="23" max="50" width="10.7109375" customWidth="1"/>
    <col min="64" max="64" width="9.5703125" bestFit="1" customWidth="1"/>
  </cols>
  <sheetData>
    <row r="1" spans="1:122" x14ac:dyDescent="0.2">
      <c r="A1" s="15" t="s">
        <v>593</v>
      </c>
      <c r="B1" s="12" t="s">
        <v>294</v>
      </c>
      <c r="C1" s="12" t="s">
        <v>294</v>
      </c>
      <c r="D1" s="12" t="s">
        <v>294</v>
      </c>
      <c r="E1" s="12" t="s">
        <v>294</v>
      </c>
      <c r="F1" s="12"/>
      <c r="G1" s="12"/>
      <c r="H1" s="12"/>
      <c r="I1" s="12">
        <v>2020</v>
      </c>
      <c r="J1" s="12">
        <v>2020</v>
      </c>
      <c r="K1" s="12">
        <v>2020</v>
      </c>
      <c r="L1" s="12">
        <v>2020</v>
      </c>
      <c r="M1" s="12">
        <v>2020</v>
      </c>
      <c r="N1" s="12">
        <v>2020</v>
      </c>
      <c r="O1" s="12">
        <v>2020</v>
      </c>
      <c r="P1" s="12">
        <v>2020</v>
      </c>
      <c r="Q1" s="12">
        <v>2020</v>
      </c>
      <c r="R1" s="12">
        <v>2020</v>
      </c>
      <c r="S1" s="12">
        <v>2020</v>
      </c>
      <c r="T1" s="12">
        <v>2020</v>
      </c>
      <c r="U1" s="12">
        <v>2020</v>
      </c>
      <c r="V1" s="12">
        <v>2020</v>
      </c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</row>
    <row r="2" spans="1:122" x14ac:dyDescent="0.2">
      <c r="A2" s="15" t="s">
        <v>588</v>
      </c>
      <c r="B2" s="12" t="s">
        <v>294</v>
      </c>
      <c r="C2" s="12" t="s">
        <v>294</v>
      </c>
      <c r="D2" s="12" t="s">
        <v>294</v>
      </c>
      <c r="E2" s="12" t="s">
        <v>294</v>
      </c>
      <c r="F2" s="12"/>
      <c r="G2" s="12"/>
      <c r="H2" s="12"/>
      <c r="I2" s="12" t="s">
        <v>361</v>
      </c>
      <c r="J2" s="12" t="s">
        <v>594</v>
      </c>
      <c r="K2" s="12" t="s">
        <v>594</v>
      </c>
      <c r="L2" s="12" t="s">
        <v>594</v>
      </c>
      <c r="M2" s="12" t="s">
        <v>595</v>
      </c>
      <c r="N2" s="12" t="s">
        <v>594</v>
      </c>
      <c r="O2" s="12" t="s">
        <v>594</v>
      </c>
      <c r="P2" s="12" t="s">
        <v>594</v>
      </c>
      <c r="Q2" s="12" t="s">
        <v>594</v>
      </c>
      <c r="R2" s="12" t="s">
        <v>594</v>
      </c>
      <c r="S2" s="12" t="s">
        <v>594</v>
      </c>
      <c r="T2" s="12" t="s">
        <v>596</v>
      </c>
      <c r="U2" s="12" t="s">
        <v>294</v>
      </c>
      <c r="V2" s="12" t="s">
        <v>294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</row>
    <row r="3" spans="1:122" ht="32.25" thickBot="1" x14ac:dyDescent="0.25">
      <c r="A3" s="16" t="s">
        <v>293</v>
      </c>
      <c r="B3" s="16" t="s">
        <v>295</v>
      </c>
      <c r="C3" s="16" t="s">
        <v>296</v>
      </c>
      <c r="D3" s="16" t="s">
        <v>297</v>
      </c>
      <c r="E3" s="16" t="s">
        <v>298</v>
      </c>
      <c r="F3" s="16" t="s">
        <v>830</v>
      </c>
      <c r="G3" s="16" t="s">
        <v>831</v>
      </c>
      <c r="H3" s="16" t="s">
        <v>807</v>
      </c>
      <c r="I3" s="18" t="s">
        <v>762</v>
      </c>
      <c r="J3" s="18" t="s">
        <v>763</v>
      </c>
      <c r="K3" s="18" t="s">
        <v>764</v>
      </c>
      <c r="L3" s="18" t="s">
        <v>589</v>
      </c>
      <c r="M3" s="18" t="s">
        <v>590</v>
      </c>
      <c r="N3" s="18" t="s">
        <v>765</v>
      </c>
      <c r="O3" s="18" t="s">
        <v>766</v>
      </c>
      <c r="P3" s="18" t="s">
        <v>767</v>
      </c>
      <c r="Q3" s="18" t="s">
        <v>768</v>
      </c>
      <c r="R3" s="18" t="s">
        <v>769</v>
      </c>
      <c r="S3" s="18" t="s">
        <v>770</v>
      </c>
      <c r="T3" s="18" t="s">
        <v>591</v>
      </c>
      <c r="U3" s="18" t="s">
        <v>346</v>
      </c>
      <c r="V3" s="18" t="s">
        <v>592</v>
      </c>
      <c r="W3" s="32" t="s">
        <v>771</v>
      </c>
      <c r="X3" s="33" t="s">
        <v>772</v>
      </c>
      <c r="Y3" s="32" t="s">
        <v>773</v>
      </c>
      <c r="Z3" s="33" t="s">
        <v>774</v>
      </c>
      <c r="AA3" s="33" t="s">
        <v>775</v>
      </c>
      <c r="AB3" s="33" t="s">
        <v>776</v>
      </c>
      <c r="AC3" s="33" t="s">
        <v>777</v>
      </c>
      <c r="AD3" s="33" t="s">
        <v>778</v>
      </c>
      <c r="AE3" s="33" t="s">
        <v>779</v>
      </c>
      <c r="AF3" s="33" t="s">
        <v>780</v>
      </c>
      <c r="AG3" s="33" t="s">
        <v>781</v>
      </c>
      <c r="AH3" s="33" t="s">
        <v>782</v>
      </c>
      <c r="AI3" s="33" t="s">
        <v>783</v>
      </c>
      <c r="AJ3" s="33" t="s">
        <v>784</v>
      </c>
      <c r="AK3" s="33" t="s">
        <v>785</v>
      </c>
      <c r="AL3" s="33" t="s">
        <v>786</v>
      </c>
      <c r="AM3" s="33" t="s">
        <v>787</v>
      </c>
      <c r="AN3" s="33" t="s">
        <v>788</v>
      </c>
      <c r="AO3" s="33" t="s">
        <v>789</v>
      </c>
      <c r="AP3" s="33" t="s">
        <v>790</v>
      </c>
      <c r="AQ3" s="33" t="s">
        <v>791</v>
      </c>
      <c r="AR3" s="33" t="s">
        <v>792</v>
      </c>
      <c r="AS3" s="33" t="s">
        <v>832</v>
      </c>
      <c r="AT3" s="33" t="s">
        <v>833</v>
      </c>
      <c r="AU3" s="33" t="s">
        <v>793</v>
      </c>
      <c r="AV3" s="33" t="s">
        <v>794</v>
      </c>
      <c r="AW3" s="33" t="s">
        <v>795</v>
      </c>
      <c r="AX3" s="33" t="s">
        <v>796</v>
      </c>
      <c r="AY3" s="8" t="s">
        <v>499</v>
      </c>
      <c r="AZ3" s="8" t="s">
        <v>500</v>
      </c>
      <c r="BA3" s="8" t="s">
        <v>501</v>
      </c>
      <c r="BB3" s="8" t="s">
        <v>557</v>
      </c>
      <c r="BC3" s="8" t="s">
        <v>502</v>
      </c>
      <c r="BD3" s="8" t="s">
        <v>503</v>
      </c>
      <c r="BE3" s="8" t="s">
        <v>834</v>
      </c>
      <c r="BF3" s="8" t="s">
        <v>835</v>
      </c>
      <c r="BG3" s="8" t="s">
        <v>504</v>
      </c>
      <c r="BH3" s="8" t="s">
        <v>505</v>
      </c>
      <c r="BI3" s="8" t="s">
        <v>808</v>
      </c>
      <c r="BJ3" s="8" t="s">
        <v>809</v>
      </c>
      <c r="BK3" s="8" t="s">
        <v>506</v>
      </c>
      <c r="BL3" s="8" t="s">
        <v>507</v>
      </c>
      <c r="BM3" s="8" t="s">
        <v>508</v>
      </c>
      <c r="BN3" s="8" t="s">
        <v>509</v>
      </c>
      <c r="BO3" s="8" t="s">
        <v>575</v>
      </c>
      <c r="BP3" s="8" t="s">
        <v>576</v>
      </c>
      <c r="BQ3" s="8" t="s">
        <v>577</v>
      </c>
      <c r="BR3" s="8" t="s">
        <v>578</v>
      </c>
      <c r="BS3" s="8" t="s">
        <v>579</v>
      </c>
      <c r="BT3" s="8" t="s">
        <v>580</v>
      </c>
      <c r="BU3" s="8" t="s">
        <v>581</v>
      </c>
      <c r="BV3" s="8" t="s">
        <v>582</v>
      </c>
      <c r="BW3" s="8" t="s">
        <v>513</v>
      </c>
      <c r="BX3" s="8" t="s">
        <v>514</v>
      </c>
      <c r="BY3" s="8" t="s">
        <v>836</v>
      </c>
      <c r="BZ3" s="8" t="s">
        <v>837</v>
      </c>
      <c r="CA3" s="8" t="s">
        <v>515</v>
      </c>
      <c r="CB3" s="8" t="s">
        <v>516</v>
      </c>
      <c r="CC3" s="8" t="s">
        <v>517</v>
      </c>
      <c r="CD3" s="8" t="s">
        <v>518</v>
      </c>
      <c r="CE3" s="8" t="s">
        <v>519</v>
      </c>
      <c r="CF3" s="8" t="s">
        <v>520</v>
      </c>
      <c r="CG3" s="8" t="s">
        <v>521</v>
      </c>
      <c r="CH3" s="8" t="s">
        <v>522</v>
      </c>
      <c r="CI3" s="8" t="s">
        <v>523</v>
      </c>
      <c r="CJ3" s="8" t="s">
        <v>524</v>
      </c>
      <c r="CK3" s="8" t="s">
        <v>525</v>
      </c>
      <c r="CL3" s="8" t="s">
        <v>526</v>
      </c>
      <c r="CM3" s="8" t="s">
        <v>527</v>
      </c>
      <c r="CN3" s="8" t="s">
        <v>528</v>
      </c>
      <c r="CO3" s="8" t="s">
        <v>529</v>
      </c>
      <c r="CP3" s="8" t="s">
        <v>530</v>
      </c>
      <c r="CQ3" s="8" t="s">
        <v>531</v>
      </c>
      <c r="CR3" s="8" t="s">
        <v>532</v>
      </c>
      <c r="CS3" s="8" t="s">
        <v>533</v>
      </c>
      <c r="CT3" s="8" t="s">
        <v>534</v>
      </c>
      <c r="CU3" s="8" t="s">
        <v>535</v>
      </c>
      <c r="CV3" s="8" t="s">
        <v>536</v>
      </c>
      <c r="CW3" s="8" t="s">
        <v>537</v>
      </c>
      <c r="CX3" s="8" t="s">
        <v>538</v>
      </c>
      <c r="CY3" s="8" t="s">
        <v>539</v>
      </c>
      <c r="CZ3" s="8" t="s">
        <v>540</v>
      </c>
      <c r="DA3" s="8" t="s">
        <v>838</v>
      </c>
      <c r="DB3" s="8" t="s">
        <v>839</v>
      </c>
      <c r="DC3" s="8" t="s">
        <v>541</v>
      </c>
      <c r="DD3" s="8" t="s">
        <v>542</v>
      </c>
      <c r="DE3" s="8" t="s">
        <v>543</v>
      </c>
      <c r="DF3" s="8" t="s">
        <v>544</v>
      </c>
      <c r="DG3" s="8" t="s">
        <v>545</v>
      </c>
      <c r="DH3" s="8" t="s">
        <v>546</v>
      </c>
      <c r="DI3" s="8" t="s">
        <v>547</v>
      </c>
      <c r="DJ3" s="8" t="s">
        <v>548</v>
      </c>
      <c r="DK3" s="8" t="s">
        <v>549</v>
      </c>
      <c r="DL3" s="8" t="s">
        <v>550</v>
      </c>
      <c r="DM3" s="8" t="s">
        <v>551</v>
      </c>
      <c r="DN3" s="8" t="s">
        <v>552</v>
      </c>
      <c r="DO3" s="8" t="s">
        <v>553</v>
      </c>
      <c r="DP3" s="8" t="s">
        <v>554</v>
      </c>
      <c r="DQ3" s="8" t="s">
        <v>555</v>
      </c>
      <c r="DR3" s="8" t="s">
        <v>556</v>
      </c>
    </row>
    <row r="4" spans="1:122" ht="12.95" customHeight="1" x14ac:dyDescent="0.2">
      <c r="A4" t="s">
        <v>857</v>
      </c>
      <c r="B4" t="s">
        <v>855</v>
      </c>
      <c r="C4" t="s">
        <v>841</v>
      </c>
      <c r="D4" t="s">
        <v>840</v>
      </c>
      <c r="E4" s="10" t="s">
        <v>844</v>
      </c>
      <c r="F4" s="10"/>
      <c r="G4" s="10"/>
      <c r="H4" s="10" t="s">
        <v>844</v>
      </c>
      <c r="I4" s="14">
        <v>151614.93009226536</v>
      </c>
      <c r="J4" s="19">
        <v>0.46839833592318042</v>
      </c>
      <c r="K4" s="19">
        <v>0.13184034614561466</v>
      </c>
      <c r="L4" s="19">
        <v>0.39976131793120495</v>
      </c>
      <c r="M4" s="20">
        <v>2</v>
      </c>
      <c r="N4" s="19">
        <v>0</v>
      </c>
      <c r="O4" s="19">
        <v>0</v>
      </c>
      <c r="P4" s="19">
        <v>0.13184034614561466</v>
      </c>
      <c r="Q4" s="19">
        <v>8.0720786242113929E-2</v>
      </c>
      <c r="R4" s="19">
        <v>0.28817434979964035</v>
      </c>
      <c r="S4" s="19">
        <v>3.08661818894507E-2</v>
      </c>
      <c r="T4" s="20">
        <v>23</v>
      </c>
      <c r="U4" s="17">
        <v>2</v>
      </c>
      <c r="V4" s="17">
        <v>37</v>
      </c>
      <c r="W4" s="44">
        <v>0.53393327547089364</v>
      </c>
      <c r="X4" s="45">
        <v>0.17012421474077791</v>
      </c>
      <c r="Y4" s="46">
        <v>0.3</v>
      </c>
      <c r="Z4" s="47">
        <v>1.2</v>
      </c>
      <c r="AA4" s="48">
        <v>58.366807410561918</v>
      </c>
      <c r="AB4" s="48">
        <v>15</v>
      </c>
      <c r="AC4" s="48">
        <v>0</v>
      </c>
      <c r="AD4" s="48">
        <v>100</v>
      </c>
      <c r="AE4" s="45">
        <v>0</v>
      </c>
      <c r="AF4" s="45">
        <v>0</v>
      </c>
      <c r="AG4" s="45">
        <v>6.5018854791314504E-3</v>
      </c>
      <c r="AH4" s="48">
        <v>4</v>
      </c>
      <c r="AI4" s="45">
        <v>0</v>
      </c>
      <c r="AJ4" s="45">
        <v>0</v>
      </c>
      <c r="AK4" s="45">
        <v>0</v>
      </c>
      <c r="AL4" s="48">
        <v>4</v>
      </c>
      <c r="AM4" s="45">
        <v>0</v>
      </c>
      <c r="AN4" s="45">
        <v>0</v>
      </c>
      <c r="AO4" s="45">
        <v>0</v>
      </c>
      <c r="AP4" s="48">
        <v>4</v>
      </c>
      <c r="AQ4" s="48">
        <v>0</v>
      </c>
      <c r="AR4" s="48">
        <v>0</v>
      </c>
      <c r="AS4" s="48"/>
      <c r="AT4" s="48"/>
      <c r="AU4" s="47">
        <v>12.396812113966925</v>
      </c>
      <c r="AV4" s="47">
        <v>5.5841758955836918</v>
      </c>
      <c r="AW4" s="47">
        <v>3</v>
      </c>
      <c r="AX4" s="48">
        <v>25</v>
      </c>
      <c r="AY4" s="5">
        <f t="shared" ref="AY4:AY14" si="0">IF($U4=4,0.0045,IF($U4=3,0.026,IF($U4=2,0.021,IF($U4=1,0.024,""))))</f>
        <v>2.1000000000000001E-2</v>
      </c>
      <c r="AZ4" s="5">
        <f t="shared" ref="AZ4:AZ14" si="1">IF($U4=4,0.005,IF($U4=3,0.252,IF($U4=2,0.191,IF($U4=1,0.144,""))))</f>
        <v>0.191</v>
      </c>
      <c r="BA4" s="5">
        <f t="shared" ref="BA4:BA14" si="2">IF($U4=4,0.0055,IF($U4=3,0.849,IF($U4=2,0.757,IF($U4=1,0.296,""))))</f>
        <v>0.75700000000000001</v>
      </c>
      <c r="BB4" s="3">
        <v>4</v>
      </c>
      <c r="BC4" s="7">
        <v>3.5249999999999999</v>
      </c>
      <c r="BD4" s="4">
        <v>19.27</v>
      </c>
      <c r="BE4" s="4"/>
      <c r="BF4" s="4"/>
      <c r="BG4" s="4">
        <f t="shared" ref="BG4:BG14" si="3">IF($U4=4,61.7,IF($U4=3,44.4,41.8))</f>
        <v>41.8</v>
      </c>
      <c r="BH4" s="4">
        <f t="shared" ref="BH4:BH14" si="4">IF($U4=4,8.7,IF($U4=3,3.9,10.3))</f>
        <v>10.3</v>
      </c>
      <c r="BI4" s="4">
        <v>0</v>
      </c>
      <c r="BJ4" s="4">
        <v>100</v>
      </c>
      <c r="BK4" s="4">
        <f t="shared" ref="BK4:BK14" si="5">(((100-(20.7+35.4*LOG($V4)))/100)*1)</f>
        <v>0.23785658968028386</v>
      </c>
      <c r="BL4" s="4">
        <f t="shared" ref="BL4:BL14" si="6">(((100-(20.7+35.4*LOG($V4)))/100)*5)</f>
        <v>1.1892829484014193</v>
      </c>
      <c r="BM4" s="4">
        <f t="shared" ref="BM4:BM14" si="7">(((100-(20.7+35.4*LOG($V4)))/100)*15)</f>
        <v>3.5678488452042578</v>
      </c>
      <c r="BN4" s="3">
        <v>4</v>
      </c>
      <c r="BO4" s="6">
        <v>0</v>
      </c>
      <c r="BP4" s="6">
        <v>8.6</v>
      </c>
      <c r="BQ4" s="6">
        <v>80.2</v>
      </c>
      <c r="BR4" s="6">
        <v>4</v>
      </c>
      <c r="BS4" s="7">
        <v>6.0000000000000001E-3</v>
      </c>
      <c r="BT4" s="7">
        <v>0.04</v>
      </c>
      <c r="BU4" s="7">
        <v>0.45</v>
      </c>
      <c r="BV4" s="3">
        <v>4</v>
      </c>
      <c r="BW4" s="6">
        <f t="shared" ref="BW4:BW14" si="8">IF($U4=4,1.2,IF($U4=3,38,IF($U4=2,0.6,IF($U4=1,9.2,""))))*(1-L4)+IF($U4=4,1.2,IF($U4=3,71.1,IF($U4=2,8.4,IF($U4=1,7.9,""))))*L4</f>
        <v>3.7181382798633988</v>
      </c>
      <c r="BX4" s="6">
        <f t="shared" ref="BX4:BX14" si="9">IF($U4=4,66.7,IF($U4=3,81.7,IF($U4=2,84.7,IF($U4=1,61.9,""))))*(1-L4)+IF($U4=4,66.7,IF($U4=3,93.4,IF($U4=2,84.3,IF($U4=1,24.4,""))))*L4</f>
        <v>84.540095472827517</v>
      </c>
      <c r="BY4" s="6"/>
      <c r="BZ4" s="6"/>
      <c r="CA4" s="6">
        <v>13.8</v>
      </c>
      <c r="CB4" s="6">
        <v>17.7</v>
      </c>
      <c r="CC4" s="6">
        <v>20.399999999999999</v>
      </c>
      <c r="CD4" s="3">
        <v>4</v>
      </c>
      <c r="CE4" s="3">
        <v>40</v>
      </c>
      <c r="CF4" s="3">
        <v>50</v>
      </c>
      <c r="CG4" s="3">
        <v>60</v>
      </c>
      <c r="CH4" s="3">
        <v>4</v>
      </c>
      <c r="CI4" s="6">
        <f t="shared" ref="CI4:CI14" si="10">IF($U4=4,0,IF($U4=3,2.3,IF($U4=2,2.3,2.3)))</f>
        <v>2.2999999999999998</v>
      </c>
      <c r="CJ4" s="6">
        <f t="shared" ref="CJ4:CJ14" si="11">IF($U4=4,2.3,IF($U4=3,30,IF($U4=2,30,30)))</f>
        <v>30</v>
      </c>
      <c r="CK4" s="6">
        <f t="shared" ref="CK4:CK14" si="12">IF($U4=4,4.6,IF($U4=3,60,IF($U4=2,60,60)))</f>
        <v>60</v>
      </c>
      <c r="CL4" s="6">
        <v>4</v>
      </c>
      <c r="CM4" s="6">
        <v>4.3</v>
      </c>
      <c r="CN4" s="6">
        <v>8.5</v>
      </c>
      <c r="CO4" s="6">
        <v>12.8</v>
      </c>
      <c r="CP4" s="3">
        <v>4</v>
      </c>
      <c r="CQ4" s="3">
        <v>69.099999999999994</v>
      </c>
      <c r="CR4" s="6">
        <v>72.900000000000006</v>
      </c>
      <c r="CS4" s="3">
        <v>76</v>
      </c>
      <c r="CT4" s="3">
        <v>4</v>
      </c>
      <c r="CU4" s="3">
        <v>5</v>
      </c>
      <c r="CV4" s="3">
        <v>10</v>
      </c>
      <c r="CW4" s="3">
        <v>15</v>
      </c>
      <c r="CX4" s="3">
        <v>4</v>
      </c>
      <c r="CY4" s="3">
        <v>11</v>
      </c>
      <c r="CZ4" s="3">
        <v>95</v>
      </c>
      <c r="DA4" s="3"/>
      <c r="DB4" s="3"/>
      <c r="DC4" s="4">
        <v>15.07</v>
      </c>
      <c r="DD4" s="4">
        <v>18.84</v>
      </c>
      <c r="DE4" s="4">
        <v>22.61</v>
      </c>
      <c r="DF4" s="3">
        <v>4</v>
      </c>
      <c r="DG4" s="4">
        <v>11.92</v>
      </c>
      <c r="DH4" s="4">
        <v>14.9</v>
      </c>
      <c r="DI4" s="4">
        <v>17.88</v>
      </c>
      <c r="DJ4" s="3">
        <v>4</v>
      </c>
      <c r="DK4" s="4">
        <v>32.590000000000003</v>
      </c>
      <c r="DL4" s="4">
        <v>40.74</v>
      </c>
      <c r="DM4" s="4">
        <v>48.89</v>
      </c>
      <c r="DN4" s="3">
        <v>4</v>
      </c>
      <c r="DO4" s="4">
        <v>46.46</v>
      </c>
      <c r="DP4" s="4">
        <v>58.08</v>
      </c>
      <c r="DQ4" s="4">
        <v>69.7</v>
      </c>
      <c r="DR4" s="3">
        <v>4</v>
      </c>
    </row>
    <row r="5" spans="1:122" ht="12.95" customHeight="1" x14ac:dyDescent="0.2">
      <c r="A5" t="s">
        <v>856</v>
      </c>
      <c r="B5" t="s">
        <v>855</v>
      </c>
      <c r="C5" t="s">
        <v>841</v>
      </c>
      <c r="D5" t="s">
        <v>840</v>
      </c>
      <c r="E5" s="10" t="s">
        <v>845</v>
      </c>
      <c r="F5" s="10"/>
      <c r="G5" s="10"/>
      <c r="H5" s="10" t="s">
        <v>845</v>
      </c>
      <c r="I5" s="14">
        <v>109902.90585711086</v>
      </c>
      <c r="J5" s="19">
        <v>0</v>
      </c>
      <c r="K5" s="19">
        <v>0.71062852337837856</v>
      </c>
      <c r="L5" s="19">
        <v>0.28937147662162149</v>
      </c>
      <c r="M5" s="20">
        <v>2</v>
      </c>
      <c r="N5" s="19">
        <v>0.30885360794752514</v>
      </c>
      <c r="O5" s="19">
        <v>0.10638580208214653</v>
      </c>
      <c r="P5" s="19">
        <v>0.29538911334870682</v>
      </c>
      <c r="Q5" s="19">
        <v>0.13480976904835471</v>
      </c>
      <c r="R5" s="19">
        <v>0.14627676293974107</v>
      </c>
      <c r="S5" s="19">
        <v>8.28494463352571E-3</v>
      </c>
      <c r="T5" s="20">
        <v>23</v>
      </c>
      <c r="U5" s="17">
        <v>2</v>
      </c>
      <c r="V5" s="17">
        <v>37</v>
      </c>
      <c r="W5" s="44">
        <v>0.53393327547089364</v>
      </c>
      <c r="X5" s="45">
        <v>0.17012421474077791</v>
      </c>
      <c r="Y5" s="46">
        <v>0.3</v>
      </c>
      <c r="Z5" s="47">
        <v>1.2</v>
      </c>
      <c r="AA5" s="48">
        <v>58.366807410561918</v>
      </c>
      <c r="AB5" s="48">
        <v>15</v>
      </c>
      <c r="AC5" s="48">
        <v>0</v>
      </c>
      <c r="AD5" s="48">
        <v>100</v>
      </c>
      <c r="AE5" s="45">
        <v>0</v>
      </c>
      <c r="AF5" s="45">
        <v>0</v>
      </c>
      <c r="AG5" s="45">
        <v>6.5018854791314504E-3</v>
      </c>
      <c r="AH5" s="48">
        <v>4</v>
      </c>
      <c r="AI5" s="45">
        <v>0</v>
      </c>
      <c r="AJ5" s="45">
        <v>0</v>
      </c>
      <c r="AK5" s="45">
        <v>0</v>
      </c>
      <c r="AL5" s="48">
        <v>4</v>
      </c>
      <c r="AM5" s="45">
        <v>0</v>
      </c>
      <c r="AN5" s="45">
        <v>0</v>
      </c>
      <c r="AO5" s="45">
        <v>0</v>
      </c>
      <c r="AP5" s="48">
        <v>4</v>
      </c>
      <c r="AQ5" s="48">
        <v>0</v>
      </c>
      <c r="AR5" s="48">
        <v>0</v>
      </c>
      <c r="AS5" s="48"/>
      <c r="AT5" s="48"/>
      <c r="AU5" s="47">
        <v>12.396812113966925</v>
      </c>
      <c r="AV5" s="47">
        <v>5.5841758955836918</v>
      </c>
      <c r="AW5" s="47">
        <v>3</v>
      </c>
      <c r="AX5" s="48">
        <v>25</v>
      </c>
      <c r="AY5" s="5">
        <f t="shared" si="0"/>
        <v>2.1000000000000001E-2</v>
      </c>
      <c r="AZ5" s="5">
        <f t="shared" si="1"/>
        <v>0.191</v>
      </c>
      <c r="BA5" s="5">
        <f t="shared" si="2"/>
        <v>0.75700000000000001</v>
      </c>
      <c r="BB5" s="3">
        <v>4</v>
      </c>
      <c r="BC5" s="7">
        <v>3.5249999999999999</v>
      </c>
      <c r="BD5" s="4">
        <v>19.27</v>
      </c>
      <c r="BE5" s="4"/>
      <c r="BF5" s="4"/>
      <c r="BG5" s="4">
        <f t="shared" si="3"/>
        <v>41.8</v>
      </c>
      <c r="BH5" s="4">
        <f t="shared" si="4"/>
        <v>10.3</v>
      </c>
      <c r="BI5" s="4">
        <v>0</v>
      </c>
      <c r="BJ5" s="4">
        <v>100</v>
      </c>
      <c r="BK5" s="4">
        <f t="shared" si="5"/>
        <v>0.23785658968028386</v>
      </c>
      <c r="BL5" s="4">
        <f t="shared" si="6"/>
        <v>1.1892829484014193</v>
      </c>
      <c r="BM5" s="4">
        <f t="shared" si="7"/>
        <v>3.5678488452042578</v>
      </c>
      <c r="BN5" s="3">
        <v>4</v>
      </c>
      <c r="BO5" s="6">
        <v>0</v>
      </c>
      <c r="BP5" s="6">
        <v>8.6</v>
      </c>
      <c r="BQ5" s="6">
        <v>80.2</v>
      </c>
      <c r="BR5" s="6">
        <v>4</v>
      </c>
      <c r="BS5" s="7">
        <v>6.0000000000000001E-3</v>
      </c>
      <c r="BT5" s="7">
        <v>0.04</v>
      </c>
      <c r="BU5" s="7">
        <v>0.45</v>
      </c>
      <c r="BV5" s="3">
        <v>4</v>
      </c>
      <c r="BW5" s="6">
        <f t="shared" si="8"/>
        <v>2.8570975176486475</v>
      </c>
      <c r="BX5" s="6">
        <f t="shared" si="9"/>
        <v>84.584251409351353</v>
      </c>
      <c r="BY5" s="6"/>
      <c r="BZ5" s="6"/>
      <c r="CA5" s="6">
        <v>13.8</v>
      </c>
      <c r="CB5" s="6">
        <v>17.7</v>
      </c>
      <c r="CC5" s="6">
        <v>20.399999999999999</v>
      </c>
      <c r="CD5" s="3">
        <v>4</v>
      </c>
      <c r="CE5" s="3">
        <v>40</v>
      </c>
      <c r="CF5" s="3">
        <v>50</v>
      </c>
      <c r="CG5" s="3">
        <v>60</v>
      </c>
      <c r="CH5" s="3">
        <v>4</v>
      </c>
      <c r="CI5" s="6">
        <f t="shared" si="10"/>
        <v>2.2999999999999998</v>
      </c>
      <c r="CJ5" s="6">
        <f t="shared" si="11"/>
        <v>30</v>
      </c>
      <c r="CK5" s="6">
        <f t="shared" si="12"/>
        <v>60</v>
      </c>
      <c r="CL5" s="6">
        <v>4</v>
      </c>
      <c r="CM5" s="6">
        <v>4.3</v>
      </c>
      <c r="CN5" s="6">
        <v>8.5</v>
      </c>
      <c r="CO5" s="6">
        <v>12.8</v>
      </c>
      <c r="CP5" s="3">
        <v>4</v>
      </c>
      <c r="CQ5" s="3">
        <v>69.099999999999994</v>
      </c>
      <c r="CR5" s="6">
        <v>72.900000000000006</v>
      </c>
      <c r="CS5" s="3">
        <v>76</v>
      </c>
      <c r="CT5" s="3">
        <v>4</v>
      </c>
      <c r="CU5" s="3">
        <v>5</v>
      </c>
      <c r="CV5" s="3">
        <v>10</v>
      </c>
      <c r="CW5" s="3">
        <v>15</v>
      </c>
      <c r="CX5" s="3">
        <v>4</v>
      </c>
      <c r="CY5" s="3">
        <v>11</v>
      </c>
      <c r="CZ5" s="3">
        <v>95</v>
      </c>
      <c r="DA5" s="3"/>
      <c r="DB5" s="3"/>
      <c r="DC5" s="4">
        <v>15.07</v>
      </c>
      <c r="DD5" s="4">
        <v>18.84</v>
      </c>
      <c r="DE5" s="4">
        <v>22.61</v>
      </c>
      <c r="DF5" s="3">
        <v>4</v>
      </c>
      <c r="DG5" s="4">
        <v>11.92</v>
      </c>
      <c r="DH5" s="4">
        <v>14.9</v>
      </c>
      <c r="DI5" s="4">
        <v>17.88</v>
      </c>
      <c r="DJ5" s="3">
        <v>4</v>
      </c>
      <c r="DK5" s="4">
        <v>32.590000000000003</v>
      </c>
      <c r="DL5" s="4">
        <v>40.74</v>
      </c>
      <c r="DM5" s="4">
        <v>48.89</v>
      </c>
      <c r="DN5" s="3">
        <v>4</v>
      </c>
      <c r="DO5" s="4">
        <v>46.46</v>
      </c>
      <c r="DP5" s="4">
        <v>58.08</v>
      </c>
      <c r="DQ5" s="4">
        <v>69.7</v>
      </c>
      <c r="DR5" s="3">
        <v>4</v>
      </c>
    </row>
    <row r="6" spans="1:122" ht="12.95" customHeight="1" x14ac:dyDescent="0.2">
      <c r="A6" t="s">
        <v>858</v>
      </c>
      <c r="B6" t="s">
        <v>855</v>
      </c>
      <c r="C6" t="s">
        <v>841</v>
      </c>
      <c r="D6" t="s">
        <v>840</v>
      </c>
      <c r="E6" s="10" t="s">
        <v>846</v>
      </c>
      <c r="F6" s="10"/>
      <c r="G6" s="10"/>
      <c r="H6" s="10" t="s">
        <v>846</v>
      </c>
      <c r="I6" s="14">
        <v>457434.7921536814</v>
      </c>
      <c r="J6" s="19">
        <v>0.31699595587222418</v>
      </c>
      <c r="K6" s="19">
        <v>0.52887653744932983</v>
      </c>
      <c r="L6" s="19">
        <v>0.15412750667844605</v>
      </c>
      <c r="M6" s="20">
        <v>2</v>
      </c>
      <c r="N6" s="19">
        <v>9.8554985711373166E-2</v>
      </c>
      <c r="O6" s="19">
        <v>2.5263092997699792E-2</v>
      </c>
      <c r="P6" s="19">
        <v>0.40505845874025681</v>
      </c>
      <c r="Q6" s="19">
        <v>6.0012691494965811E-2</v>
      </c>
      <c r="R6" s="19">
        <v>8.3111698739028766E-2</v>
      </c>
      <c r="S6" s="19">
        <v>1.1003116444451467E-2</v>
      </c>
      <c r="T6" s="20">
        <v>23</v>
      </c>
      <c r="U6" s="17">
        <v>2</v>
      </c>
      <c r="V6" s="17">
        <v>37</v>
      </c>
      <c r="W6" s="44">
        <v>0.53393327547089364</v>
      </c>
      <c r="X6" s="45">
        <v>0.17012421474077791</v>
      </c>
      <c r="Y6" s="46">
        <v>0.3</v>
      </c>
      <c r="Z6" s="47">
        <v>1.2</v>
      </c>
      <c r="AA6" s="48">
        <v>58.366807410561904</v>
      </c>
      <c r="AB6" s="48">
        <v>15</v>
      </c>
      <c r="AC6" s="48">
        <v>0</v>
      </c>
      <c r="AD6" s="48">
        <v>100</v>
      </c>
      <c r="AE6" s="45">
        <v>0</v>
      </c>
      <c r="AF6" s="45">
        <v>0</v>
      </c>
      <c r="AG6" s="45">
        <v>6.5018854791314504E-3</v>
      </c>
      <c r="AH6" s="48">
        <v>4</v>
      </c>
      <c r="AI6" s="45">
        <v>0</v>
      </c>
      <c r="AJ6" s="45">
        <v>0</v>
      </c>
      <c r="AK6" s="45">
        <v>0</v>
      </c>
      <c r="AL6" s="48">
        <v>4</v>
      </c>
      <c r="AM6" s="45">
        <v>0</v>
      </c>
      <c r="AN6" s="45">
        <v>0</v>
      </c>
      <c r="AO6" s="45">
        <v>0</v>
      </c>
      <c r="AP6" s="48">
        <v>4</v>
      </c>
      <c r="AQ6" s="48">
        <v>0</v>
      </c>
      <c r="AR6" s="48">
        <v>0</v>
      </c>
      <c r="AS6" s="48"/>
      <c r="AT6" s="48"/>
      <c r="AU6" s="47">
        <v>12.396812113966925</v>
      </c>
      <c r="AV6" s="47">
        <v>5.5841758955836918</v>
      </c>
      <c r="AW6" s="47">
        <v>3</v>
      </c>
      <c r="AX6" s="48">
        <v>25</v>
      </c>
      <c r="AY6" s="5">
        <f t="shared" si="0"/>
        <v>2.1000000000000001E-2</v>
      </c>
      <c r="AZ6" s="5">
        <f t="shared" si="1"/>
        <v>0.191</v>
      </c>
      <c r="BA6" s="5">
        <f t="shared" si="2"/>
        <v>0.75700000000000001</v>
      </c>
      <c r="BB6" s="3">
        <v>4</v>
      </c>
      <c r="BC6" s="7">
        <v>3.5249999999999999</v>
      </c>
      <c r="BD6" s="4">
        <v>19.27</v>
      </c>
      <c r="BE6" s="4"/>
      <c r="BF6" s="4"/>
      <c r="BG6" s="4">
        <f t="shared" si="3"/>
        <v>41.8</v>
      </c>
      <c r="BH6" s="4">
        <f t="shared" si="4"/>
        <v>10.3</v>
      </c>
      <c r="BI6" s="4">
        <v>0</v>
      </c>
      <c r="BJ6" s="4">
        <v>100</v>
      </c>
      <c r="BK6" s="4">
        <f t="shared" si="5"/>
        <v>0.23785658968028386</v>
      </c>
      <c r="BL6" s="4">
        <f t="shared" si="6"/>
        <v>1.1892829484014193</v>
      </c>
      <c r="BM6" s="4">
        <f t="shared" si="7"/>
        <v>3.5678488452042578</v>
      </c>
      <c r="BN6" s="3">
        <v>4</v>
      </c>
      <c r="BO6" s="6">
        <v>0</v>
      </c>
      <c r="BP6" s="6">
        <v>8.6</v>
      </c>
      <c r="BQ6" s="6">
        <v>80.2</v>
      </c>
      <c r="BR6" s="6">
        <v>4</v>
      </c>
      <c r="BS6" s="7">
        <v>6.0000000000000001E-3</v>
      </c>
      <c r="BT6" s="7">
        <v>0.04</v>
      </c>
      <c r="BU6" s="7">
        <v>0.45</v>
      </c>
      <c r="BV6" s="3">
        <v>4</v>
      </c>
      <c r="BW6" s="6">
        <f t="shared" si="8"/>
        <v>1.8021945520918794</v>
      </c>
      <c r="BX6" s="6">
        <f t="shared" si="9"/>
        <v>84.638348997328634</v>
      </c>
      <c r="BY6" s="6"/>
      <c r="BZ6" s="6"/>
      <c r="CA6" s="6">
        <v>13.8</v>
      </c>
      <c r="CB6" s="6">
        <v>17.7</v>
      </c>
      <c r="CC6" s="6">
        <v>20.399999999999999</v>
      </c>
      <c r="CD6" s="3">
        <v>4</v>
      </c>
      <c r="CE6" s="3">
        <v>40</v>
      </c>
      <c r="CF6" s="3">
        <v>50</v>
      </c>
      <c r="CG6" s="3">
        <v>60</v>
      </c>
      <c r="CH6" s="3">
        <v>4</v>
      </c>
      <c r="CI6" s="6">
        <f t="shared" si="10"/>
        <v>2.2999999999999998</v>
      </c>
      <c r="CJ6" s="6">
        <f t="shared" si="11"/>
        <v>30</v>
      </c>
      <c r="CK6" s="6">
        <f t="shared" si="12"/>
        <v>60</v>
      </c>
      <c r="CL6" s="6">
        <v>4</v>
      </c>
      <c r="CM6" s="6">
        <v>4.3</v>
      </c>
      <c r="CN6" s="6">
        <v>8.5</v>
      </c>
      <c r="CO6" s="6">
        <v>12.8</v>
      </c>
      <c r="CP6" s="3">
        <v>4</v>
      </c>
      <c r="CQ6" s="3">
        <v>69.099999999999994</v>
      </c>
      <c r="CR6" s="6">
        <v>72.900000000000006</v>
      </c>
      <c r="CS6" s="3">
        <v>76</v>
      </c>
      <c r="CT6" s="3">
        <v>4</v>
      </c>
      <c r="CU6" s="3">
        <v>5</v>
      </c>
      <c r="CV6" s="3">
        <v>10</v>
      </c>
      <c r="CW6" s="3">
        <v>15</v>
      </c>
      <c r="CX6" s="3">
        <v>4</v>
      </c>
      <c r="CY6" s="3">
        <v>11</v>
      </c>
      <c r="CZ6" s="3">
        <v>95</v>
      </c>
      <c r="DA6" s="3"/>
      <c r="DB6" s="3"/>
      <c r="DC6" s="4">
        <v>15.07</v>
      </c>
      <c r="DD6" s="4">
        <v>18.84</v>
      </c>
      <c r="DE6" s="4">
        <v>22.61</v>
      </c>
      <c r="DF6" s="3">
        <v>4</v>
      </c>
      <c r="DG6" s="4">
        <v>11.92</v>
      </c>
      <c r="DH6" s="4">
        <v>14.9</v>
      </c>
      <c r="DI6" s="4">
        <v>17.88</v>
      </c>
      <c r="DJ6" s="3">
        <v>4</v>
      </c>
      <c r="DK6" s="4">
        <v>32.590000000000003</v>
      </c>
      <c r="DL6" s="4">
        <v>40.74</v>
      </c>
      <c r="DM6" s="4">
        <v>48.89</v>
      </c>
      <c r="DN6" s="3">
        <v>4</v>
      </c>
      <c r="DO6" s="4">
        <v>46.46</v>
      </c>
      <c r="DP6" s="4">
        <v>58.08</v>
      </c>
      <c r="DQ6" s="4">
        <v>69.7</v>
      </c>
      <c r="DR6" s="3">
        <v>4</v>
      </c>
    </row>
    <row r="7" spans="1:122" ht="12.95" customHeight="1" x14ac:dyDescent="0.2">
      <c r="A7" t="s">
        <v>859</v>
      </c>
      <c r="B7" t="s">
        <v>855</v>
      </c>
      <c r="C7" t="s">
        <v>841</v>
      </c>
      <c r="D7" t="s">
        <v>840</v>
      </c>
      <c r="E7" s="10" t="s">
        <v>847</v>
      </c>
      <c r="F7" s="10"/>
      <c r="G7" s="10"/>
      <c r="H7" s="10" t="s">
        <v>847</v>
      </c>
      <c r="I7" s="14">
        <v>72417.396718945354</v>
      </c>
      <c r="J7" s="19">
        <v>0</v>
      </c>
      <c r="K7" s="19">
        <v>0.44057096750658131</v>
      </c>
      <c r="L7" s="19">
        <v>0.55942903249341869</v>
      </c>
      <c r="M7" s="20">
        <v>1</v>
      </c>
      <c r="N7" s="19">
        <v>7.4252667205518291E-2</v>
      </c>
      <c r="O7" s="19">
        <v>0.26118794803203738</v>
      </c>
      <c r="P7" s="19">
        <v>0.10513035226902566</v>
      </c>
      <c r="Q7" s="19">
        <v>0.1101283248805683</v>
      </c>
      <c r="R7" s="19">
        <v>0.40384568144307248</v>
      </c>
      <c r="S7" s="19">
        <v>4.5455026169777903E-2</v>
      </c>
      <c r="T7" s="20">
        <v>12</v>
      </c>
      <c r="U7" s="17">
        <v>2</v>
      </c>
      <c r="V7" s="17">
        <v>37</v>
      </c>
      <c r="W7" s="44">
        <v>0.53393327547089364</v>
      </c>
      <c r="X7" s="45">
        <v>0.17012421474077791</v>
      </c>
      <c r="Y7" s="46">
        <v>0.3</v>
      </c>
      <c r="Z7" s="47">
        <v>1.2</v>
      </c>
      <c r="AA7" s="48">
        <v>58.366807410561925</v>
      </c>
      <c r="AB7" s="48">
        <v>15</v>
      </c>
      <c r="AC7" s="48">
        <v>0</v>
      </c>
      <c r="AD7" s="48">
        <v>100</v>
      </c>
      <c r="AE7" s="45">
        <v>0</v>
      </c>
      <c r="AF7" s="45">
        <v>0</v>
      </c>
      <c r="AG7" s="45">
        <v>6.5018854791314504E-3</v>
      </c>
      <c r="AH7" s="48">
        <v>4</v>
      </c>
      <c r="AI7" s="45">
        <v>0</v>
      </c>
      <c r="AJ7" s="45">
        <v>0</v>
      </c>
      <c r="AK7" s="45">
        <v>0</v>
      </c>
      <c r="AL7" s="48">
        <v>4</v>
      </c>
      <c r="AM7" s="45">
        <v>0</v>
      </c>
      <c r="AN7" s="45">
        <v>0</v>
      </c>
      <c r="AO7" s="45">
        <v>0</v>
      </c>
      <c r="AP7" s="48">
        <v>4</v>
      </c>
      <c r="AQ7" s="48">
        <v>0</v>
      </c>
      <c r="AR7" s="48">
        <v>0</v>
      </c>
      <c r="AS7" s="48"/>
      <c r="AT7" s="48"/>
      <c r="AU7" s="47">
        <v>12.396812113966925</v>
      </c>
      <c r="AV7" s="47">
        <v>5.5841758955836918</v>
      </c>
      <c r="AW7" s="47">
        <v>3</v>
      </c>
      <c r="AX7" s="48">
        <v>25</v>
      </c>
      <c r="AY7" s="5">
        <f t="shared" si="0"/>
        <v>2.1000000000000001E-2</v>
      </c>
      <c r="AZ7" s="5">
        <f t="shared" si="1"/>
        <v>0.191</v>
      </c>
      <c r="BA7" s="5">
        <f t="shared" si="2"/>
        <v>0.75700000000000001</v>
      </c>
      <c r="BB7" s="3">
        <v>4</v>
      </c>
      <c r="BC7" s="7">
        <v>3.5249999999999999</v>
      </c>
      <c r="BD7" s="4">
        <v>19.27</v>
      </c>
      <c r="BE7" s="4"/>
      <c r="BF7" s="4"/>
      <c r="BG7" s="4">
        <f t="shared" si="3"/>
        <v>41.8</v>
      </c>
      <c r="BH7" s="4">
        <f t="shared" si="4"/>
        <v>10.3</v>
      </c>
      <c r="BI7" s="4">
        <v>0</v>
      </c>
      <c r="BJ7" s="4">
        <v>100</v>
      </c>
      <c r="BK7" s="4">
        <f t="shared" si="5"/>
        <v>0.23785658968028386</v>
      </c>
      <c r="BL7" s="4">
        <f t="shared" si="6"/>
        <v>1.1892829484014193</v>
      </c>
      <c r="BM7" s="4">
        <f t="shared" si="7"/>
        <v>3.5678488452042578</v>
      </c>
      <c r="BN7" s="3">
        <v>4</v>
      </c>
      <c r="BO7" s="6">
        <v>0</v>
      </c>
      <c r="BP7" s="6">
        <v>8.6</v>
      </c>
      <c r="BQ7" s="6">
        <v>80.2</v>
      </c>
      <c r="BR7" s="6">
        <v>4</v>
      </c>
      <c r="BS7" s="7">
        <v>6.0000000000000001E-3</v>
      </c>
      <c r="BT7" s="7">
        <v>0.04</v>
      </c>
      <c r="BU7" s="7">
        <v>0.45</v>
      </c>
      <c r="BV7" s="3">
        <v>4</v>
      </c>
      <c r="BW7" s="6">
        <f t="shared" si="8"/>
        <v>4.9635464534486662</v>
      </c>
      <c r="BX7" s="6">
        <f t="shared" si="9"/>
        <v>84.476228387002635</v>
      </c>
      <c r="BY7" s="6"/>
      <c r="BZ7" s="6"/>
      <c r="CA7" s="6">
        <v>13.8</v>
      </c>
      <c r="CB7" s="6">
        <v>17.7</v>
      </c>
      <c r="CC7" s="6">
        <v>20.399999999999999</v>
      </c>
      <c r="CD7" s="3">
        <v>4</v>
      </c>
      <c r="CE7" s="3">
        <v>40</v>
      </c>
      <c r="CF7" s="3">
        <v>50</v>
      </c>
      <c r="CG7" s="3">
        <v>60</v>
      </c>
      <c r="CH7" s="3">
        <v>4</v>
      </c>
      <c r="CI7" s="6">
        <f t="shared" si="10"/>
        <v>2.2999999999999998</v>
      </c>
      <c r="CJ7" s="6">
        <f t="shared" si="11"/>
        <v>30</v>
      </c>
      <c r="CK7" s="6">
        <f t="shared" si="12"/>
        <v>60</v>
      </c>
      <c r="CL7" s="6">
        <v>4</v>
      </c>
      <c r="CM7" s="6">
        <v>4.3</v>
      </c>
      <c r="CN7" s="6">
        <v>8.5</v>
      </c>
      <c r="CO7" s="6">
        <v>12.8</v>
      </c>
      <c r="CP7" s="3">
        <v>4</v>
      </c>
      <c r="CQ7" s="3">
        <v>69.099999999999994</v>
      </c>
      <c r="CR7" s="6">
        <v>72.900000000000006</v>
      </c>
      <c r="CS7" s="3">
        <v>76</v>
      </c>
      <c r="CT7" s="3">
        <v>4</v>
      </c>
      <c r="CU7" s="3">
        <v>5</v>
      </c>
      <c r="CV7" s="3">
        <v>10</v>
      </c>
      <c r="CW7" s="3">
        <v>15</v>
      </c>
      <c r="CX7" s="3">
        <v>4</v>
      </c>
      <c r="CY7" s="3">
        <v>11</v>
      </c>
      <c r="CZ7" s="3">
        <v>95</v>
      </c>
      <c r="DA7" s="3"/>
      <c r="DB7" s="3"/>
      <c r="DC7" s="4">
        <v>15.07</v>
      </c>
      <c r="DD7" s="4">
        <v>18.84</v>
      </c>
      <c r="DE7" s="4">
        <v>22.61</v>
      </c>
      <c r="DF7" s="3">
        <v>4</v>
      </c>
      <c r="DG7" s="4">
        <v>11.92</v>
      </c>
      <c r="DH7" s="4">
        <v>14.9</v>
      </c>
      <c r="DI7" s="4">
        <v>17.88</v>
      </c>
      <c r="DJ7" s="3">
        <v>4</v>
      </c>
      <c r="DK7" s="4">
        <v>32.590000000000003</v>
      </c>
      <c r="DL7" s="4">
        <v>40.74</v>
      </c>
      <c r="DM7" s="4">
        <v>48.89</v>
      </c>
      <c r="DN7" s="3">
        <v>4</v>
      </c>
      <c r="DO7" s="4">
        <v>46.46</v>
      </c>
      <c r="DP7" s="4">
        <v>58.08</v>
      </c>
      <c r="DQ7" s="4">
        <v>69.7</v>
      </c>
      <c r="DR7" s="3">
        <v>4</v>
      </c>
    </row>
    <row r="8" spans="1:122" ht="12.95" customHeight="1" x14ac:dyDescent="0.2">
      <c r="A8" t="s">
        <v>860</v>
      </c>
      <c r="B8" t="s">
        <v>855</v>
      </c>
      <c r="C8" t="s">
        <v>841</v>
      </c>
      <c r="D8" t="s">
        <v>840</v>
      </c>
      <c r="E8" s="10" t="s">
        <v>848</v>
      </c>
      <c r="F8" s="10"/>
      <c r="G8" s="10"/>
      <c r="H8" s="10" t="s">
        <v>848</v>
      </c>
      <c r="I8" s="14">
        <v>221079.01698210559</v>
      </c>
      <c r="J8" s="19">
        <v>0</v>
      </c>
      <c r="K8" s="19">
        <v>0.71014041561411378</v>
      </c>
      <c r="L8" s="19">
        <v>0.28985958438588616</v>
      </c>
      <c r="M8" s="20">
        <v>2</v>
      </c>
      <c r="N8" s="19">
        <v>0.22074397814179533</v>
      </c>
      <c r="O8" s="19">
        <v>0.23035192924456266</v>
      </c>
      <c r="P8" s="19">
        <v>0.25904450822775577</v>
      </c>
      <c r="Q8" s="19">
        <v>0.15509802224247818</v>
      </c>
      <c r="R8" s="19">
        <v>0.12466103633483422</v>
      </c>
      <c r="S8" s="19">
        <v>1.0100525808573724E-2</v>
      </c>
      <c r="T8" s="20">
        <v>22</v>
      </c>
      <c r="U8" s="17">
        <v>2</v>
      </c>
      <c r="V8" s="17">
        <v>37</v>
      </c>
      <c r="W8" s="44">
        <v>0.42101594568313438</v>
      </c>
      <c r="X8" s="45">
        <v>0.17012421474077791</v>
      </c>
      <c r="Y8" s="46">
        <v>0.3</v>
      </c>
      <c r="Z8" s="47">
        <v>1.2</v>
      </c>
      <c r="AA8" s="48">
        <v>32.100153295861013</v>
      </c>
      <c r="AB8" s="48">
        <v>1</v>
      </c>
      <c r="AC8" s="48">
        <v>0</v>
      </c>
      <c r="AD8" s="48">
        <v>100</v>
      </c>
      <c r="AE8" s="45">
        <v>0.57306590257879664</v>
      </c>
      <c r="AF8" s="45">
        <v>0.63673989175421841</v>
      </c>
      <c r="AG8" s="45">
        <v>0.7004138809296403</v>
      </c>
      <c r="AH8" s="48">
        <v>4</v>
      </c>
      <c r="AI8" s="45">
        <v>0</v>
      </c>
      <c r="AJ8" s="45">
        <v>0</v>
      </c>
      <c r="AK8" s="45">
        <v>0</v>
      </c>
      <c r="AL8" s="48">
        <v>4</v>
      </c>
      <c r="AM8" s="45">
        <v>0</v>
      </c>
      <c r="AN8" s="45">
        <v>0</v>
      </c>
      <c r="AO8" s="45">
        <v>0</v>
      </c>
      <c r="AP8" s="48">
        <v>4</v>
      </c>
      <c r="AQ8" s="48">
        <v>0</v>
      </c>
      <c r="AR8" s="48">
        <v>0</v>
      </c>
      <c r="AS8" s="48"/>
      <c r="AT8" s="48"/>
      <c r="AU8" s="47">
        <v>12.396812113966925</v>
      </c>
      <c r="AV8" s="47">
        <v>5.5841758955836918</v>
      </c>
      <c r="AW8" s="47">
        <v>3</v>
      </c>
      <c r="AX8" s="48">
        <v>25</v>
      </c>
      <c r="AY8" s="5">
        <f t="shared" si="0"/>
        <v>2.1000000000000001E-2</v>
      </c>
      <c r="AZ8" s="5">
        <f t="shared" si="1"/>
        <v>0.191</v>
      </c>
      <c r="BA8" s="5">
        <f t="shared" si="2"/>
        <v>0.75700000000000001</v>
      </c>
      <c r="BB8" s="3">
        <v>4</v>
      </c>
      <c r="BC8" s="7">
        <v>3.5249999999999999</v>
      </c>
      <c r="BD8" s="4">
        <v>19.27</v>
      </c>
      <c r="BE8" s="4"/>
      <c r="BF8" s="4"/>
      <c r="BG8" s="4">
        <f t="shared" si="3"/>
        <v>41.8</v>
      </c>
      <c r="BH8" s="4">
        <f t="shared" si="4"/>
        <v>10.3</v>
      </c>
      <c r="BI8" s="4">
        <v>0</v>
      </c>
      <c r="BJ8" s="4">
        <v>100</v>
      </c>
      <c r="BK8" s="4">
        <f t="shared" si="5"/>
        <v>0.23785658968028386</v>
      </c>
      <c r="BL8" s="4">
        <f t="shared" si="6"/>
        <v>1.1892829484014193</v>
      </c>
      <c r="BM8" s="4">
        <f t="shared" si="7"/>
        <v>3.5678488452042578</v>
      </c>
      <c r="BN8" s="3">
        <v>4</v>
      </c>
      <c r="BO8" s="6">
        <v>0</v>
      </c>
      <c r="BP8" s="6">
        <v>8.6</v>
      </c>
      <c r="BQ8" s="6">
        <v>80.2</v>
      </c>
      <c r="BR8" s="6">
        <v>4</v>
      </c>
      <c r="BS8" s="7">
        <v>6.0000000000000001E-3</v>
      </c>
      <c r="BT8" s="7">
        <v>0.04</v>
      </c>
      <c r="BU8" s="7">
        <v>0.45</v>
      </c>
      <c r="BV8" s="3">
        <v>4</v>
      </c>
      <c r="BW8" s="6">
        <f t="shared" si="8"/>
        <v>2.8609047582099123</v>
      </c>
      <c r="BX8" s="6">
        <f t="shared" si="9"/>
        <v>84.584056166245645</v>
      </c>
      <c r="BY8" s="6"/>
      <c r="BZ8" s="6"/>
      <c r="CA8" s="6">
        <v>13.8</v>
      </c>
      <c r="CB8" s="6">
        <v>17.7</v>
      </c>
      <c r="CC8" s="6">
        <v>20.399999999999999</v>
      </c>
      <c r="CD8" s="3">
        <v>4</v>
      </c>
      <c r="CE8" s="3">
        <v>40</v>
      </c>
      <c r="CF8" s="3">
        <v>50</v>
      </c>
      <c r="CG8" s="3">
        <v>60</v>
      </c>
      <c r="CH8" s="3">
        <v>4</v>
      </c>
      <c r="CI8" s="6">
        <f t="shared" si="10"/>
        <v>2.2999999999999998</v>
      </c>
      <c r="CJ8" s="6">
        <f t="shared" si="11"/>
        <v>30</v>
      </c>
      <c r="CK8" s="6">
        <f t="shared" si="12"/>
        <v>60</v>
      </c>
      <c r="CL8" s="6">
        <v>4</v>
      </c>
      <c r="CM8" s="6">
        <v>4.3</v>
      </c>
      <c r="CN8" s="6">
        <v>8.5</v>
      </c>
      <c r="CO8" s="6">
        <v>12.8</v>
      </c>
      <c r="CP8" s="3">
        <v>4</v>
      </c>
      <c r="CQ8" s="3">
        <v>69.099999999999994</v>
      </c>
      <c r="CR8" s="6">
        <v>72.900000000000006</v>
      </c>
      <c r="CS8" s="3">
        <v>76</v>
      </c>
      <c r="CT8" s="3">
        <v>4</v>
      </c>
      <c r="CU8" s="3">
        <v>5</v>
      </c>
      <c r="CV8" s="3">
        <v>10</v>
      </c>
      <c r="CW8" s="3">
        <v>15</v>
      </c>
      <c r="CX8" s="3">
        <v>4</v>
      </c>
      <c r="CY8" s="3">
        <v>11</v>
      </c>
      <c r="CZ8" s="3">
        <v>95</v>
      </c>
      <c r="DA8" s="3"/>
      <c r="DB8" s="3"/>
      <c r="DC8" s="4">
        <v>15.07</v>
      </c>
      <c r="DD8" s="4">
        <v>18.84</v>
      </c>
      <c r="DE8" s="4">
        <v>22.61</v>
      </c>
      <c r="DF8" s="3">
        <v>4</v>
      </c>
      <c r="DG8" s="4">
        <v>11.92</v>
      </c>
      <c r="DH8" s="4">
        <v>14.9</v>
      </c>
      <c r="DI8" s="4">
        <v>17.88</v>
      </c>
      <c r="DJ8" s="3">
        <v>4</v>
      </c>
      <c r="DK8" s="4">
        <v>32.590000000000003</v>
      </c>
      <c r="DL8" s="4">
        <v>40.74</v>
      </c>
      <c r="DM8" s="4">
        <v>48.89</v>
      </c>
      <c r="DN8" s="3">
        <v>4</v>
      </c>
      <c r="DO8" s="4">
        <v>46.46</v>
      </c>
      <c r="DP8" s="4">
        <v>58.08</v>
      </c>
      <c r="DQ8" s="4">
        <v>69.7</v>
      </c>
      <c r="DR8" s="3">
        <v>4</v>
      </c>
    </row>
    <row r="9" spans="1:122" ht="12.95" customHeight="1" x14ac:dyDescent="0.2">
      <c r="A9" t="s">
        <v>861</v>
      </c>
      <c r="B9" t="s">
        <v>855</v>
      </c>
      <c r="C9" t="s">
        <v>841</v>
      </c>
      <c r="D9" t="s">
        <v>842</v>
      </c>
      <c r="E9" s="10" t="s">
        <v>849</v>
      </c>
      <c r="F9" s="10"/>
      <c r="G9" s="10"/>
      <c r="H9" s="10" t="s">
        <v>849</v>
      </c>
      <c r="I9" s="14">
        <v>119913.12792707235</v>
      </c>
      <c r="J9" s="19">
        <v>0</v>
      </c>
      <c r="K9" s="19">
        <v>0.57000008021584703</v>
      </c>
      <c r="L9" s="19">
        <v>0.42999991978415297</v>
      </c>
      <c r="M9" s="20">
        <v>2</v>
      </c>
      <c r="N9" s="19">
        <v>0.29713924467991981</v>
      </c>
      <c r="O9" s="19">
        <v>0.1226323574023573</v>
      </c>
      <c r="P9" s="19">
        <v>0.15022847813356996</v>
      </c>
      <c r="Q9" s="19">
        <v>0.19177663477165735</v>
      </c>
      <c r="R9" s="19">
        <v>0.20553843358460167</v>
      </c>
      <c r="S9" s="19">
        <v>3.2684851427893943E-2</v>
      </c>
      <c r="T9" s="20">
        <v>23</v>
      </c>
      <c r="U9" s="17">
        <v>2</v>
      </c>
      <c r="V9" s="17">
        <v>37</v>
      </c>
      <c r="W9" s="44">
        <v>0.53393327547089364</v>
      </c>
      <c r="X9" s="45">
        <v>0.17012421474077791</v>
      </c>
      <c r="Y9" s="46">
        <v>0.3</v>
      </c>
      <c r="Z9" s="47">
        <v>1.2</v>
      </c>
      <c r="AA9" s="48">
        <v>58.366807410561925</v>
      </c>
      <c r="AB9" s="48">
        <v>15</v>
      </c>
      <c r="AC9" s="48">
        <v>0</v>
      </c>
      <c r="AD9" s="48">
        <v>100</v>
      </c>
      <c r="AE9" s="45">
        <v>0</v>
      </c>
      <c r="AF9" s="45">
        <v>0</v>
      </c>
      <c r="AG9" s="45">
        <v>6.5018854791314504E-3</v>
      </c>
      <c r="AH9" s="48">
        <v>4</v>
      </c>
      <c r="AI9" s="45">
        <v>0</v>
      </c>
      <c r="AJ9" s="45">
        <v>0</v>
      </c>
      <c r="AK9" s="45">
        <v>0</v>
      </c>
      <c r="AL9" s="48">
        <v>4</v>
      </c>
      <c r="AM9" s="45">
        <v>0</v>
      </c>
      <c r="AN9" s="45">
        <v>0</v>
      </c>
      <c r="AO9" s="45">
        <v>0</v>
      </c>
      <c r="AP9" s="48">
        <v>4</v>
      </c>
      <c r="AQ9" s="48">
        <v>0</v>
      </c>
      <c r="AR9" s="48">
        <v>0</v>
      </c>
      <c r="AS9" s="48"/>
      <c r="AT9" s="48"/>
      <c r="AU9" s="47">
        <v>12.396812113966925</v>
      </c>
      <c r="AV9" s="47">
        <v>5.5841758955836918</v>
      </c>
      <c r="AW9" s="47">
        <v>3</v>
      </c>
      <c r="AX9" s="48">
        <v>25</v>
      </c>
      <c r="AY9" s="5">
        <f t="shared" si="0"/>
        <v>2.1000000000000001E-2</v>
      </c>
      <c r="AZ9" s="5">
        <f t="shared" si="1"/>
        <v>0.191</v>
      </c>
      <c r="BA9" s="5">
        <f t="shared" si="2"/>
        <v>0.75700000000000001</v>
      </c>
      <c r="BB9" s="3">
        <v>4</v>
      </c>
      <c r="BC9" s="7">
        <v>3.5249999999999999</v>
      </c>
      <c r="BD9" s="4">
        <v>19.27</v>
      </c>
      <c r="BE9" s="4"/>
      <c r="BF9" s="4"/>
      <c r="BG9" s="4">
        <f t="shared" si="3"/>
        <v>41.8</v>
      </c>
      <c r="BH9" s="4">
        <f t="shared" si="4"/>
        <v>10.3</v>
      </c>
      <c r="BI9" s="4">
        <v>0</v>
      </c>
      <c r="BJ9" s="4">
        <v>100</v>
      </c>
      <c r="BK9" s="4">
        <f t="shared" si="5"/>
        <v>0.23785658968028386</v>
      </c>
      <c r="BL9" s="4">
        <f t="shared" si="6"/>
        <v>1.1892829484014193</v>
      </c>
      <c r="BM9" s="4">
        <f t="shared" si="7"/>
        <v>3.5678488452042578</v>
      </c>
      <c r="BN9" s="3">
        <v>4</v>
      </c>
      <c r="BO9" s="6">
        <v>0</v>
      </c>
      <c r="BP9" s="6">
        <v>8.6</v>
      </c>
      <c r="BQ9" s="6">
        <v>80.2</v>
      </c>
      <c r="BR9" s="6">
        <v>4</v>
      </c>
      <c r="BS9" s="7">
        <v>6.0000000000000001E-3</v>
      </c>
      <c r="BT9" s="7">
        <v>0.04</v>
      </c>
      <c r="BU9" s="7">
        <v>0.45</v>
      </c>
      <c r="BV9" s="3">
        <v>4</v>
      </c>
      <c r="BW9" s="6">
        <f t="shared" si="8"/>
        <v>3.953999374316393</v>
      </c>
      <c r="BX9" s="6">
        <f t="shared" si="9"/>
        <v>84.528000032086339</v>
      </c>
      <c r="BY9" s="6"/>
      <c r="BZ9" s="6"/>
      <c r="CA9" s="6">
        <v>13.8</v>
      </c>
      <c r="CB9" s="6">
        <v>17.7</v>
      </c>
      <c r="CC9" s="6">
        <v>20.399999999999999</v>
      </c>
      <c r="CD9" s="3">
        <v>4</v>
      </c>
      <c r="CE9" s="3">
        <v>40</v>
      </c>
      <c r="CF9" s="3">
        <v>50</v>
      </c>
      <c r="CG9" s="3">
        <v>60</v>
      </c>
      <c r="CH9" s="3">
        <v>4</v>
      </c>
      <c r="CI9" s="6">
        <f t="shared" si="10"/>
        <v>2.2999999999999998</v>
      </c>
      <c r="CJ9" s="6">
        <f t="shared" si="11"/>
        <v>30</v>
      </c>
      <c r="CK9" s="6">
        <f t="shared" si="12"/>
        <v>60</v>
      </c>
      <c r="CL9" s="6">
        <v>4</v>
      </c>
      <c r="CM9" s="6">
        <v>4.3</v>
      </c>
      <c r="CN9" s="6">
        <v>8.5</v>
      </c>
      <c r="CO9" s="6">
        <v>12.8</v>
      </c>
      <c r="CP9" s="3">
        <v>4</v>
      </c>
      <c r="CQ9" s="3">
        <v>69.099999999999994</v>
      </c>
      <c r="CR9" s="6">
        <v>72.900000000000006</v>
      </c>
      <c r="CS9" s="3">
        <v>76</v>
      </c>
      <c r="CT9" s="3">
        <v>4</v>
      </c>
      <c r="CU9" s="3">
        <v>5</v>
      </c>
      <c r="CV9" s="3">
        <v>10</v>
      </c>
      <c r="CW9" s="3">
        <v>15</v>
      </c>
      <c r="CX9" s="3">
        <v>4</v>
      </c>
      <c r="CY9" s="3">
        <v>11</v>
      </c>
      <c r="CZ9" s="3">
        <v>95</v>
      </c>
      <c r="DA9" s="3"/>
      <c r="DB9" s="3"/>
      <c r="DC9" s="4">
        <v>15.07</v>
      </c>
      <c r="DD9" s="4">
        <v>18.84</v>
      </c>
      <c r="DE9" s="4">
        <v>22.61</v>
      </c>
      <c r="DF9" s="3">
        <v>4</v>
      </c>
      <c r="DG9" s="4">
        <v>11.92</v>
      </c>
      <c r="DH9" s="4">
        <v>14.9</v>
      </c>
      <c r="DI9" s="4">
        <v>17.88</v>
      </c>
      <c r="DJ9" s="3">
        <v>4</v>
      </c>
      <c r="DK9" s="4">
        <v>32.590000000000003</v>
      </c>
      <c r="DL9" s="4">
        <v>40.74</v>
      </c>
      <c r="DM9" s="4">
        <v>48.89</v>
      </c>
      <c r="DN9" s="3">
        <v>4</v>
      </c>
      <c r="DO9" s="4">
        <v>46.46</v>
      </c>
      <c r="DP9" s="4">
        <v>58.08</v>
      </c>
      <c r="DQ9" s="4">
        <v>69.7</v>
      </c>
      <c r="DR9" s="3">
        <v>4</v>
      </c>
    </row>
    <row r="10" spans="1:122" ht="12.95" customHeight="1" x14ac:dyDescent="0.2">
      <c r="A10" t="s">
        <v>862</v>
      </c>
      <c r="B10" t="s">
        <v>855</v>
      </c>
      <c r="C10" t="s">
        <v>841</v>
      </c>
      <c r="D10" t="s">
        <v>842</v>
      </c>
      <c r="E10" s="10" t="s">
        <v>850</v>
      </c>
      <c r="F10" s="10"/>
      <c r="G10" s="10"/>
      <c r="H10" s="10" t="s">
        <v>850</v>
      </c>
      <c r="I10" s="14">
        <v>239633.47238772362</v>
      </c>
      <c r="J10" s="19">
        <v>0.28764809073235742</v>
      </c>
      <c r="K10" s="19">
        <v>0.38485535083463451</v>
      </c>
      <c r="L10" s="19">
        <v>0.32749655843300801</v>
      </c>
      <c r="M10" s="20">
        <v>2</v>
      </c>
      <c r="N10" s="19">
        <v>3.2458060890368574E-2</v>
      </c>
      <c r="O10" s="19">
        <v>7.1827400397364502E-2</v>
      </c>
      <c r="P10" s="19">
        <v>0.28056988954690143</v>
      </c>
      <c r="Q10" s="19">
        <v>8.7226851063462563E-2</v>
      </c>
      <c r="R10" s="19">
        <v>0.21880224694478387</v>
      </c>
      <c r="S10" s="19">
        <v>2.1467460424761591E-2</v>
      </c>
      <c r="T10" s="20">
        <v>22</v>
      </c>
      <c r="U10" s="17">
        <v>2</v>
      </c>
      <c r="V10" s="17">
        <v>37</v>
      </c>
      <c r="W10" s="44">
        <v>0.4120860454687521</v>
      </c>
      <c r="X10" s="45">
        <v>0.17012421474077791</v>
      </c>
      <c r="Y10" s="46">
        <v>0.3</v>
      </c>
      <c r="Z10" s="47">
        <v>1.2</v>
      </c>
      <c r="AA10" s="48">
        <v>75.624935622488252</v>
      </c>
      <c r="AB10" s="48">
        <v>15</v>
      </c>
      <c r="AC10" s="48">
        <v>0</v>
      </c>
      <c r="AD10" s="48">
        <v>100</v>
      </c>
      <c r="AE10" s="45">
        <v>0</v>
      </c>
      <c r="AF10" s="45">
        <v>0</v>
      </c>
      <c r="AG10" s="45">
        <v>6.5018854791314504E-3</v>
      </c>
      <c r="AH10" s="48">
        <v>4</v>
      </c>
      <c r="AI10" s="45">
        <v>0</v>
      </c>
      <c r="AJ10" s="45">
        <v>0</v>
      </c>
      <c r="AK10" s="45">
        <v>0</v>
      </c>
      <c r="AL10" s="48">
        <v>4</v>
      </c>
      <c r="AM10" s="45">
        <v>0</v>
      </c>
      <c r="AN10" s="45">
        <v>0</v>
      </c>
      <c r="AO10" s="45">
        <v>0</v>
      </c>
      <c r="AP10" s="48">
        <v>4</v>
      </c>
      <c r="AQ10" s="48">
        <v>0</v>
      </c>
      <c r="AR10" s="48">
        <v>0</v>
      </c>
      <c r="AS10" s="48"/>
      <c r="AT10" s="48"/>
      <c r="AU10" s="47">
        <v>12.396812113966925</v>
      </c>
      <c r="AV10" s="47">
        <v>5.5841758955836918</v>
      </c>
      <c r="AW10" s="47">
        <v>3</v>
      </c>
      <c r="AX10" s="48">
        <v>25</v>
      </c>
      <c r="AY10" s="5">
        <f t="shared" si="0"/>
        <v>2.1000000000000001E-2</v>
      </c>
      <c r="AZ10" s="5">
        <f t="shared" si="1"/>
        <v>0.191</v>
      </c>
      <c r="BA10" s="5">
        <f t="shared" si="2"/>
        <v>0.75700000000000001</v>
      </c>
      <c r="BB10" s="3">
        <v>4</v>
      </c>
      <c r="BC10" s="7">
        <v>3.5249999999999999</v>
      </c>
      <c r="BD10" s="4">
        <v>19.27</v>
      </c>
      <c r="BE10" s="4"/>
      <c r="BF10" s="4"/>
      <c r="BG10" s="4">
        <f t="shared" si="3"/>
        <v>41.8</v>
      </c>
      <c r="BH10" s="4">
        <f t="shared" si="4"/>
        <v>10.3</v>
      </c>
      <c r="BI10" s="4">
        <v>0</v>
      </c>
      <c r="BJ10" s="4">
        <v>100</v>
      </c>
      <c r="BK10" s="4">
        <f t="shared" si="5"/>
        <v>0.23785658968028386</v>
      </c>
      <c r="BL10" s="4">
        <f t="shared" si="6"/>
        <v>1.1892829484014193</v>
      </c>
      <c r="BM10" s="4">
        <f t="shared" si="7"/>
        <v>3.5678488452042578</v>
      </c>
      <c r="BN10" s="3">
        <v>4</v>
      </c>
      <c r="BO10" s="6">
        <v>0</v>
      </c>
      <c r="BP10" s="6">
        <v>8.6</v>
      </c>
      <c r="BQ10" s="6">
        <v>80.2</v>
      </c>
      <c r="BR10" s="6">
        <v>4</v>
      </c>
      <c r="BS10" s="7">
        <v>6.0000000000000001E-3</v>
      </c>
      <c r="BT10" s="7">
        <v>0.04</v>
      </c>
      <c r="BU10" s="7">
        <v>0.45</v>
      </c>
      <c r="BV10" s="3">
        <v>4</v>
      </c>
      <c r="BW10" s="6">
        <f t="shared" si="8"/>
        <v>3.1544731557774623</v>
      </c>
      <c r="BX10" s="6">
        <f t="shared" si="9"/>
        <v>84.569001376626801</v>
      </c>
      <c r="BY10" s="6"/>
      <c r="BZ10" s="6"/>
      <c r="CA10" s="6">
        <v>13.8</v>
      </c>
      <c r="CB10" s="6">
        <v>17.7</v>
      </c>
      <c r="CC10" s="6">
        <v>20.399999999999999</v>
      </c>
      <c r="CD10" s="3">
        <v>4</v>
      </c>
      <c r="CE10" s="3">
        <v>40</v>
      </c>
      <c r="CF10" s="3">
        <v>50</v>
      </c>
      <c r="CG10" s="3">
        <v>60</v>
      </c>
      <c r="CH10" s="3">
        <v>4</v>
      </c>
      <c r="CI10" s="6">
        <f t="shared" si="10"/>
        <v>2.2999999999999998</v>
      </c>
      <c r="CJ10" s="6">
        <f t="shared" si="11"/>
        <v>30</v>
      </c>
      <c r="CK10" s="6">
        <f t="shared" si="12"/>
        <v>60</v>
      </c>
      <c r="CL10" s="6">
        <v>4</v>
      </c>
      <c r="CM10" s="6">
        <v>4.3</v>
      </c>
      <c r="CN10" s="6">
        <v>8.5</v>
      </c>
      <c r="CO10" s="6">
        <v>12.8</v>
      </c>
      <c r="CP10" s="3">
        <v>4</v>
      </c>
      <c r="CQ10" s="3">
        <v>69.099999999999994</v>
      </c>
      <c r="CR10" s="6">
        <v>72.900000000000006</v>
      </c>
      <c r="CS10" s="3">
        <v>76</v>
      </c>
      <c r="CT10" s="3">
        <v>4</v>
      </c>
      <c r="CU10" s="3">
        <v>5</v>
      </c>
      <c r="CV10" s="3">
        <v>10</v>
      </c>
      <c r="CW10" s="3">
        <v>15</v>
      </c>
      <c r="CX10" s="3">
        <v>4</v>
      </c>
      <c r="CY10" s="3">
        <v>11</v>
      </c>
      <c r="CZ10" s="3">
        <v>95</v>
      </c>
      <c r="DA10" s="3"/>
      <c r="DB10" s="3"/>
      <c r="DC10" s="4">
        <v>15.07</v>
      </c>
      <c r="DD10" s="4">
        <v>18.84</v>
      </c>
      <c r="DE10" s="4">
        <v>22.61</v>
      </c>
      <c r="DF10" s="3">
        <v>4</v>
      </c>
      <c r="DG10" s="4">
        <v>11.92</v>
      </c>
      <c r="DH10" s="4">
        <v>14.9</v>
      </c>
      <c r="DI10" s="4">
        <v>17.88</v>
      </c>
      <c r="DJ10" s="3">
        <v>4</v>
      </c>
      <c r="DK10" s="4">
        <v>32.590000000000003</v>
      </c>
      <c r="DL10" s="4">
        <v>40.74</v>
      </c>
      <c r="DM10" s="4">
        <v>48.89</v>
      </c>
      <c r="DN10" s="3">
        <v>4</v>
      </c>
      <c r="DO10" s="4">
        <v>46.46</v>
      </c>
      <c r="DP10" s="4">
        <v>58.08</v>
      </c>
      <c r="DQ10" s="4">
        <v>69.7</v>
      </c>
      <c r="DR10" s="3">
        <v>4</v>
      </c>
    </row>
    <row r="11" spans="1:122" ht="12.95" customHeight="1" x14ac:dyDescent="0.2">
      <c r="A11" t="s">
        <v>863</v>
      </c>
      <c r="B11" t="s">
        <v>855</v>
      </c>
      <c r="C11" t="s">
        <v>841</v>
      </c>
      <c r="D11" t="s">
        <v>842</v>
      </c>
      <c r="E11" s="10" t="s">
        <v>851</v>
      </c>
      <c r="F11" s="10"/>
      <c r="G11" s="10"/>
      <c r="H11" s="10" t="s">
        <v>851</v>
      </c>
      <c r="I11" s="14">
        <v>195498.87835634872</v>
      </c>
      <c r="J11" s="19">
        <v>0.40621172332262706</v>
      </c>
      <c r="K11" s="19">
        <v>0.28279173241459865</v>
      </c>
      <c r="L11" s="19">
        <v>0.31099654426277423</v>
      </c>
      <c r="M11" s="20">
        <v>2</v>
      </c>
      <c r="N11" s="19">
        <v>0</v>
      </c>
      <c r="O11" s="19">
        <v>0</v>
      </c>
      <c r="P11" s="19">
        <v>0.28279173241459865</v>
      </c>
      <c r="Q11" s="19">
        <v>8.403709330000235E-2</v>
      </c>
      <c r="R11" s="19">
        <v>0.20087077591472927</v>
      </c>
      <c r="S11" s="19">
        <v>2.6088675048042687E-2</v>
      </c>
      <c r="T11" s="20">
        <v>23</v>
      </c>
      <c r="U11" s="17">
        <v>2</v>
      </c>
      <c r="V11" s="17">
        <v>37</v>
      </c>
      <c r="W11" s="44">
        <v>0.5011689612943927</v>
      </c>
      <c r="X11" s="45">
        <v>0.17012421474077791</v>
      </c>
      <c r="Y11" s="46">
        <v>0.3</v>
      </c>
      <c r="Z11" s="47">
        <v>1.2</v>
      </c>
      <c r="AA11" s="48">
        <v>56.371333803309788</v>
      </c>
      <c r="AB11" s="48">
        <v>5</v>
      </c>
      <c r="AC11" s="48">
        <v>0</v>
      </c>
      <c r="AD11" s="48">
        <v>100</v>
      </c>
      <c r="AE11" s="45">
        <v>0</v>
      </c>
      <c r="AF11" s="45">
        <v>0</v>
      </c>
      <c r="AG11" s="45">
        <v>6.5018854791314504E-3</v>
      </c>
      <c r="AH11" s="48">
        <v>4</v>
      </c>
      <c r="AI11" s="45">
        <v>0</v>
      </c>
      <c r="AJ11" s="45">
        <v>0</v>
      </c>
      <c r="AK11" s="45">
        <v>0</v>
      </c>
      <c r="AL11" s="48">
        <v>4</v>
      </c>
      <c r="AM11" s="45">
        <v>0</v>
      </c>
      <c r="AN11" s="45">
        <v>0</v>
      </c>
      <c r="AO11" s="45">
        <v>0</v>
      </c>
      <c r="AP11" s="48">
        <v>4</v>
      </c>
      <c r="AQ11" s="48">
        <v>0</v>
      </c>
      <c r="AR11" s="48">
        <v>0</v>
      </c>
      <c r="AS11" s="48"/>
      <c r="AT11" s="48"/>
      <c r="AU11" s="47">
        <v>25</v>
      </c>
      <c r="AV11" s="47">
        <v>5.5841758955836918</v>
      </c>
      <c r="AW11" s="47">
        <v>3</v>
      </c>
      <c r="AX11" s="48">
        <v>25</v>
      </c>
      <c r="AY11" s="5">
        <f t="shared" si="0"/>
        <v>2.1000000000000001E-2</v>
      </c>
      <c r="AZ11" s="5">
        <f t="shared" si="1"/>
        <v>0.191</v>
      </c>
      <c r="BA11" s="5">
        <f t="shared" si="2"/>
        <v>0.75700000000000001</v>
      </c>
      <c r="BB11" s="3">
        <v>4</v>
      </c>
      <c r="BC11" s="7">
        <v>3.5249999999999999</v>
      </c>
      <c r="BD11" s="4">
        <v>19.27</v>
      </c>
      <c r="BE11" s="4"/>
      <c r="BF11" s="4"/>
      <c r="BG11" s="4">
        <f t="shared" si="3"/>
        <v>41.8</v>
      </c>
      <c r="BH11" s="4">
        <f t="shared" si="4"/>
        <v>10.3</v>
      </c>
      <c r="BI11" s="4">
        <v>0</v>
      </c>
      <c r="BJ11" s="4">
        <v>100</v>
      </c>
      <c r="BK11" s="4">
        <f t="shared" si="5"/>
        <v>0.23785658968028386</v>
      </c>
      <c r="BL11" s="4">
        <f t="shared" si="6"/>
        <v>1.1892829484014193</v>
      </c>
      <c r="BM11" s="4">
        <f t="shared" si="7"/>
        <v>3.5678488452042578</v>
      </c>
      <c r="BN11" s="3">
        <v>4</v>
      </c>
      <c r="BO11" s="6">
        <v>0</v>
      </c>
      <c r="BP11" s="6">
        <v>8.6</v>
      </c>
      <c r="BQ11" s="6">
        <v>80.2</v>
      </c>
      <c r="BR11" s="6">
        <v>4</v>
      </c>
      <c r="BS11" s="7">
        <v>6.0000000000000001E-3</v>
      </c>
      <c r="BT11" s="7">
        <v>0.04</v>
      </c>
      <c r="BU11" s="7">
        <v>0.45</v>
      </c>
      <c r="BV11" s="3">
        <v>4</v>
      </c>
      <c r="BW11" s="6">
        <f t="shared" si="8"/>
        <v>3.0257730452496392</v>
      </c>
      <c r="BX11" s="6">
        <f t="shared" si="9"/>
        <v>84.575601382294892</v>
      </c>
      <c r="BY11" s="6"/>
      <c r="BZ11" s="6"/>
      <c r="CA11" s="6">
        <v>13.8</v>
      </c>
      <c r="CB11" s="6">
        <v>17.7</v>
      </c>
      <c r="CC11" s="6">
        <v>20.399999999999999</v>
      </c>
      <c r="CD11" s="3">
        <v>4</v>
      </c>
      <c r="CE11" s="3">
        <v>40</v>
      </c>
      <c r="CF11" s="3">
        <v>50</v>
      </c>
      <c r="CG11" s="3">
        <v>60</v>
      </c>
      <c r="CH11" s="3">
        <v>4</v>
      </c>
      <c r="CI11" s="6">
        <f t="shared" si="10"/>
        <v>2.2999999999999998</v>
      </c>
      <c r="CJ11" s="6">
        <f t="shared" si="11"/>
        <v>30</v>
      </c>
      <c r="CK11" s="6">
        <f t="shared" si="12"/>
        <v>60</v>
      </c>
      <c r="CL11" s="6">
        <v>4</v>
      </c>
      <c r="CM11" s="6">
        <v>4.3</v>
      </c>
      <c r="CN11" s="6">
        <v>8.5</v>
      </c>
      <c r="CO11" s="6">
        <v>12.8</v>
      </c>
      <c r="CP11" s="3">
        <v>4</v>
      </c>
      <c r="CQ11" s="3">
        <v>69.099999999999994</v>
      </c>
      <c r="CR11" s="6">
        <v>72.900000000000006</v>
      </c>
      <c r="CS11" s="3">
        <v>76</v>
      </c>
      <c r="CT11" s="3">
        <v>4</v>
      </c>
      <c r="CU11" s="3">
        <v>5</v>
      </c>
      <c r="CV11" s="3">
        <v>10</v>
      </c>
      <c r="CW11" s="3">
        <v>15</v>
      </c>
      <c r="CX11" s="3">
        <v>4</v>
      </c>
      <c r="CY11" s="3">
        <v>11</v>
      </c>
      <c r="CZ11" s="3">
        <v>95</v>
      </c>
      <c r="DA11" s="3"/>
      <c r="DB11" s="3"/>
      <c r="DC11" s="4">
        <v>15.07</v>
      </c>
      <c r="DD11" s="4">
        <v>18.84</v>
      </c>
      <c r="DE11" s="4">
        <v>22.61</v>
      </c>
      <c r="DF11" s="3">
        <v>4</v>
      </c>
      <c r="DG11" s="4">
        <v>11.92</v>
      </c>
      <c r="DH11" s="4">
        <v>14.9</v>
      </c>
      <c r="DI11" s="4">
        <v>17.88</v>
      </c>
      <c r="DJ11" s="3">
        <v>4</v>
      </c>
      <c r="DK11" s="4">
        <v>32.590000000000003</v>
      </c>
      <c r="DL11" s="4">
        <v>40.74</v>
      </c>
      <c r="DM11" s="4">
        <v>48.89</v>
      </c>
      <c r="DN11" s="3">
        <v>4</v>
      </c>
      <c r="DO11" s="4">
        <v>46.46</v>
      </c>
      <c r="DP11" s="4">
        <v>58.08</v>
      </c>
      <c r="DQ11" s="4">
        <v>69.7</v>
      </c>
      <c r="DR11" s="3">
        <v>4</v>
      </c>
    </row>
    <row r="12" spans="1:122" ht="12.95" customHeight="1" x14ac:dyDescent="0.2">
      <c r="A12" t="s">
        <v>864</v>
      </c>
      <c r="B12" t="s">
        <v>855</v>
      </c>
      <c r="C12" t="s">
        <v>841</v>
      </c>
      <c r="D12" t="s">
        <v>843</v>
      </c>
      <c r="E12" s="10" t="s">
        <v>852</v>
      </c>
      <c r="F12" s="10"/>
      <c r="G12" s="10"/>
      <c r="H12" s="10" t="s">
        <v>852</v>
      </c>
      <c r="I12" s="14">
        <v>192349.75666004792</v>
      </c>
      <c r="J12" s="19">
        <v>0.28420725638417982</v>
      </c>
      <c r="K12" s="19">
        <v>0.54309041449604079</v>
      </c>
      <c r="L12" s="19">
        <v>0.17270232911977931</v>
      </c>
      <c r="M12" s="20">
        <v>2</v>
      </c>
      <c r="N12" s="19">
        <v>4.65470673443725E-2</v>
      </c>
      <c r="O12" s="19">
        <v>0.11678239852444398</v>
      </c>
      <c r="P12" s="19">
        <v>0.37976094862722443</v>
      </c>
      <c r="Q12" s="19">
        <v>6.3424004061454486E-2</v>
      </c>
      <c r="R12" s="19">
        <v>9.9589735151777381E-2</v>
      </c>
      <c r="S12" s="19">
        <v>9.6885899065474283E-3</v>
      </c>
      <c r="T12" s="20">
        <v>22</v>
      </c>
      <c r="U12" s="17">
        <v>2</v>
      </c>
      <c r="V12" s="17">
        <v>37</v>
      </c>
      <c r="W12" s="44">
        <v>0.53393327547089375</v>
      </c>
      <c r="X12" s="45">
        <v>0.17012421474077791</v>
      </c>
      <c r="Y12" s="46">
        <v>0.3</v>
      </c>
      <c r="Z12" s="47">
        <v>1.2</v>
      </c>
      <c r="AA12" s="48">
        <v>58.366807410561904</v>
      </c>
      <c r="AB12" s="48">
        <v>15</v>
      </c>
      <c r="AC12" s="48">
        <v>0</v>
      </c>
      <c r="AD12" s="48">
        <v>100</v>
      </c>
      <c r="AE12" s="45">
        <v>0</v>
      </c>
      <c r="AF12" s="45">
        <v>0</v>
      </c>
      <c r="AG12" s="45">
        <v>6.5018854791314504E-3</v>
      </c>
      <c r="AH12" s="48">
        <v>4</v>
      </c>
      <c r="AI12" s="45">
        <v>0</v>
      </c>
      <c r="AJ12" s="45">
        <v>0</v>
      </c>
      <c r="AK12" s="45">
        <v>0</v>
      </c>
      <c r="AL12" s="48">
        <v>4</v>
      </c>
      <c r="AM12" s="45">
        <v>0</v>
      </c>
      <c r="AN12" s="45">
        <v>0</v>
      </c>
      <c r="AO12" s="45">
        <v>0</v>
      </c>
      <c r="AP12" s="48">
        <v>4</v>
      </c>
      <c r="AQ12" s="48">
        <v>0</v>
      </c>
      <c r="AR12" s="48">
        <v>0</v>
      </c>
      <c r="AS12" s="48"/>
      <c r="AT12" s="48"/>
      <c r="AU12" s="47">
        <v>12.396812113966925</v>
      </c>
      <c r="AV12" s="47">
        <v>5.5841758955836918</v>
      </c>
      <c r="AW12" s="47">
        <v>3</v>
      </c>
      <c r="AX12" s="48">
        <v>25</v>
      </c>
      <c r="AY12" s="5">
        <f t="shared" si="0"/>
        <v>2.1000000000000001E-2</v>
      </c>
      <c r="AZ12" s="5">
        <f t="shared" si="1"/>
        <v>0.191</v>
      </c>
      <c r="BA12" s="5">
        <f t="shared" si="2"/>
        <v>0.75700000000000001</v>
      </c>
      <c r="BB12" s="3">
        <v>4</v>
      </c>
      <c r="BC12" s="7">
        <v>3.5249999999999999</v>
      </c>
      <c r="BD12" s="4">
        <v>19.27</v>
      </c>
      <c r="BE12" s="4"/>
      <c r="BF12" s="4"/>
      <c r="BG12" s="4">
        <f t="shared" si="3"/>
        <v>41.8</v>
      </c>
      <c r="BH12" s="4">
        <f t="shared" si="4"/>
        <v>10.3</v>
      </c>
      <c r="BI12" s="4">
        <v>0</v>
      </c>
      <c r="BJ12" s="4">
        <v>100</v>
      </c>
      <c r="BK12" s="4">
        <f t="shared" si="5"/>
        <v>0.23785658968028386</v>
      </c>
      <c r="BL12" s="4">
        <f t="shared" si="6"/>
        <v>1.1892829484014193</v>
      </c>
      <c r="BM12" s="4">
        <f t="shared" si="7"/>
        <v>3.5678488452042578</v>
      </c>
      <c r="BN12" s="3">
        <v>4</v>
      </c>
      <c r="BO12" s="6">
        <v>0</v>
      </c>
      <c r="BP12" s="6">
        <v>8.6</v>
      </c>
      <c r="BQ12" s="6">
        <v>80.2</v>
      </c>
      <c r="BR12" s="6">
        <v>4</v>
      </c>
      <c r="BS12" s="7">
        <v>6.0000000000000001E-3</v>
      </c>
      <c r="BT12" s="7">
        <v>0.04</v>
      </c>
      <c r="BU12" s="7">
        <v>0.45</v>
      </c>
      <c r="BV12" s="3">
        <v>4</v>
      </c>
      <c r="BW12" s="6">
        <f t="shared" si="8"/>
        <v>1.9470781671342787</v>
      </c>
      <c r="BX12" s="6">
        <f t="shared" si="9"/>
        <v>84.630919068352085</v>
      </c>
      <c r="BY12" s="6"/>
      <c r="BZ12" s="6"/>
      <c r="CA12" s="6">
        <v>13.8</v>
      </c>
      <c r="CB12" s="6">
        <v>17.7</v>
      </c>
      <c r="CC12" s="6">
        <v>20.399999999999999</v>
      </c>
      <c r="CD12" s="3">
        <v>4</v>
      </c>
      <c r="CE12" s="3">
        <v>40</v>
      </c>
      <c r="CF12" s="3">
        <v>50</v>
      </c>
      <c r="CG12" s="3">
        <v>60</v>
      </c>
      <c r="CH12" s="3">
        <v>4</v>
      </c>
      <c r="CI12" s="6">
        <f t="shared" si="10"/>
        <v>2.2999999999999998</v>
      </c>
      <c r="CJ12" s="6">
        <f t="shared" si="11"/>
        <v>30</v>
      </c>
      <c r="CK12" s="6">
        <f t="shared" si="12"/>
        <v>60</v>
      </c>
      <c r="CL12" s="6">
        <v>4</v>
      </c>
      <c r="CM12" s="6">
        <v>4.3</v>
      </c>
      <c r="CN12" s="6">
        <v>8.5</v>
      </c>
      <c r="CO12" s="6">
        <v>12.8</v>
      </c>
      <c r="CP12" s="3">
        <v>4</v>
      </c>
      <c r="CQ12" s="3">
        <v>69.099999999999994</v>
      </c>
      <c r="CR12" s="6">
        <v>72.900000000000006</v>
      </c>
      <c r="CS12" s="3">
        <v>76</v>
      </c>
      <c r="CT12" s="3">
        <v>4</v>
      </c>
      <c r="CU12" s="3">
        <v>5</v>
      </c>
      <c r="CV12" s="3">
        <v>10</v>
      </c>
      <c r="CW12" s="3">
        <v>15</v>
      </c>
      <c r="CX12" s="3">
        <v>4</v>
      </c>
      <c r="CY12" s="3">
        <v>11</v>
      </c>
      <c r="CZ12" s="3">
        <v>95</v>
      </c>
      <c r="DA12" s="3"/>
      <c r="DB12" s="3"/>
      <c r="DC12" s="4">
        <v>15.07</v>
      </c>
      <c r="DD12" s="4">
        <v>18.84</v>
      </c>
      <c r="DE12" s="4">
        <v>22.61</v>
      </c>
      <c r="DF12" s="3">
        <v>4</v>
      </c>
      <c r="DG12" s="4">
        <v>11.92</v>
      </c>
      <c r="DH12" s="4">
        <v>14.9</v>
      </c>
      <c r="DI12" s="4">
        <v>17.88</v>
      </c>
      <c r="DJ12" s="3">
        <v>4</v>
      </c>
      <c r="DK12" s="4">
        <v>32.590000000000003</v>
      </c>
      <c r="DL12" s="4">
        <v>40.74</v>
      </c>
      <c r="DM12" s="4">
        <v>48.89</v>
      </c>
      <c r="DN12" s="3">
        <v>4</v>
      </c>
      <c r="DO12" s="4">
        <v>46.46</v>
      </c>
      <c r="DP12" s="4">
        <v>58.08</v>
      </c>
      <c r="DQ12" s="4">
        <v>69.7</v>
      </c>
      <c r="DR12" s="3">
        <v>4</v>
      </c>
    </row>
    <row r="13" spans="1:122" ht="12.95" customHeight="1" x14ac:dyDescent="0.2">
      <c r="A13" t="s">
        <v>865</v>
      </c>
      <c r="B13" t="s">
        <v>855</v>
      </c>
      <c r="C13" t="s">
        <v>841</v>
      </c>
      <c r="D13" t="s">
        <v>843</v>
      </c>
      <c r="E13" s="10" t="s">
        <v>853</v>
      </c>
      <c r="F13" s="10"/>
      <c r="G13" s="10"/>
      <c r="H13" s="10" t="s">
        <v>853</v>
      </c>
      <c r="I13" s="14">
        <v>332923.99972722493</v>
      </c>
      <c r="J13" s="19">
        <v>0</v>
      </c>
      <c r="K13" s="19">
        <v>0.667472197797222</v>
      </c>
      <c r="L13" s="19">
        <v>0.33252780220277794</v>
      </c>
      <c r="M13" s="20">
        <v>2</v>
      </c>
      <c r="N13" s="19">
        <v>0.18898562725395915</v>
      </c>
      <c r="O13" s="19">
        <v>0</v>
      </c>
      <c r="P13" s="19">
        <v>0.47848657054326288</v>
      </c>
      <c r="Q13" s="19">
        <v>7.0395157899015431E-2</v>
      </c>
      <c r="R13" s="19">
        <v>0.23556053707589442</v>
      </c>
      <c r="S13" s="19">
        <v>2.6572107227868094E-2</v>
      </c>
      <c r="T13" s="20">
        <v>23</v>
      </c>
      <c r="U13" s="17">
        <v>2</v>
      </c>
      <c r="V13" s="17">
        <v>37</v>
      </c>
      <c r="W13" s="44">
        <v>0.53393327547089364</v>
      </c>
      <c r="X13" s="45">
        <v>0.17012421474077791</v>
      </c>
      <c r="Y13" s="46">
        <v>0.3</v>
      </c>
      <c r="Z13" s="47">
        <v>1.2</v>
      </c>
      <c r="AA13" s="48">
        <v>58.366807410561904</v>
      </c>
      <c r="AB13" s="48">
        <v>15</v>
      </c>
      <c r="AC13" s="48">
        <v>0</v>
      </c>
      <c r="AD13" s="48">
        <v>100</v>
      </c>
      <c r="AE13" s="45">
        <v>0</v>
      </c>
      <c r="AF13" s="45">
        <v>0</v>
      </c>
      <c r="AG13" s="45">
        <v>6.5018854791314504E-3</v>
      </c>
      <c r="AH13" s="48">
        <v>4</v>
      </c>
      <c r="AI13" s="45">
        <v>0</v>
      </c>
      <c r="AJ13" s="45">
        <v>0</v>
      </c>
      <c r="AK13" s="45">
        <v>0</v>
      </c>
      <c r="AL13" s="48">
        <v>4</v>
      </c>
      <c r="AM13" s="45">
        <v>0</v>
      </c>
      <c r="AN13" s="45">
        <v>0</v>
      </c>
      <c r="AO13" s="45">
        <v>0</v>
      </c>
      <c r="AP13" s="48">
        <v>4</v>
      </c>
      <c r="AQ13" s="48">
        <v>0</v>
      </c>
      <c r="AR13" s="48">
        <v>0</v>
      </c>
      <c r="AS13" s="48"/>
      <c r="AT13" s="48"/>
      <c r="AU13" s="47">
        <v>12.396812113966925</v>
      </c>
      <c r="AV13" s="47">
        <v>5.5841758955836918</v>
      </c>
      <c r="AW13" s="47">
        <v>3</v>
      </c>
      <c r="AX13" s="48">
        <v>25</v>
      </c>
      <c r="AY13" s="5">
        <f t="shared" si="0"/>
        <v>2.1000000000000001E-2</v>
      </c>
      <c r="AZ13" s="5">
        <f t="shared" si="1"/>
        <v>0.191</v>
      </c>
      <c r="BA13" s="5">
        <f t="shared" si="2"/>
        <v>0.75700000000000001</v>
      </c>
      <c r="BB13" s="3">
        <v>4</v>
      </c>
      <c r="BC13" s="7">
        <v>3.5249999999999999</v>
      </c>
      <c r="BD13" s="4">
        <v>19.27</v>
      </c>
      <c r="BE13" s="4"/>
      <c r="BF13" s="4"/>
      <c r="BG13" s="4">
        <f t="shared" si="3"/>
        <v>41.8</v>
      </c>
      <c r="BH13" s="4">
        <f t="shared" si="4"/>
        <v>10.3</v>
      </c>
      <c r="BI13" s="4">
        <v>0</v>
      </c>
      <c r="BJ13" s="4">
        <v>100</v>
      </c>
      <c r="BK13" s="4">
        <f t="shared" si="5"/>
        <v>0.23785658968028386</v>
      </c>
      <c r="BL13" s="4">
        <f t="shared" si="6"/>
        <v>1.1892829484014193</v>
      </c>
      <c r="BM13" s="4">
        <f t="shared" si="7"/>
        <v>3.5678488452042578</v>
      </c>
      <c r="BN13" s="3">
        <v>4</v>
      </c>
      <c r="BO13" s="6">
        <v>0</v>
      </c>
      <c r="BP13" s="6">
        <v>8.6</v>
      </c>
      <c r="BQ13" s="6">
        <v>80.2</v>
      </c>
      <c r="BR13" s="6">
        <v>4</v>
      </c>
      <c r="BS13" s="7">
        <v>6.0000000000000001E-3</v>
      </c>
      <c r="BT13" s="7">
        <v>0.04</v>
      </c>
      <c r="BU13" s="7">
        <v>0.45</v>
      </c>
      <c r="BV13" s="3">
        <v>4</v>
      </c>
      <c r="BW13" s="6">
        <f t="shared" si="8"/>
        <v>3.1937168571816681</v>
      </c>
      <c r="BX13" s="6">
        <f t="shared" si="9"/>
        <v>84.566988879118881</v>
      </c>
      <c r="BY13" s="6"/>
      <c r="BZ13" s="6"/>
      <c r="CA13" s="6">
        <v>13.8</v>
      </c>
      <c r="CB13" s="6">
        <v>17.7</v>
      </c>
      <c r="CC13" s="6">
        <v>20.399999999999999</v>
      </c>
      <c r="CD13" s="3">
        <v>4</v>
      </c>
      <c r="CE13" s="3">
        <v>40</v>
      </c>
      <c r="CF13" s="3">
        <v>50</v>
      </c>
      <c r="CG13" s="3">
        <v>60</v>
      </c>
      <c r="CH13" s="3">
        <v>4</v>
      </c>
      <c r="CI13" s="6">
        <f t="shared" si="10"/>
        <v>2.2999999999999998</v>
      </c>
      <c r="CJ13" s="6">
        <f t="shared" si="11"/>
        <v>30</v>
      </c>
      <c r="CK13" s="6">
        <f t="shared" si="12"/>
        <v>60</v>
      </c>
      <c r="CL13" s="6">
        <v>4</v>
      </c>
      <c r="CM13" s="6">
        <v>4.3</v>
      </c>
      <c r="CN13" s="6">
        <v>8.5</v>
      </c>
      <c r="CO13" s="6">
        <v>12.8</v>
      </c>
      <c r="CP13" s="3">
        <v>4</v>
      </c>
      <c r="CQ13" s="3">
        <v>69.099999999999994</v>
      </c>
      <c r="CR13" s="6">
        <v>72.900000000000006</v>
      </c>
      <c r="CS13" s="3">
        <v>76</v>
      </c>
      <c r="CT13" s="3">
        <v>4</v>
      </c>
      <c r="CU13" s="3">
        <v>5</v>
      </c>
      <c r="CV13" s="3">
        <v>10</v>
      </c>
      <c r="CW13" s="3">
        <v>15</v>
      </c>
      <c r="CX13" s="3">
        <v>4</v>
      </c>
      <c r="CY13" s="3">
        <v>11</v>
      </c>
      <c r="CZ13" s="3">
        <v>95</v>
      </c>
      <c r="DA13" s="3"/>
      <c r="DB13" s="3"/>
      <c r="DC13" s="4">
        <v>15.07</v>
      </c>
      <c r="DD13" s="4">
        <v>18.84</v>
      </c>
      <c r="DE13" s="4">
        <v>22.61</v>
      </c>
      <c r="DF13" s="3">
        <v>4</v>
      </c>
      <c r="DG13" s="4">
        <v>11.92</v>
      </c>
      <c r="DH13" s="4">
        <v>14.9</v>
      </c>
      <c r="DI13" s="4">
        <v>17.88</v>
      </c>
      <c r="DJ13" s="3">
        <v>4</v>
      </c>
      <c r="DK13" s="4">
        <v>32.590000000000003</v>
      </c>
      <c r="DL13" s="4">
        <v>40.74</v>
      </c>
      <c r="DM13" s="4">
        <v>48.89</v>
      </c>
      <c r="DN13" s="3">
        <v>4</v>
      </c>
      <c r="DO13" s="4">
        <v>46.46</v>
      </c>
      <c r="DP13" s="4">
        <v>58.08</v>
      </c>
      <c r="DQ13" s="4">
        <v>69.7</v>
      </c>
      <c r="DR13" s="3">
        <v>4</v>
      </c>
    </row>
    <row r="14" spans="1:122" ht="12.95" customHeight="1" x14ac:dyDescent="0.2">
      <c r="A14" t="s">
        <v>865</v>
      </c>
      <c r="B14" t="s">
        <v>855</v>
      </c>
      <c r="C14" t="s">
        <v>841</v>
      </c>
      <c r="D14" t="s">
        <v>843</v>
      </c>
      <c r="E14" s="10" t="s">
        <v>854</v>
      </c>
      <c r="F14" s="10"/>
      <c r="G14" s="10"/>
      <c r="H14" s="10" t="s">
        <v>854</v>
      </c>
      <c r="I14" s="14">
        <v>558736.50899797957</v>
      </c>
      <c r="J14" s="19">
        <v>7.3981977272580532E-2</v>
      </c>
      <c r="K14" s="19">
        <v>0.7246514176024127</v>
      </c>
      <c r="L14" s="19">
        <v>0.20136660512500679</v>
      </c>
      <c r="M14" s="20">
        <v>2</v>
      </c>
      <c r="N14" s="19">
        <v>0.2222845178515232</v>
      </c>
      <c r="O14" s="19">
        <v>1.1855692763956566E-2</v>
      </c>
      <c r="P14" s="19">
        <v>0.4905112069869329</v>
      </c>
      <c r="Q14" s="19">
        <v>3.4554468943013047E-2</v>
      </c>
      <c r="R14" s="19">
        <v>0.15300895306819159</v>
      </c>
      <c r="S14" s="19">
        <v>1.3803183113802155E-2</v>
      </c>
      <c r="T14" s="20">
        <v>23</v>
      </c>
      <c r="U14" s="17">
        <v>2</v>
      </c>
      <c r="V14" s="17">
        <v>37</v>
      </c>
      <c r="W14" s="44">
        <v>0.53393327547089364</v>
      </c>
      <c r="X14" s="45">
        <v>0.17012421474077791</v>
      </c>
      <c r="Y14" s="46">
        <v>0.3</v>
      </c>
      <c r="Z14" s="47">
        <v>1.2</v>
      </c>
      <c r="AA14" s="48">
        <v>58.366807410561918</v>
      </c>
      <c r="AB14" s="48">
        <v>15</v>
      </c>
      <c r="AC14" s="48">
        <v>0</v>
      </c>
      <c r="AD14" s="48">
        <v>100</v>
      </c>
      <c r="AE14" s="45">
        <v>0</v>
      </c>
      <c r="AF14" s="45">
        <v>0</v>
      </c>
      <c r="AG14" s="45">
        <v>6.5018854791314504E-3</v>
      </c>
      <c r="AH14" s="48">
        <v>4</v>
      </c>
      <c r="AI14" s="45">
        <v>0</v>
      </c>
      <c r="AJ14" s="45">
        <v>0</v>
      </c>
      <c r="AK14" s="45">
        <v>0</v>
      </c>
      <c r="AL14" s="48">
        <v>4</v>
      </c>
      <c r="AM14" s="45">
        <v>0</v>
      </c>
      <c r="AN14" s="45">
        <v>0</v>
      </c>
      <c r="AO14" s="45">
        <v>0</v>
      </c>
      <c r="AP14" s="48">
        <v>4</v>
      </c>
      <c r="AQ14" s="48">
        <v>0</v>
      </c>
      <c r="AR14" s="48">
        <v>0</v>
      </c>
      <c r="AS14" s="48"/>
      <c r="AT14" s="48"/>
      <c r="AU14" s="47">
        <v>12.396812113966901</v>
      </c>
      <c r="AV14" s="47">
        <v>5.58417589558369</v>
      </c>
      <c r="AW14" s="47">
        <v>3</v>
      </c>
      <c r="AX14" s="48">
        <v>25</v>
      </c>
      <c r="AY14" s="5">
        <f t="shared" si="0"/>
        <v>2.1000000000000001E-2</v>
      </c>
      <c r="AZ14" s="5">
        <f t="shared" si="1"/>
        <v>0.191</v>
      </c>
      <c r="BA14" s="5">
        <f t="shared" si="2"/>
        <v>0.75700000000000001</v>
      </c>
      <c r="BB14" s="3">
        <v>4</v>
      </c>
      <c r="BC14" s="7">
        <v>3.5249999999999999</v>
      </c>
      <c r="BD14" s="4">
        <v>19.27</v>
      </c>
      <c r="BE14" s="4"/>
      <c r="BF14" s="4"/>
      <c r="BG14" s="4">
        <f t="shared" si="3"/>
        <v>41.8</v>
      </c>
      <c r="BH14" s="4">
        <f t="shared" si="4"/>
        <v>10.3</v>
      </c>
      <c r="BI14" s="4">
        <v>0</v>
      </c>
      <c r="BJ14" s="4">
        <v>100</v>
      </c>
      <c r="BK14" s="4">
        <f t="shared" si="5"/>
        <v>0.23785658968028386</v>
      </c>
      <c r="BL14" s="4">
        <f t="shared" si="6"/>
        <v>1.1892829484014193</v>
      </c>
      <c r="BM14" s="4">
        <f t="shared" si="7"/>
        <v>3.5678488452042578</v>
      </c>
      <c r="BN14" s="3">
        <v>4</v>
      </c>
      <c r="BO14" s="6">
        <v>0</v>
      </c>
      <c r="BP14" s="6">
        <v>8.6</v>
      </c>
      <c r="BQ14" s="6">
        <v>80.2</v>
      </c>
      <c r="BR14" s="6">
        <v>4</v>
      </c>
      <c r="BS14" s="7">
        <v>6.0000000000000001E-3</v>
      </c>
      <c r="BT14" s="7">
        <v>0.04</v>
      </c>
      <c r="BU14" s="7">
        <v>0.45</v>
      </c>
      <c r="BV14" s="3">
        <v>4</v>
      </c>
      <c r="BW14" s="6">
        <f t="shared" si="8"/>
        <v>2.1706595199750529</v>
      </c>
      <c r="BX14" s="6">
        <f t="shared" si="9"/>
        <v>84.619453357949993</v>
      </c>
      <c r="BY14" s="6"/>
      <c r="BZ14" s="6"/>
      <c r="CA14" s="6">
        <v>13.8</v>
      </c>
      <c r="CB14" s="6">
        <v>17.7</v>
      </c>
      <c r="CC14" s="6">
        <v>20.399999999999999</v>
      </c>
      <c r="CD14" s="3">
        <v>4</v>
      </c>
      <c r="CE14" s="3">
        <v>40</v>
      </c>
      <c r="CF14" s="3">
        <v>50</v>
      </c>
      <c r="CG14" s="3">
        <v>60</v>
      </c>
      <c r="CH14" s="3">
        <v>4</v>
      </c>
      <c r="CI14" s="6">
        <f t="shared" si="10"/>
        <v>2.2999999999999998</v>
      </c>
      <c r="CJ14" s="6">
        <f t="shared" si="11"/>
        <v>30</v>
      </c>
      <c r="CK14" s="6">
        <f t="shared" si="12"/>
        <v>60</v>
      </c>
      <c r="CL14" s="6">
        <v>4</v>
      </c>
      <c r="CM14" s="6">
        <v>4.3</v>
      </c>
      <c r="CN14" s="6">
        <v>8.5</v>
      </c>
      <c r="CO14" s="6">
        <v>12.8</v>
      </c>
      <c r="CP14" s="3">
        <v>4</v>
      </c>
      <c r="CQ14" s="3">
        <v>69.099999999999994</v>
      </c>
      <c r="CR14" s="6">
        <v>72.900000000000006</v>
      </c>
      <c r="CS14" s="3">
        <v>76</v>
      </c>
      <c r="CT14" s="3">
        <v>4</v>
      </c>
      <c r="CU14" s="3">
        <v>5</v>
      </c>
      <c r="CV14" s="3">
        <v>10</v>
      </c>
      <c r="CW14" s="3">
        <v>15</v>
      </c>
      <c r="CX14" s="3">
        <v>4</v>
      </c>
      <c r="CY14" s="3">
        <v>11</v>
      </c>
      <c r="CZ14" s="3">
        <v>95</v>
      </c>
      <c r="DA14" s="3"/>
      <c r="DB14" s="3"/>
      <c r="DC14" s="4">
        <v>15.07</v>
      </c>
      <c r="DD14" s="4">
        <v>18.84</v>
      </c>
      <c r="DE14" s="4">
        <v>22.61</v>
      </c>
      <c r="DF14" s="3">
        <v>4</v>
      </c>
      <c r="DG14" s="4">
        <v>11.92</v>
      </c>
      <c r="DH14" s="4">
        <v>14.9</v>
      </c>
      <c r="DI14" s="4">
        <v>17.88</v>
      </c>
      <c r="DJ14" s="3">
        <v>4</v>
      </c>
      <c r="DK14" s="4">
        <v>32.590000000000003</v>
      </c>
      <c r="DL14" s="4">
        <v>40.74</v>
      </c>
      <c r="DM14" s="4">
        <v>48.89</v>
      </c>
      <c r="DN14" s="3">
        <v>4</v>
      </c>
      <c r="DO14" s="4">
        <v>46.46</v>
      </c>
      <c r="DP14" s="4">
        <v>58.08</v>
      </c>
      <c r="DQ14" s="4">
        <v>69.7</v>
      </c>
      <c r="DR14" s="3">
        <v>4</v>
      </c>
    </row>
  </sheetData>
  <autoFilter ref="A3:DR14" xr:uid="{00000000-0009-0000-0000-000002000000}"/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J26"/>
  <sheetViews>
    <sheetView zoomScaleNormal="100" workbookViewId="0">
      <selection activeCell="I7" sqref="I7"/>
    </sheetView>
  </sheetViews>
  <sheetFormatPr defaultRowHeight="12.75" x14ac:dyDescent="0.2"/>
  <cols>
    <col min="1" max="1" width="12.85546875" bestFit="1" customWidth="1"/>
    <col min="2" max="2" width="27.5703125" bestFit="1" customWidth="1"/>
    <col min="3" max="3" width="54.140625" bestFit="1" customWidth="1"/>
    <col min="4" max="4" width="50" bestFit="1" customWidth="1"/>
    <col min="5" max="5" width="10.28515625" bestFit="1" customWidth="1"/>
    <col min="6" max="6" width="14.5703125" bestFit="1" customWidth="1"/>
    <col min="7" max="10" width="12.140625" bestFit="1" customWidth="1"/>
  </cols>
  <sheetData>
    <row r="1" spans="1:10" x14ac:dyDescent="0.2">
      <c r="A1" s="1" t="s">
        <v>28</v>
      </c>
      <c r="B1" s="1" t="s">
        <v>29</v>
      </c>
      <c r="C1" s="1" t="s">
        <v>30</v>
      </c>
      <c r="D1" s="1" t="s">
        <v>32</v>
      </c>
      <c r="E1" s="1" t="s">
        <v>0</v>
      </c>
      <c r="F1" s="1" t="s">
        <v>1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797</v>
      </c>
      <c r="B2" s="2" t="s">
        <v>299</v>
      </c>
      <c r="C2" s="2" t="s">
        <v>300</v>
      </c>
      <c r="D2" s="2" t="s">
        <v>33</v>
      </c>
      <c r="E2" t="s">
        <v>14</v>
      </c>
      <c r="F2">
        <f>COUNTA(G2:J2)-COUNTBLANK(G2:J2)</f>
        <v>4</v>
      </c>
      <c r="G2" t="str">
        <f>IF($E2="Beta-PERT","Min",IF($E2="Triangular","Min",IF($E2="Normal","Mean",IF($E2="Uniform","Min","NA"))))</f>
        <v>Mean</v>
      </c>
      <c r="H2" t="str">
        <f>IF($E2="Beta-PERT","Mode",IF($E2="Triangular","Mode",IF($E2="Normal","St. Dev",IF($E2="Uniform","Max","NA"))))</f>
        <v>St. Dev</v>
      </c>
      <c r="I2" t="str">
        <f>IF($E2="Beta-PERT","Max",IF($E2="Triangular","Max",IF($E2="Normal","Lower bound","NA")))</f>
        <v>Lower bound</v>
      </c>
      <c r="J2" t="str">
        <f>IF($E2="Beta-PERT","Shape",IF($E2="Triangular","",IF($E2="Normal","Upper bound","NA")))</f>
        <v>Upper bound</v>
      </c>
    </row>
    <row r="3" spans="1:10" x14ac:dyDescent="0.2">
      <c r="A3" s="2" t="s">
        <v>301</v>
      </c>
      <c r="B3" s="2" t="s">
        <v>302</v>
      </c>
      <c r="C3" s="2" t="s">
        <v>303</v>
      </c>
      <c r="D3" s="2" t="s">
        <v>307</v>
      </c>
      <c r="E3" t="s">
        <v>14</v>
      </c>
      <c r="F3">
        <f t="shared" ref="F3:F8" si="0">COUNTA(G3:J3)-COUNTBLANK(G3:J3)</f>
        <v>4</v>
      </c>
      <c r="G3" t="str">
        <f t="shared" ref="G3:G26" si="1">IF($E3="Beta-PERT","Min",IF($E3="Triangular","Min",IF($E3="Normal","Mean",IF($E3="Uniform","Min","NA"))))</f>
        <v>Mean</v>
      </c>
      <c r="H3" t="str">
        <f t="shared" ref="H3:H26" si="2">IF($E3="Beta-PERT","Mode",IF($E3="Triangular","Mode",IF($E3="Normal","St. Dev",IF($E3="Uniform","Max","NA"))))</f>
        <v>St. Dev</v>
      </c>
      <c r="I3" t="str">
        <f t="shared" ref="I3:I26" si="3">IF($E3="Beta-PERT","Max",IF($E3="Triangular","Max",IF($E3="Normal","Lower bound","NA")))</f>
        <v>Lower bound</v>
      </c>
      <c r="J3" t="str">
        <f t="shared" ref="J3:J26" si="4">IF($E3="Beta-PERT","Shape",IF($E3="Triangular","",IF($E3="Normal","Upper bound","NA")))</f>
        <v>Upper bound</v>
      </c>
    </row>
    <row r="4" spans="1:10" x14ac:dyDescent="0.2">
      <c r="A4" s="2" t="s">
        <v>304</v>
      </c>
      <c r="B4" s="2" t="s">
        <v>312</v>
      </c>
      <c r="C4" s="2" t="s">
        <v>308</v>
      </c>
      <c r="D4" s="2" t="s">
        <v>309</v>
      </c>
      <c r="E4" t="s">
        <v>3</v>
      </c>
      <c r="F4">
        <f t="shared" si="0"/>
        <v>4</v>
      </c>
      <c r="G4" t="str">
        <f t="shared" si="1"/>
        <v>Min</v>
      </c>
      <c r="H4" t="str">
        <f t="shared" si="2"/>
        <v>Mode</v>
      </c>
      <c r="I4" t="str">
        <f t="shared" si="3"/>
        <v>Max</v>
      </c>
      <c r="J4" t="str">
        <f t="shared" si="4"/>
        <v>Shape</v>
      </c>
    </row>
    <row r="5" spans="1:10" x14ac:dyDescent="0.2">
      <c r="A5" s="2" t="s">
        <v>305</v>
      </c>
      <c r="B5" s="2" t="s">
        <v>163</v>
      </c>
      <c r="C5" s="2" t="s">
        <v>310</v>
      </c>
      <c r="D5" s="2" t="s">
        <v>309</v>
      </c>
      <c r="E5" t="s">
        <v>3</v>
      </c>
      <c r="F5">
        <f t="shared" si="0"/>
        <v>4</v>
      </c>
      <c r="G5" t="str">
        <f t="shared" si="1"/>
        <v>Min</v>
      </c>
      <c r="H5" t="str">
        <f t="shared" si="2"/>
        <v>Mode</v>
      </c>
      <c r="I5" t="str">
        <f t="shared" si="3"/>
        <v>Max</v>
      </c>
      <c r="J5" t="str">
        <f t="shared" si="4"/>
        <v>Shape</v>
      </c>
    </row>
    <row r="6" spans="1:10" x14ac:dyDescent="0.2">
      <c r="A6" s="2" t="s">
        <v>306</v>
      </c>
      <c r="B6" s="2" t="s">
        <v>164</v>
      </c>
      <c r="C6" s="2" t="s">
        <v>311</v>
      </c>
      <c r="D6" s="2" t="s">
        <v>309</v>
      </c>
      <c r="E6" t="s">
        <v>3</v>
      </c>
      <c r="F6">
        <f t="shared" si="0"/>
        <v>4</v>
      </c>
      <c r="G6" t="str">
        <f t="shared" si="1"/>
        <v>Min</v>
      </c>
      <c r="H6" t="str">
        <f t="shared" si="2"/>
        <v>Mode</v>
      </c>
      <c r="I6" t="str">
        <f t="shared" si="3"/>
        <v>Max</v>
      </c>
      <c r="J6" t="str">
        <f t="shared" si="4"/>
        <v>Shape</v>
      </c>
    </row>
    <row r="7" spans="1:10" x14ac:dyDescent="0.2">
      <c r="A7" s="2" t="s">
        <v>313</v>
      </c>
      <c r="B7" s="2" t="s">
        <v>317</v>
      </c>
      <c r="C7" s="2" t="s">
        <v>188</v>
      </c>
      <c r="D7" s="2" t="s">
        <v>318</v>
      </c>
      <c r="E7" t="s">
        <v>473</v>
      </c>
      <c r="F7">
        <f t="shared" si="0"/>
        <v>4</v>
      </c>
      <c r="G7" t="str">
        <f t="shared" si="1"/>
        <v>Min</v>
      </c>
      <c r="H7" t="str">
        <f t="shared" si="2"/>
        <v>Max</v>
      </c>
      <c r="I7" t="str">
        <f t="shared" si="3"/>
        <v>NA</v>
      </c>
      <c r="J7" t="str">
        <f t="shared" si="4"/>
        <v>NA</v>
      </c>
    </row>
    <row r="8" spans="1:10" x14ac:dyDescent="0.2">
      <c r="A8" s="9" t="s">
        <v>467</v>
      </c>
      <c r="B8" s="2" t="s">
        <v>314</v>
      </c>
      <c r="C8" s="2" t="s">
        <v>315</v>
      </c>
      <c r="D8" s="2" t="s">
        <v>316</v>
      </c>
      <c r="E8" t="s">
        <v>14</v>
      </c>
      <c r="F8">
        <f t="shared" si="0"/>
        <v>4</v>
      </c>
      <c r="G8" t="str">
        <f t="shared" si="1"/>
        <v>Mean</v>
      </c>
      <c r="H8" t="str">
        <f t="shared" si="2"/>
        <v>St. Dev</v>
      </c>
      <c r="I8" t="str">
        <f t="shared" si="3"/>
        <v>Lower bound</v>
      </c>
      <c r="J8" t="str">
        <f t="shared" si="4"/>
        <v>Upper bound</v>
      </c>
    </row>
    <row r="9" spans="1:10" x14ac:dyDescent="0.2">
      <c r="A9" s="2" t="s">
        <v>459</v>
      </c>
      <c r="B9" s="2" t="s">
        <v>461</v>
      </c>
      <c r="C9" s="2" t="s">
        <v>462</v>
      </c>
      <c r="D9" s="2" t="s">
        <v>361</v>
      </c>
      <c r="E9" t="s">
        <v>3</v>
      </c>
      <c r="F9">
        <f>COUNTA(G9:J9)-COUNTBLANK(G9:J9)</f>
        <v>4</v>
      </c>
      <c r="G9" t="str">
        <f t="shared" si="1"/>
        <v>Min</v>
      </c>
      <c r="H9" t="str">
        <f t="shared" si="2"/>
        <v>Mode</v>
      </c>
      <c r="I9" t="str">
        <f t="shared" si="3"/>
        <v>Max</v>
      </c>
      <c r="J9" t="str">
        <f t="shared" si="4"/>
        <v>Shape</v>
      </c>
    </row>
    <row r="10" spans="1:10" x14ac:dyDescent="0.2">
      <c r="A10" s="2" t="s">
        <v>460</v>
      </c>
      <c r="B10" s="2" t="s">
        <v>463</v>
      </c>
      <c r="C10" s="2" t="s">
        <v>464</v>
      </c>
      <c r="D10" s="2" t="s">
        <v>465</v>
      </c>
      <c r="E10" t="s">
        <v>473</v>
      </c>
      <c r="F10">
        <f>COUNTA(G10:J10)-COUNTBLANK(G10:J10)</f>
        <v>4</v>
      </c>
      <c r="G10" t="str">
        <f t="shared" si="1"/>
        <v>Min</v>
      </c>
      <c r="H10" t="str">
        <f t="shared" si="2"/>
        <v>Max</v>
      </c>
      <c r="I10" t="str">
        <f t="shared" si="3"/>
        <v>NA</v>
      </c>
      <c r="J10" t="str">
        <f t="shared" si="4"/>
        <v>NA</v>
      </c>
    </row>
    <row r="11" spans="1:10" x14ac:dyDescent="0.2">
      <c r="A11" s="9" t="s">
        <v>468</v>
      </c>
      <c r="B11" s="2" t="s">
        <v>470</v>
      </c>
      <c r="C11" s="2" t="s">
        <v>469</v>
      </c>
      <c r="D11" s="2" t="s">
        <v>471</v>
      </c>
      <c r="E11" t="s">
        <v>14</v>
      </c>
      <c r="F11">
        <f t="shared" ref="F11:F26" si="5">COUNTA(G11:J11)-COUNTBLANK(G11:J11)</f>
        <v>4</v>
      </c>
      <c r="G11" t="str">
        <f t="shared" si="1"/>
        <v>Mean</v>
      </c>
      <c r="H11" t="str">
        <f t="shared" si="2"/>
        <v>St. Dev</v>
      </c>
      <c r="I11" t="str">
        <f t="shared" si="3"/>
        <v>Lower bound</v>
      </c>
      <c r="J11" t="str">
        <f t="shared" si="4"/>
        <v>Upper bound</v>
      </c>
    </row>
    <row r="12" spans="1:10" x14ac:dyDescent="0.2">
      <c r="A12" s="9" t="s">
        <v>510</v>
      </c>
      <c r="B12" s="2" t="s">
        <v>511</v>
      </c>
      <c r="C12" s="2" t="s">
        <v>512</v>
      </c>
      <c r="D12" s="2" t="s">
        <v>36</v>
      </c>
      <c r="E12" t="s">
        <v>3</v>
      </c>
      <c r="F12">
        <f t="shared" si="5"/>
        <v>4</v>
      </c>
      <c r="G12" t="str">
        <f t="shared" si="1"/>
        <v>Min</v>
      </c>
      <c r="H12" t="str">
        <f t="shared" si="2"/>
        <v>Mode</v>
      </c>
      <c r="I12" t="str">
        <f t="shared" si="3"/>
        <v>Max</v>
      </c>
      <c r="J12" t="str">
        <f t="shared" si="4"/>
        <v>Shape</v>
      </c>
    </row>
    <row r="13" spans="1:10" x14ac:dyDescent="0.2">
      <c r="A13" s="9" t="s">
        <v>7</v>
      </c>
      <c r="B13" s="2" t="s">
        <v>48</v>
      </c>
      <c r="C13" s="2" t="s">
        <v>37</v>
      </c>
      <c r="D13" s="2" t="s">
        <v>39</v>
      </c>
      <c r="E13" t="s">
        <v>3</v>
      </c>
      <c r="F13">
        <f t="shared" si="5"/>
        <v>4</v>
      </c>
      <c r="G13" t="str">
        <f t="shared" si="1"/>
        <v>Min</v>
      </c>
      <c r="H13" t="str">
        <f t="shared" si="2"/>
        <v>Mode</v>
      </c>
      <c r="I13" t="str">
        <f t="shared" si="3"/>
        <v>Max</v>
      </c>
      <c r="J13" t="str">
        <f t="shared" si="4"/>
        <v>Shape</v>
      </c>
    </row>
    <row r="14" spans="1:10" x14ac:dyDescent="0.2">
      <c r="A14" s="9" t="s">
        <v>8</v>
      </c>
      <c r="B14" s="2" t="s">
        <v>47</v>
      </c>
      <c r="C14" s="2" t="s">
        <v>38</v>
      </c>
      <c r="D14" s="2" t="s">
        <v>51</v>
      </c>
      <c r="E14" t="s">
        <v>3</v>
      </c>
      <c r="F14">
        <f t="shared" si="5"/>
        <v>4</v>
      </c>
      <c r="G14" t="str">
        <f t="shared" si="1"/>
        <v>Min</v>
      </c>
      <c r="H14" t="str">
        <f t="shared" si="2"/>
        <v>Mode</v>
      </c>
      <c r="I14" t="str">
        <f t="shared" si="3"/>
        <v>Max</v>
      </c>
      <c r="J14" t="str">
        <f t="shared" si="4"/>
        <v>Shape</v>
      </c>
    </row>
    <row r="15" spans="1:10" x14ac:dyDescent="0.2">
      <c r="A15" s="9" t="s">
        <v>9</v>
      </c>
      <c r="B15" s="2" t="s">
        <v>40</v>
      </c>
      <c r="C15" s="2" t="s">
        <v>41</v>
      </c>
      <c r="D15" s="2" t="s">
        <v>42</v>
      </c>
      <c r="E15" t="s">
        <v>473</v>
      </c>
      <c r="F15">
        <f t="shared" si="5"/>
        <v>4</v>
      </c>
      <c r="G15" t="str">
        <f t="shared" si="1"/>
        <v>Min</v>
      </c>
      <c r="H15" t="str">
        <f t="shared" si="2"/>
        <v>Max</v>
      </c>
      <c r="I15" t="str">
        <f t="shared" si="3"/>
        <v>NA</v>
      </c>
      <c r="J15" t="str">
        <f t="shared" si="4"/>
        <v>NA</v>
      </c>
    </row>
    <row r="16" spans="1:10" x14ac:dyDescent="0.2">
      <c r="A16" s="9" t="s">
        <v>10</v>
      </c>
      <c r="B16" s="2" t="s">
        <v>43</v>
      </c>
      <c r="C16" s="2" t="s">
        <v>44</v>
      </c>
      <c r="D16" s="2" t="s">
        <v>45</v>
      </c>
      <c r="E16" t="s">
        <v>3</v>
      </c>
      <c r="F16">
        <f t="shared" si="5"/>
        <v>4</v>
      </c>
      <c r="G16" t="str">
        <f t="shared" si="1"/>
        <v>Min</v>
      </c>
      <c r="H16" t="str">
        <f t="shared" si="2"/>
        <v>Mode</v>
      </c>
      <c r="I16" t="str">
        <f t="shared" si="3"/>
        <v>Max</v>
      </c>
      <c r="J16" t="str">
        <f t="shared" si="4"/>
        <v>Shape</v>
      </c>
    </row>
    <row r="17" spans="1:10" x14ac:dyDescent="0.2">
      <c r="A17" s="9" t="s">
        <v>12</v>
      </c>
      <c r="B17" s="2" t="s">
        <v>49</v>
      </c>
      <c r="C17" s="2" t="s">
        <v>50</v>
      </c>
      <c r="D17" s="2" t="s">
        <v>52</v>
      </c>
      <c r="E17" t="s">
        <v>3</v>
      </c>
      <c r="F17">
        <f t="shared" si="5"/>
        <v>4</v>
      </c>
      <c r="G17" t="str">
        <f t="shared" si="1"/>
        <v>Min</v>
      </c>
      <c r="H17" t="str">
        <f t="shared" si="2"/>
        <v>Mode</v>
      </c>
      <c r="I17" t="str">
        <f t="shared" si="3"/>
        <v>Max</v>
      </c>
      <c r="J17" t="str">
        <f t="shared" si="4"/>
        <v>Shape</v>
      </c>
    </row>
    <row r="18" spans="1:10" x14ac:dyDescent="0.2">
      <c r="A18" s="9" t="s">
        <v>13</v>
      </c>
      <c r="B18" s="2" t="s">
        <v>53</v>
      </c>
      <c r="C18" s="2" t="s">
        <v>54</v>
      </c>
      <c r="D18" s="2" t="s">
        <v>56</v>
      </c>
      <c r="E18" t="s">
        <v>3</v>
      </c>
      <c r="F18">
        <f t="shared" si="5"/>
        <v>4</v>
      </c>
      <c r="G18" t="str">
        <f t="shared" si="1"/>
        <v>Min</v>
      </c>
      <c r="H18" t="str">
        <f t="shared" si="2"/>
        <v>Mode</v>
      </c>
      <c r="I18" t="str">
        <f t="shared" si="3"/>
        <v>Max</v>
      </c>
      <c r="J18" t="str">
        <f t="shared" si="4"/>
        <v>Shape</v>
      </c>
    </row>
    <row r="19" spans="1:10" x14ac:dyDescent="0.2">
      <c r="A19" s="9" t="s">
        <v>15</v>
      </c>
      <c r="B19" s="2" t="s">
        <v>55</v>
      </c>
      <c r="C19" s="2" t="s">
        <v>57</v>
      </c>
      <c r="D19" s="2" t="s">
        <v>58</v>
      </c>
      <c r="E19" t="s">
        <v>3</v>
      </c>
      <c r="F19">
        <f t="shared" si="5"/>
        <v>4</v>
      </c>
      <c r="G19" t="str">
        <f t="shared" si="1"/>
        <v>Min</v>
      </c>
      <c r="H19" t="str">
        <f t="shared" si="2"/>
        <v>Mode</v>
      </c>
      <c r="I19" t="str">
        <f t="shared" si="3"/>
        <v>Max</v>
      </c>
      <c r="J19" t="str">
        <f t="shared" si="4"/>
        <v>Shape</v>
      </c>
    </row>
    <row r="20" spans="1:10" x14ac:dyDescent="0.2">
      <c r="A20" s="9" t="s">
        <v>466</v>
      </c>
      <c r="B20" s="2" t="s">
        <v>59</v>
      </c>
      <c r="C20" s="2" t="s">
        <v>61</v>
      </c>
      <c r="D20" s="2" t="s">
        <v>66</v>
      </c>
      <c r="E20" t="s">
        <v>3</v>
      </c>
      <c r="F20">
        <f t="shared" si="5"/>
        <v>4</v>
      </c>
      <c r="G20" t="str">
        <f t="shared" si="1"/>
        <v>Min</v>
      </c>
      <c r="H20" t="str">
        <f t="shared" si="2"/>
        <v>Mode</v>
      </c>
      <c r="I20" t="str">
        <f t="shared" si="3"/>
        <v>Max</v>
      </c>
      <c r="J20" t="str">
        <f t="shared" si="4"/>
        <v>Shape</v>
      </c>
    </row>
    <row r="21" spans="1:10" x14ac:dyDescent="0.2">
      <c r="A21" s="9" t="s">
        <v>472</v>
      </c>
      <c r="B21" s="2" t="s">
        <v>62</v>
      </c>
      <c r="C21" s="2" t="s">
        <v>63</v>
      </c>
      <c r="D21" s="2" t="s">
        <v>67</v>
      </c>
      <c r="E21" t="s">
        <v>3</v>
      </c>
      <c r="F21">
        <f t="shared" si="5"/>
        <v>4</v>
      </c>
      <c r="G21" t="str">
        <f t="shared" si="1"/>
        <v>Min</v>
      </c>
      <c r="H21" t="str">
        <f t="shared" si="2"/>
        <v>Mode</v>
      </c>
      <c r="I21" t="str">
        <f t="shared" si="3"/>
        <v>Max</v>
      </c>
      <c r="J21" t="str">
        <f t="shared" si="4"/>
        <v>Shape</v>
      </c>
    </row>
    <row r="22" spans="1:10" x14ac:dyDescent="0.2">
      <c r="A22" s="2" t="s">
        <v>18</v>
      </c>
      <c r="B22" s="2" t="s">
        <v>64</v>
      </c>
      <c r="C22" s="2" t="s">
        <v>65</v>
      </c>
      <c r="D22" s="2" t="s">
        <v>68</v>
      </c>
      <c r="E22" t="s">
        <v>473</v>
      </c>
      <c r="F22">
        <f t="shared" si="5"/>
        <v>4</v>
      </c>
      <c r="G22" t="str">
        <f t="shared" si="1"/>
        <v>Min</v>
      </c>
      <c r="H22" t="str">
        <f t="shared" si="2"/>
        <v>Max</v>
      </c>
      <c r="I22" t="str">
        <f t="shared" si="3"/>
        <v>NA</v>
      </c>
      <c r="J22" t="str">
        <f t="shared" si="4"/>
        <v>NA</v>
      </c>
    </row>
    <row r="23" spans="1:10" x14ac:dyDescent="0.2">
      <c r="A23" s="9" t="s">
        <v>20</v>
      </c>
      <c r="B23" s="2" t="s">
        <v>69</v>
      </c>
      <c r="C23" s="2" t="s">
        <v>73</v>
      </c>
      <c r="D23" s="2" t="s">
        <v>77</v>
      </c>
      <c r="E23" t="s">
        <v>3</v>
      </c>
      <c r="F23">
        <f t="shared" si="5"/>
        <v>4</v>
      </c>
      <c r="G23" t="str">
        <f t="shared" si="1"/>
        <v>Min</v>
      </c>
      <c r="H23" t="str">
        <f t="shared" si="2"/>
        <v>Mode</v>
      </c>
      <c r="I23" t="str">
        <f t="shared" si="3"/>
        <v>Max</v>
      </c>
      <c r="J23" t="str">
        <f t="shared" si="4"/>
        <v>Shape</v>
      </c>
    </row>
    <row r="24" spans="1:10" x14ac:dyDescent="0.2">
      <c r="A24" s="9" t="s">
        <v>21</v>
      </c>
      <c r="B24" s="2" t="s">
        <v>70</v>
      </c>
      <c r="C24" s="2" t="s">
        <v>74</v>
      </c>
      <c r="D24" s="2" t="s">
        <v>78</v>
      </c>
      <c r="E24" t="s">
        <v>3</v>
      </c>
      <c r="F24">
        <f t="shared" si="5"/>
        <v>4</v>
      </c>
      <c r="G24" t="str">
        <f t="shared" si="1"/>
        <v>Min</v>
      </c>
      <c r="H24" t="str">
        <f t="shared" si="2"/>
        <v>Mode</v>
      </c>
      <c r="I24" t="str">
        <f t="shared" si="3"/>
        <v>Max</v>
      </c>
      <c r="J24" t="str">
        <f t="shared" si="4"/>
        <v>Shape</v>
      </c>
    </row>
    <row r="25" spans="1:10" x14ac:dyDescent="0.2">
      <c r="A25" s="9" t="s">
        <v>22</v>
      </c>
      <c r="B25" s="2" t="s">
        <v>71</v>
      </c>
      <c r="C25" s="2" t="s">
        <v>75</v>
      </c>
      <c r="D25" s="2" t="s">
        <v>79</v>
      </c>
      <c r="E25" t="s">
        <v>3</v>
      </c>
      <c r="F25">
        <f t="shared" si="5"/>
        <v>4</v>
      </c>
      <c r="G25" t="str">
        <f t="shared" si="1"/>
        <v>Min</v>
      </c>
      <c r="H25" t="str">
        <f t="shared" si="2"/>
        <v>Mode</v>
      </c>
      <c r="I25" t="str">
        <f t="shared" si="3"/>
        <v>Max</v>
      </c>
      <c r="J25" t="str">
        <f t="shared" si="4"/>
        <v>Shape</v>
      </c>
    </row>
    <row r="26" spans="1:10" x14ac:dyDescent="0.2">
      <c r="A26" s="9" t="s">
        <v>23</v>
      </c>
      <c r="B26" s="2" t="s">
        <v>72</v>
      </c>
      <c r="C26" s="2" t="s">
        <v>76</v>
      </c>
      <c r="D26" s="2" t="s">
        <v>80</v>
      </c>
      <c r="E26" t="s">
        <v>3</v>
      </c>
      <c r="F26">
        <f t="shared" si="5"/>
        <v>4</v>
      </c>
      <c r="G26" t="str">
        <f t="shared" si="1"/>
        <v>Min</v>
      </c>
      <c r="H26" t="str">
        <f t="shared" si="2"/>
        <v>Mode</v>
      </c>
      <c r="I26" t="str">
        <f t="shared" si="3"/>
        <v>Max</v>
      </c>
      <c r="J26" t="str">
        <f t="shared" si="4"/>
        <v>Shape</v>
      </c>
    </row>
  </sheetData>
  <dataValidations count="1">
    <dataValidation type="list" allowBlank="1" showInputMessage="1" showErrorMessage="1" sqref="E2:E26" xr:uid="{00000000-0002-0000-0100-000000000000}">
      <formula1>"Beta-PERT,Triangular,Normal,Uniform"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</sheetPr>
  <dimension ref="A1:N21"/>
  <sheetViews>
    <sheetView topLeftCell="D1" zoomScale="130" zoomScaleNormal="130" workbookViewId="0">
      <selection activeCell="G47" sqref="G47"/>
    </sheetView>
  </sheetViews>
  <sheetFormatPr defaultRowHeight="12.75" x14ac:dyDescent="0.2"/>
  <cols>
    <col min="1" max="1" width="12.42578125" bestFit="1" customWidth="1"/>
    <col min="2" max="2" width="28.85546875" bestFit="1" customWidth="1"/>
    <col min="3" max="3" width="16.140625" bestFit="1" customWidth="1"/>
    <col min="4" max="4" width="13.28515625" bestFit="1" customWidth="1"/>
    <col min="5" max="5" width="13.42578125" customWidth="1"/>
    <col min="6" max="6" width="15.5703125" customWidth="1"/>
    <col min="7" max="7" width="21.5703125" bestFit="1" customWidth="1"/>
    <col min="8" max="9" width="24" bestFit="1" customWidth="1"/>
    <col min="10" max="10" width="18.85546875" bestFit="1" customWidth="1"/>
    <col min="11" max="11" width="12.85546875" customWidth="1"/>
    <col min="12" max="14" width="12.5703125" bestFit="1" customWidth="1"/>
  </cols>
  <sheetData>
    <row r="1" spans="1:14" x14ac:dyDescent="0.2">
      <c r="A1" s="13" t="s">
        <v>478</v>
      </c>
      <c r="B1" s="13" t="s">
        <v>569</v>
      </c>
      <c r="C1" s="1" t="s">
        <v>351</v>
      </c>
      <c r="D1" s="1" t="s">
        <v>346</v>
      </c>
      <c r="E1" s="1" t="s">
        <v>0</v>
      </c>
      <c r="F1" s="1" t="s">
        <v>1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150</v>
      </c>
      <c r="L1" s="1" t="s">
        <v>151</v>
      </c>
      <c r="M1" s="1" t="s">
        <v>152</v>
      </c>
      <c r="N1" s="1" t="s">
        <v>153</v>
      </c>
    </row>
    <row r="2" spans="1:14" x14ac:dyDescent="0.2">
      <c r="A2" s="9" t="s">
        <v>479</v>
      </c>
      <c r="B2" t="s">
        <v>571</v>
      </c>
      <c r="C2">
        <v>4</v>
      </c>
      <c r="D2" t="s">
        <v>347</v>
      </c>
      <c r="E2" t="s">
        <v>3</v>
      </c>
      <c r="F2">
        <f>COUNTA(G2:J2)-COUNTBLANK(G2:J2)</f>
        <v>4</v>
      </c>
      <c r="G2" t="str">
        <f>IF($E2="Beta-PERT","Min",IF($E2="Triangular","Min",IF($E2="Normal","Mean",IF($E2="Uniform","Min","NA"))))</f>
        <v>Min</v>
      </c>
      <c r="H2" t="str">
        <f>IF($E2="Beta-PERT","Mode",IF($E2="Triangular","Mode",IF($E2="Normal","St. Dev",IF($E2="Uniform","Max","NA"))))</f>
        <v>Mode</v>
      </c>
      <c r="I2" t="str">
        <f>IF($E2="Beta-PERT","Max",IF($E2="Triangular","Max",IF($E2="Normal","NA","NA")))</f>
        <v>Max</v>
      </c>
      <c r="J2" t="str">
        <f>IF($E2="Beta-PERT","Shape",IF($E2="Triangular","",IF($E2="Normal","NA","NA")))</f>
        <v>Shape</v>
      </c>
      <c r="K2">
        <v>90</v>
      </c>
      <c r="L2">
        <v>99</v>
      </c>
      <c r="M2">
        <v>100</v>
      </c>
      <c r="N2">
        <v>4</v>
      </c>
    </row>
    <row r="3" spans="1:14" x14ac:dyDescent="0.2">
      <c r="A3" s="9" t="s">
        <v>480</v>
      </c>
      <c r="B3" t="s">
        <v>570</v>
      </c>
      <c r="C3">
        <v>4</v>
      </c>
      <c r="D3" t="s">
        <v>347</v>
      </c>
      <c r="E3" t="s">
        <v>3</v>
      </c>
      <c r="F3">
        <f>COUNTA(G3:J3)-COUNTBLANK(G3:J3)</f>
        <v>4</v>
      </c>
      <c r="G3" t="str">
        <f t="shared" ref="G3:G21" si="0">IF($E3="Beta-PERT","Min",IF($E3="Triangular","Min",IF($E3="Normal","Mean",IF($E3="Uniform","Min","NA"))))</f>
        <v>Min</v>
      </c>
      <c r="H3" t="str">
        <f t="shared" ref="H3:H21" si="1">IF($E3="Beta-PERT","Mode",IF($E3="Triangular","Mode",IF($E3="Normal","St. Dev",IF($E3="Uniform","Max","NA"))))</f>
        <v>Mode</v>
      </c>
      <c r="I3" t="str">
        <f t="shared" ref="I3:I21" si="2">IF($E3="Beta-PERT","Max",IF($E3="Triangular","Max",IF($E3="Normal","NA","NA")))</f>
        <v>Max</v>
      </c>
      <c r="J3" t="str">
        <f t="shared" ref="J3:J21" si="3">IF($E3="Beta-PERT","Shape",IF($E3="Triangular","",IF($E3="Normal","NA","NA")))</f>
        <v>Shape</v>
      </c>
      <c r="K3">
        <v>80</v>
      </c>
      <c r="L3">
        <v>97.5</v>
      </c>
      <c r="M3">
        <v>99</v>
      </c>
      <c r="N3">
        <v>4</v>
      </c>
    </row>
    <row r="4" spans="1:14" x14ac:dyDescent="0.2">
      <c r="A4" s="9" t="s">
        <v>481</v>
      </c>
      <c r="B4" t="s">
        <v>572</v>
      </c>
      <c r="C4">
        <v>4</v>
      </c>
      <c r="D4" t="s">
        <v>347</v>
      </c>
      <c r="E4" t="s">
        <v>3</v>
      </c>
      <c r="F4">
        <f t="shared" ref="F4:F21" si="4">COUNTA(G4:J4)-COUNTBLANK(G4:J4)</f>
        <v>4</v>
      </c>
      <c r="G4" t="str">
        <f t="shared" si="0"/>
        <v>Min</v>
      </c>
      <c r="H4" t="str">
        <f t="shared" si="1"/>
        <v>Mode</v>
      </c>
      <c r="I4" t="str">
        <f t="shared" si="2"/>
        <v>Max</v>
      </c>
      <c r="J4" t="str">
        <f t="shared" si="3"/>
        <v>Shape</v>
      </c>
      <c r="K4">
        <v>70</v>
      </c>
      <c r="L4">
        <v>95</v>
      </c>
      <c r="M4">
        <v>97.5</v>
      </c>
      <c r="N4">
        <v>4</v>
      </c>
    </row>
    <row r="5" spans="1:14" x14ac:dyDescent="0.2">
      <c r="A5" s="9" t="s">
        <v>482</v>
      </c>
      <c r="B5" t="s">
        <v>573</v>
      </c>
      <c r="C5">
        <v>4</v>
      </c>
      <c r="D5" t="s">
        <v>347</v>
      </c>
      <c r="E5" t="s">
        <v>3</v>
      </c>
      <c r="F5">
        <f t="shared" si="4"/>
        <v>4</v>
      </c>
      <c r="G5" t="str">
        <f t="shared" si="0"/>
        <v>Min</v>
      </c>
      <c r="H5" t="str">
        <f t="shared" si="1"/>
        <v>Mode</v>
      </c>
      <c r="I5" t="str">
        <f t="shared" si="2"/>
        <v>Max</v>
      </c>
      <c r="J5" t="str">
        <f t="shared" si="3"/>
        <v>Shape</v>
      </c>
      <c r="K5">
        <v>60</v>
      </c>
      <c r="L5">
        <v>92.5</v>
      </c>
      <c r="M5">
        <v>95</v>
      </c>
      <c r="N5">
        <v>4</v>
      </c>
    </row>
    <row r="6" spans="1:14" x14ac:dyDescent="0.2">
      <c r="A6" s="9" t="s">
        <v>483</v>
      </c>
      <c r="B6" t="s">
        <v>574</v>
      </c>
      <c r="C6">
        <v>4</v>
      </c>
      <c r="D6" t="s">
        <v>347</v>
      </c>
      <c r="E6" t="s">
        <v>3</v>
      </c>
      <c r="F6">
        <f t="shared" si="4"/>
        <v>4</v>
      </c>
      <c r="G6" t="str">
        <f t="shared" si="0"/>
        <v>Min</v>
      </c>
      <c r="H6" t="str">
        <f t="shared" si="1"/>
        <v>Mode</v>
      </c>
      <c r="I6" t="str">
        <f t="shared" si="2"/>
        <v>Max</v>
      </c>
      <c r="J6" t="str">
        <f t="shared" si="3"/>
        <v>Shape</v>
      </c>
      <c r="K6">
        <v>50</v>
      </c>
      <c r="L6">
        <v>90</v>
      </c>
      <c r="M6">
        <v>92.5</v>
      </c>
      <c r="N6">
        <v>4</v>
      </c>
    </row>
    <row r="7" spans="1:14" x14ac:dyDescent="0.2">
      <c r="A7" s="9" t="s">
        <v>484</v>
      </c>
      <c r="B7" t="s">
        <v>571</v>
      </c>
      <c r="C7">
        <v>3</v>
      </c>
      <c r="D7" t="s">
        <v>350</v>
      </c>
      <c r="E7" t="s">
        <v>3</v>
      </c>
      <c r="F7">
        <f t="shared" si="4"/>
        <v>4</v>
      </c>
      <c r="G7" t="str">
        <f t="shared" si="0"/>
        <v>Min</v>
      </c>
      <c r="H7" t="str">
        <f t="shared" si="1"/>
        <v>Mode</v>
      </c>
      <c r="I7" t="str">
        <f t="shared" si="2"/>
        <v>Max</v>
      </c>
      <c r="J7" t="str">
        <f t="shared" si="3"/>
        <v>Shape</v>
      </c>
      <c r="K7">
        <v>80</v>
      </c>
      <c r="L7">
        <v>95</v>
      </c>
      <c r="M7">
        <v>100</v>
      </c>
      <c r="N7">
        <v>4</v>
      </c>
    </row>
    <row r="8" spans="1:14" x14ac:dyDescent="0.2">
      <c r="A8" s="9" t="s">
        <v>485</v>
      </c>
      <c r="B8" t="s">
        <v>570</v>
      </c>
      <c r="C8">
        <v>3</v>
      </c>
      <c r="D8" t="s">
        <v>350</v>
      </c>
      <c r="E8" t="s">
        <v>3</v>
      </c>
      <c r="F8">
        <f t="shared" si="4"/>
        <v>4</v>
      </c>
      <c r="G8" t="str">
        <f t="shared" si="0"/>
        <v>Min</v>
      </c>
      <c r="H8" t="str">
        <f t="shared" si="1"/>
        <v>Mode</v>
      </c>
      <c r="I8" t="str">
        <f t="shared" si="2"/>
        <v>Max</v>
      </c>
      <c r="J8" t="str">
        <f t="shared" si="3"/>
        <v>Shape</v>
      </c>
      <c r="K8">
        <v>50</v>
      </c>
      <c r="L8">
        <v>80</v>
      </c>
      <c r="M8">
        <v>85</v>
      </c>
      <c r="N8">
        <v>4</v>
      </c>
    </row>
    <row r="9" spans="1:14" x14ac:dyDescent="0.2">
      <c r="A9" s="9" t="s">
        <v>486</v>
      </c>
      <c r="B9" t="s">
        <v>572</v>
      </c>
      <c r="C9">
        <v>3</v>
      </c>
      <c r="D9" t="s">
        <v>350</v>
      </c>
      <c r="E9" t="s">
        <v>3</v>
      </c>
      <c r="F9">
        <f t="shared" si="4"/>
        <v>4</v>
      </c>
      <c r="G9" t="str">
        <f t="shared" si="0"/>
        <v>Min</v>
      </c>
      <c r="H9" t="str">
        <f t="shared" si="1"/>
        <v>Mode</v>
      </c>
      <c r="I9" t="str">
        <f t="shared" si="2"/>
        <v>Max</v>
      </c>
      <c r="J9" t="str">
        <f t="shared" si="3"/>
        <v>Shape</v>
      </c>
      <c r="K9">
        <v>20</v>
      </c>
      <c r="L9">
        <v>70</v>
      </c>
      <c r="M9">
        <v>75</v>
      </c>
      <c r="N9">
        <v>4</v>
      </c>
    </row>
    <row r="10" spans="1:14" x14ac:dyDescent="0.2">
      <c r="A10" s="9" t="s">
        <v>487</v>
      </c>
      <c r="B10" t="s">
        <v>573</v>
      </c>
      <c r="C10">
        <v>3</v>
      </c>
      <c r="D10" t="s">
        <v>350</v>
      </c>
      <c r="E10" t="s">
        <v>3</v>
      </c>
      <c r="F10">
        <f t="shared" si="4"/>
        <v>4</v>
      </c>
      <c r="G10" t="str">
        <f t="shared" si="0"/>
        <v>Min</v>
      </c>
      <c r="H10" t="str">
        <f t="shared" si="1"/>
        <v>Mode</v>
      </c>
      <c r="I10" t="str">
        <f t="shared" si="2"/>
        <v>Max</v>
      </c>
      <c r="J10" t="str">
        <f t="shared" si="3"/>
        <v>Shape</v>
      </c>
      <c r="K10">
        <v>0</v>
      </c>
      <c r="L10">
        <v>50</v>
      </c>
      <c r="M10">
        <v>55</v>
      </c>
      <c r="N10">
        <v>4</v>
      </c>
    </row>
    <row r="11" spans="1:14" x14ac:dyDescent="0.2">
      <c r="A11" s="9" t="s">
        <v>488</v>
      </c>
      <c r="B11" t="s">
        <v>574</v>
      </c>
      <c r="C11">
        <v>3</v>
      </c>
      <c r="D11" t="s">
        <v>350</v>
      </c>
      <c r="E11" t="s">
        <v>3</v>
      </c>
      <c r="F11">
        <f t="shared" si="4"/>
        <v>4</v>
      </c>
      <c r="G11" t="str">
        <f t="shared" si="0"/>
        <v>Min</v>
      </c>
      <c r="H11" t="str">
        <f t="shared" si="1"/>
        <v>Mode</v>
      </c>
      <c r="I11" t="str">
        <f t="shared" si="2"/>
        <v>Max</v>
      </c>
      <c r="J11" t="str">
        <f t="shared" si="3"/>
        <v>Shape</v>
      </c>
      <c r="K11">
        <v>0</v>
      </c>
      <c r="L11">
        <v>20</v>
      </c>
      <c r="M11">
        <v>25</v>
      </c>
      <c r="N11">
        <v>4</v>
      </c>
    </row>
    <row r="12" spans="1:14" x14ac:dyDescent="0.2">
      <c r="A12" s="9" t="s">
        <v>489</v>
      </c>
      <c r="B12" t="s">
        <v>571</v>
      </c>
      <c r="C12">
        <v>2</v>
      </c>
      <c r="D12" t="s">
        <v>348</v>
      </c>
      <c r="E12" t="s">
        <v>3</v>
      </c>
      <c r="F12">
        <f t="shared" si="4"/>
        <v>4</v>
      </c>
      <c r="G12" t="str">
        <f t="shared" si="0"/>
        <v>Min</v>
      </c>
      <c r="H12" t="str">
        <f t="shared" si="1"/>
        <v>Mode</v>
      </c>
      <c r="I12" t="str">
        <f t="shared" si="2"/>
        <v>Max</v>
      </c>
      <c r="J12" t="str">
        <f t="shared" si="3"/>
        <v>Shape</v>
      </c>
      <c r="K12">
        <v>50</v>
      </c>
      <c r="L12">
        <v>80</v>
      </c>
      <c r="M12">
        <v>90</v>
      </c>
      <c r="N12">
        <v>4</v>
      </c>
    </row>
    <row r="13" spans="1:14" x14ac:dyDescent="0.2">
      <c r="A13" s="9" t="s">
        <v>490</v>
      </c>
      <c r="B13" t="s">
        <v>570</v>
      </c>
      <c r="C13">
        <v>2</v>
      </c>
      <c r="D13" t="s">
        <v>348</v>
      </c>
      <c r="E13" t="s">
        <v>3</v>
      </c>
      <c r="F13">
        <f t="shared" si="4"/>
        <v>4</v>
      </c>
      <c r="G13" t="str">
        <f t="shared" si="0"/>
        <v>Min</v>
      </c>
      <c r="H13" t="str">
        <f t="shared" si="1"/>
        <v>Mode</v>
      </c>
      <c r="I13" t="str">
        <f t="shared" si="2"/>
        <v>Max</v>
      </c>
      <c r="J13" t="str">
        <f t="shared" si="3"/>
        <v>Shape</v>
      </c>
      <c r="K13">
        <v>20</v>
      </c>
      <c r="L13">
        <v>60</v>
      </c>
      <c r="M13">
        <v>70</v>
      </c>
      <c r="N13">
        <v>4</v>
      </c>
    </row>
    <row r="14" spans="1:14" x14ac:dyDescent="0.2">
      <c r="A14" s="9" t="s">
        <v>491</v>
      </c>
      <c r="B14" t="s">
        <v>572</v>
      </c>
      <c r="C14">
        <v>2</v>
      </c>
      <c r="D14" t="s">
        <v>348</v>
      </c>
      <c r="E14" t="s">
        <v>3</v>
      </c>
      <c r="F14">
        <f t="shared" si="4"/>
        <v>4</v>
      </c>
      <c r="G14" t="str">
        <f t="shared" si="0"/>
        <v>Min</v>
      </c>
      <c r="H14" t="str">
        <f t="shared" si="1"/>
        <v>Mode</v>
      </c>
      <c r="I14" t="str">
        <f t="shared" si="2"/>
        <v>Max</v>
      </c>
      <c r="J14" t="str">
        <f t="shared" si="3"/>
        <v>Shape</v>
      </c>
      <c r="K14">
        <v>0</v>
      </c>
      <c r="L14">
        <v>20</v>
      </c>
      <c r="M14">
        <v>30</v>
      </c>
      <c r="N14">
        <v>4</v>
      </c>
    </row>
    <row r="15" spans="1:14" x14ac:dyDescent="0.2">
      <c r="A15" s="9" t="s">
        <v>492</v>
      </c>
      <c r="B15" t="s">
        <v>573</v>
      </c>
      <c r="C15">
        <v>2</v>
      </c>
      <c r="D15" t="s">
        <v>348</v>
      </c>
      <c r="E15" t="s">
        <v>3</v>
      </c>
      <c r="F15">
        <f t="shared" si="4"/>
        <v>4</v>
      </c>
      <c r="G15" t="str">
        <f t="shared" si="0"/>
        <v>Min</v>
      </c>
      <c r="H15" t="str">
        <f t="shared" si="1"/>
        <v>Mode</v>
      </c>
      <c r="I15" t="str">
        <f t="shared" si="2"/>
        <v>Max</v>
      </c>
      <c r="J15" t="str">
        <f t="shared" si="3"/>
        <v>Shape</v>
      </c>
      <c r="K15">
        <v>0</v>
      </c>
      <c r="L15">
        <v>10</v>
      </c>
      <c r="M15">
        <v>20</v>
      </c>
      <c r="N15">
        <v>4</v>
      </c>
    </row>
    <row r="16" spans="1:14" x14ac:dyDescent="0.2">
      <c r="A16" s="9" t="s">
        <v>493</v>
      </c>
      <c r="B16" t="s">
        <v>574</v>
      </c>
      <c r="C16">
        <v>2</v>
      </c>
      <c r="D16" t="s">
        <v>348</v>
      </c>
      <c r="E16" t="s">
        <v>3</v>
      </c>
      <c r="F16">
        <f t="shared" si="4"/>
        <v>4</v>
      </c>
      <c r="G16" t="str">
        <f t="shared" si="0"/>
        <v>Min</v>
      </c>
      <c r="H16" t="str">
        <f t="shared" si="1"/>
        <v>Mode</v>
      </c>
      <c r="I16" t="str">
        <f t="shared" si="2"/>
        <v>Max</v>
      </c>
      <c r="J16" t="str">
        <f t="shared" si="3"/>
        <v>Shape</v>
      </c>
      <c r="K16">
        <v>0</v>
      </c>
      <c r="L16">
        <v>5</v>
      </c>
      <c r="M16">
        <v>15</v>
      </c>
      <c r="N16">
        <v>4</v>
      </c>
    </row>
    <row r="17" spans="1:14" x14ac:dyDescent="0.2">
      <c r="A17" s="9" t="s">
        <v>494</v>
      </c>
      <c r="B17" t="s">
        <v>571</v>
      </c>
      <c r="C17">
        <v>1</v>
      </c>
      <c r="D17" t="s">
        <v>349</v>
      </c>
      <c r="E17" t="s">
        <v>3</v>
      </c>
      <c r="F17">
        <f t="shared" si="4"/>
        <v>4</v>
      </c>
      <c r="G17" t="str">
        <f t="shared" si="0"/>
        <v>Min</v>
      </c>
      <c r="H17" t="str">
        <f t="shared" si="1"/>
        <v>Mode</v>
      </c>
      <c r="I17" t="str">
        <f t="shared" si="2"/>
        <v>Max</v>
      </c>
      <c r="J17" t="str">
        <f t="shared" si="3"/>
        <v>Shape</v>
      </c>
      <c r="K17">
        <v>0</v>
      </c>
      <c r="L17">
        <v>20</v>
      </c>
      <c r="M17">
        <v>30</v>
      </c>
      <c r="N17">
        <v>4</v>
      </c>
    </row>
    <row r="18" spans="1:14" x14ac:dyDescent="0.2">
      <c r="A18" s="9" t="s">
        <v>495</v>
      </c>
      <c r="B18" t="s">
        <v>570</v>
      </c>
      <c r="C18">
        <v>1</v>
      </c>
      <c r="D18" t="s">
        <v>349</v>
      </c>
      <c r="E18" t="s">
        <v>3</v>
      </c>
      <c r="F18">
        <f t="shared" si="4"/>
        <v>4</v>
      </c>
      <c r="G18" t="str">
        <f t="shared" si="0"/>
        <v>Min</v>
      </c>
      <c r="H18" t="str">
        <f t="shared" si="1"/>
        <v>Mode</v>
      </c>
      <c r="I18" t="str">
        <f t="shared" si="2"/>
        <v>Max</v>
      </c>
      <c r="J18" t="str">
        <f t="shared" si="3"/>
        <v>Shape</v>
      </c>
      <c r="K18">
        <v>0</v>
      </c>
      <c r="L18">
        <v>0</v>
      </c>
      <c r="M18">
        <v>5</v>
      </c>
      <c r="N18">
        <v>4</v>
      </c>
    </row>
    <row r="19" spans="1:14" x14ac:dyDescent="0.2">
      <c r="A19" s="9" t="s">
        <v>496</v>
      </c>
      <c r="B19" t="s">
        <v>572</v>
      </c>
      <c r="C19">
        <v>1</v>
      </c>
      <c r="D19" t="s">
        <v>349</v>
      </c>
      <c r="E19" t="s">
        <v>3</v>
      </c>
      <c r="F19">
        <f t="shared" si="4"/>
        <v>4</v>
      </c>
      <c r="G19" t="str">
        <f t="shared" si="0"/>
        <v>Min</v>
      </c>
      <c r="H19" t="str">
        <f t="shared" si="1"/>
        <v>Mode</v>
      </c>
      <c r="I19" t="str">
        <f t="shared" si="2"/>
        <v>Max</v>
      </c>
      <c r="J19" t="str">
        <f t="shared" si="3"/>
        <v>Shape</v>
      </c>
      <c r="K19">
        <v>0</v>
      </c>
      <c r="L19">
        <v>0</v>
      </c>
      <c r="M19">
        <v>5</v>
      </c>
      <c r="N19">
        <v>4</v>
      </c>
    </row>
    <row r="20" spans="1:14" x14ac:dyDescent="0.2">
      <c r="A20" s="9" t="s">
        <v>497</v>
      </c>
      <c r="B20" t="s">
        <v>573</v>
      </c>
      <c r="C20">
        <v>1</v>
      </c>
      <c r="D20" t="s">
        <v>349</v>
      </c>
      <c r="E20" t="s">
        <v>3</v>
      </c>
      <c r="F20">
        <f t="shared" si="4"/>
        <v>4</v>
      </c>
      <c r="G20" t="str">
        <f t="shared" si="0"/>
        <v>Min</v>
      </c>
      <c r="H20" t="str">
        <f t="shared" si="1"/>
        <v>Mode</v>
      </c>
      <c r="I20" t="str">
        <f t="shared" si="2"/>
        <v>Max</v>
      </c>
      <c r="J20" t="str">
        <f t="shared" si="3"/>
        <v>Shape</v>
      </c>
      <c r="K20">
        <v>0</v>
      </c>
      <c r="L20">
        <v>0</v>
      </c>
      <c r="M20">
        <v>5</v>
      </c>
      <c r="N20">
        <v>4</v>
      </c>
    </row>
    <row r="21" spans="1:14" x14ac:dyDescent="0.2">
      <c r="A21" s="9" t="s">
        <v>498</v>
      </c>
      <c r="B21" t="s">
        <v>574</v>
      </c>
      <c r="C21">
        <v>1</v>
      </c>
      <c r="D21" t="s">
        <v>349</v>
      </c>
      <c r="E21" t="s">
        <v>3</v>
      </c>
      <c r="F21">
        <f t="shared" si="4"/>
        <v>4</v>
      </c>
      <c r="G21" t="str">
        <f t="shared" si="0"/>
        <v>Min</v>
      </c>
      <c r="H21" t="str">
        <f t="shared" si="1"/>
        <v>Mode</v>
      </c>
      <c r="I21" t="str">
        <f t="shared" si="2"/>
        <v>Max</v>
      </c>
      <c r="J21" t="str">
        <f t="shared" si="3"/>
        <v>Shape</v>
      </c>
      <c r="K21">
        <v>0</v>
      </c>
      <c r="L21">
        <v>0</v>
      </c>
      <c r="M21">
        <v>5</v>
      </c>
      <c r="N21">
        <v>4</v>
      </c>
    </row>
  </sheetData>
  <dataValidations count="1">
    <dataValidation type="list" allowBlank="1" showInputMessage="1" showErrorMessage="1" sqref="E2:E21" xr:uid="{00000000-0002-0000-0500-000000000000}">
      <formula1>"Beta-PERT,Triangular,Normal,Uniform"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</sheetPr>
  <dimension ref="A1:D86"/>
  <sheetViews>
    <sheetView topLeftCell="A44" workbookViewId="0">
      <selection activeCell="D20" sqref="D20"/>
    </sheetView>
  </sheetViews>
  <sheetFormatPr defaultRowHeight="12.75" x14ac:dyDescent="0.2"/>
  <cols>
    <col min="1" max="1" width="26.7109375" bestFit="1" customWidth="1"/>
    <col min="2" max="2" width="39.28515625" bestFit="1" customWidth="1"/>
    <col min="3" max="3" width="133.7109375" bestFit="1" customWidth="1"/>
    <col min="4" max="4" width="76.140625" bestFit="1" customWidth="1"/>
  </cols>
  <sheetData>
    <row r="1" spans="1:4" x14ac:dyDescent="0.2">
      <c r="A1" s="1" t="s">
        <v>451</v>
      </c>
      <c r="B1" s="1" t="s">
        <v>452</v>
      </c>
      <c r="C1" s="1" t="s">
        <v>453</v>
      </c>
      <c r="D1" s="1" t="s">
        <v>32</v>
      </c>
    </row>
    <row r="2" spans="1:4" ht="14.25" x14ac:dyDescent="0.2">
      <c r="A2" s="2" t="s">
        <v>2</v>
      </c>
      <c r="B2" t="s">
        <v>156</v>
      </c>
      <c r="C2" t="s">
        <v>159</v>
      </c>
      <c r="D2" s="29" t="s">
        <v>757</v>
      </c>
    </row>
    <row r="3" spans="1:4" ht="14.25" x14ac:dyDescent="0.2">
      <c r="A3" s="2" t="s">
        <v>81</v>
      </c>
      <c r="B3" t="s">
        <v>157</v>
      </c>
      <c r="C3" t="s">
        <v>158</v>
      </c>
      <c r="D3" s="29" t="s">
        <v>757</v>
      </c>
    </row>
    <row r="4" spans="1:4" ht="14.25" x14ac:dyDescent="0.2">
      <c r="A4" s="2" t="s">
        <v>82</v>
      </c>
      <c r="B4" t="s">
        <v>195</v>
      </c>
      <c r="C4" t="s">
        <v>160</v>
      </c>
      <c r="D4" s="29" t="s">
        <v>757</v>
      </c>
    </row>
    <row r="5" spans="1:4" ht="14.25" x14ac:dyDescent="0.2">
      <c r="A5" s="2" t="s">
        <v>149</v>
      </c>
      <c r="B5" t="s">
        <v>161</v>
      </c>
      <c r="C5" t="s">
        <v>162</v>
      </c>
      <c r="D5" s="29" t="s">
        <v>757</v>
      </c>
    </row>
    <row r="6" spans="1:4" ht="14.25" x14ac:dyDescent="0.2">
      <c r="A6" s="2" t="s">
        <v>319</v>
      </c>
      <c r="B6" t="s">
        <v>163</v>
      </c>
      <c r="C6" t="s">
        <v>321</v>
      </c>
      <c r="D6" s="29" t="s">
        <v>757</v>
      </c>
    </row>
    <row r="7" spans="1:4" ht="14.25" x14ac:dyDescent="0.2">
      <c r="A7" s="2" t="s">
        <v>320</v>
      </c>
      <c r="B7" t="s">
        <v>164</v>
      </c>
      <c r="C7" t="s">
        <v>322</v>
      </c>
      <c r="D7" s="29" t="s">
        <v>757</v>
      </c>
    </row>
    <row r="8" spans="1:4" ht="14.25" x14ac:dyDescent="0.2">
      <c r="A8" s="2" t="s">
        <v>83</v>
      </c>
      <c r="B8" t="s">
        <v>165</v>
      </c>
      <c r="C8" t="s">
        <v>166</v>
      </c>
      <c r="D8" s="29" t="s">
        <v>757</v>
      </c>
    </row>
    <row r="9" spans="1:4" ht="14.25" x14ac:dyDescent="0.2">
      <c r="A9" s="2" t="s">
        <v>84</v>
      </c>
      <c r="B9" t="s">
        <v>167</v>
      </c>
      <c r="C9" t="s">
        <v>170</v>
      </c>
      <c r="D9" s="29" t="s">
        <v>757</v>
      </c>
    </row>
    <row r="10" spans="1:4" ht="14.25" x14ac:dyDescent="0.2">
      <c r="A10" s="11" t="s">
        <v>85</v>
      </c>
      <c r="B10" t="s">
        <v>168</v>
      </c>
      <c r="C10" t="s">
        <v>171</v>
      </c>
      <c r="D10" s="29" t="s">
        <v>757</v>
      </c>
    </row>
    <row r="11" spans="1:4" ht="14.25" x14ac:dyDescent="0.2">
      <c r="A11" s="11" t="s">
        <v>86</v>
      </c>
      <c r="B11" t="s">
        <v>169</v>
      </c>
      <c r="C11" t="s">
        <v>172</v>
      </c>
      <c r="D11" s="29" t="s">
        <v>757</v>
      </c>
    </row>
    <row r="12" spans="1:4" ht="14.25" x14ac:dyDescent="0.2">
      <c r="A12" s="2" t="s">
        <v>87</v>
      </c>
      <c r="B12" t="s">
        <v>154</v>
      </c>
      <c r="C12" t="s">
        <v>173</v>
      </c>
      <c r="D12" s="29" t="s">
        <v>757</v>
      </c>
    </row>
    <row r="13" spans="1:4" ht="14.25" x14ac:dyDescent="0.2">
      <c r="A13" s="2" t="s">
        <v>88</v>
      </c>
      <c r="B13" t="s">
        <v>60</v>
      </c>
      <c r="C13" t="s">
        <v>34</v>
      </c>
      <c r="D13" s="29" t="s">
        <v>757</v>
      </c>
    </row>
    <row r="14" spans="1:4" ht="14.25" x14ac:dyDescent="0.2">
      <c r="A14" s="2" t="s">
        <v>89</v>
      </c>
      <c r="B14" t="s">
        <v>174</v>
      </c>
      <c r="C14" t="s">
        <v>175</v>
      </c>
      <c r="D14" s="29" t="s">
        <v>757</v>
      </c>
    </row>
    <row r="15" spans="1:4" ht="14.25" x14ac:dyDescent="0.2">
      <c r="A15" s="2" t="s">
        <v>90</v>
      </c>
      <c r="B15" t="s">
        <v>177</v>
      </c>
      <c r="C15" t="s">
        <v>176</v>
      </c>
      <c r="D15" s="29" t="s">
        <v>757</v>
      </c>
    </row>
    <row r="16" spans="1:4" ht="14.25" x14ac:dyDescent="0.2">
      <c r="A16" s="2" t="s">
        <v>91</v>
      </c>
      <c r="B16" t="s">
        <v>155</v>
      </c>
      <c r="C16" t="s">
        <v>178</v>
      </c>
      <c r="D16" s="29" t="s">
        <v>757</v>
      </c>
    </row>
    <row r="17" spans="1:4" ht="14.25" x14ac:dyDescent="0.2">
      <c r="A17" s="2" t="s">
        <v>92</v>
      </c>
      <c r="B17" t="s">
        <v>46</v>
      </c>
      <c r="C17" t="s">
        <v>179</v>
      </c>
      <c r="D17" s="29" t="s">
        <v>757</v>
      </c>
    </row>
    <row r="18" spans="1:4" ht="14.25" x14ac:dyDescent="0.2">
      <c r="A18" s="2" t="s">
        <v>93</v>
      </c>
      <c r="B18" t="s">
        <v>180</v>
      </c>
      <c r="C18" t="s">
        <v>181</v>
      </c>
      <c r="D18" s="29" t="s">
        <v>757</v>
      </c>
    </row>
    <row r="19" spans="1:4" ht="14.25" x14ac:dyDescent="0.2">
      <c r="A19" s="2" t="s">
        <v>94</v>
      </c>
      <c r="B19" t="s">
        <v>194</v>
      </c>
      <c r="C19" t="s">
        <v>182</v>
      </c>
      <c r="D19" s="29" t="s">
        <v>757</v>
      </c>
    </row>
    <row r="20" spans="1:4" ht="14.25" x14ac:dyDescent="0.2">
      <c r="A20" s="2" t="s">
        <v>95</v>
      </c>
      <c r="B20" t="s">
        <v>183</v>
      </c>
      <c r="C20" t="s">
        <v>184</v>
      </c>
      <c r="D20" s="29" t="s">
        <v>757</v>
      </c>
    </row>
    <row r="21" spans="1:4" ht="14.25" x14ac:dyDescent="0.2">
      <c r="A21" s="2" t="s">
        <v>96</v>
      </c>
      <c r="B21" t="s">
        <v>185</v>
      </c>
      <c r="C21" t="s">
        <v>186</v>
      </c>
      <c r="D21" s="29" t="s">
        <v>757</v>
      </c>
    </row>
    <row r="22" spans="1:4" ht="14.25" x14ac:dyDescent="0.2">
      <c r="A22" s="2" t="s">
        <v>97</v>
      </c>
      <c r="B22" t="s">
        <v>187</v>
      </c>
      <c r="C22" t="s">
        <v>188</v>
      </c>
      <c r="D22" s="29" t="s">
        <v>757</v>
      </c>
    </row>
    <row r="23" spans="1:4" ht="14.25" x14ac:dyDescent="0.2">
      <c r="A23" s="2" t="s">
        <v>323</v>
      </c>
      <c r="B23" t="s">
        <v>189</v>
      </c>
      <c r="C23" t="s">
        <v>324</v>
      </c>
      <c r="D23" s="29" t="s">
        <v>757</v>
      </c>
    </row>
    <row r="24" spans="1:4" ht="14.25" x14ac:dyDescent="0.2">
      <c r="A24" s="2" t="s">
        <v>325</v>
      </c>
      <c r="B24" t="s">
        <v>326</v>
      </c>
      <c r="C24" t="s">
        <v>327</v>
      </c>
      <c r="D24" s="29" t="s">
        <v>757</v>
      </c>
    </row>
    <row r="25" spans="1:4" ht="14.25" x14ac:dyDescent="0.2">
      <c r="A25" s="2" t="s">
        <v>98</v>
      </c>
      <c r="B25" t="s">
        <v>190</v>
      </c>
      <c r="C25" t="s">
        <v>191</v>
      </c>
      <c r="D25" s="29" t="s">
        <v>757</v>
      </c>
    </row>
    <row r="26" spans="1:4" ht="14.25" x14ac:dyDescent="0.2">
      <c r="A26" s="2" t="s">
        <v>4</v>
      </c>
      <c r="B26" t="s">
        <v>31</v>
      </c>
      <c r="C26" t="s">
        <v>192</v>
      </c>
      <c r="D26" s="29" t="s">
        <v>757</v>
      </c>
    </row>
    <row r="27" spans="1:4" ht="14.25" x14ac:dyDescent="0.2">
      <c r="A27" s="2" t="s">
        <v>99</v>
      </c>
      <c r="B27" t="s">
        <v>161</v>
      </c>
      <c r="C27" t="s">
        <v>193</v>
      </c>
      <c r="D27" s="29" t="s">
        <v>757</v>
      </c>
    </row>
    <row r="28" spans="1:4" ht="14.25" x14ac:dyDescent="0.2">
      <c r="A28" s="2" t="s">
        <v>100</v>
      </c>
      <c r="B28" t="s">
        <v>196</v>
      </c>
      <c r="C28" t="s">
        <v>197</v>
      </c>
      <c r="D28" s="29" t="s">
        <v>757</v>
      </c>
    </row>
    <row r="29" spans="1:4" ht="14.25" x14ac:dyDescent="0.2">
      <c r="A29" s="2" t="s">
        <v>101</v>
      </c>
      <c r="B29" t="s">
        <v>199</v>
      </c>
      <c r="C29" t="s">
        <v>198</v>
      </c>
      <c r="D29" s="29" t="s">
        <v>757</v>
      </c>
    </row>
    <row r="30" spans="1:4" ht="14.25" x14ac:dyDescent="0.2">
      <c r="A30" s="2" t="s">
        <v>102</v>
      </c>
      <c r="B30" t="s">
        <v>200</v>
      </c>
      <c r="C30" t="s">
        <v>201</v>
      </c>
      <c r="D30" s="29" t="s">
        <v>757</v>
      </c>
    </row>
    <row r="31" spans="1:4" ht="14.25" x14ac:dyDescent="0.2">
      <c r="A31" s="2" t="s">
        <v>103</v>
      </c>
      <c r="B31" t="s">
        <v>47</v>
      </c>
      <c r="C31" t="s">
        <v>202</v>
      </c>
      <c r="D31" s="29" t="s">
        <v>757</v>
      </c>
    </row>
    <row r="32" spans="1:4" ht="14.25" x14ac:dyDescent="0.2">
      <c r="A32" s="2" t="s">
        <v>104</v>
      </c>
      <c r="B32" t="s">
        <v>203</v>
      </c>
      <c r="C32" t="s">
        <v>204</v>
      </c>
      <c r="D32" s="29" t="s">
        <v>757</v>
      </c>
    </row>
    <row r="33" spans="1:4" ht="14.25" x14ac:dyDescent="0.2">
      <c r="A33" s="2" t="s">
        <v>105</v>
      </c>
      <c r="B33" t="s">
        <v>205</v>
      </c>
      <c r="C33" t="s">
        <v>206</v>
      </c>
      <c r="D33" s="29" t="s">
        <v>757</v>
      </c>
    </row>
    <row r="34" spans="1:4" ht="14.25" x14ac:dyDescent="0.2">
      <c r="A34" s="2" t="s">
        <v>106</v>
      </c>
      <c r="B34" t="s">
        <v>207</v>
      </c>
      <c r="C34" t="s">
        <v>208</v>
      </c>
      <c r="D34" s="29" t="s">
        <v>757</v>
      </c>
    </row>
    <row r="35" spans="1:4" ht="14.25" x14ac:dyDescent="0.2">
      <c r="A35" s="2" t="s">
        <v>107</v>
      </c>
      <c r="B35" t="s">
        <v>209</v>
      </c>
      <c r="C35" t="s">
        <v>210</v>
      </c>
      <c r="D35" s="29" t="s">
        <v>757</v>
      </c>
    </row>
    <row r="36" spans="1:4" ht="14.25" x14ac:dyDescent="0.2">
      <c r="A36" s="2" t="s">
        <v>108</v>
      </c>
      <c r="B36" t="s">
        <v>217</v>
      </c>
      <c r="C36" t="s">
        <v>211</v>
      </c>
      <c r="D36" s="29" t="s">
        <v>757</v>
      </c>
    </row>
    <row r="37" spans="1:4" ht="14.25" x14ac:dyDescent="0.2">
      <c r="A37" s="2" t="s">
        <v>109</v>
      </c>
      <c r="B37" t="s">
        <v>216</v>
      </c>
      <c r="C37" t="s">
        <v>212</v>
      </c>
      <c r="D37" s="29" t="s">
        <v>757</v>
      </c>
    </row>
    <row r="38" spans="1:4" ht="14.25" x14ac:dyDescent="0.2">
      <c r="A38" s="2" t="s">
        <v>110</v>
      </c>
      <c r="B38" t="s">
        <v>213</v>
      </c>
      <c r="C38" t="s">
        <v>214</v>
      </c>
      <c r="D38" s="29" t="s">
        <v>757</v>
      </c>
    </row>
    <row r="39" spans="1:4" ht="14.25" x14ac:dyDescent="0.2">
      <c r="A39" s="2" t="s">
        <v>111</v>
      </c>
      <c r="B39" t="s">
        <v>215</v>
      </c>
      <c r="C39" t="s">
        <v>219</v>
      </c>
      <c r="D39" s="29" t="s">
        <v>757</v>
      </c>
    </row>
    <row r="40" spans="1:4" ht="14.25" x14ac:dyDescent="0.2">
      <c r="A40" s="2" t="s">
        <v>112</v>
      </c>
      <c r="B40" t="s">
        <v>218</v>
      </c>
      <c r="C40" t="s">
        <v>220</v>
      </c>
      <c r="D40" s="29" t="s">
        <v>757</v>
      </c>
    </row>
    <row r="41" spans="1:4" ht="14.25" x14ac:dyDescent="0.2">
      <c r="A41" s="2" t="s">
        <v>113</v>
      </c>
      <c r="B41" t="s">
        <v>221</v>
      </c>
      <c r="C41" t="s">
        <v>222</v>
      </c>
      <c r="D41" s="29" t="s">
        <v>757</v>
      </c>
    </row>
    <row r="42" spans="1:4" ht="14.25" x14ac:dyDescent="0.2">
      <c r="A42" s="2" t="s">
        <v>114</v>
      </c>
      <c r="B42" t="s">
        <v>228</v>
      </c>
      <c r="C42" t="s">
        <v>223</v>
      </c>
      <c r="D42" s="29" t="s">
        <v>757</v>
      </c>
    </row>
    <row r="43" spans="1:4" ht="14.25" x14ac:dyDescent="0.2">
      <c r="A43" s="2" t="s">
        <v>115</v>
      </c>
      <c r="B43" t="s">
        <v>229</v>
      </c>
      <c r="C43" t="s">
        <v>224</v>
      </c>
      <c r="D43" s="29" t="s">
        <v>757</v>
      </c>
    </row>
    <row r="44" spans="1:4" ht="14.25" x14ac:dyDescent="0.2">
      <c r="A44" s="2" t="s">
        <v>116</v>
      </c>
      <c r="B44" t="s">
        <v>230</v>
      </c>
      <c r="C44" t="s">
        <v>225</v>
      </c>
      <c r="D44" s="29" t="s">
        <v>757</v>
      </c>
    </row>
    <row r="45" spans="1:4" ht="14.25" x14ac:dyDescent="0.2">
      <c r="A45" s="2" t="s">
        <v>117</v>
      </c>
      <c r="B45" t="s">
        <v>231</v>
      </c>
      <c r="C45" t="s">
        <v>226</v>
      </c>
      <c r="D45" s="29" t="s">
        <v>757</v>
      </c>
    </row>
    <row r="46" spans="1:4" ht="14.25" x14ac:dyDescent="0.2">
      <c r="A46" s="2" t="s">
        <v>118</v>
      </c>
      <c r="B46" t="s">
        <v>232</v>
      </c>
      <c r="C46" t="s">
        <v>227</v>
      </c>
      <c r="D46" s="29" t="s">
        <v>757</v>
      </c>
    </row>
    <row r="47" spans="1:4" ht="14.25" x14ac:dyDescent="0.2">
      <c r="A47" s="2" t="s">
        <v>328</v>
      </c>
      <c r="B47" t="s">
        <v>331</v>
      </c>
      <c r="C47" t="s">
        <v>334</v>
      </c>
      <c r="D47" s="29" t="s">
        <v>757</v>
      </c>
    </row>
    <row r="48" spans="1:4" ht="14.25" x14ac:dyDescent="0.2">
      <c r="A48" s="2" t="s">
        <v>329</v>
      </c>
      <c r="B48" t="s">
        <v>332</v>
      </c>
      <c r="C48" t="s">
        <v>335</v>
      </c>
      <c r="D48" s="29" t="s">
        <v>757</v>
      </c>
    </row>
    <row r="49" spans="1:4" ht="14.25" x14ac:dyDescent="0.2">
      <c r="A49" s="2" t="s">
        <v>330</v>
      </c>
      <c r="B49" t="s">
        <v>333</v>
      </c>
      <c r="C49" t="s">
        <v>336</v>
      </c>
      <c r="D49" s="29" t="s">
        <v>757</v>
      </c>
    </row>
    <row r="50" spans="1:4" ht="14.25" x14ac:dyDescent="0.2">
      <c r="A50" s="2" t="s">
        <v>119</v>
      </c>
      <c r="B50" t="s">
        <v>233</v>
      </c>
      <c r="C50" t="s">
        <v>234</v>
      </c>
      <c r="D50" s="29" t="s">
        <v>757</v>
      </c>
    </row>
    <row r="51" spans="1:4" ht="14.25" x14ac:dyDescent="0.2">
      <c r="A51" s="2" t="s">
        <v>120</v>
      </c>
      <c r="B51" t="s">
        <v>235</v>
      </c>
      <c r="C51" t="s">
        <v>237</v>
      </c>
      <c r="D51" s="29" t="s">
        <v>757</v>
      </c>
    </row>
    <row r="52" spans="1:4" ht="14.25" x14ac:dyDescent="0.2">
      <c r="A52" s="2" t="s">
        <v>121</v>
      </c>
      <c r="B52" t="s">
        <v>236</v>
      </c>
      <c r="C52" t="s">
        <v>238</v>
      </c>
      <c r="D52" s="29" t="s">
        <v>757</v>
      </c>
    </row>
    <row r="53" spans="1:4" ht="14.25" x14ac:dyDescent="0.2">
      <c r="A53" s="2" t="s">
        <v>122</v>
      </c>
      <c r="B53" t="s">
        <v>239</v>
      </c>
      <c r="C53" t="s">
        <v>242</v>
      </c>
      <c r="D53" s="29" t="s">
        <v>757</v>
      </c>
    </row>
    <row r="54" spans="1:4" ht="14.25" x14ac:dyDescent="0.2">
      <c r="A54" s="2" t="s">
        <v>123</v>
      </c>
      <c r="B54" t="s">
        <v>240</v>
      </c>
      <c r="C54" t="s">
        <v>243</v>
      </c>
      <c r="D54" s="29" t="s">
        <v>757</v>
      </c>
    </row>
    <row r="55" spans="1:4" ht="14.25" x14ac:dyDescent="0.2">
      <c r="A55" s="2" t="s">
        <v>124</v>
      </c>
      <c r="B55" t="s">
        <v>241</v>
      </c>
      <c r="C55" t="s">
        <v>244</v>
      </c>
      <c r="D55" s="29" t="s">
        <v>757</v>
      </c>
    </row>
    <row r="56" spans="1:4" ht="14.25" x14ac:dyDescent="0.2">
      <c r="A56" s="2" t="s">
        <v>337</v>
      </c>
      <c r="B56" t="s">
        <v>340</v>
      </c>
      <c r="C56" t="s">
        <v>341</v>
      </c>
      <c r="D56" s="29" t="s">
        <v>757</v>
      </c>
    </row>
    <row r="57" spans="1:4" ht="14.25" x14ac:dyDescent="0.2">
      <c r="A57" s="2" t="s">
        <v>338</v>
      </c>
      <c r="B57" t="s">
        <v>342</v>
      </c>
      <c r="C57" t="s">
        <v>344</v>
      </c>
      <c r="D57" s="29" t="s">
        <v>757</v>
      </c>
    </row>
    <row r="58" spans="1:4" ht="14.25" x14ac:dyDescent="0.2">
      <c r="A58" s="2" t="s">
        <v>339</v>
      </c>
      <c r="B58" t="s">
        <v>343</v>
      </c>
      <c r="C58" t="s">
        <v>345</v>
      </c>
      <c r="D58" s="29" t="s">
        <v>757</v>
      </c>
    </row>
    <row r="59" spans="1:4" ht="14.25" x14ac:dyDescent="0.2">
      <c r="A59" s="2" t="s">
        <v>125</v>
      </c>
      <c r="B59" t="s">
        <v>245</v>
      </c>
      <c r="C59" t="s">
        <v>247</v>
      </c>
      <c r="D59" s="29" t="s">
        <v>757</v>
      </c>
    </row>
    <row r="60" spans="1:4" ht="14.25" x14ac:dyDescent="0.2">
      <c r="A60" s="2" t="s">
        <v>126</v>
      </c>
      <c r="B60" t="s">
        <v>246</v>
      </c>
      <c r="C60" t="s">
        <v>248</v>
      </c>
      <c r="D60" s="29" t="s">
        <v>757</v>
      </c>
    </row>
    <row r="61" spans="1:4" ht="14.25" x14ac:dyDescent="0.2">
      <c r="A61" s="2" t="s">
        <v>127</v>
      </c>
      <c r="B61" t="s">
        <v>249</v>
      </c>
      <c r="C61" t="s">
        <v>251</v>
      </c>
      <c r="D61" s="29" t="s">
        <v>757</v>
      </c>
    </row>
    <row r="62" spans="1:4" ht="14.25" x14ac:dyDescent="0.2">
      <c r="A62" s="2" t="s">
        <v>128</v>
      </c>
      <c r="B62" t="s">
        <v>250</v>
      </c>
      <c r="C62" t="s">
        <v>252</v>
      </c>
      <c r="D62" s="29" t="s">
        <v>757</v>
      </c>
    </row>
    <row r="63" spans="1:4" ht="14.25" x14ac:dyDescent="0.2">
      <c r="A63" s="2" t="s">
        <v>129</v>
      </c>
      <c r="B63" t="s">
        <v>253</v>
      </c>
      <c r="C63" t="s">
        <v>257</v>
      </c>
      <c r="D63" s="29" t="s">
        <v>757</v>
      </c>
    </row>
    <row r="64" spans="1:4" ht="14.25" x14ac:dyDescent="0.2">
      <c r="A64" s="2" t="s">
        <v>130</v>
      </c>
      <c r="B64" t="s">
        <v>254</v>
      </c>
      <c r="C64" t="s">
        <v>258</v>
      </c>
      <c r="D64" s="29" t="s">
        <v>757</v>
      </c>
    </row>
    <row r="65" spans="1:4" ht="14.25" x14ac:dyDescent="0.2">
      <c r="A65" s="2" t="s">
        <v>131</v>
      </c>
      <c r="B65" t="s">
        <v>255</v>
      </c>
      <c r="C65" t="s">
        <v>259</v>
      </c>
      <c r="D65" s="29" t="s">
        <v>757</v>
      </c>
    </row>
    <row r="66" spans="1:4" ht="14.25" x14ac:dyDescent="0.2">
      <c r="A66" s="2" t="s">
        <v>132</v>
      </c>
      <c r="B66" t="s">
        <v>256</v>
      </c>
      <c r="C66" t="s">
        <v>260</v>
      </c>
      <c r="D66" s="29" t="s">
        <v>757</v>
      </c>
    </row>
    <row r="67" spans="1:4" ht="14.25" x14ac:dyDescent="0.2">
      <c r="A67" s="2" t="s">
        <v>133</v>
      </c>
      <c r="B67" t="s">
        <v>261</v>
      </c>
      <c r="C67" t="s">
        <v>265</v>
      </c>
      <c r="D67" s="29" t="s">
        <v>757</v>
      </c>
    </row>
    <row r="68" spans="1:4" ht="14.25" x14ac:dyDescent="0.2">
      <c r="A68" s="2" t="s">
        <v>134</v>
      </c>
      <c r="B68" t="s">
        <v>262</v>
      </c>
      <c r="C68" t="s">
        <v>266</v>
      </c>
      <c r="D68" s="29" t="s">
        <v>757</v>
      </c>
    </row>
    <row r="69" spans="1:4" ht="14.25" x14ac:dyDescent="0.2">
      <c r="A69" s="2" t="s">
        <v>135</v>
      </c>
      <c r="B69" t="s">
        <v>263</v>
      </c>
      <c r="C69" t="s">
        <v>267</v>
      </c>
      <c r="D69" s="29" t="s">
        <v>757</v>
      </c>
    </row>
    <row r="70" spans="1:4" ht="14.25" x14ac:dyDescent="0.2">
      <c r="A70" s="2" t="s">
        <v>136</v>
      </c>
      <c r="B70" t="s">
        <v>264</v>
      </c>
      <c r="C70" t="s">
        <v>268</v>
      </c>
      <c r="D70" s="29" t="s">
        <v>757</v>
      </c>
    </row>
    <row r="71" spans="1:4" ht="14.25" x14ac:dyDescent="0.2">
      <c r="A71" s="2" t="s">
        <v>137</v>
      </c>
      <c r="B71" t="s">
        <v>269</v>
      </c>
      <c r="C71" t="s">
        <v>273</v>
      </c>
      <c r="D71" s="29" t="s">
        <v>757</v>
      </c>
    </row>
    <row r="72" spans="1:4" ht="14.25" x14ac:dyDescent="0.2">
      <c r="A72" s="2" t="s">
        <v>138</v>
      </c>
      <c r="B72" t="s">
        <v>270</v>
      </c>
      <c r="C72" t="s">
        <v>274</v>
      </c>
      <c r="D72" s="29" t="s">
        <v>757</v>
      </c>
    </row>
    <row r="73" spans="1:4" ht="14.25" x14ac:dyDescent="0.2">
      <c r="A73" s="2" t="s">
        <v>139</v>
      </c>
      <c r="B73" t="s">
        <v>271</v>
      </c>
      <c r="C73" t="s">
        <v>275</v>
      </c>
      <c r="D73" s="29" t="s">
        <v>757</v>
      </c>
    </row>
    <row r="74" spans="1:4" ht="14.25" x14ac:dyDescent="0.2">
      <c r="A74" s="2" t="s">
        <v>140</v>
      </c>
      <c r="B74" t="s">
        <v>272</v>
      </c>
      <c r="C74" t="s">
        <v>276</v>
      </c>
      <c r="D74" s="29" t="s">
        <v>757</v>
      </c>
    </row>
    <row r="75" spans="1:4" ht="14.25" x14ac:dyDescent="0.2">
      <c r="A75" s="2" t="s">
        <v>141</v>
      </c>
      <c r="B75" t="s">
        <v>277</v>
      </c>
      <c r="C75" t="s">
        <v>285</v>
      </c>
      <c r="D75" s="29" t="s">
        <v>757</v>
      </c>
    </row>
    <row r="76" spans="1:4" ht="14.25" x14ac:dyDescent="0.2">
      <c r="A76" s="2" t="s">
        <v>142</v>
      </c>
      <c r="B76" t="s">
        <v>278</v>
      </c>
      <c r="C76" t="s">
        <v>286</v>
      </c>
      <c r="D76" s="29" t="s">
        <v>757</v>
      </c>
    </row>
    <row r="77" spans="1:4" ht="14.25" x14ac:dyDescent="0.2">
      <c r="A77" s="2" t="s">
        <v>143</v>
      </c>
      <c r="B77" t="s">
        <v>279</v>
      </c>
      <c r="C77" t="s">
        <v>287</v>
      </c>
      <c r="D77" s="29" t="s">
        <v>757</v>
      </c>
    </row>
    <row r="78" spans="1:4" ht="14.25" x14ac:dyDescent="0.2">
      <c r="A78" s="2" t="s">
        <v>144</v>
      </c>
      <c r="B78" t="s">
        <v>280</v>
      </c>
      <c r="C78" t="s">
        <v>288</v>
      </c>
      <c r="D78" s="29" t="s">
        <v>757</v>
      </c>
    </row>
    <row r="79" spans="1:4" ht="14.25" x14ac:dyDescent="0.2">
      <c r="A79" s="2" t="s">
        <v>145</v>
      </c>
      <c r="B79" t="s">
        <v>281</v>
      </c>
      <c r="C79" t="s">
        <v>289</v>
      </c>
      <c r="D79" s="29" t="s">
        <v>757</v>
      </c>
    </row>
    <row r="80" spans="1:4" ht="14.25" x14ac:dyDescent="0.2">
      <c r="A80" s="2" t="s">
        <v>146</v>
      </c>
      <c r="B80" t="s">
        <v>282</v>
      </c>
      <c r="C80" t="s">
        <v>290</v>
      </c>
      <c r="D80" s="29" t="s">
        <v>757</v>
      </c>
    </row>
    <row r="81" spans="1:4" ht="14.25" x14ac:dyDescent="0.2">
      <c r="A81" s="2" t="s">
        <v>147</v>
      </c>
      <c r="B81" t="s">
        <v>283</v>
      </c>
      <c r="C81" t="s">
        <v>291</v>
      </c>
      <c r="D81" s="29" t="s">
        <v>757</v>
      </c>
    </row>
    <row r="82" spans="1:4" ht="14.25" x14ac:dyDescent="0.2">
      <c r="A82" s="2" t="s">
        <v>148</v>
      </c>
      <c r="B82" t="s">
        <v>284</v>
      </c>
      <c r="C82" t="s">
        <v>292</v>
      </c>
      <c r="D82" s="29" t="s">
        <v>757</v>
      </c>
    </row>
    <row r="83" spans="1:4" x14ac:dyDescent="0.2">
      <c r="A83" s="2"/>
    </row>
    <row r="84" spans="1:4" x14ac:dyDescent="0.2">
      <c r="A84" s="2"/>
    </row>
    <row r="85" spans="1:4" x14ac:dyDescent="0.2">
      <c r="A85" s="2"/>
    </row>
    <row r="86" spans="1:4" x14ac:dyDescent="0.2">
      <c r="A86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</sheetPr>
  <dimension ref="A1:C44"/>
  <sheetViews>
    <sheetView workbookViewId="0">
      <selection activeCell="C41" sqref="C41"/>
    </sheetView>
  </sheetViews>
  <sheetFormatPr defaultRowHeight="12.75" x14ac:dyDescent="0.2"/>
  <cols>
    <col min="1" max="1" width="9.85546875" bestFit="1" customWidth="1"/>
    <col min="2" max="2" width="31.140625" bestFit="1" customWidth="1"/>
    <col min="3" max="3" width="138.42578125" bestFit="1" customWidth="1"/>
  </cols>
  <sheetData>
    <row r="1" spans="1:3" x14ac:dyDescent="0.2">
      <c r="A1" s="1" t="s">
        <v>454</v>
      </c>
      <c r="B1" s="1" t="s">
        <v>455</v>
      </c>
      <c r="C1" s="1" t="s">
        <v>456</v>
      </c>
    </row>
    <row r="2" spans="1:3" x14ac:dyDescent="0.2">
      <c r="A2" t="s">
        <v>467</v>
      </c>
      <c r="B2" t="s">
        <v>314</v>
      </c>
      <c r="C2" t="s">
        <v>584</v>
      </c>
    </row>
    <row r="3" spans="1:3" x14ac:dyDescent="0.2">
      <c r="A3" t="s">
        <v>468</v>
      </c>
      <c r="B3" t="s">
        <v>586</v>
      </c>
      <c r="C3" t="s">
        <v>585</v>
      </c>
    </row>
    <row r="4" spans="1:3" x14ac:dyDescent="0.2">
      <c r="A4" s="2" t="s">
        <v>5</v>
      </c>
      <c r="B4" t="s">
        <v>374</v>
      </c>
      <c r="C4" t="s">
        <v>373</v>
      </c>
    </row>
    <row r="5" spans="1:3" x14ac:dyDescent="0.2">
      <c r="A5" s="2" t="s">
        <v>362</v>
      </c>
      <c r="B5" t="s">
        <v>376</v>
      </c>
      <c r="C5" t="s">
        <v>375</v>
      </c>
    </row>
    <row r="6" spans="1:3" x14ac:dyDescent="0.2">
      <c r="A6" s="2" t="s">
        <v>6</v>
      </c>
      <c r="B6" t="s">
        <v>380</v>
      </c>
      <c r="C6" t="s">
        <v>377</v>
      </c>
    </row>
    <row r="7" spans="1:3" x14ac:dyDescent="0.2">
      <c r="A7" s="2" t="s">
        <v>363</v>
      </c>
      <c r="B7" t="s">
        <v>379</v>
      </c>
      <c r="C7" t="s">
        <v>378</v>
      </c>
    </row>
    <row r="8" spans="1:3" x14ac:dyDescent="0.2">
      <c r="A8" s="2" t="s">
        <v>364</v>
      </c>
      <c r="B8" t="s">
        <v>382</v>
      </c>
      <c r="C8" t="s">
        <v>381</v>
      </c>
    </row>
    <row r="9" spans="1:3" x14ac:dyDescent="0.2">
      <c r="A9" s="2" t="s">
        <v>365</v>
      </c>
      <c r="B9" t="s">
        <v>383</v>
      </c>
      <c r="C9" t="s">
        <v>384</v>
      </c>
    </row>
    <row r="10" spans="1:3" x14ac:dyDescent="0.2">
      <c r="A10" s="2" t="s">
        <v>444</v>
      </c>
      <c r="B10" t="s">
        <v>385</v>
      </c>
      <c r="C10" t="s">
        <v>386</v>
      </c>
    </row>
    <row r="11" spans="1:3" x14ac:dyDescent="0.2">
      <c r="A11" s="2" t="s">
        <v>366</v>
      </c>
      <c r="B11" t="s">
        <v>387</v>
      </c>
      <c r="C11" t="s">
        <v>388</v>
      </c>
    </row>
    <row r="12" spans="1:3" x14ac:dyDescent="0.2">
      <c r="A12" s="2" t="s">
        <v>367</v>
      </c>
      <c r="B12" t="s">
        <v>390</v>
      </c>
      <c r="C12" t="s">
        <v>389</v>
      </c>
    </row>
    <row r="13" spans="1:3" x14ac:dyDescent="0.2">
      <c r="A13" s="2" t="s">
        <v>7</v>
      </c>
      <c r="B13" t="s">
        <v>392</v>
      </c>
      <c r="C13" t="s">
        <v>391</v>
      </c>
    </row>
    <row r="14" spans="1:3" x14ac:dyDescent="0.2">
      <c r="A14" s="2" t="s">
        <v>8</v>
      </c>
      <c r="B14" t="s">
        <v>394</v>
      </c>
      <c r="C14" t="s">
        <v>393</v>
      </c>
    </row>
    <row r="15" spans="1:3" x14ac:dyDescent="0.2">
      <c r="A15" s="2" t="s">
        <v>9</v>
      </c>
      <c r="B15" t="s">
        <v>396</v>
      </c>
      <c r="C15" t="s">
        <v>395</v>
      </c>
    </row>
    <row r="16" spans="1:3" x14ac:dyDescent="0.2">
      <c r="A16" s="2" t="s">
        <v>10</v>
      </c>
      <c r="B16" t="s">
        <v>398</v>
      </c>
      <c r="C16" t="s">
        <v>397</v>
      </c>
    </row>
    <row r="17" spans="1:3" x14ac:dyDescent="0.2">
      <c r="A17" s="2" t="s">
        <v>11</v>
      </c>
      <c r="B17" t="s">
        <v>558</v>
      </c>
      <c r="C17" t="s">
        <v>559</v>
      </c>
    </row>
    <row r="18" spans="1:3" x14ac:dyDescent="0.2">
      <c r="A18" s="2" t="s">
        <v>368</v>
      </c>
      <c r="B18" t="s">
        <v>400</v>
      </c>
      <c r="C18" t="s">
        <v>399</v>
      </c>
    </row>
    <row r="19" spans="1:3" x14ac:dyDescent="0.2">
      <c r="A19" s="2" t="s">
        <v>12</v>
      </c>
      <c r="B19" t="s">
        <v>402</v>
      </c>
      <c r="C19" t="s">
        <v>401</v>
      </c>
    </row>
    <row r="20" spans="1:3" x14ac:dyDescent="0.2">
      <c r="A20" s="2" t="s">
        <v>13</v>
      </c>
      <c r="B20" t="s">
        <v>404</v>
      </c>
      <c r="C20" t="s">
        <v>403</v>
      </c>
    </row>
    <row r="21" spans="1:3" x14ac:dyDescent="0.2">
      <c r="A21" s="2" t="s">
        <v>15</v>
      </c>
      <c r="B21" t="s">
        <v>406</v>
      </c>
      <c r="C21" t="s">
        <v>405</v>
      </c>
    </row>
    <row r="22" spans="1:3" x14ac:dyDescent="0.2">
      <c r="A22" s="2" t="s">
        <v>566</v>
      </c>
      <c r="B22" t="s">
        <v>564</v>
      </c>
      <c r="C22" t="s">
        <v>565</v>
      </c>
    </row>
    <row r="23" spans="1:3" x14ac:dyDescent="0.2">
      <c r="A23" s="2" t="s">
        <v>583</v>
      </c>
      <c r="B23" t="s">
        <v>410</v>
      </c>
      <c r="C23" t="s">
        <v>587</v>
      </c>
    </row>
    <row r="24" spans="1:3" x14ac:dyDescent="0.2">
      <c r="A24" s="2" t="s">
        <v>466</v>
      </c>
      <c r="B24" t="s">
        <v>408</v>
      </c>
      <c r="C24" t="s">
        <v>407</v>
      </c>
    </row>
    <row r="25" spans="1:3" x14ac:dyDescent="0.2">
      <c r="A25" s="2" t="s">
        <v>560</v>
      </c>
      <c r="B25" t="s">
        <v>561</v>
      </c>
      <c r="C25" t="s">
        <v>562</v>
      </c>
    </row>
    <row r="26" spans="1:3" x14ac:dyDescent="0.2">
      <c r="A26" s="2" t="s">
        <v>563</v>
      </c>
      <c r="B26" t="s">
        <v>413</v>
      </c>
      <c r="C26" t="s">
        <v>412</v>
      </c>
    </row>
    <row r="27" spans="1:3" x14ac:dyDescent="0.2">
      <c r="A27" s="2" t="s">
        <v>472</v>
      </c>
      <c r="B27" t="s">
        <v>415</v>
      </c>
      <c r="C27" t="s">
        <v>414</v>
      </c>
    </row>
    <row r="28" spans="1:3" x14ac:dyDescent="0.2">
      <c r="A28" s="2" t="s">
        <v>16</v>
      </c>
      <c r="B28" t="s">
        <v>567</v>
      </c>
      <c r="C28" t="s">
        <v>568</v>
      </c>
    </row>
    <row r="29" spans="1:3" x14ac:dyDescent="0.2">
      <c r="A29" s="2" t="s">
        <v>17</v>
      </c>
      <c r="B29" t="s">
        <v>411</v>
      </c>
      <c r="C29" t="s">
        <v>409</v>
      </c>
    </row>
    <row r="30" spans="1:3" x14ac:dyDescent="0.2">
      <c r="A30" s="2" t="s">
        <v>18</v>
      </c>
      <c r="B30" t="s">
        <v>417</v>
      </c>
      <c r="C30" t="s">
        <v>416</v>
      </c>
    </row>
    <row r="31" spans="1:3" x14ac:dyDescent="0.2">
      <c r="A31" s="2" t="s">
        <v>19</v>
      </c>
      <c r="B31" t="s">
        <v>418</v>
      </c>
      <c r="C31" t="s">
        <v>419</v>
      </c>
    </row>
    <row r="32" spans="1:3" x14ac:dyDescent="0.2">
      <c r="A32" s="2" t="s">
        <v>20</v>
      </c>
      <c r="B32" t="s">
        <v>421</v>
      </c>
      <c r="C32" t="s">
        <v>420</v>
      </c>
    </row>
    <row r="33" spans="1:3" x14ac:dyDescent="0.2">
      <c r="A33" s="2" t="s">
        <v>21</v>
      </c>
      <c r="B33" t="s">
        <v>423</v>
      </c>
      <c r="C33" t="s">
        <v>422</v>
      </c>
    </row>
    <row r="34" spans="1:3" x14ac:dyDescent="0.2">
      <c r="A34" s="2" t="s">
        <v>22</v>
      </c>
      <c r="B34" t="s">
        <v>425</v>
      </c>
      <c r="C34" t="s">
        <v>424</v>
      </c>
    </row>
    <row r="35" spans="1:3" x14ac:dyDescent="0.2">
      <c r="A35" s="2" t="s">
        <v>23</v>
      </c>
      <c r="B35" t="s">
        <v>426</v>
      </c>
      <c r="C35" t="s">
        <v>427</v>
      </c>
    </row>
    <row r="36" spans="1:3" x14ac:dyDescent="0.2">
      <c r="A36" s="2" t="s">
        <v>369</v>
      </c>
      <c r="B36" t="s">
        <v>429</v>
      </c>
      <c r="C36" t="s">
        <v>428</v>
      </c>
    </row>
    <row r="37" spans="1:3" x14ac:dyDescent="0.2">
      <c r="A37" s="2" t="s">
        <v>370</v>
      </c>
      <c r="B37" t="s">
        <v>431</v>
      </c>
      <c r="C37" t="s">
        <v>430</v>
      </c>
    </row>
    <row r="38" spans="1:3" x14ac:dyDescent="0.2">
      <c r="A38" s="2" t="s">
        <v>371</v>
      </c>
      <c r="B38" t="s">
        <v>434</v>
      </c>
      <c r="C38" t="s">
        <v>432</v>
      </c>
    </row>
    <row r="39" spans="1:3" x14ac:dyDescent="0.2">
      <c r="A39" s="2" t="s">
        <v>372</v>
      </c>
      <c r="B39" t="s">
        <v>435</v>
      </c>
      <c r="C39" t="s">
        <v>433</v>
      </c>
    </row>
    <row r="40" spans="1:3" x14ac:dyDescent="0.2">
      <c r="A40" s="2" t="s">
        <v>24</v>
      </c>
      <c r="B40" t="s">
        <v>437</v>
      </c>
      <c r="C40" t="s">
        <v>436</v>
      </c>
    </row>
    <row r="41" spans="1:3" x14ac:dyDescent="0.2">
      <c r="A41" s="2" t="s">
        <v>25</v>
      </c>
      <c r="B41" t="s">
        <v>438</v>
      </c>
      <c r="C41" t="s">
        <v>441</v>
      </c>
    </row>
    <row r="42" spans="1:3" x14ac:dyDescent="0.2">
      <c r="A42" s="2" t="s">
        <v>26</v>
      </c>
      <c r="B42" t="s">
        <v>439</v>
      </c>
      <c r="C42" t="s">
        <v>442</v>
      </c>
    </row>
    <row r="43" spans="1:3" x14ac:dyDescent="0.2">
      <c r="A43" s="2" t="s">
        <v>27</v>
      </c>
      <c r="B43" t="s">
        <v>440</v>
      </c>
      <c r="C43" t="s">
        <v>443</v>
      </c>
    </row>
    <row r="44" spans="1:3" x14ac:dyDescent="0.2">
      <c r="A4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</sheetPr>
  <dimension ref="A1:D104"/>
  <sheetViews>
    <sheetView zoomScaleNormal="100" workbookViewId="0">
      <selection activeCell="C18" sqref="C18"/>
    </sheetView>
  </sheetViews>
  <sheetFormatPr defaultRowHeight="12.75" x14ac:dyDescent="0.2"/>
  <cols>
    <col min="1" max="1" width="31" bestFit="1" customWidth="1"/>
    <col min="2" max="2" width="51" bestFit="1" customWidth="1"/>
    <col min="3" max="3" width="133.7109375" bestFit="1" customWidth="1"/>
    <col min="4" max="4" width="37.28515625" bestFit="1" customWidth="1"/>
  </cols>
  <sheetData>
    <row r="1" spans="1:4" x14ac:dyDescent="0.2">
      <c r="A1" s="23" t="s">
        <v>354</v>
      </c>
      <c r="B1" s="23" t="s">
        <v>355</v>
      </c>
      <c r="C1" s="23" t="s">
        <v>356</v>
      </c>
      <c r="D1" s="23" t="s">
        <v>32</v>
      </c>
    </row>
    <row r="2" spans="1:4" ht="14.25" x14ac:dyDescent="0.2">
      <c r="A2" s="26" t="s">
        <v>604</v>
      </c>
      <c r="B2" s="26" t="s">
        <v>605</v>
      </c>
      <c r="C2" s="26" t="s">
        <v>606</v>
      </c>
      <c r="D2" s="29" t="s">
        <v>757</v>
      </c>
    </row>
    <row r="3" spans="1:4" ht="14.25" x14ac:dyDescent="0.2">
      <c r="A3" s="2" t="s">
        <v>639</v>
      </c>
      <c r="B3" t="s">
        <v>647</v>
      </c>
      <c r="C3" t="s">
        <v>352</v>
      </c>
      <c r="D3" s="29" t="s">
        <v>758</v>
      </c>
    </row>
    <row r="4" spans="1:4" ht="14.25" x14ac:dyDescent="0.2">
      <c r="A4" s="2" t="s">
        <v>597</v>
      </c>
      <c r="B4" t="s">
        <v>598</v>
      </c>
      <c r="C4" t="s">
        <v>599</v>
      </c>
      <c r="D4" s="29" t="s">
        <v>757</v>
      </c>
    </row>
    <row r="5" spans="1:4" ht="14.25" x14ac:dyDescent="0.2">
      <c r="A5" s="2" t="s">
        <v>810</v>
      </c>
      <c r="B5" t="s">
        <v>811</v>
      </c>
      <c r="C5" t="s">
        <v>812</v>
      </c>
      <c r="D5" s="29" t="s">
        <v>757</v>
      </c>
    </row>
    <row r="6" spans="1:4" ht="14.25" x14ac:dyDescent="0.2">
      <c r="A6" s="2" t="s">
        <v>813</v>
      </c>
      <c r="B6" t="s">
        <v>814</v>
      </c>
      <c r="C6" t="s">
        <v>815</v>
      </c>
      <c r="D6" s="29" t="s">
        <v>757</v>
      </c>
    </row>
    <row r="7" spans="1:4" ht="14.25" x14ac:dyDescent="0.2">
      <c r="A7" s="2" t="s">
        <v>827</v>
      </c>
      <c r="B7" t="s">
        <v>828</v>
      </c>
      <c r="C7" t="s">
        <v>829</v>
      </c>
      <c r="D7" s="29" t="s">
        <v>758</v>
      </c>
    </row>
    <row r="8" spans="1:4" x14ac:dyDescent="0.2">
      <c r="A8" s="24" t="s">
        <v>622</v>
      </c>
      <c r="B8" s="25" t="s">
        <v>625</v>
      </c>
      <c r="C8" s="25" t="s">
        <v>624</v>
      </c>
      <c r="D8" s="30" t="s">
        <v>600</v>
      </c>
    </row>
    <row r="9" spans="1:4" x14ac:dyDescent="0.2">
      <c r="A9" s="21" t="s">
        <v>609</v>
      </c>
      <c r="B9" s="22" t="s">
        <v>621</v>
      </c>
      <c r="C9" s="22" t="s">
        <v>623</v>
      </c>
      <c r="D9" s="31" t="s">
        <v>353</v>
      </c>
    </row>
    <row r="10" spans="1:4" x14ac:dyDescent="0.2">
      <c r="A10" s="2" t="s">
        <v>710</v>
      </c>
      <c r="B10" t="s">
        <v>708</v>
      </c>
      <c r="C10" t="s">
        <v>709</v>
      </c>
      <c r="D10" s="29" t="s">
        <v>353</v>
      </c>
    </row>
    <row r="11" spans="1:4" x14ac:dyDescent="0.2">
      <c r="A11" s="2" t="s">
        <v>711</v>
      </c>
      <c r="B11" t="s">
        <v>713</v>
      </c>
      <c r="C11" t="s">
        <v>715</v>
      </c>
      <c r="D11" s="29" t="s">
        <v>353</v>
      </c>
    </row>
    <row r="12" spans="1:4" x14ac:dyDescent="0.2">
      <c r="A12" s="2" t="s">
        <v>712</v>
      </c>
      <c r="B12" t="s">
        <v>714</v>
      </c>
      <c r="C12" t="s">
        <v>716</v>
      </c>
      <c r="D12" s="29" t="s">
        <v>353</v>
      </c>
    </row>
    <row r="13" spans="1:4" x14ac:dyDescent="0.2">
      <c r="A13" s="2" t="s">
        <v>610</v>
      </c>
      <c r="B13" t="s">
        <v>626</v>
      </c>
      <c r="C13" t="s">
        <v>457</v>
      </c>
      <c r="D13" s="29" t="s">
        <v>353</v>
      </c>
    </row>
    <row r="14" spans="1:4" x14ac:dyDescent="0.2">
      <c r="A14" s="2" t="s">
        <v>611</v>
      </c>
      <c r="B14" t="s">
        <v>627</v>
      </c>
      <c r="C14" t="s">
        <v>607</v>
      </c>
      <c r="D14" s="29" t="s">
        <v>353</v>
      </c>
    </row>
    <row r="15" spans="1:4" x14ac:dyDescent="0.2">
      <c r="A15" s="2" t="s">
        <v>612</v>
      </c>
      <c r="B15" t="s">
        <v>628</v>
      </c>
      <c r="C15" t="s">
        <v>721</v>
      </c>
      <c r="D15" s="29" t="s">
        <v>353</v>
      </c>
    </row>
    <row r="16" spans="1:4" x14ac:dyDescent="0.2">
      <c r="A16" s="2" t="s">
        <v>613</v>
      </c>
      <c r="B16" t="s">
        <v>629</v>
      </c>
      <c r="C16" t="s">
        <v>722</v>
      </c>
      <c r="D16" s="29" t="s">
        <v>353</v>
      </c>
    </row>
    <row r="17" spans="1:4" x14ac:dyDescent="0.2">
      <c r="A17" s="21" t="s">
        <v>614</v>
      </c>
      <c r="B17" s="22" t="s">
        <v>630</v>
      </c>
      <c r="C17" s="22" t="s">
        <v>723</v>
      </c>
      <c r="D17" s="31" t="s">
        <v>353</v>
      </c>
    </row>
    <row r="18" spans="1:4" ht="13.5" customHeight="1" x14ac:dyDescent="0.2">
      <c r="A18" s="2" t="s">
        <v>717</v>
      </c>
      <c r="B18" t="s">
        <v>719</v>
      </c>
      <c r="C18" t="s">
        <v>724</v>
      </c>
      <c r="D18" s="29" t="s">
        <v>726</v>
      </c>
    </row>
    <row r="19" spans="1:4" x14ac:dyDescent="0.2">
      <c r="A19" s="21" t="s">
        <v>718</v>
      </c>
      <c r="B19" s="22" t="s">
        <v>720</v>
      </c>
      <c r="C19" s="22" t="s">
        <v>725</v>
      </c>
      <c r="D19" s="31" t="s">
        <v>726</v>
      </c>
    </row>
    <row r="20" spans="1:4" x14ac:dyDescent="0.2">
      <c r="A20" s="24" t="s">
        <v>608</v>
      </c>
      <c r="B20" s="25" t="s">
        <v>631</v>
      </c>
      <c r="C20" s="25" t="s">
        <v>458</v>
      </c>
      <c r="D20" s="29" t="s">
        <v>759</v>
      </c>
    </row>
    <row r="21" spans="1:4" x14ac:dyDescent="0.2">
      <c r="A21" s="21" t="s">
        <v>727</v>
      </c>
      <c r="B21" s="22" t="s">
        <v>728</v>
      </c>
      <c r="C21" s="22" t="s">
        <v>729</v>
      </c>
      <c r="D21" s="31" t="s">
        <v>759</v>
      </c>
    </row>
    <row r="22" spans="1:4" x14ac:dyDescent="0.2">
      <c r="A22" s="21" t="s">
        <v>615</v>
      </c>
      <c r="B22" s="22" t="s">
        <v>632</v>
      </c>
      <c r="C22" s="22" t="s">
        <v>633</v>
      </c>
      <c r="D22" s="31" t="s">
        <v>353</v>
      </c>
    </row>
    <row r="23" spans="1:4" ht="14.25" x14ac:dyDescent="0.2">
      <c r="A23" s="2" t="s">
        <v>445</v>
      </c>
      <c r="B23" t="s">
        <v>641</v>
      </c>
      <c r="C23" t="s">
        <v>643</v>
      </c>
      <c r="D23" s="29" t="s">
        <v>757</v>
      </c>
    </row>
    <row r="24" spans="1:4" x14ac:dyDescent="0.2">
      <c r="A24" s="21" t="s">
        <v>616</v>
      </c>
      <c r="B24" s="22" t="s">
        <v>642</v>
      </c>
      <c r="C24" s="22" t="s">
        <v>644</v>
      </c>
      <c r="D24" s="31" t="s">
        <v>35</v>
      </c>
    </row>
    <row r="25" spans="1:4" ht="14.25" x14ac:dyDescent="0.2">
      <c r="A25" s="24" t="s">
        <v>447</v>
      </c>
      <c r="B25" s="25" t="s">
        <v>357</v>
      </c>
      <c r="C25" s="25" t="s">
        <v>635</v>
      </c>
      <c r="D25" s="29" t="s">
        <v>757</v>
      </c>
    </row>
    <row r="26" spans="1:4" ht="14.25" x14ac:dyDescent="0.2">
      <c r="A26" s="2" t="s">
        <v>617</v>
      </c>
      <c r="B26" t="s">
        <v>640</v>
      </c>
      <c r="C26" t="s">
        <v>645</v>
      </c>
      <c r="D26" s="29" t="s">
        <v>757</v>
      </c>
    </row>
    <row r="27" spans="1:4" ht="14.25" x14ac:dyDescent="0.2">
      <c r="A27" s="21" t="s">
        <v>446</v>
      </c>
      <c r="B27" s="22" t="s">
        <v>358</v>
      </c>
      <c r="C27" s="22" t="s">
        <v>651</v>
      </c>
      <c r="D27" s="29" t="s">
        <v>757</v>
      </c>
    </row>
    <row r="28" spans="1:4" x14ac:dyDescent="0.2">
      <c r="A28" s="2" t="s">
        <v>618</v>
      </c>
      <c r="B28" t="s">
        <v>620</v>
      </c>
      <c r="C28" t="s">
        <v>636</v>
      </c>
      <c r="D28" s="30" t="s">
        <v>761</v>
      </c>
    </row>
    <row r="29" spans="1:4" x14ac:dyDescent="0.2">
      <c r="A29" s="21" t="s">
        <v>619</v>
      </c>
      <c r="B29" s="22" t="s">
        <v>634</v>
      </c>
      <c r="C29" s="22" t="s">
        <v>637</v>
      </c>
      <c r="D29" s="29" t="s">
        <v>761</v>
      </c>
    </row>
    <row r="30" spans="1:4" ht="14.25" x14ac:dyDescent="0.2">
      <c r="A30" s="24" t="s">
        <v>638</v>
      </c>
      <c r="B30" s="25" t="s">
        <v>646</v>
      </c>
      <c r="C30" s="25" t="s">
        <v>649</v>
      </c>
      <c r="D30" s="30" t="s">
        <v>760</v>
      </c>
    </row>
    <row r="31" spans="1:4" ht="14.25" x14ac:dyDescent="0.2">
      <c r="A31" s="2" t="s">
        <v>730</v>
      </c>
      <c r="B31" t="s">
        <v>743</v>
      </c>
      <c r="C31" t="s">
        <v>744</v>
      </c>
      <c r="D31" s="29" t="s">
        <v>760</v>
      </c>
    </row>
    <row r="32" spans="1:4" ht="14.25" x14ac:dyDescent="0.2">
      <c r="A32" s="21" t="s">
        <v>707</v>
      </c>
      <c r="B32" s="22" t="s">
        <v>648</v>
      </c>
      <c r="C32" s="22" t="s">
        <v>650</v>
      </c>
      <c r="D32" s="31" t="s">
        <v>760</v>
      </c>
    </row>
    <row r="33" spans="1:4" x14ac:dyDescent="0.2">
      <c r="A33" s="2" t="s">
        <v>816</v>
      </c>
      <c r="B33" t="s">
        <v>817</v>
      </c>
      <c r="C33" t="s">
        <v>818</v>
      </c>
      <c r="D33" s="29" t="s">
        <v>819</v>
      </c>
    </row>
    <row r="34" spans="1:4" x14ac:dyDescent="0.2">
      <c r="A34" s="2" t="s">
        <v>820</v>
      </c>
      <c r="B34" t="s">
        <v>821</v>
      </c>
      <c r="C34" t="s">
        <v>822</v>
      </c>
      <c r="D34" s="29" t="s">
        <v>823</v>
      </c>
    </row>
    <row r="35" spans="1:4" x14ac:dyDescent="0.2">
      <c r="A35" s="2" t="s">
        <v>824</v>
      </c>
      <c r="B35" t="s">
        <v>817</v>
      </c>
      <c r="C35" t="s">
        <v>825</v>
      </c>
      <c r="D35" s="29" t="s">
        <v>826</v>
      </c>
    </row>
    <row r="36" spans="1:4" ht="14.25" x14ac:dyDescent="0.2">
      <c r="A36" s="24" t="s">
        <v>731</v>
      </c>
      <c r="B36" s="25" t="s">
        <v>739</v>
      </c>
      <c r="C36" s="25" t="s">
        <v>749</v>
      </c>
      <c r="D36" s="30" t="s">
        <v>757</v>
      </c>
    </row>
    <row r="37" spans="1:4" ht="14.25" x14ac:dyDescent="0.2">
      <c r="A37" s="2" t="s">
        <v>732</v>
      </c>
      <c r="B37" t="s">
        <v>740</v>
      </c>
      <c r="C37" t="s">
        <v>751</v>
      </c>
      <c r="D37" s="29" t="s">
        <v>757</v>
      </c>
    </row>
    <row r="38" spans="1:4" ht="14.25" x14ac:dyDescent="0.2">
      <c r="A38" s="2" t="s">
        <v>733</v>
      </c>
      <c r="B38" t="s">
        <v>741</v>
      </c>
      <c r="C38" t="s">
        <v>750</v>
      </c>
      <c r="D38" s="29" t="s">
        <v>757</v>
      </c>
    </row>
    <row r="39" spans="1:4" ht="14.25" x14ac:dyDescent="0.2">
      <c r="A39" s="21" t="s">
        <v>734</v>
      </c>
      <c r="B39" s="22" t="s">
        <v>742</v>
      </c>
      <c r="C39" s="22" t="s">
        <v>752</v>
      </c>
      <c r="D39" s="29" t="s">
        <v>757</v>
      </c>
    </row>
    <row r="40" spans="1:4" x14ac:dyDescent="0.2">
      <c r="A40" s="2" t="s">
        <v>735</v>
      </c>
      <c r="B40" t="s">
        <v>745</v>
      </c>
      <c r="C40" t="s">
        <v>753</v>
      </c>
      <c r="D40" s="30" t="s">
        <v>761</v>
      </c>
    </row>
    <row r="41" spans="1:4" x14ac:dyDescent="0.2">
      <c r="A41" s="2" t="s">
        <v>736</v>
      </c>
      <c r="B41" t="s">
        <v>746</v>
      </c>
      <c r="C41" t="s">
        <v>754</v>
      </c>
      <c r="D41" s="29" t="s">
        <v>761</v>
      </c>
    </row>
    <row r="42" spans="1:4" x14ac:dyDescent="0.2">
      <c r="A42" t="s">
        <v>737</v>
      </c>
      <c r="B42" t="s">
        <v>747</v>
      </c>
      <c r="C42" t="s">
        <v>755</v>
      </c>
      <c r="D42" s="29" t="s">
        <v>761</v>
      </c>
    </row>
    <row r="43" spans="1:4" x14ac:dyDescent="0.2">
      <c r="A43" s="22" t="s">
        <v>738</v>
      </c>
      <c r="B43" s="22" t="s">
        <v>748</v>
      </c>
      <c r="C43" s="22" t="s">
        <v>756</v>
      </c>
      <c r="D43" s="29" t="s">
        <v>761</v>
      </c>
    </row>
    <row r="44" spans="1:4" ht="14.25" x14ac:dyDescent="0.2">
      <c r="A44" s="2" t="s">
        <v>448</v>
      </c>
      <c r="B44" t="s">
        <v>601</v>
      </c>
      <c r="C44" t="s">
        <v>660</v>
      </c>
      <c r="D44" s="30" t="s">
        <v>757</v>
      </c>
    </row>
    <row r="45" spans="1:4" ht="14.25" x14ac:dyDescent="0.2">
      <c r="A45" s="2" t="s">
        <v>652</v>
      </c>
      <c r="B45" t="s">
        <v>658</v>
      </c>
      <c r="C45" t="s">
        <v>659</v>
      </c>
      <c r="D45" s="29" t="s">
        <v>757</v>
      </c>
    </row>
    <row r="46" spans="1:4" ht="14.25" x14ac:dyDescent="0.2">
      <c r="A46" s="2" t="s">
        <v>449</v>
      </c>
      <c r="B46" t="s">
        <v>655</v>
      </c>
      <c r="C46" t="s">
        <v>602</v>
      </c>
      <c r="D46" s="29" t="s">
        <v>757</v>
      </c>
    </row>
    <row r="47" spans="1:4" ht="14.25" x14ac:dyDescent="0.2">
      <c r="A47" s="2" t="s">
        <v>653</v>
      </c>
      <c r="B47" t="s">
        <v>656</v>
      </c>
      <c r="C47" t="s">
        <v>603</v>
      </c>
      <c r="D47" s="29" t="s">
        <v>757</v>
      </c>
    </row>
    <row r="48" spans="1:4" ht="14.25" x14ac:dyDescent="0.2">
      <c r="A48" s="21" t="s">
        <v>654</v>
      </c>
      <c r="B48" s="22" t="s">
        <v>657</v>
      </c>
      <c r="C48" s="22" t="s">
        <v>661</v>
      </c>
      <c r="D48" s="29" t="s">
        <v>757</v>
      </c>
    </row>
    <row r="49" spans="1:4" x14ac:dyDescent="0.2">
      <c r="A49" s="9" t="s">
        <v>662</v>
      </c>
      <c r="B49" s="26" t="s">
        <v>663</v>
      </c>
      <c r="C49" s="26" t="s">
        <v>672</v>
      </c>
      <c r="D49" s="30" t="s">
        <v>761</v>
      </c>
    </row>
    <row r="50" spans="1:4" x14ac:dyDescent="0.2">
      <c r="A50" s="9" t="s">
        <v>664</v>
      </c>
      <c r="B50" s="26" t="s">
        <v>668</v>
      </c>
      <c r="C50" s="26" t="s">
        <v>673</v>
      </c>
      <c r="D50" s="29" t="s">
        <v>761</v>
      </c>
    </row>
    <row r="51" spans="1:4" x14ac:dyDescent="0.2">
      <c r="A51" s="9" t="s">
        <v>665</v>
      </c>
      <c r="B51" s="26" t="s">
        <v>669</v>
      </c>
      <c r="C51" s="26" t="s">
        <v>674</v>
      </c>
      <c r="D51" s="29" t="s">
        <v>761</v>
      </c>
    </row>
    <row r="52" spans="1:4" x14ac:dyDescent="0.2">
      <c r="A52" s="9" t="s">
        <v>666</v>
      </c>
      <c r="B52" s="26" t="s">
        <v>670</v>
      </c>
      <c r="C52" s="26" t="s">
        <v>675</v>
      </c>
      <c r="D52" s="29" t="s">
        <v>761</v>
      </c>
    </row>
    <row r="53" spans="1:4" x14ac:dyDescent="0.2">
      <c r="A53" s="27" t="s">
        <v>667</v>
      </c>
      <c r="B53" s="28" t="s">
        <v>671</v>
      </c>
      <c r="C53" s="28" t="s">
        <v>676</v>
      </c>
      <c r="D53" s="29" t="s">
        <v>761</v>
      </c>
    </row>
    <row r="54" spans="1:4" x14ac:dyDescent="0.2">
      <c r="A54" s="9" t="s">
        <v>701</v>
      </c>
      <c r="B54" s="26" t="s">
        <v>702</v>
      </c>
      <c r="C54" s="26" t="s">
        <v>703</v>
      </c>
      <c r="D54" s="30" t="s">
        <v>761</v>
      </c>
    </row>
    <row r="55" spans="1:4" x14ac:dyDescent="0.2">
      <c r="A55" s="9" t="s">
        <v>677</v>
      </c>
      <c r="B55" s="26" t="s">
        <v>685</v>
      </c>
      <c r="C55" s="26" t="s">
        <v>694</v>
      </c>
      <c r="D55" s="29" t="s">
        <v>761</v>
      </c>
    </row>
    <row r="56" spans="1:4" x14ac:dyDescent="0.2">
      <c r="A56" s="9" t="s">
        <v>678</v>
      </c>
      <c r="B56" s="26" t="s">
        <v>686</v>
      </c>
      <c r="C56" s="26" t="s">
        <v>693</v>
      </c>
      <c r="D56" s="29" t="s">
        <v>761</v>
      </c>
    </row>
    <row r="57" spans="1:4" x14ac:dyDescent="0.2">
      <c r="A57" s="9" t="s">
        <v>704</v>
      </c>
      <c r="B57" s="26" t="s">
        <v>705</v>
      </c>
      <c r="C57" s="26" t="s">
        <v>706</v>
      </c>
      <c r="D57" s="29" t="s">
        <v>761</v>
      </c>
    </row>
    <row r="58" spans="1:4" x14ac:dyDescent="0.2">
      <c r="A58" s="9" t="s">
        <v>679</v>
      </c>
      <c r="B58" s="26" t="s">
        <v>687</v>
      </c>
      <c r="C58" s="26" t="s">
        <v>695</v>
      </c>
      <c r="D58" s="29" t="s">
        <v>761</v>
      </c>
    </row>
    <row r="59" spans="1:4" x14ac:dyDescent="0.2">
      <c r="A59" s="2" t="s">
        <v>680</v>
      </c>
      <c r="B59" t="s">
        <v>688</v>
      </c>
      <c r="C59" t="s">
        <v>696</v>
      </c>
      <c r="D59" s="29" t="s">
        <v>761</v>
      </c>
    </row>
    <row r="60" spans="1:4" x14ac:dyDescent="0.2">
      <c r="A60" s="2" t="s">
        <v>681</v>
      </c>
      <c r="B60" t="s">
        <v>689</v>
      </c>
      <c r="C60" t="s">
        <v>697</v>
      </c>
      <c r="D60" s="29" t="s">
        <v>761</v>
      </c>
    </row>
    <row r="61" spans="1:4" x14ac:dyDescent="0.2">
      <c r="A61" s="2" t="s">
        <v>682</v>
      </c>
      <c r="B61" t="s">
        <v>690</v>
      </c>
      <c r="C61" t="s">
        <v>698</v>
      </c>
      <c r="D61" s="29" t="s">
        <v>761</v>
      </c>
    </row>
    <row r="62" spans="1:4" x14ac:dyDescent="0.2">
      <c r="A62" s="2" t="s">
        <v>683</v>
      </c>
      <c r="B62" t="s">
        <v>691</v>
      </c>
      <c r="C62" t="s">
        <v>700</v>
      </c>
      <c r="D62" s="29" t="s">
        <v>761</v>
      </c>
    </row>
    <row r="63" spans="1:4" x14ac:dyDescent="0.2">
      <c r="A63" s="21" t="s">
        <v>684</v>
      </c>
      <c r="B63" s="22" t="s">
        <v>692</v>
      </c>
      <c r="C63" s="22" t="s">
        <v>699</v>
      </c>
      <c r="D63" s="29" t="s">
        <v>761</v>
      </c>
    </row>
    <row r="64" spans="1:4" x14ac:dyDescent="0.2">
      <c r="A64" s="2" t="s">
        <v>450</v>
      </c>
      <c r="B64" t="s">
        <v>359</v>
      </c>
      <c r="C64" t="s">
        <v>360</v>
      </c>
      <c r="D64" s="30" t="s">
        <v>361</v>
      </c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DC5A-A60B-4DD4-A781-9D94F67981D5}">
  <dimension ref="A1:B1"/>
  <sheetViews>
    <sheetView workbookViewId="0">
      <selection activeCell="C8" sqref="C8"/>
    </sheetView>
  </sheetViews>
  <sheetFormatPr defaultRowHeight="12.75" x14ac:dyDescent="0.2"/>
  <cols>
    <col min="1" max="1" width="20" bestFit="1" customWidth="1"/>
    <col min="2" max="2" width="18.5703125" bestFit="1" customWidth="1"/>
  </cols>
  <sheetData>
    <row r="1" spans="1:2" x14ac:dyDescent="0.2">
      <c r="A1" s="1" t="s">
        <v>293</v>
      </c>
      <c r="B1" s="1" t="s">
        <v>807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2920C180C4E4B84F7FAA099C665FE" ma:contentTypeVersion="18" ma:contentTypeDescription="Create a new document." ma:contentTypeScope="" ma:versionID="e84343eb240811122932975a4c5ba2d0">
  <xsd:schema xmlns:xsd="http://www.w3.org/2001/XMLSchema" xmlns:xs="http://www.w3.org/2001/XMLSchema" xmlns:p="http://schemas.microsoft.com/office/2006/metadata/properties" xmlns:ns2="3d01d3a7-2414-4042-8e23-f77622fb5a72" xmlns:ns3="94cbbe72-fe1e-4100-8646-eab0e6714c8d" targetNamespace="http://schemas.microsoft.com/office/2006/metadata/properties" ma:root="true" ma:fieldsID="b813a9eaf0c978d67e3095d849acef5e" ns2:_="" ns3:_="">
    <xsd:import namespace="3d01d3a7-2414-4042-8e23-f77622fb5a72"/>
    <xsd:import namespace="94cbbe72-fe1e-4100-8646-eab0e6714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1d3a7-2414-4042-8e23-f77622fb5a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a19cb6-1b10-4512-a12b-f76e45842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bbe72-fe1e-4100-8646-eab0e6714c8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b0d1da-152a-4297-95e4-150ed2cfdcde}" ma:internalName="TaxCatchAll" ma:showField="CatchAllData" ma:web="94cbbe72-fe1e-4100-8646-eab0e6714c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CF5697-C737-40C6-8C6B-81EAFA69CD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1d3a7-2414-4042-8e23-f77622fb5a72"/>
    <ds:schemaRef ds:uri="94cbbe72-fe1e-4100-8646-eab0e6714c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C4C554-3310-4530-8E2E-840617B2ED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MFA_inputs</vt:lpstr>
      <vt:lpstr>PDFs</vt:lpstr>
      <vt:lpstr>Street_sweep</vt:lpstr>
      <vt:lpstr>Processes</vt:lpstr>
      <vt:lpstr>Coefficients</vt:lpstr>
      <vt:lpstr>Outputs</vt:lpstr>
      <vt:lpstr>Retain_full_munic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Cottom</dc:creator>
  <cp:lastModifiedBy>Cottom, Joshua W</cp:lastModifiedBy>
  <dcterms:created xsi:type="dcterms:W3CDTF">2022-03-20T15:27:41Z</dcterms:created>
  <dcterms:modified xsi:type="dcterms:W3CDTF">2026-02-02T12:06:55Z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0x01010004B2920C180C4E4B84F7FAA099C665FE</vt:lpwstr>
  </property>
</Properties>
</file>